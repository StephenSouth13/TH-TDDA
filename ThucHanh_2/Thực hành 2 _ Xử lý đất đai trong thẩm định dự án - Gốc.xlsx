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eaching\Thực hành TĐDA\"/>
    </mc:Choice>
  </mc:AlternateContent>
  <xr:revisionPtr revIDLastSave="0" documentId="13_ncr:1_{6C80C016-DF9F-48A0-99FA-6F4E673E4B9F}" xr6:coauthVersionLast="47" xr6:coauthVersionMax="47" xr10:uidLastSave="{00000000-0000-0000-0000-000000000000}"/>
  <bookViews>
    <workbookView xWindow="-98" yWindow="-98" windowWidth="20715" windowHeight="13155" firstSheet="1" activeTab="5" xr2:uid="{84843CBC-D109-4A79-A9D1-5230FA5095D6}"/>
  </bookViews>
  <sheets>
    <sheet name="TH1_Đất sẵn có 1" sheetId="1" r:id="rId1"/>
    <sheet name="TH2_Đất sẵn có 2" sheetId="4" r:id="rId2"/>
    <sheet name="TH3_Đất thuê 1" sheetId="5" r:id="rId3"/>
    <sheet name="TH4_Đất thuê 2" sheetId="6" r:id="rId4"/>
    <sheet name="TH5_Đất thuê 3" sheetId="7" r:id="rId5"/>
    <sheet name="TH6_Đất thuê 4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8" l="1"/>
  <c r="G11" i="7"/>
  <c r="G11" i="6"/>
  <c r="G11" i="5"/>
  <c r="G11" i="4"/>
  <c r="G11" i="1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K31" i="7"/>
  <c r="V19" i="7"/>
  <c r="U19" i="7"/>
  <c r="T19" i="7"/>
  <c r="S19" i="7"/>
  <c r="S50" i="7" s="1"/>
  <c r="R19" i="7"/>
  <c r="Q19" i="7"/>
  <c r="P19" i="7"/>
  <c r="O19" i="7"/>
  <c r="N19" i="7"/>
  <c r="M19" i="7"/>
  <c r="L19" i="7"/>
  <c r="K19" i="7"/>
  <c r="K26" i="7" s="1"/>
  <c r="K41" i="7" s="1"/>
  <c r="J19" i="7"/>
  <c r="I19" i="7"/>
  <c r="H19" i="7"/>
  <c r="G19" i="7"/>
  <c r="F19" i="7"/>
  <c r="E19" i="7"/>
  <c r="D19" i="7"/>
  <c r="C19" i="7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C25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D8" i="8"/>
  <c r="B54" i="8"/>
  <c r="B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D24" i="8"/>
  <c r="D55" i="8" s="1"/>
  <c r="C24" i="8"/>
  <c r="C55" i="8" s="1"/>
  <c r="V18" i="8"/>
  <c r="U18" i="8"/>
  <c r="T18" i="8"/>
  <c r="S18" i="8"/>
  <c r="R18" i="8"/>
  <c r="Q18" i="8"/>
  <c r="P18" i="8"/>
  <c r="Q24" i="8" s="1"/>
  <c r="O18" i="8"/>
  <c r="N18" i="8"/>
  <c r="M18" i="8"/>
  <c r="L18" i="8"/>
  <c r="M24" i="8" s="1"/>
  <c r="K18" i="8"/>
  <c r="J18" i="8"/>
  <c r="I18" i="8"/>
  <c r="H18" i="8"/>
  <c r="I24" i="8" s="1"/>
  <c r="G18" i="8"/>
  <c r="F18" i="8"/>
  <c r="E18" i="8"/>
  <c r="D18" i="8"/>
  <c r="C18" i="8"/>
  <c r="B13" i="8"/>
  <c r="B11" i="8"/>
  <c r="G10" i="8"/>
  <c r="B54" i="7"/>
  <c r="B53" i="7"/>
  <c r="Q50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D24" i="7"/>
  <c r="D55" i="7" s="1"/>
  <c r="C24" i="7"/>
  <c r="C55" i="7" s="1"/>
  <c r="V18" i="7"/>
  <c r="U18" i="7"/>
  <c r="T18" i="7"/>
  <c r="U24" i="7" s="1"/>
  <c r="S18" i="7"/>
  <c r="R18" i="7"/>
  <c r="T24" i="7" s="1"/>
  <c r="Q18" i="7"/>
  <c r="P18" i="7"/>
  <c r="Q24" i="7" s="1"/>
  <c r="Q55" i="7" s="1"/>
  <c r="O18" i="7"/>
  <c r="N18" i="7"/>
  <c r="P24" i="7" s="1"/>
  <c r="P55" i="7" s="1"/>
  <c r="M18" i="7"/>
  <c r="L18" i="7"/>
  <c r="K18" i="7"/>
  <c r="J18" i="7"/>
  <c r="L24" i="7" s="1"/>
  <c r="L55" i="7" s="1"/>
  <c r="I18" i="7"/>
  <c r="H18" i="7"/>
  <c r="I24" i="7" s="1"/>
  <c r="I55" i="7" s="1"/>
  <c r="G18" i="7"/>
  <c r="F18" i="7"/>
  <c r="E18" i="7"/>
  <c r="D18" i="7"/>
  <c r="C18" i="7"/>
  <c r="B13" i="7"/>
  <c r="B11" i="7"/>
  <c r="G10" i="7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D8" i="6"/>
  <c r="R25" i="6" s="1"/>
  <c r="R32" i="6" s="1"/>
  <c r="B55" i="6"/>
  <c r="B61" i="6" s="1"/>
  <c r="B54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D24" i="6"/>
  <c r="D56" i="6" s="1"/>
  <c r="C24" i="6"/>
  <c r="C56" i="6" s="1"/>
  <c r="V18" i="6"/>
  <c r="U18" i="6"/>
  <c r="U41" i="6" s="1"/>
  <c r="V44" i="6" s="1"/>
  <c r="V52" i="6" s="1"/>
  <c r="T18" i="6"/>
  <c r="V24" i="6" s="1"/>
  <c r="V56" i="6" s="1"/>
  <c r="S18" i="6"/>
  <c r="S41" i="6" s="1"/>
  <c r="R18" i="6"/>
  <c r="T24" i="6" s="1"/>
  <c r="Q18" i="6"/>
  <c r="P18" i="6"/>
  <c r="Q24" i="6" s="1"/>
  <c r="O18" i="6"/>
  <c r="O26" i="6" s="1"/>
  <c r="O42" i="6" s="1"/>
  <c r="N18" i="6"/>
  <c r="O24" i="6" s="1"/>
  <c r="M18" i="6"/>
  <c r="M30" i="6" s="1"/>
  <c r="M43" i="6" s="1"/>
  <c r="L18" i="6"/>
  <c r="K18" i="6"/>
  <c r="K26" i="6" s="1"/>
  <c r="K58" i="6" s="1"/>
  <c r="J18" i="6"/>
  <c r="I18" i="6"/>
  <c r="H18" i="6"/>
  <c r="J24" i="6" s="1"/>
  <c r="G18" i="6"/>
  <c r="G26" i="6" s="1"/>
  <c r="G42" i="6" s="1"/>
  <c r="F18" i="6"/>
  <c r="G24" i="6" s="1"/>
  <c r="E18" i="6"/>
  <c r="E26" i="6" s="1"/>
  <c r="D18" i="6"/>
  <c r="F24" i="6" s="1"/>
  <c r="F56" i="6" s="1"/>
  <c r="C18" i="6"/>
  <c r="C26" i="6" s="1"/>
  <c r="B13" i="6"/>
  <c r="B11" i="6"/>
  <c r="B64" i="6" s="1"/>
  <c r="G10" i="6"/>
  <c r="B55" i="5"/>
  <c r="B54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D24" i="5"/>
  <c r="D56" i="5" s="1"/>
  <c r="C24" i="5"/>
  <c r="V18" i="5"/>
  <c r="U18" i="5"/>
  <c r="T18" i="5"/>
  <c r="V24" i="5" s="1"/>
  <c r="V56" i="5" s="1"/>
  <c r="S18" i="5"/>
  <c r="R18" i="5"/>
  <c r="Q18" i="5"/>
  <c r="P18" i="5"/>
  <c r="R24" i="5" s="1"/>
  <c r="O18" i="5"/>
  <c r="N18" i="5"/>
  <c r="O24" i="5" s="1"/>
  <c r="M18" i="5"/>
  <c r="L18" i="5"/>
  <c r="N24" i="5" s="1"/>
  <c r="N56" i="5" s="1"/>
  <c r="K18" i="5"/>
  <c r="J18" i="5"/>
  <c r="I18" i="5"/>
  <c r="H18" i="5"/>
  <c r="I24" i="5" s="1"/>
  <c r="G18" i="5"/>
  <c r="F18" i="5"/>
  <c r="G24" i="5" s="1"/>
  <c r="G56" i="5" s="1"/>
  <c r="E18" i="5"/>
  <c r="D18" i="5"/>
  <c r="F24" i="5" s="1"/>
  <c r="F56" i="5" s="1"/>
  <c r="C18" i="5"/>
  <c r="B13" i="5"/>
  <c r="B11" i="5"/>
  <c r="B63" i="5" s="1"/>
  <c r="G10" i="5"/>
  <c r="B55" i="4"/>
  <c r="B54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D24" i="4"/>
  <c r="C24" i="4"/>
  <c r="V18" i="4"/>
  <c r="U18" i="4"/>
  <c r="U39" i="4" s="1"/>
  <c r="V42" i="4" s="1"/>
  <c r="V50" i="4" s="1"/>
  <c r="T18" i="4"/>
  <c r="V24" i="4" s="1"/>
  <c r="V56" i="4" s="1"/>
  <c r="S18" i="4"/>
  <c r="S25" i="4" s="1"/>
  <c r="S40" i="4" s="1"/>
  <c r="R18" i="4"/>
  <c r="S24" i="4" s="1"/>
  <c r="Q18" i="4"/>
  <c r="P18" i="4"/>
  <c r="R24" i="4" s="1"/>
  <c r="O18" i="4"/>
  <c r="N18" i="4"/>
  <c r="O24" i="4" s="1"/>
  <c r="O56" i="4" s="1"/>
  <c r="M18" i="4"/>
  <c r="L18" i="4"/>
  <c r="N24" i="4" s="1"/>
  <c r="N56" i="4" s="1"/>
  <c r="K18" i="4"/>
  <c r="K25" i="4" s="1"/>
  <c r="K40" i="4" s="1"/>
  <c r="J18" i="4"/>
  <c r="I18" i="4"/>
  <c r="I49" i="4" s="1"/>
  <c r="H18" i="4"/>
  <c r="I24" i="4" s="1"/>
  <c r="I56" i="4" s="1"/>
  <c r="G18" i="4"/>
  <c r="F18" i="4"/>
  <c r="G24" i="4" s="1"/>
  <c r="G56" i="4" s="1"/>
  <c r="E18" i="4"/>
  <c r="D18" i="4"/>
  <c r="F24" i="4" s="1"/>
  <c r="F56" i="4" s="1"/>
  <c r="C18" i="4"/>
  <c r="C25" i="4" s="1"/>
  <c r="C57" i="4" s="1"/>
  <c r="B13" i="4"/>
  <c r="B11" i="4"/>
  <c r="B63" i="4" s="1"/>
  <c r="G10" i="4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D24" i="1"/>
  <c r="C24" i="1"/>
  <c r="G10" i="1"/>
  <c r="B13" i="1"/>
  <c r="V18" i="1"/>
  <c r="U18" i="1"/>
  <c r="T18" i="1"/>
  <c r="S18" i="1"/>
  <c r="R18" i="1"/>
  <c r="Q18" i="1"/>
  <c r="P18" i="1"/>
  <c r="O18" i="1"/>
  <c r="N18" i="1"/>
  <c r="N29" i="1" s="1"/>
  <c r="M18" i="1"/>
  <c r="B11" i="1"/>
  <c r="B63" i="1" s="1"/>
  <c r="B55" i="1"/>
  <c r="B54" i="1"/>
  <c r="L18" i="1"/>
  <c r="M24" i="1" s="1"/>
  <c r="K18" i="1"/>
  <c r="J18" i="1"/>
  <c r="I18" i="1"/>
  <c r="H18" i="1"/>
  <c r="J24" i="1" s="1"/>
  <c r="G18" i="1"/>
  <c r="F18" i="1"/>
  <c r="G24" i="1" s="1"/>
  <c r="E18" i="1"/>
  <c r="D18" i="1"/>
  <c r="E24" i="1" s="1"/>
  <c r="C18" i="1"/>
  <c r="R40" i="8" l="1"/>
  <c r="G25" i="8"/>
  <c r="E30" i="8"/>
  <c r="E42" i="8" s="1"/>
  <c r="U40" i="8"/>
  <c r="V43" i="8" s="1"/>
  <c r="V51" i="8" s="1"/>
  <c r="M30" i="8"/>
  <c r="J40" i="8"/>
  <c r="F40" i="8"/>
  <c r="N40" i="8"/>
  <c r="G26" i="8"/>
  <c r="O26" i="8"/>
  <c r="O31" i="8" s="1"/>
  <c r="Q40" i="8"/>
  <c r="H64" i="8"/>
  <c r="O24" i="8"/>
  <c r="O55" i="8" s="1"/>
  <c r="F25" i="8"/>
  <c r="V25" i="8"/>
  <c r="C50" i="5"/>
  <c r="K26" i="5"/>
  <c r="S50" i="5"/>
  <c r="V31" i="5"/>
  <c r="R24" i="7"/>
  <c r="E40" i="7"/>
  <c r="U50" i="7"/>
  <c r="C64" i="7"/>
  <c r="F64" i="7"/>
  <c r="K24" i="7"/>
  <c r="G64" i="7"/>
  <c r="S24" i="7"/>
  <c r="S55" i="7" s="1"/>
  <c r="C26" i="7"/>
  <c r="C31" i="7" s="1"/>
  <c r="O50" i="7"/>
  <c r="V24" i="7"/>
  <c r="T26" i="7"/>
  <c r="I64" i="7"/>
  <c r="D8" i="7"/>
  <c r="V30" i="6"/>
  <c r="F25" i="6"/>
  <c r="G25" i="6"/>
  <c r="H25" i="6"/>
  <c r="I25" i="6"/>
  <c r="Q25" i="6"/>
  <c r="S25" i="6"/>
  <c r="G26" i="5"/>
  <c r="G41" i="5" s="1"/>
  <c r="I50" i="5"/>
  <c r="J26" i="5"/>
  <c r="J41" i="5" s="1"/>
  <c r="R26" i="5"/>
  <c r="R57" i="5" s="1"/>
  <c r="G25" i="4"/>
  <c r="G57" i="4" s="1"/>
  <c r="T39" i="4"/>
  <c r="U42" i="4" s="1"/>
  <c r="U50" i="4" s="1"/>
  <c r="M29" i="1"/>
  <c r="O49" i="1"/>
  <c r="K49" i="4"/>
  <c r="K29" i="4"/>
  <c r="K41" i="4" s="1"/>
  <c r="S29" i="4"/>
  <c r="S41" i="4" s="1"/>
  <c r="K39" i="4"/>
  <c r="V50" i="7"/>
  <c r="V30" i="7"/>
  <c r="V26" i="7"/>
  <c r="G24" i="7"/>
  <c r="G55" i="7" s="1"/>
  <c r="H24" i="7"/>
  <c r="H55" i="7" s="1"/>
  <c r="E50" i="7"/>
  <c r="O24" i="7"/>
  <c r="O55" i="7" s="1"/>
  <c r="H50" i="7"/>
  <c r="H64" i="7"/>
  <c r="J64" i="7"/>
  <c r="R50" i="7"/>
  <c r="J24" i="7"/>
  <c r="J55" i="7" s="1"/>
  <c r="H24" i="5"/>
  <c r="T24" i="8"/>
  <c r="T55" i="8" s="1"/>
  <c r="H25" i="8"/>
  <c r="O25" i="8"/>
  <c r="M50" i="8"/>
  <c r="P25" i="8"/>
  <c r="Q25" i="8"/>
  <c r="J25" i="8"/>
  <c r="L24" i="8"/>
  <c r="L55" i="8" s="1"/>
  <c r="K25" i="8"/>
  <c r="T25" i="8"/>
  <c r="P24" i="8"/>
  <c r="P55" i="8" s="1"/>
  <c r="E25" i="8"/>
  <c r="M25" i="8"/>
  <c r="U25" i="8"/>
  <c r="P30" i="8"/>
  <c r="P42" i="8" s="1"/>
  <c r="I25" i="8"/>
  <c r="R25" i="8"/>
  <c r="S25" i="8"/>
  <c r="L25" i="8"/>
  <c r="S24" i="8"/>
  <c r="S55" i="8" s="1"/>
  <c r="N25" i="8"/>
  <c r="I40" i="8"/>
  <c r="I30" i="8"/>
  <c r="I42" i="8" s="1"/>
  <c r="H30" i="8"/>
  <c r="H42" i="8" s="1"/>
  <c r="G24" i="8"/>
  <c r="B60" i="8"/>
  <c r="B62" i="8" s="1"/>
  <c r="B65" i="8" s="1"/>
  <c r="H24" i="8"/>
  <c r="H55" i="8" s="1"/>
  <c r="K24" i="8"/>
  <c r="K55" i="8" s="1"/>
  <c r="M26" i="8"/>
  <c r="C50" i="8"/>
  <c r="C40" i="8"/>
  <c r="C30" i="8"/>
  <c r="C26" i="8"/>
  <c r="C31" i="8" s="1"/>
  <c r="S50" i="8"/>
  <c r="S26" i="8"/>
  <c r="S31" i="8" s="1"/>
  <c r="S30" i="8"/>
  <c r="S40" i="8"/>
  <c r="O57" i="8"/>
  <c r="O41" i="8"/>
  <c r="K50" i="8"/>
  <c r="K26" i="8"/>
  <c r="K31" i="8" s="1"/>
  <c r="K40" i="8"/>
  <c r="K30" i="8"/>
  <c r="M55" i="8"/>
  <c r="V24" i="8"/>
  <c r="U24" i="8"/>
  <c r="V26" i="8"/>
  <c r="V30" i="8"/>
  <c r="O30" i="8"/>
  <c r="E40" i="8"/>
  <c r="C64" i="8"/>
  <c r="B63" i="8"/>
  <c r="I64" i="8"/>
  <c r="K64" i="8"/>
  <c r="F24" i="8"/>
  <c r="C25" i="8"/>
  <c r="N24" i="8"/>
  <c r="E64" i="8"/>
  <c r="V50" i="8"/>
  <c r="O40" i="8"/>
  <c r="O50" i="8"/>
  <c r="D25" i="8"/>
  <c r="M42" i="8"/>
  <c r="N26" i="8"/>
  <c r="N31" i="8" s="1"/>
  <c r="N30" i="8"/>
  <c r="Q26" i="8"/>
  <c r="Q31" i="8" s="1"/>
  <c r="Q50" i="8"/>
  <c r="I55" i="8"/>
  <c r="Q55" i="8"/>
  <c r="G40" i="8"/>
  <c r="G50" i="8"/>
  <c r="E26" i="8"/>
  <c r="E31" i="8" s="1"/>
  <c r="U26" i="8"/>
  <c r="U31" i="8" s="1"/>
  <c r="Q30" i="8"/>
  <c r="J30" i="8"/>
  <c r="J26" i="8"/>
  <c r="J31" i="8" s="1"/>
  <c r="R50" i="8"/>
  <c r="R30" i="8"/>
  <c r="I26" i="8"/>
  <c r="I31" i="8" s="1"/>
  <c r="I50" i="8"/>
  <c r="E24" i="8"/>
  <c r="G30" i="8"/>
  <c r="M40" i="8"/>
  <c r="G64" i="8"/>
  <c r="J24" i="8"/>
  <c r="R24" i="8"/>
  <c r="F64" i="8"/>
  <c r="J64" i="8"/>
  <c r="D64" i="8"/>
  <c r="L64" i="8"/>
  <c r="T57" i="7"/>
  <c r="T55" i="7"/>
  <c r="F50" i="7"/>
  <c r="F26" i="7"/>
  <c r="F31" i="7" s="1"/>
  <c r="F30" i="7"/>
  <c r="K57" i="7"/>
  <c r="I30" i="7"/>
  <c r="I26" i="7"/>
  <c r="I31" i="7" s="1"/>
  <c r="I50" i="7"/>
  <c r="I40" i="7"/>
  <c r="H30" i="7"/>
  <c r="C30" i="7"/>
  <c r="R55" i="7"/>
  <c r="O40" i="7"/>
  <c r="O26" i="7"/>
  <c r="O31" i="7" s="1"/>
  <c r="O30" i="7"/>
  <c r="G40" i="7"/>
  <c r="G26" i="7"/>
  <c r="G31" i="7" s="1"/>
  <c r="G30" i="7"/>
  <c r="K40" i="7"/>
  <c r="K50" i="7"/>
  <c r="S40" i="7"/>
  <c r="S26" i="7"/>
  <c r="S31" i="7" s="1"/>
  <c r="S30" i="7"/>
  <c r="T40" i="7"/>
  <c r="T50" i="7"/>
  <c r="F40" i="7"/>
  <c r="F43" i="7" s="1"/>
  <c r="F51" i="7" s="1"/>
  <c r="Q30" i="7"/>
  <c r="Q26" i="7"/>
  <c r="Q31" i="7" s="1"/>
  <c r="C40" i="7"/>
  <c r="C50" i="7"/>
  <c r="E24" i="7"/>
  <c r="F24" i="7"/>
  <c r="M24" i="7"/>
  <c r="N24" i="7"/>
  <c r="U55" i="7"/>
  <c r="K30" i="7"/>
  <c r="Q40" i="7"/>
  <c r="G50" i="7"/>
  <c r="U40" i="7"/>
  <c r="V43" i="7" s="1"/>
  <c r="V51" i="7" s="1"/>
  <c r="B60" i="7"/>
  <c r="B62" i="7" s="1"/>
  <c r="K64" i="7"/>
  <c r="M26" i="7"/>
  <c r="M31" i="7" s="1"/>
  <c r="M30" i="7"/>
  <c r="E26" i="7"/>
  <c r="E31" i="7" s="1"/>
  <c r="E30" i="7"/>
  <c r="U26" i="7"/>
  <c r="U31" i="7" s="1"/>
  <c r="U30" i="7"/>
  <c r="L64" i="7"/>
  <c r="D64" i="7"/>
  <c r="M40" i="7"/>
  <c r="M50" i="7"/>
  <c r="B63" i="7"/>
  <c r="E25" i="7"/>
  <c r="M25" i="7"/>
  <c r="U25" i="7"/>
  <c r="E64" i="7"/>
  <c r="I25" i="7"/>
  <c r="P24" i="6"/>
  <c r="P56" i="6" s="1"/>
  <c r="P25" i="6"/>
  <c r="U25" i="6"/>
  <c r="V25" i="6"/>
  <c r="C25" i="6"/>
  <c r="D25" i="6"/>
  <c r="N25" i="6"/>
  <c r="L25" i="6"/>
  <c r="M25" i="6"/>
  <c r="E25" i="6"/>
  <c r="O25" i="6"/>
  <c r="K25" i="6"/>
  <c r="T25" i="6"/>
  <c r="T51" i="6"/>
  <c r="D41" i="6"/>
  <c r="F30" i="6"/>
  <c r="H24" i="6"/>
  <c r="H56" i="6" s="1"/>
  <c r="N26" i="6"/>
  <c r="J25" i="6"/>
  <c r="L65" i="6"/>
  <c r="D65" i="6"/>
  <c r="R24" i="6"/>
  <c r="R56" i="6" s="1"/>
  <c r="U24" i="6"/>
  <c r="U56" i="6" s="1"/>
  <c r="P51" i="6"/>
  <c r="E24" i="6"/>
  <c r="E56" i="6" s="1"/>
  <c r="V26" i="6"/>
  <c r="V58" i="6" s="1"/>
  <c r="C58" i="6"/>
  <c r="C31" i="6"/>
  <c r="C41" i="6"/>
  <c r="C44" i="6" s="1"/>
  <c r="C52" i="6" s="1"/>
  <c r="G58" i="6"/>
  <c r="G30" i="6"/>
  <c r="G43" i="6" s="1"/>
  <c r="G41" i="6"/>
  <c r="O58" i="6"/>
  <c r="O51" i="6"/>
  <c r="O30" i="6"/>
  <c r="O43" i="6" s="1"/>
  <c r="O41" i="6"/>
  <c r="T30" i="6"/>
  <c r="T43" i="6" s="1"/>
  <c r="U30" i="6"/>
  <c r="U43" i="6" s="1"/>
  <c r="V46" i="6" s="1"/>
  <c r="V60" i="6" s="1"/>
  <c r="G51" i="6"/>
  <c r="B63" i="6"/>
  <c r="B66" i="6" s="1"/>
  <c r="J56" i="6"/>
  <c r="Q56" i="6"/>
  <c r="I26" i="6"/>
  <c r="I30" i="6"/>
  <c r="I51" i="6"/>
  <c r="I41" i="6"/>
  <c r="E42" i="6"/>
  <c r="E58" i="6"/>
  <c r="S51" i="6"/>
  <c r="S30" i="6"/>
  <c r="I24" i="6"/>
  <c r="E41" i="6"/>
  <c r="E51" i="6"/>
  <c r="E30" i="6"/>
  <c r="E65" i="6"/>
  <c r="K24" i="6"/>
  <c r="L24" i="6"/>
  <c r="G65" i="6"/>
  <c r="S26" i="6"/>
  <c r="O56" i="6"/>
  <c r="O31" i="6"/>
  <c r="M41" i="6"/>
  <c r="M51" i="6"/>
  <c r="M26" i="6"/>
  <c r="K51" i="6"/>
  <c r="K30" i="6"/>
  <c r="K41" i="6"/>
  <c r="U26" i="6"/>
  <c r="Q51" i="6"/>
  <c r="Q41" i="6"/>
  <c r="G56" i="6"/>
  <c r="G31" i="6"/>
  <c r="T56" i="6"/>
  <c r="I65" i="6"/>
  <c r="H65" i="6"/>
  <c r="F65" i="6"/>
  <c r="C65" i="6"/>
  <c r="K65" i="6"/>
  <c r="J65" i="6"/>
  <c r="S24" i="6"/>
  <c r="Q26" i="6"/>
  <c r="Q31" i="6" s="1"/>
  <c r="N24" i="6"/>
  <c r="M24" i="6"/>
  <c r="K42" i="6"/>
  <c r="Q30" i="6"/>
  <c r="U51" i="6"/>
  <c r="C42" i="6"/>
  <c r="V51" i="6"/>
  <c r="C51" i="6"/>
  <c r="C30" i="6"/>
  <c r="P24" i="5"/>
  <c r="D40" i="5"/>
  <c r="F26" i="5"/>
  <c r="F57" i="5" s="1"/>
  <c r="J50" i="5"/>
  <c r="E24" i="5"/>
  <c r="J40" i="5"/>
  <c r="O40" i="5"/>
  <c r="O26" i="5"/>
  <c r="O31" i="5" s="1"/>
  <c r="H64" i="5"/>
  <c r="L40" i="5"/>
  <c r="L24" i="5"/>
  <c r="N50" i="5"/>
  <c r="M24" i="5"/>
  <c r="J30" i="5"/>
  <c r="R30" i="5"/>
  <c r="R42" i="5" s="1"/>
  <c r="J64" i="5"/>
  <c r="E40" i="5"/>
  <c r="E50" i="5"/>
  <c r="E30" i="5"/>
  <c r="E26" i="5"/>
  <c r="M40" i="5"/>
  <c r="M30" i="5"/>
  <c r="M26" i="5"/>
  <c r="M50" i="5"/>
  <c r="U40" i="5"/>
  <c r="V43" i="5" s="1"/>
  <c r="V51" i="5" s="1"/>
  <c r="U50" i="5"/>
  <c r="U30" i="5"/>
  <c r="U26" i="5"/>
  <c r="V50" i="5"/>
  <c r="V30" i="5"/>
  <c r="V26" i="5"/>
  <c r="I56" i="5"/>
  <c r="R56" i="5"/>
  <c r="I40" i="5"/>
  <c r="I26" i="5"/>
  <c r="I31" i="5" s="1"/>
  <c r="I30" i="5"/>
  <c r="Q50" i="5"/>
  <c r="Q40" i="5"/>
  <c r="Q26" i="5"/>
  <c r="Q30" i="5"/>
  <c r="C56" i="5"/>
  <c r="O30" i="5"/>
  <c r="O50" i="5"/>
  <c r="Q24" i="5"/>
  <c r="G30" i="5"/>
  <c r="G50" i="5"/>
  <c r="S24" i="5"/>
  <c r="G40" i="5"/>
  <c r="C26" i="5"/>
  <c r="C31" i="5" s="1"/>
  <c r="C40" i="5"/>
  <c r="J24" i="5"/>
  <c r="J31" i="5" s="1"/>
  <c r="T24" i="5"/>
  <c r="R50" i="5"/>
  <c r="O56" i="5"/>
  <c r="E64" i="5"/>
  <c r="K64" i="5"/>
  <c r="L64" i="5"/>
  <c r="D64" i="5"/>
  <c r="C64" i="5"/>
  <c r="F40" i="5"/>
  <c r="F64" i="5"/>
  <c r="R40" i="5"/>
  <c r="G64" i="5"/>
  <c r="K24" i="5"/>
  <c r="U24" i="5"/>
  <c r="U31" i="5" s="1"/>
  <c r="C30" i="5"/>
  <c r="B60" i="5"/>
  <c r="B62" i="5" s="1"/>
  <c r="I64" i="5"/>
  <c r="V24" i="1"/>
  <c r="U49" i="4"/>
  <c r="V25" i="4"/>
  <c r="I25" i="4"/>
  <c r="I40" i="4" s="1"/>
  <c r="U29" i="4"/>
  <c r="U41" i="4" s="1"/>
  <c r="K57" i="4"/>
  <c r="T25" i="4"/>
  <c r="S39" i="4"/>
  <c r="S57" i="4"/>
  <c r="T49" i="4"/>
  <c r="E24" i="4"/>
  <c r="E56" i="4" s="1"/>
  <c r="P24" i="4"/>
  <c r="P56" i="4" s="1"/>
  <c r="T29" i="4"/>
  <c r="T41" i="4" s="1"/>
  <c r="F39" i="4"/>
  <c r="N39" i="4"/>
  <c r="U25" i="4"/>
  <c r="C40" i="4"/>
  <c r="C43" i="4" s="1"/>
  <c r="C58" i="4" s="1"/>
  <c r="P49" i="4"/>
  <c r="H24" i="4"/>
  <c r="H56" i="4" s="1"/>
  <c r="I29" i="4"/>
  <c r="I41" i="4" s="1"/>
  <c r="R56" i="4"/>
  <c r="S30" i="4"/>
  <c r="S56" i="4"/>
  <c r="E64" i="4"/>
  <c r="L64" i="4"/>
  <c r="D64" i="4"/>
  <c r="K64" i="4"/>
  <c r="C64" i="4"/>
  <c r="I64" i="4"/>
  <c r="G64" i="4"/>
  <c r="F64" i="4"/>
  <c r="H64" i="4"/>
  <c r="O29" i="4"/>
  <c r="O49" i="4"/>
  <c r="O25" i="4"/>
  <c r="O39" i="4"/>
  <c r="M39" i="4"/>
  <c r="M29" i="4"/>
  <c r="M25" i="4"/>
  <c r="M49" i="4"/>
  <c r="G30" i="4"/>
  <c r="Q29" i="4"/>
  <c r="Q39" i="4"/>
  <c r="Q49" i="4"/>
  <c r="J64" i="4"/>
  <c r="D39" i="4"/>
  <c r="D25" i="4"/>
  <c r="D49" i="4"/>
  <c r="D29" i="4"/>
  <c r="J24" i="4"/>
  <c r="E39" i="4"/>
  <c r="E49" i="4"/>
  <c r="E29" i="4"/>
  <c r="E25" i="4"/>
  <c r="Q24" i="4"/>
  <c r="Q25" i="4"/>
  <c r="K24" i="4"/>
  <c r="L24" i="4"/>
  <c r="G29" i="4"/>
  <c r="G49" i="4"/>
  <c r="G39" i="4"/>
  <c r="T24" i="4"/>
  <c r="D56" i="4"/>
  <c r="I39" i="4"/>
  <c r="C49" i="4"/>
  <c r="C39" i="4"/>
  <c r="U24" i="4"/>
  <c r="C29" i="4"/>
  <c r="C30" i="4"/>
  <c r="C56" i="4"/>
  <c r="M24" i="4"/>
  <c r="S49" i="4"/>
  <c r="B60" i="4"/>
  <c r="B62" i="4" s="1"/>
  <c r="L64" i="1"/>
  <c r="F64" i="1"/>
  <c r="G64" i="1"/>
  <c r="H64" i="1"/>
  <c r="Q24" i="1"/>
  <c r="I64" i="1"/>
  <c r="E64" i="1"/>
  <c r="J64" i="1"/>
  <c r="C64" i="1"/>
  <c r="K64" i="1"/>
  <c r="D64" i="1"/>
  <c r="F24" i="1"/>
  <c r="F56" i="1" s="1"/>
  <c r="H24" i="1"/>
  <c r="H56" i="1" s="1"/>
  <c r="N24" i="1"/>
  <c r="O24" i="1"/>
  <c r="R24" i="1"/>
  <c r="R56" i="1" s="1"/>
  <c r="P24" i="1"/>
  <c r="I24" i="1"/>
  <c r="I56" i="1" s="1"/>
  <c r="K24" i="1"/>
  <c r="K56" i="1" s="1"/>
  <c r="S24" i="1"/>
  <c r="S56" i="1" s="1"/>
  <c r="L24" i="1"/>
  <c r="L56" i="1" s="1"/>
  <c r="T24" i="1"/>
  <c r="T56" i="1" s="1"/>
  <c r="U24" i="1"/>
  <c r="T25" i="1"/>
  <c r="T40" i="1" s="1"/>
  <c r="T49" i="1"/>
  <c r="T39" i="1"/>
  <c r="T29" i="1"/>
  <c r="N41" i="1"/>
  <c r="D56" i="1"/>
  <c r="G56" i="1"/>
  <c r="J49" i="1"/>
  <c r="J39" i="1"/>
  <c r="M25" i="1"/>
  <c r="M49" i="1"/>
  <c r="U25" i="1"/>
  <c r="U49" i="1"/>
  <c r="M39" i="1"/>
  <c r="C49" i="1"/>
  <c r="C39" i="1"/>
  <c r="K49" i="1"/>
  <c r="K39" i="1"/>
  <c r="N25" i="1"/>
  <c r="N39" i="1"/>
  <c r="U29" i="1"/>
  <c r="L49" i="1"/>
  <c r="O25" i="1"/>
  <c r="O39" i="1"/>
  <c r="O29" i="1"/>
  <c r="R49" i="1"/>
  <c r="R39" i="1"/>
  <c r="R29" i="1"/>
  <c r="U39" i="1"/>
  <c r="V42" i="1" s="1"/>
  <c r="V50" i="1" s="1"/>
  <c r="P39" i="1"/>
  <c r="P29" i="1"/>
  <c r="P49" i="1"/>
  <c r="P25" i="1"/>
  <c r="S25" i="1"/>
  <c r="S40" i="1" s="1"/>
  <c r="T43" i="1" s="1"/>
  <c r="T58" i="1" s="1"/>
  <c r="S39" i="1"/>
  <c r="S29" i="1"/>
  <c r="S49" i="1"/>
  <c r="Q25" i="1"/>
  <c r="Q39" i="1"/>
  <c r="Q29" i="1"/>
  <c r="Q49" i="1"/>
  <c r="R25" i="1"/>
  <c r="R40" i="1" s="1"/>
  <c r="S43" i="1" s="1"/>
  <c r="S58" i="1" s="1"/>
  <c r="N49" i="1"/>
  <c r="M41" i="1"/>
  <c r="E56" i="1"/>
  <c r="J56" i="1"/>
  <c r="C56" i="1"/>
  <c r="B60" i="1"/>
  <c r="B62" i="1" s="1"/>
  <c r="F39" i="1"/>
  <c r="J29" i="1"/>
  <c r="J25" i="1"/>
  <c r="J40" i="1" s="1"/>
  <c r="C29" i="1"/>
  <c r="C40" i="1"/>
  <c r="K29" i="1"/>
  <c r="K25" i="1"/>
  <c r="K40" i="1" s="1"/>
  <c r="G39" i="1"/>
  <c r="H39" i="1"/>
  <c r="I39" i="1"/>
  <c r="V57" i="8" l="1"/>
  <c r="V31" i="8"/>
  <c r="M57" i="8"/>
  <c r="M31" i="8"/>
  <c r="G57" i="8"/>
  <c r="G31" i="8"/>
  <c r="C57" i="7"/>
  <c r="C41" i="7"/>
  <c r="V57" i="7"/>
  <c r="V31" i="7"/>
  <c r="T41" i="7"/>
  <c r="T31" i="7"/>
  <c r="F31" i="5"/>
  <c r="T42" i="4"/>
  <c r="T50" i="4" s="1"/>
  <c r="G40" i="4"/>
  <c r="B65" i="1"/>
  <c r="N50" i="8"/>
  <c r="J50" i="8"/>
  <c r="F26" i="8"/>
  <c r="F31" i="8" s="1"/>
  <c r="F50" i="8"/>
  <c r="S43" i="8"/>
  <c r="S51" i="8" s="1"/>
  <c r="U30" i="8"/>
  <c r="U42" i="8" s="1"/>
  <c r="V45" i="8" s="1"/>
  <c r="V59" i="8" s="1"/>
  <c r="J43" i="8"/>
  <c r="J51" i="8" s="1"/>
  <c r="F30" i="8"/>
  <c r="F42" i="8" s="1"/>
  <c r="F45" i="8" s="1"/>
  <c r="F59" i="8" s="1"/>
  <c r="E50" i="8"/>
  <c r="R43" i="8"/>
  <c r="R51" i="8" s="1"/>
  <c r="U50" i="8"/>
  <c r="G41" i="8"/>
  <c r="R26" i="8"/>
  <c r="R31" i="8" s="1"/>
  <c r="G33" i="8"/>
  <c r="G35" i="8" s="1"/>
  <c r="G36" i="8" s="1"/>
  <c r="G61" i="8" s="1"/>
  <c r="P40" i="8"/>
  <c r="Q43" i="8" s="1"/>
  <c r="Q51" i="8" s="1"/>
  <c r="K31" i="5"/>
  <c r="S40" i="5"/>
  <c r="S43" i="5" s="1"/>
  <c r="S51" i="5" s="1"/>
  <c r="M56" i="5"/>
  <c r="M31" i="5"/>
  <c r="E56" i="5"/>
  <c r="E31" i="5"/>
  <c r="L56" i="5"/>
  <c r="R41" i="5"/>
  <c r="R31" i="5"/>
  <c r="R33" i="5" s="1"/>
  <c r="R35" i="5" s="1"/>
  <c r="R36" i="5" s="1"/>
  <c r="R61" i="5" s="1"/>
  <c r="S26" i="5"/>
  <c r="S31" i="5" s="1"/>
  <c r="S30" i="5"/>
  <c r="S42" i="5" s="1"/>
  <c r="S45" i="5" s="1"/>
  <c r="S59" i="5" s="1"/>
  <c r="K30" i="5"/>
  <c r="H56" i="5"/>
  <c r="K50" i="5"/>
  <c r="K40" i="5"/>
  <c r="K43" i="5" s="1"/>
  <c r="K51" i="5" s="1"/>
  <c r="Q31" i="5"/>
  <c r="Q33" i="5" s="1"/>
  <c r="P56" i="5"/>
  <c r="P31" i="5"/>
  <c r="G57" i="5"/>
  <c r="G31" i="5"/>
  <c r="K55" i="7"/>
  <c r="V55" i="7"/>
  <c r="U43" i="7"/>
  <c r="U51" i="7" s="1"/>
  <c r="T30" i="7"/>
  <c r="H26" i="7"/>
  <c r="L32" i="6"/>
  <c r="F32" i="6"/>
  <c r="N32" i="6"/>
  <c r="D32" i="6"/>
  <c r="S32" i="6"/>
  <c r="T32" i="6"/>
  <c r="C32" i="6"/>
  <c r="Q32" i="6"/>
  <c r="Q34" i="6" s="1"/>
  <c r="Q36" i="6" s="1"/>
  <c r="Q37" i="6" s="1"/>
  <c r="Q62" i="6" s="1"/>
  <c r="K32" i="6"/>
  <c r="V32" i="6"/>
  <c r="J32" i="6"/>
  <c r="O32" i="6"/>
  <c r="U32" i="6"/>
  <c r="I32" i="6"/>
  <c r="E32" i="6"/>
  <c r="P32" i="6"/>
  <c r="H32" i="6"/>
  <c r="F26" i="6"/>
  <c r="F58" i="6" s="1"/>
  <c r="M32" i="6"/>
  <c r="G32" i="6"/>
  <c r="G34" i="6" s="1"/>
  <c r="G36" i="6" s="1"/>
  <c r="G37" i="6" s="1"/>
  <c r="G62" i="6" s="1"/>
  <c r="J57" i="5"/>
  <c r="P25" i="4"/>
  <c r="P30" i="4" s="1"/>
  <c r="P39" i="4"/>
  <c r="P42" i="4" s="1"/>
  <c r="P50" i="4" s="1"/>
  <c r="S32" i="4"/>
  <c r="S34" i="4" s="1"/>
  <c r="S35" i="4" s="1"/>
  <c r="S61" i="4" s="1"/>
  <c r="N49" i="4"/>
  <c r="N29" i="4"/>
  <c r="N41" i="4" s="1"/>
  <c r="V49" i="4"/>
  <c r="P29" i="4"/>
  <c r="P41" i="4" s="1"/>
  <c r="V29" i="4"/>
  <c r="G55" i="8"/>
  <c r="R40" i="7"/>
  <c r="S43" i="7" s="1"/>
  <c r="S51" i="7" s="1"/>
  <c r="R30" i="7"/>
  <c r="R42" i="7" s="1"/>
  <c r="P40" i="7"/>
  <c r="Q43" i="7" s="1"/>
  <c r="Q51" i="7" s="1"/>
  <c r="P50" i="7"/>
  <c r="P30" i="7"/>
  <c r="P42" i="7" s="1"/>
  <c r="N50" i="7"/>
  <c r="N40" i="7"/>
  <c r="O43" i="7" s="1"/>
  <c r="O51" i="7" s="1"/>
  <c r="N26" i="7"/>
  <c r="N31" i="7" s="1"/>
  <c r="N30" i="7"/>
  <c r="N42" i="7" s="1"/>
  <c r="R26" i="7"/>
  <c r="R31" i="7" s="1"/>
  <c r="P26" i="7"/>
  <c r="P31" i="7" s="1"/>
  <c r="H40" i="7"/>
  <c r="H43" i="7" s="1"/>
  <c r="H51" i="7" s="1"/>
  <c r="N25" i="7"/>
  <c r="R25" i="7"/>
  <c r="F25" i="7"/>
  <c r="C25" i="7"/>
  <c r="L25" i="7"/>
  <c r="K25" i="7"/>
  <c r="T25" i="7"/>
  <c r="H25" i="7"/>
  <c r="S25" i="7"/>
  <c r="G25" i="7"/>
  <c r="P25" i="7"/>
  <c r="D25" i="7"/>
  <c r="O25" i="7"/>
  <c r="V25" i="7"/>
  <c r="J25" i="7"/>
  <c r="Q25" i="7"/>
  <c r="C33" i="5"/>
  <c r="C35" i="5" s="1"/>
  <c r="C36" i="5" s="1"/>
  <c r="C61" i="5" s="1"/>
  <c r="N30" i="5"/>
  <c r="N42" i="5" s="1"/>
  <c r="F41" i="5"/>
  <c r="G44" i="5" s="1"/>
  <c r="G58" i="5" s="1"/>
  <c r="F49" i="4"/>
  <c r="T44" i="4"/>
  <c r="T59" i="4" s="1"/>
  <c r="F29" i="4"/>
  <c r="F41" i="4" s="1"/>
  <c r="I57" i="4"/>
  <c r="O42" i="4"/>
  <c r="O50" i="4" s="1"/>
  <c r="I30" i="4"/>
  <c r="I32" i="4" s="1"/>
  <c r="I34" i="4" s="1"/>
  <c r="I35" i="4" s="1"/>
  <c r="I61" i="4" s="1"/>
  <c r="F51" i="6"/>
  <c r="D26" i="6"/>
  <c r="D42" i="6" s="1"/>
  <c r="E45" i="6" s="1"/>
  <c r="E59" i="6" s="1"/>
  <c r="F43" i="8"/>
  <c r="F51" i="8" s="1"/>
  <c r="P26" i="8"/>
  <c r="M41" i="8"/>
  <c r="H40" i="8"/>
  <c r="H43" i="8" s="1"/>
  <c r="H51" i="8" s="1"/>
  <c r="P50" i="8"/>
  <c r="H50" i="8"/>
  <c r="H26" i="8"/>
  <c r="H31" i="8" s="1"/>
  <c r="D30" i="6"/>
  <c r="D43" i="6" s="1"/>
  <c r="T41" i="6"/>
  <c r="U44" i="6" s="1"/>
  <c r="U52" i="6" s="1"/>
  <c r="O43" i="8"/>
  <c r="O51" i="8" s="1"/>
  <c r="Q33" i="8"/>
  <c r="Q35" i="8" s="1"/>
  <c r="Q36" i="8" s="1"/>
  <c r="Q61" i="8" s="1"/>
  <c r="I43" i="8"/>
  <c r="I51" i="8" s="1"/>
  <c r="G43" i="8"/>
  <c r="G51" i="8" s="1"/>
  <c r="R42" i="8"/>
  <c r="Q42" i="8"/>
  <c r="Q45" i="8" s="1"/>
  <c r="Q59" i="8" s="1"/>
  <c r="C33" i="8"/>
  <c r="C35" i="8" s="1"/>
  <c r="C36" i="8" s="1"/>
  <c r="C61" i="8" s="1"/>
  <c r="U55" i="8"/>
  <c r="V55" i="8"/>
  <c r="E57" i="8"/>
  <c r="E41" i="8"/>
  <c r="E55" i="8"/>
  <c r="C43" i="8"/>
  <c r="C51" i="8" s="1"/>
  <c r="U57" i="8"/>
  <c r="U41" i="8"/>
  <c r="V44" i="8" s="1"/>
  <c r="V58" i="8" s="1"/>
  <c r="O42" i="8"/>
  <c r="P45" i="8" s="1"/>
  <c r="P59" i="8" s="1"/>
  <c r="K41" i="8"/>
  <c r="K57" i="8"/>
  <c r="O33" i="8"/>
  <c r="O35" i="8" s="1"/>
  <c r="O36" i="8" s="1"/>
  <c r="O61" i="8" s="1"/>
  <c r="I33" i="8"/>
  <c r="I35" i="8" s="1"/>
  <c r="I36" i="8" s="1"/>
  <c r="I61" i="8" s="1"/>
  <c r="C42" i="8"/>
  <c r="C45" i="8" s="1"/>
  <c r="C59" i="8" s="1"/>
  <c r="R33" i="8"/>
  <c r="R35" i="8" s="1"/>
  <c r="R36" i="8" s="1"/>
  <c r="R61" i="8" s="1"/>
  <c r="R55" i="8"/>
  <c r="Q41" i="8"/>
  <c r="Q57" i="8"/>
  <c r="F55" i="8"/>
  <c r="S41" i="8"/>
  <c r="S57" i="8"/>
  <c r="N43" i="8"/>
  <c r="N51" i="8" s="1"/>
  <c r="J41" i="8"/>
  <c r="J57" i="8"/>
  <c r="J55" i="8"/>
  <c r="I41" i="8"/>
  <c r="I57" i="8"/>
  <c r="N42" i="8"/>
  <c r="N45" i="8" s="1"/>
  <c r="N59" i="8" s="1"/>
  <c r="N55" i="8"/>
  <c r="D30" i="8"/>
  <c r="D40" i="8"/>
  <c r="E43" i="8" s="1"/>
  <c r="E51" i="8" s="1"/>
  <c r="D50" i="8"/>
  <c r="D26" i="8"/>
  <c r="D31" i="8" s="1"/>
  <c r="K42" i="8"/>
  <c r="G42" i="8"/>
  <c r="F57" i="8"/>
  <c r="T30" i="8"/>
  <c r="T40" i="8"/>
  <c r="U43" i="8" s="1"/>
  <c r="U51" i="8" s="1"/>
  <c r="T50" i="8"/>
  <c r="T26" i="8"/>
  <c r="T31" i="8" s="1"/>
  <c r="C41" i="8"/>
  <c r="C57" i="8"/>
  <c r="J42" i="8"/>
  <c r="J45" i="8" s="1"/>
  <c r="J59" i="8" s="1"/>
  <c r="K43" i="8"/>
  <c r="K51" i="8" s="1"/>
  <c r="N57" i="8"/>
  <c r="N41" i="8"/>
  <c r="O44" i="8" s="1"/>
  <c r="O58" i="8" s="1"/>
  <c r="L30" i="8"/>
  <c r="L40" i="8"/>
  <c r="M43" i="8" s="1"/>
  <c r="M51" i="8" s="1"/>
  <c r="L50" i="8"/>
  <c r="L26" i="8"/>
  <c r="L31" i="8" s="1"/>
  <c r="I45" i="8"/>
  <c r="I59" i="8" s="1"/>
  <c r="S42" i="8"/>
  <c r="E42" i="7"/>
  <c r="H42" i="7"/>
  <c r="L50" i="7"/>
  <c r="L40" i="7"/>
  <c r="M43" i="7" s="1"/>
  <c r="M51" i="7" s="1"/>
  <c r="L26" i="7"/>
  <c r="L31" i="7" s="1"/>
  <c r="L30" i="7"/>
  <c r="K42" i="7"/>
  <c r="G43" i="7"/>
  <c r="G51" i="7" s="1"/>
  <c r="T42" i="7"/>
  <c r="O42" i="7"/>
  <c r="M55" i="7"/>
  <c r="O41" i="7"/>
  <c r="O57" i="7"/>
  <c r="F57" i="7"/>
  <c r="F41" i="7"/>
  <c r="G44" i="7" s="1"/>
  <c r="G58" i="7" s="1"/>
  <c r="B65" i="7"/>
  <c r="D26" i="7"/>
  <c r="D31" i="7" s="1"/>
  <c r="D30" i="7"/>
  <c r="D40" i="7"/>
  <c r="E43" i="7" s="1"/>
  <c r="E51" i="7" s="1"/>
  <c r="D50" i="7"/>
  <c r="S42" i="7"/>
  <c r="J50" i="7"/>
  <c r="J30" i="7"/>
  <c r="J40" i="7"/>
  <c r="K43" i="7" s="1"/>
  <c r="K51" i="7" s="1"/>
  <c r="J26" i="7"/>
  <c r="J31" i="7" s="1"/>
  <c r="I57" i="7"/>
  <c r="I41" i="7"/>
  <c r="C44" i="7"/>
  <c r="C58" i="7" s="1"/>
  <c r="E41" i="7"/>
  <c r="E57" i="7"/>
  <c r="Q42" i="7"/>
  <c r="U33" i="7"/>
  <c r="U35" i="7" s="1"/>
  <c r="U36" i="7" s="1"/>
  <c r="U61" i="7" s="1"/>
  <c r="U42" i="7"/>
  <c r="F55" i="7"/>
  <c r="S41" i="7"/>
  <c r="T44" i="7" s="1"/>
  <c r="T58" i="7" s="1"/>
  <c r="S57" i="7"/>
  <c r="I42" i="7"/>
  <c r="I33" i="7"/>
  <c r="I35" i="7" s="1"/>
  <c r="I36" i="7" s="1"/>
  <c r="I61" i="7" s="1"/>
  <c r="G57" i="7"/>
  <c r="G41" i="7"/>
  <c r="C42" i="7"/>
  <c r="C45" i="7" s="1"/>
  <c r="C59" i="7" s="1"/>
  <c r="Q57" i="7"/>
  <c r="Q41" i="7"/>
  <c r="M42" i="7"/>
  <c r="M41" i="7"/>
  <c r="M57" i="7"/>
  <c r="N55" i="7"/>
  <c r="R41" i="7"/>
  <c r="F42" i="7"/>
  <c r="U57" i="7"/>
  <c r="U41" i="7"/>
  <c r="V44" i="7" s="1"/>
  <c r="V58" i="7" s="1"/>
  <c r="E55" i="7"/>
  <c r="C43" i="7"/>
  <c r="C51" i="7" s="1"/>
  <c r="T43" i="7"/>
  <c r="T51" i="7" s="1"/>
  <c r="G42" i="7"/>
  <c r="D51" i="6"/>
  <c r="F41" i="6"/>
  <c r="F44" i="6" s="1"/>
  <c r="F52" i="6" s="1"/>
  <c r="D44" i="6"/>
  <c r="D52" i="6" s="1"/>
  <c r="N30" i="6"/>
  <c r="N43" i="6" s="1"/>
  <c r="P41" i="6"/>
  <c r="P44" i="6" s="1"/>
  <c r="P52" i="6" s="1"/>
  <c r="N51" i="6"/>
  <c r="N41" i="6"/>
  <c r="O44" i="6" s="1"/>
  <c r="O52" i="6" s="1"/>
  <c r="T26" i="6"/>
  <c r="T31" i="6" s="1"/>
  <c r="T34" i="6" s="1"/>
  <c r="T36" i="6" s="1"/>
  <c r="T37" i="6" s="1"/>
  <c r="T62" i="6" s="1"/>
  <c r="D50" i="5"/>
  <c r="G33" i="5"/>
  <c r="G35" i="5" s="1"/>
  <c r="G36" i="5" s="1"/>
  <c r="G61" i="5" s="1"/>
  <c r="L50" i="5"/>
  <c r="D26" i="5"/>
  <c r="E31" i="6"/>
  <c r="E34" i="6" s="1"/>
  <c r="E36" i="6" s="1"/>
  <c r="E37" i="6" s="1"/>
  <c r="E62" i="6" s="1"/>
  <c r="V31" i="6"/>
  <c r="V34" i="6" s="1"/>
  <c r="V36" i="6" s="1"/>
  <c r="V37" i="6" s="1"/>
  <c r="V62" i="6" s="1"/>
  <c r="U31" i="6"/>
  <c r="O34" i="6"/>
  <c r="O36" i="6" s="1"/>
  <c r="O37" i="6" s="1"/>
  <c r="O62" i="6" s="1"/>
  <c r="P30" i="6"/>
  <c r="P26" i="6"/>
  <c r="P31" i="6" s="1"/>
  <c r="U46" i="6"/>
  <c r="U60" i="6" s="1"/>
  <c r="E44" i="6"/>
  <c r="E52" i="6" s="1"/>
  <c r="E43" i="6"/>
  <c r="C34" i="6"/>
  <c r="C36" i="6" s="1"/>
  <c r="C37" i="6" s="1"/>
  <c r="C62" i="6" s="1"/>
  <c r="C43" i="6"/>
  <c r="C46" i="6" s="1"/>
  <c r="C60" i="6" s="1"/>
  <c r="R26" i="6"/>
  <c r="R41" i="6"/>
  <c r="S44" i="6" s="1"/>
  <c r="S52" i="6" s="1"/>
  <c r="R51" i="6"/>
  <c r="R30" i="6"/>
  <c r="Q43" i="6"/>
  <c r="L41" i="6"/>
  <c r="M44" i="6" s="1"/>
  <c r="M52" i="6" s="1"/>
  <c r="L51" i="6"/>
  <c r="L30" i="6"/>
  <c r="L26" i="6"/>
  <c r="L31" i="6" s="1"/>
  <c r="L56" i="6"/>
  <c r="I31" i="6"/>
  <c r="I34" i="6" s="1"/>
  <c r="I36" i="6" s="1"/>
  <c r="I37" i="6" s="1"/>
  <c r="I62" i="6" s="1"/>
  <c r="I56" i="6"/>
  <c r="H41" i="6"/>
  <c r="H51" i="6"/>
  <c r="H30" i="6"/>
  <c r="H26" i="6"/>
  <c r="S58" i="6"/>
  <c r="S42" i="6"/>
  <c r="I58" i="6"/>
  <c r="I42" i="6"/>
  <c r="M42" i="6"/>
  <c r="M58" i="6"/>
  <c r="Q58" i="6"/>
  <c r="Q42" i="6"/>
  <c r="S31" i="6"/>
  <c r="S56" i="6"/>
  <c r="U42" i="6"/>
  <c r="V45" i="6" s="1"/>
  <c r="V59" i="6" s="1"/>
  <c r="V61" i="6" s="1"/>
  <c r="U58" i="6"/>
  <c r="F43" i="6"/>
  <c r="G46" i="6" s="1"/>
  <c r="G60" i="6" s="1"/>
  <c r="N42" i="6"/>
  <c r="O45" i="6" s="1"/>
  <c r="O59" i="6" s="1"/>
  <c r="N58" i="6"/>
  <c r="M56" i="6"/>
  <c r="M31" i="6"/>
  <c r="M34" i="6" s="1"/>
  <c r="M36" i="6" s="1"/>
  <c r="M37" i="6" s="1"/>
  <c r="M62" i="6" s="1"/>
  <c r="F31" i="6"/>
  <c r="F34" i="6" s="1"/>
  <c r="F36" i="6" s="1"/>
  <c r="F37" i="6" s="1"/>
  <c r="F62" i="6" s="1"/>
  <c r="K56" i="6"/>
  <c r="K31" i="6"/>
  <c r="S43" i="6"/>
  <c r="C45" i="6"/>
  <c r="C59" i="6" s="1"/>
  <c r="N56" i="6"/>
  <c r="N31" i="6"/>
  <c r="K43" i="6"/>
  <c r="J26" i="6"/>
  <c r="J30" i="6"/>
  <c r="J41" i="6"/>
  <c r="K44" i="6" s="1"/>
  <c r="K52" i="6" s="1"/>
  <c r="J51" i="6"/>
  <c r="D58" i="6"/>
  <c r="D31" i="6"/>
  <c r="I43" i="6"/>
  <c r="F50" i="5"/>
  <c r="F30" i="5"/>
  <c r="I33" i="5"/>
  <c r="I35" i="5" s="1"/>
  <c r="I36" i="5" s="1"/>
  <c r="I61" i="5" s="1"/>
  <c r="O33" i="5"/>
  <c r="O35" i="5" s="1"/>
  <c r="O36" i="5" s="1"/>
  <c r="O61" i="5" s="1"/>
  <c r="J42" i="5"/>
  <c r="J43" i="5"/>
  <c r="J51" i="5" s="1"/>
  <c r="D30" i="5"/>
  <c r="L26" i="5"/>
  <c r="L41" i="5" s="1"/>
  <c r="L30" i="5"/>
  <c r="O57" i="5"/>
  <c r="O41" i="5"/>
  <c r="N26" i="5"/>
  <c r="N31" i="5" s="1"/>
  <c r="N40" i="5"/>
  <c r="O43" i="5" s="1"/>
  <c r="O51" i="5" s="1"/>
  <c r="T56" i="5"/>
  <c r="J56" i="5"/>
  <c r="I42" i="5"/>
  <c r="U41" i="5"/>
  <c r="V44" i="5" s="1"/>
  <c r="V58" i="5" s="1"/>
  <c r="U57" i="5"/>
  <c r="E41" i="5"/>
  <c r="E57" i="5"/>
  <c r="C42" i="5"/>
  <c r="C45" i="5" s="1"/>
  <c r="C59" i="5" s="1"/>
  <c r="T40" i="5"/>
  <c r="U43" i="5" s="1"/>
  <c r="U51" i="5" s="1"/>
  <c r="T50" i="5"/>
  <c r="T30" i="5"/>
  <c r="T26" i="5"/>
  <c r="T31" i="5" s="1"/>
  <c r="Q56" i="5"/>
  <c r="I41" i="5"/>
  <c r="J44" i="5" s="1"/>
  <c r="J58" i="5" s="1"/>
  <c r="I57" i="5"/>
  <c r="U42" i="5"/>
  <c r="E42" i="5"/>
  <c r="U56" i="5"/>
  <c r="G43" i="5"/>
  <c r="G51" i="5" s="1"/>
  <c r="H50" i="5"/>
  <c r="H30" i="5"/>
  <c r="H40" i="5"/>
  <c r="I43" i="5" s="1"/>
  <c r="I51" i="5" s="1"/>
  <c r="H26" i="5"/>
  <c r="H31" i="5" s="1"/>
  <c r="S56" i="5"/>
  <c r="K56" i="5"/>
  <c r="O42" i="5"/>
  <c r="M43" i="5"/>
  <c r="M51" i="5" s="1"/>
  <c r="F43" i="5"/>
  <c r="F51" i="5" s="1"/>
  <c r="E43" i="5"/>
  <c r="E51" i="5" s="1"/>
  <c r="K41" i="5"/>
  <c r="K57" i="5"/>
  <c r="G42" i="5"/>
  <c r="Q42" i="5"/>
  <c r="R45" i="5" s="1"/>
  <c r="R59" i="5" s="1"/>
  <c r="D43" i="5"/>
  <c r="D51" i="5" s="1"/>
  <c r="C43" i="5"/>
  <c r="C51" i="5" s="1"/>
  <c r="P50" i="5"/>
  <c r="P40" i="5"/>
  <c r="P26" i="5"/>
  <c r="P30" i="5"/>
  <c r="Q41" i="5"/>
  <c r="R44" i="5" s="1"/>
  <c r="R58" i="5" s="1"/>
  <c r="Q57" i="5"/>
  <c r="E33" i="5"/>
  <c r="E35" i="5" s="1"/>
  <c r="E36" i="5" s="1"/>
  <c r="E61" i="5" s="1"/>
  <c r="V57" i="5"/>
  <c r="V33" i="5"/>
  <c r="M41" i="5"/>
  <c r="M57" i="5"/>
  <c r="B65" i="5"/>
  <c r="C41" i="5"/>
  <c r="C57" i="5"/>
  <c r="R43" i="5"/>
  <c r="R51" i="5" s="1"/>
  <c r="M42" i="5"/>
  <c r="F42" i="4"/>
  <c r="F50" i="4" s="1"/>
  <c r="T40" i="4"/>
  <c r="T57" i="4"/>
  <c r="F25" i="4"/>
  <c r="F30" i="4" s="1"/>
  <c r="V57" i="4"/>
  <c r="V30" i="4"/>
  <c r="V32" i="4" s="1"/>
  <c r="V34" i="4" s="1"/>
  <c r="V35" i="4" s="1"/>
  <c r="V61" i="4" s="1"/>
  <c r="U40" i="4"/>
  <c r="V43" i="4" s="1"/>
  <c r="V58" i="4" s="1"/>
  <c r="U57" i="4"/>
  <c r="N42" i="4"/>
  <c r="N50" i="4" s="1"/>
  <c r="E42" i="4"/>
  <c r="E50" i="4" s="1"/>
  <c r="N25" i="4"/>
  <c r="N57" i="4" s="1"/>
  <c r="G41" i="4"/>
  <c r="G32" i="4"/>
  <c r="G34" i="4" s="1"/>
  <c r="G35" i="4" s="1"/>
  <c r="G61" i="4" s="1"/>
  <c r="Q30" i="4"/>
  <c r="Q32" i="4" s="1"/>
  <c r="Q34" i="4" s="1"/>
  <c r="Q35" i="4" s="1"/>
  <c r="Q61" i="4" s="1"/>
  <c r="Q56" i="4"/>
  <c r="D57" i="4"/>
  <c r="D40" i="4"/>
  <c r="M57" i="4"/>
  <c r="M40" i="4"/>
  <c r="C32" i="4"/>
  <c r="C34" i="4" s="1"/>
  <c r="C35" i="4" s="1"/>
  <c r="C61" i="4" s="1"/>
  <c r="C41" i="4"/>
  <c r="C44" i="4" s="1"/>
  <c r="C59" i="4" s="1"/>
  <c r="L56" i="4"/>
  <c r="E57" i="4"/>
  <c r="E40" i="4"/>
  <c r="M41" i="4"/>
  <c r="O41" i="4"/>
  <c r="B65" i="4"/>
  <c r="U56" i="4"/>
  <c r="U30" i="4"/>
  <c r="U32" i="4" s="1"/>
  <c r="U34" i="4" s="1"/>
  <c r="U35" i="4" s="1"/>
  <c r="U61" i="4" s="1"/>
  <c r="V44" i="4"/>
  <c r="V59" i="4" s="1"/>
  <c r="U44" i="4"/>
  <c r="U59" i="4" s="1"/>
  <c r="T56" i="4"/>
  <c r="T30" i="4"/>
  <c r="T32" i="4" s="1"/>
  <c r="T34" i="4" s="1"/>
  <c r="T35" i="4" s="1"/>
  <c r="T61" i="4" s="1"/>
  <c r="K30" i="4"/>
  <c r="K32" i="4" s="1"/>
  <c r="K34" i="4" s="1"/>
  <c r="K35" i="4" s="1"/>
  <c r="K61" i="4" s="1"/>
  <c r="K56" i="4"/>
  <c r="E41" i="4"/>
  <c r="D42" i="4"/>
  <c r="D50" i="4" s="1"/>
  <c r="C42" i="4"/>
  <c r="C50" i="4" s="1"/>
  <c r="R25" i="4"/>
  <c r="R39" i="4"/>
  <c r="S42" i="4" s="1"/>
  <c r="S50" i="4" s="1"/>
  <c r="R49" i="4"/>
  <c r="R29" i="4"/>
  <c r="J25" i="4"/>
  <c r="J30" i="4" s="1"/>
  <c r="J29" i="4"/>
  <c r="J49" i="4"/>
  <c r="J39" i="4"/>
  <c r="K42" i="4" s="1"/>
  <c r="K50" i="4" s="1"/>
  <c r="M56" i="4"/>
  <c r="M30" i="4"/>
  <c r="M32" i="4" s="1"/>
  <c r="M34" i="4" s="1"/>
  <c r="M35" i="4" s="1"/>
  <c r="M61" i="4" s="1"/>
  <c r="L39" i="4"/>
  <c r="L29" i="4"/>
  <c r="L25" i="4"/>
  <c r="L49" i="4"/>
  <c r="D30" i="4"/>
  <c r="D32" i="4" s="1"/>
  <c r="D34" i="4" s="1"/>
  <c r="D35" i="4" s="1"/>
  <c r="D61" i="4" s="1"/>
  <c r="P57" i="4"/>
  <c r="P40" i="4"/>
  <c r="H49" i="4"/>
  <c r="H39" i="4"/>
  <c r="I42" i="4" s="1"/>
  <c r="I50" i="4" s="1"/>
  <c r="H25" i="4"/>
  <c r="H29" i="4"/>
  <c r="E30" i="4"/>
  <c r="E32" i="4" s="1"/>
  <c r="E34" i="4" s="1"/>
  <c r="E35" i="4" s="1"/>
  <c r="E61" i="4" s="1"/>
  <c r="J56" i="4"/>
  <c r="D41" i="4"/>
  <c r="Q41" i="4"/>
  <c r="G42" i="4"/>
  <c r="G50" i="4" s="1"/>
  <c r="Q40" i="4"/>
  <c r="Q57" i="4"/>
  <c r="O57" i="4"/>
  <c r="O30" i="4"/>
  <c r="O32" i="4" s="1"/>
  <c r="O34" i="4" s="1"/>
  <c r="O35" i="4" s="1"/>
  <c r="O61" i="4" s="1"/>
  <c r="O40" i="4"/>
  <c r="T42" i="1"/>
  <c r="T50" i="1" s="1"/>
  <c r="K43" i="1"/>
  <c r="K58" i="1" s="1"/>
  <c r="Q57" i="1"/>
  <c r="Q40" i="1"/>
  <c r="R43" i="1" s="1"/>
  <c r="R58" i="1" s="1"/>
  <c r="C43" i="1"/>
  <c r="C58" i="1" s="1"/>
  <c r="P57" i="1"/>
  <c r="P40" i="1"/>
  <c r="M57" i="1"/>
  <c r="M40" i="1"/>
  <c r="U57" i="1"/>
  <c r="U40" i="1"/>
  <c r="V43" i="1" s="1"/>
  <c r="V58" i="1" s="1"/>
  <c r="N57" i="1"/>
  <c r="N40" i="1"/>
  <c r="O57" i="1"/>
  <c r="O40" i="1"/>
  <c r="P43" i="1" s="1"/>
  <c r="P58" i="1" s="1"/>
  <c r="C42" i="1"/>
  <c r="C50" i="1" s="1"/>
  <c r="N42" i="1"/>
  <c r="N50" i="1" s="1"/>
  <c r="R42" i="1"/>
  <c r="R50" i="1" s="1"/>
  <c r="P42" i="1"/>
  <c r="P50" i="1" s="1"/>
  <c r="K42" i="1"/>
  <c r="K50" i="1" s="1"/>
  <c r="S41" i="1"/>
  <c r="R41" i="1"/>
  <c r="O30" i="1"/>
  <c r="O32" i="1" s="1"/>
  <c r="O34" i="1" s="1"/>
  <c r="O35" i="1" s="1"/>
  <c r="O61" i="1" s="1"/>
  <c r="O56" i="1"/>
  <c r="O41" i="1"/>
  <c r="O44" i="1" s="1"/>
  <c r="O59" i="1" s="1"/>
  <c r="U30" i="1"/>
  <c r="U32" i="1" s="1"/>
  <c r="U34" i="1" s="1"/>
  <c r="U35" i="1" s="1"/>
  <c r="U61" i="1" s="1"/>
  <c r="U56" i="1"/>
  <c r="Q41" i="1"/>
  <c r="V25" i="1"/>
  <c r="V57" i="1" s="1"/>
  <c r="V29" i="1"/>
  <c r="V49" i="1"/>
  <c r="E29" i="1"/>
  <c r="E39" i="1"/>
  <c r="P41" i="1"/>
  <c r="O42" i="1"/>
  <c r="O50" i="1" s="1"/>
  <c r="K41" i="1"/>
  <c r="D29" i="1"/>
  <c r="D39" i="1"/>
  <c r="D42" i="1" s="1"/>
  <c r="D50" i="1" s="1"/>
  <c r="Q42" i="1"/>
  <c r="Q50" i="1" s="1"/>
  <c r="M30" i="1"/>
  <c r="M32" i="1" s="1"/>
  <c r="M34" i="1" s="1"/>
  <c r="M35" i="1" s="1"/>
  <c r="M61" i="1" s="1"/>
  <c r="M56" i="1"/>
  <c r="N44" i="1"/>
  <c r="N59" i="1" s="1"/>
  <c r="Q30" i="1"/>
  <c r="Q32" i="1" s="1"/>
  <c r="Q34" i="1" s="1"/>
  <c r="Q35" i="1" s="1"/>
  <c r="Q61" i="1" s="1"/>
  <c r="Q56" i="1"/>
  <c r="N30" i="1"/>
  <c r="N32" i="1" s="1"/>
  <c r="N34" i="1" s="1"/>
  <c r="N35" i="1" s="1"/>
  <c r="N61" i="1" s="1"/>
  <c r="N56" i="1"/>
  <c r="T41" i="1"/>
  <c r="V56" i="1"/>
  <c r="R57" i="1"/>
  <c r="R30" i="1"/>
  <c r="R32" i="1" s="1"/>
  <c r="R34" i="1" s="1"/>
  <c r="R35" i="1" s="1"/>
  <c r="R61" i="1" s="1"/>
  <c r="S42" i="1"/>
  <c r="S50" i="1" s="1"/>
  <c r="L29" i="1"/>
  <c r="L39" i="1"/>
  <c r="M42" i="1" s="1"/>
  <c r="M50" i="1" s="1"/>
  <c r="L25" i="1"/>
  <c r="J41" i="1"/>
  <c r="U42" i="1"/>
  <c r="U50" i="1" s="1"/>
  <c r="P56" i="1"/>
  <c r="P30" i="1"/>
  <c r="P32" i="1" s="1"/>
  <c r="P34" i="1" s="1"/>
  <c r="P35" i="1" s="1"/>
  <c r="P61" i="1" s="1"/>
  <c r="S57" i="1"/>
  <c r="S30" i="1"/>
  <c r="S32" i="1" s="1"/>
  <c r="S34" i="1" s="1"/>
  <c r="S35" i="1" s="1"/>
  <c r="S61" i="1" s="1"/>
  <c r="U41" i="1"/>
  <c r="T57" i="1"/>
  <c r="T30" i="1"/>
  <c r="T32" i="1" s="1"/>
  <c r="T34" i="1" s="1"/>
  <c r="T35" i="1" s="1"/>
  <c r="T61" i="1" s="1"/>
  <c r="D25" i="1"/>
  <c r="D49" i="1"/>
  <c r="E49" i="1"/>
  <c r="C41" i="1"/>
  <c r="J30" i="1"/>
  <c r="J32" i="1" s="1"/>
  <c r="J57" i="1"/>
  <c r="K30" i="1"/>
  <c r="K32" i="1" s="1"/>
  <c r="K57" i="1"/>
  <c r="E25" i="1"/>
  <c r="E40" i="1" s="1"/>
  <c r="C30" i="1"/>
  <c r="C57" i="1"/>
  <c r="H49" i="1"/>
  <c r="G49" i="1"/>
  <c r="F25" i="1"/>
  <c r="F40" i="1" s="1"/>
  <c r="F29" i="1"/>
  <c r="F49" i="1"/>
  <c r="I49" i="1"/>
  <c r="J42" i="1"/>
  <c r="J50" i="1" s="1"/>
  <c r="I29" i="1"/>
  <c r="I25" i="1"/>
  <c r="I40" i="1" s="1"/>
  <c r="J43" i="1" s="1"/>
  <c r="J58" i="1" s="1"/>
  <c r="H29" i="1"/>
  <c r="H25" i="1"/>
  <c r="H40" i="1" s="1"/>
  <c r="G25" i="1"/>
  <c r="G40" i="1" s="1"/>
  <c r="G29" i="1"/>
  <c r="P33" i="8" l="1"/>
  <c r="P35" i="8" s="1"/>
  <c r="P36" i="8" s="1"/>
  <c r="P61" i="8" s="1"/>
  <c r="P31" i="8"/>
  <c r="R41" i="8"/>
  <c r="R57" i="8"/>
  <c r="F41" i="8"/>
  <c r="G44" i="8" s="1"/>
  <c r="G58" i="8" s="1"/>
  <c r="H41" i="7"/>
  <c r="H31" i="7"/>
  <c r="S33" i="5"/>
  <c r="L43" i="5"/>
  <c r="L51" i="5" s="1"/>
  <c r="K33" i="5"/>
  <c r="Q42" i="4"/>
  <c r="Q50" i="4" s="1"/>
  <c r="P57" i="8"/>
  <c r="P43" i="8"/>
  <c r="P51" i="8" s="1"/>
  <c r="K33" i="8"/>
  <c r="K35" i="8" s="1"/>
  <c r="K36" i="8" s="1"/>
  <c r="K61" i="8" s="1"/>
  <c r="S33" i="8"/>
  <c r="S35" i="8" s="1"/>
  <c r="S36" i="8" s="1"/>
  <c r="S61" i="8" s="1"/>
  <c r="F44" i="5"/>
  <c r="F58" i="5" s="1"/>
  <c r="K42" i="5"/>
  <c r="S57" i="5"/>
  <c r="S41" i="5"/>
  <c r="S44" i="5" s="1"/>
  <c r="S58" i="5" s="1"/>
  <c r="D57" i="5"/>
  <c r="D31" i="5"/>
  <c r="D33" i="5" s="1"/>
  <c r="D35" i="5" s="1"/>
  <c r="D36" i="5" s="1"/>
  <c r="D61" i="5" s="1"/>
  <c r="L31" i="5"/>
  <c r="L33" i="5" s="1"/>
  <c r="L35" i="5" s="1"/>
  <c r="L36" i="5" s="1"/>
  <c r="L61" i="5" s="1"/>
  <c r="S44" i="7"/>
  <c r="S58" i="7" s="1"/>
  <c r="H57" i="7"/>
  <c r="N43" i="7"/>
  <c r="N51" i="7" s="1"/>
  <c r="I45" i="7"/>
  <c r="I59" i="7" s="1"/>
  <c r="D43" i="7"/>
  <c r="D51" i="7" s="1"/>
  <c r="F42" i="6"/>
  <c r="G45" i="6" s="1"/>
  <c r="G59" i="6" s="1"/>
  <c r="K34" i="6"/>
  <c r="K36" i="6" s="1"/>
  <c r="K37" i="6" s="1"/>
  <c r="K62" i="6" s="1"/>
  <c r="U34" i="6"/>
  <c r="U36" i="6" s="1"/>
  <c r="U37" i="6" s="1"/>
  <c r="U62" i="6" s="1"/>
  <c r="D34" i="6"/>
  <c r="D36" i="6" s="1"/>
  <c r="D37" i="6" s="1"/>
  <c r="D62" i="6" s="1"/>
  <c r="S34" i="6"/>
  <c r="S36" i="6" s="1"/>
  <c r="S37" i="6" s="1"/>
  <c r="S62" i="6" s="1"/>
  <c r="N40" i="4"/>
  <c r="O43" i="4" s="1"/>
  <c r="O58" i="4" s="1"/>
  <c r="F32" i="4"/>
  <c r="F34" i="4" s="1"/>
  <c r="F35" i="4" s="1"/>
  <c r="F61" i="4" s="1"/>
  <c r="H43" i="1"/>
  <c r="H58" i="1" s="1"/>
  <c r="P32" i="4"/>
  <c r="P34" i="4" s="1"/>
  <c r="P35" i="4" s="1"/>
  <c r="P61" i="4" s="1"/>
  <c r="F57" i="4"/>
  <c r="F40" i="4"/>
  <c r="G43" i="4" s="1"/>
  <c r="G58" i="4" s="1"/>
  <c r="K44" i="8"/>
  <c r="K58" i="8" s="1"/>
  <c r="H41" i="8"/>
  <c r="H44" i="8" s="1"/>
  <c r="H58" i="8" s="1"/>
  <c r="V60" i="8"/>
  <c r="G45" i="8"/>
  <c r="G59" i="8" s="1"/>
  <c r="P41" i="8"/>
  <c r="Q44" i="8" s="1"/>
  <c r="Q58" i="8" s="1"/>
  <c r="Q60" i="8" s="1"/>
  <c r="Q62" i="8" s="1"/>
  <c r="Q65" i="8" s="1"/>
  <c r="H57" i="8"/>
  <c r="V33" i="8"/>
  <c r="V35" i="8" s="1"/>
  <c r="V36" i="8" s="1"/>
  <c r="V61" i="8" s="1"/>
  <c r="E33" i="7"/>
  <c r="E35" i="7" s="1"/>
  <c r="E36" i="7" s="1"/>
  <c r="E61" i="7" s="1"/>
  <c r="I44" i="7"/>
  <c r="I58" i="7" s="1"/>
  <c r="G33" i="7"/>
  <c r="G35" i="7" s="1"/>
  <c r="G36" i="7" s="1"/>
  <c r="G61" i="7" s="1"/>
  <c r="R33" i="7"/>
  <c r="R35" i="7" s="1"/>
  <c r="R36" i="7" s="1"/>
  <c r="R61" i="7" s="1"/>
  <c r="Q45" i="7"/>
  <c r="Q59" i="7" s="1"/>
  <c r="Q33" i="7"/>
  <c r="Q35" i="7" s="1"/>
  <c r="Q36" i="7" s="1"/>
  <c r="Q61" i="7" s="1"/>
  <c r="H33" i="7"/>
  <c r="H35" i="7" s="1"/>
  <c r="H36" i="7" s="1"/>
  <c r="H61" i="7" s="1"/>
  <c r="J43" i="7"/>
  <c r="J51" i="7" s="1"/>
  <c r="T33" i="7"/>
  <c r="T35" i="7" s="1"/>
  <c r="T36" i="7" s="1"/>
  <c r="T61" i="7" s="1"/>
  <c r="V33" i="7"/>
  <c r="V35" i="7" s="1"/>
  <c r="V36" i="7" s="1"/>
  <c r="V61" i="7" s="1"/>
  <c r="K33" i="7"/>
  <c r="K35" i="7" s="1"/>
  <c r="K36" i="7" s="1"/>
  <c r="K61" i="7" s="1"/>
  <c r="R57" i="7"/>
  <c r="R44" i="7"/>
  <c r="R58" i="7" s="1"/>
  <c r="P57" i="7"/>
  <c r="O33" i="7"/>
  <c r="O35" i="7" s="1"/>
  <c r="O36" i="7" s="1"/>
  <c r="O61" i="7" s="1"/>
  <c r="I43" i="7"/>
  <c r="I51" i="7" s="1"/>
  <c r="P41" i="7"/>
  <c r="P44" i="7" s="1"/>
  <c r="P58" i="7" s="1"/>
  <c r="P43" i="7"/>
  <c r="P51" i="7" s="1"/>
  <c r="C60" i="7"/>
  <c r="C33" i="7"/>
  <c r="C35" i="7" s="1"/>
  <c r="C36" i="7" s="1"/>
  <c r="C61" i="7" s="1"/>
  <c r="N41" i="7"/>
  <c r="O44" i="7" s="1"/>
  <c r="O58" i="7" s="1"/>
  <c r="N57" i="7"/>
  <c r="S45" i="7"/>
  <c r="S59" i="7" s="1"/>
  <c r="P33" i="7"/>
  <c r="P35" i="7" s="1"/>
  <c r="P36" i="7" s="1"/>
  <c r="P61" i="7" s="1"/>
  <c r="F33" i="7"/>
  <c r="F35" i="7" s="1"/>
  <c r="F36" i="7" s="1"/>
  <c r="F61" i="7" s="1"/>
  <c r="G45" i="7"/>
  <c r="G59" i="7" s="1"/>
  <c r="G60" i="7" s="1"/>
  <c r="G62" i="7" s="1"/>
  <c r="G65" i="7" s="1"/>
  <c r="N44" i="7"/>
  <c r="N58" i="7" s="1"/>
  <c r="O45" i="7"/>
  <c r="O59" i="7" s="1"/>
  <c r="S33" i="7"/>
  <c r="S35" i="7" s="1"/>
  <c r="S36" i="7" s="1"/>
  <c r="S61" i="7" s="1"/>
  <c r="S60" i="7"/>
  <c r="N33" i="7"/>
  <c r="N35" i="7" s="1"/>
  <c r="N36" i="7" s="1"/>
  <c r="N61" i="7" s="1"/>
  <c r="R43" i="7"/>
  <c r="R51" i="7" s="1"/>
  <c r="K45" i="5"/>
  <c r="K59" i="5" s="1"/>
  <c r="V60" i="4"/>
  <c r="Q44" i="4"/>
  <c r="Q59" i="4" s="1"/>
  <c r="P43" i="4"/>
  <c r="P58" i="4" s="1"/>
  <c r="G44" i="4"/>
  <c r="G59" i="4" s="1"/>
  <c r="G60" i="4" s="1"/>
  <c r="G62" i="4" s="1"/>
  <c r="G65" i="4" s="1"/>
  <c r="T44" i="6"/>
  <c r="T52" i="6" s="1"/>
  <c r="N44" i="8"/>
  <c r="N58" i="8" s="1"/>
  <c r="N60" i="8" s="1"/>
  <c r="H33" i="8"/>
  <c r="H35" i="8" s="1"/>
  <c r="H36" i="8" s="1"/>
  <c r="H61" i="8" s="1"/>
  <c r="S44" i="8"/>
  <c r="S58" i="8" s="1"/>
  <c r="J44" i="8"/>
  <c r="J58" i="8" s="1"/>
  <c r="M33" i="8"/>
  <c r="M35" i="8" s="1"/>
  <c r="M36" i="8" s="1"/>
  <c r="M61" i="8" s="1"/>
  <c r="S45" i="8"/>
  <c r="S59" i="8" s="1"/>
  <c r="U33" i="8"/>
  <c r="U35" i="8" s="1"/>
  <c r="U36" i="8" s="1"/>
  <c r="U61" i="8" s="1"/>
  <c r="G44" i="6"/>
  <c r="G52" i="6" s="1"/>
  <c r="N33" i="8"/>
  <c r="N35" i="8" s="1"/>
  <c r="N36" i="8" s="1"/>
  <c r="N61" i="8" s="1"/>
  <c r="F33" i="8"/>
  <c r="F35" i="8" s="1"/>
  <c r="F36" i="8" s="1"/>
  <c r="F61" i="8" s="1"/>
  <c r="J33" i="8"/>
  <c r="J35" i="8" s="1"/>
  <c r="J36" i="8" s="1"/>
  <c r="J61" i="8" s="1"/>
  <c r="J60" i="8"/>
  <c r="K45" i="8"/>
  <c r="K59" i="8" s="1"/>
  <c r="T42" i="8"/>
  <c r="L43" i="8"/>
  <c r="L51" i="8" s="1"/>
  <c r="H45" i="8"/>
  <c r="H59" i="8" s="1"/>
  <c r="C44" i="8"/>
  <c r="C58" i="8" s="1"/>
  <c r="C60" i="8" s="1"/>
  <c r="C62" i="8" s="1"/>
  <c r="T41" i="8"/>
  <c r="U44" i="8" s="1"/>
  <c r="U58" i="8" s="1"/>
  <c r="T57" i="8"/>
  <c r="T33" i="8"/>
  <c r="T35" i="8" s="1"/>
  <c r="T36" i="8" s="1"/>
  <c r="T61" i="8" s="1"/>
  <c r="E33" i="8"/>
  <c r="E35" i="8" s="1"/>
  <c r="E36" i="8" s="1"/>
  <c r="E61" i="8" s="1"/>
  <c r="D42" i="8"/>
  <c r="R45" i="8"/>
  <c r="R59" i="8" s="1"/>
  <c r="L41" i="8"/>
  <c r="M44" i="8" s="1"/>
  <c r="M58" i="8" s="1"/>
  <c r="L57" i="8"/>
  <c r="L33" i="8"/>
  <c r="L35" i="8" s="1"/>
  <c r="L36" i="8" s="1"/>
  <c r="L61" i="8" s="1"/>
  <c r="T43" i="8"/>
  <c r="T51" i="8" s="1"/>
  <c r="F44" i="8"/>
  <c r="F58" i="8" s="1"/>
  <c r="F60" i="8" s="1"/>
  <c r="L42" i="8"/>
  <c r="D41" i="8"/>
  <c r="E44" i="8" s="1"/>
  <c r="E58" i="8" s="1"/>
  <c r="D57" i="8"/>
  <c r="D33" i="8"/>
  <c r="D35" i="8" s="1"/>
  <c r="D36" i="8" s="1"/>
  <c r="D61" i="8" s="1"/>
  <c r="R44" i="8"/>
  <c r="R58" i="8" s="1"/>
  <c r="O45" i="8"/>
  <c r="O59" i="8" s="1"/>
  <c r="O60" i="8" s="1"/>
  <c r="O62" i="8" s="1"/>
  <c r="O65" i="8" s="1"/>
  <c r="D43" i="8"/>
  <c r="D51" i="8" s="1"/>
  <c r="M33" i="7"/>
  <c r="M35" i="7" s="1"/>
  <c r="M36" i="7" s="1"/>
  <c r="M61" i="7" s="1"/>
  <c r="N45" i="7"/>
  <c r="N59" i="7" s="1"/>
  <c r="D57" i="7"/>
  <c r="D41" i="7"/>
  <c r="L42" i="7"/>
  <c r="L45" i="7" s="1"/>
  <c r="L59" i="7" s="1"/>
  <c r="F45" i="7"/>
  <c r="F59" i="7" s="1"/>
  <c r="H44" i="7"/>
  <c r="H58" i="7" s="1"/>
  <c r="L43" i="7"/>
  <c r="L51" i="7" s="1"/>
  <c r="F44" i="7"/>
  <c r="F58" i="7" s="1"/>
  <c r="U44" i="7"/>
  <c r="U58" i="7" s="1"/>
  <c r="R45" i="7"/>
  <c r="R59" i="7" s="1"/>
  <c r="J42" i="7"/>
  <c r="J45" i="7" s="1"/>
  <c r="J59" i="7" s="1"/>
  <c r="H45" i="7"/>
  <c r="H59" i="7" s="1"/>
  <c r="L57" i="7"/>
  <c r="L41" i="7"/>
  <c r="J57" i="7"/>
  <c r="J41" i="7"/>
  <c r="K44" i="7" s="1"/>
  <c r="K58" i="7" s="1"/>
  <c r="T45" i="7"/>
  <c r="T59" i="7" s="1"/>
  <c r="P45" i="7"/>
  <c r="P59" i="7" s="1"/>
  <c r="V45" i="7"/>
  <c r="V59" i="7" s="1"/>
  <c r="U45" i="7"/>
  <c r="U59" i="7" s="1"/>
  <c r="D42" i="7"/>
  <c r="D45" i="7" s="1"/>
  <c r="D59" i="7" s="1"/>
  <c r="N34" i="6"/>
  <c r="N36" i="6" s="1"/>
  <c r="N37" i="6" s="1"/>
  <c r="N62" i="6" s="1"/>
  <c r="Q44" i="6"/>
  <c r="Q52" i="6" s="1"/>
  <c r="V63" i="6"/>
  <c r="V66" i="6" s="1"/>
  <c r="T42" i="6"/>
  <c r="U45" i="6" s="1"/>
  <c r="U59" i="6" s="1"/>
  <c r="U61" i="6" s="1"/>
  <c r="T58" i="6"/>
  <c r="P34" i="6"/>
  <c r="P36" i="6" s="1"/>
  <c r="P37" i="6" s="1"/>
  <c r="P62" i="6" s="1"/>
  <c r="C61" i="6"/>
  <c r="C63" i="6" s="1"/>
  <c r="P43" i="6"/>
  <c r="P46" i="6" s="1"/>
  <c r="P60" i="6" s="1"/>
  <c r="D45" i="6"/>
  <c r="D59" i="6" s="1"/>
  <c r="N44" i="6"/>
  <c r="N52" i="6" s="1"/>
  <c r="O45" i="5"/>
  <c r="O59" i="5" s="1"/>
  <c r="D41" i="5"/>
  <c r="E44" i="5" s="1"/>
  <c r="E58" i="5" s="1"/>
  <c r="P42" i="6"/>
  <c r="P45" i="6" s="1"/>
  <c r="P59" i="6" s="1"/>
  <c r="P58" i="6"/>
  <c r="L44" i="6"/>
  <c r="L52" i="6" s="1"/>
  <c r="J44" i="6"/>
  <c r="J52" i="6" s="1"/>
  <c r="E46" i="6"/>
  <c r="E60" i="6" s="1"/>
  <c r="E61" i="6" s="1"/>
  <c r="E63" i="6" s="1"/>
  <c r="E66" i="6" s="1"/>
  <c r="I44" i="6"/>
  <c r="I52" i="6" s="1"/>
  <c r="H44" i="6"/>
  <c r="H52" i="6" s="1"/>
  <c r="R43" i="6"/>
  <c r="R46" i="6" s="1"/>
  <c r="R60" i="6" s="1"/>
  <c r="L34" i="6"/>
  <c r="L36" i="6" s="1"/>
  <c r="L37" i="6" s="1"/>
  <c r="L62" i="6" s="1"/>
  <c r="L43" i="6"/>
  <c r="T46" i="6"/>
  <c r="T60" i="6" s="1"/>
  <c r="N45" i="6"/>
  <c r="N59" i="6" s="1"/>
  <c r="R42" i="6"/>
  <c r="S45" i="6" s="1"/>
  <c r="S59" i="6" s="1"/>
  <c r="R58" i="6"/>
  <c r="R31" i="6"/>
  <c r="R34" i="6" s="1"/>
  <c r="R36" i="6" s="1"/>
  <c r="R37" i="6" s="1"/>
  <c r="R62" i="6" s="1"/>
  <c r="J43" i="6"/>
  <c r="J46" i="6" s="1"/>
  <c r="J60" i="6" s="1"/>
  <c r="N46" i="6"/>
  <c r="N60" i="6" s="1"/>
  <c r="O46" i="6"/>
  <c r="O60" i="6" s="1"/>
  <c r="O61" i="6" s="1"/>
  <c r="O63" i="6" s="1"/>
  <c r="O66" i="6" s="1"/>
  <c r="H43" i="6"/>
  <c r="H46" i="6" s="1"/>
  <c r="H60" i="6" s="1"/>
  <c r="J42" i="6"/>
  <c r="K45" i="6" s="1"/>
  <c r="K59" i="6" s="1"/>
  <c r="J58" i="6"/>
  <c r="J31" i="6"/>
  <c r="J34" i="6" s="1"/>
  <c r="J36" i="6" s="1"/>
  <c r="J37" i="6" s="1"/>
  <c r="J62" i="6" s="1"/>
  <c r="L58" i="6"/>
  <c r="L42" i="6"/>
  <c r="R44" i="6"/>
  <c r="R52" i="6" s="1"/>
  <c r="F46" i="6"/>
  <c r="F60" i="6" s="1"/>
  <c r="D46" i="6"/>
  <c r="D60" i="6" s="1"/>
  <c r="H42" i="6"/>
  <c r="H58" i="6"/>
  <c r="H31" i="6"/>
  <c r="H34" i="6" s="1"/>
  <c r="H36" i="6" s="1"/>
  <c r="H37" i="6" s="1"/>
  <c r="H62" i="6" s="1"/>
  <c r="S35" i="5"/>
  <c r="S36" i="5" s="1"/>
  <c r="S61" i="5" s="1"/>
  <c r="H43" i="5"/>
  <c r="H51" i="5" s="1"/>
  <c r="M44" i="5"/>
  <c r="M58" i="5" s="1"/>
  <c r="V35" i="5"/>
  <c r="V36" i="5" s="1"/>
  <c r="V61" i="5" s="1"/>
  <c r="L57" i="5"/>
  <c r="D42" i="5"/>
  <c r="D45" i="5" s="1"/>
  <c r="D59" i="5" s="1"/>
  <c r="T43" i="5"/>
  <c r="T51" i="5" s="1"/>
  <c r="K35" i="5"/>
  <c r="K36" i="5" s="1"/>
  <c r="K61" i="5" s="1"/>
  <c r="Q35" i="5"/>
  <c r="Q36" i="5" s="1"/>
  <c r="Q61" i="5" s="1"/>
  <c r="J33" i="5"/>
  <c r="J35" i="5" s="1"/>
  <c r="J36" i="5" s="1"/>
  <c r="J61" i="5" s="1"/>
  <c r="F33" i="5"/>
  <c r="F35" i="5" s="1"/>
  <c r="F36" i="5" s="1"/>
  <c r="F61" i="5" s="1"/>
  <c r="F42" i="5"/>
  <c r="F45" i="5" s="1"/>
  <c r="F59" i="5" s="1"/>
  <c r="M33" i="5"/>
  <c r="M35" i="5" s="1"/>
  <c r="M36" i="5" s="1"/>
  <c r="M61" i="5" s="1"/>
  <c r="T33" i="5"/>
  <c r="T35" i="5" s="1"/>
  <c r="T36" i="5" s="1"/>
  <c r="T61" i="5" s="1"/>
  <c r="N43" i="5"/>
  <c r="N51" i="5" s="1"/>
  <c r="U33" i="5"/>
  <c r="U35" i="5" s="1"/>
  <c r="U36" i="5" s="1"/>
  <c r="U61" i="5" s="1"/>
  <c r="N57" i="5"/>
  <c r="N41" i="5"/>
  <c r="O44" i="5" s="1"/>
  <c r="O58" i="5" s="1"/>
  <c r="L42" i="5"/>
  <c r="L45" i="5" s="1"/>
  <c r="L59" i="5" s="1"/>
  <c r="R60" i="5"/>
  <c r="R62" i="5" s="1"/>
  <c r="R65" i="5" s="1"/>
  <c r="K44" i="5"/>
  <c r="K58" i="5" s="1"/>
  <c r="L44" i="5"/>
  <c r="L58" i="5" s="1"/>
  <c r="J45" i="5"/>
  <c r="J59" i="5" s="1"/>
  <c r="J60" i="5" s="1"/>
  <c r="P42" i="5"/>
  <c r="P45" i="5" s="1"/>
  <c r="P59" i="5" s="1"/>
  <c r="P57" i="5"/>
  <c r="P41" i="5"/>
  <c r="H57" i="5"/>
  <c r="H41" i="5"/>
  <c r="C44" i="5"/>
  <c r="C58" i="5" s="1"/>
  <c r="C60" i="5" s="1"/>
  <c r="C62" i="5" s="1"/>
  <c r="Q43" i="5"/>
  <c r="Q51" i="5" s="1"/>
  <c r="P43" i="5"/>
  <c r="P51" i="5" s="1"/>
  <c r="H42" i="5"/>
  <c r="H45" i="5" s="1"/>
  <c r="H59" i="5" s="1"/>
  <c r="T41" i="5"/>
  <c r="T57" i="5"/>
  <c r="N45" i="5"/>
  <c r="N59" i="5" s="1"/>
  <c r="V45" i="5"/>
  <c r="V59" i="5" s="1"/>
  <c r="V60" i="5" s="1"/>
  <c r="T42" i="5"/>
  <c r="T45" i="5" s="1"/>
  <c r="T59" i="5" s="1"/>
  <c r="N43" i="1"/>
  <c r="N58" i="1" s="1"/>
  <c r="N60" i="1" s="1"/>
  <c r="N62" i="1" s="1"/>
  <c r="N65" i="1" s="1"/>
  <c r="V62" i="4"/>
  <c r="V65" i="4" s="1"/>
  <c r="D44" i="4"/>
  <c r="D59" i="4" s="1"/>
  <c r="P44" i="4"/>
  <c r="P59" i="4" s="1"/>
  <c r="C60" i="4"/>
  <c r="C62" i="4" s="1"/>
  <c r="C65" i="4" s="1"/>
  <c r="E44" i="4"/>
  <c r="E59" i="4" s="1"/>
  <c r="U43" i="4"/>
  <c r="U58" i="4" s="1"/>
  <c r="U60" i="4" s="1"/>
  <c r="U62" i="4" s="1"/>
  <c r="U65" i="4" s="1"/>
  <c r="T43" i="4"/>
  <c r="T58" i="4" s="1"/>
  <c r="T60" i="4" s="1"/>
  <c r="T62" i="4" s="1"/>
  <c r="T65" i="4" s="1"/>
  <c r="N44" i="4"/>
  <c r="N59" i="4" s="1"/>
  <c r="F43" i="4"/>
  <c r="F58" i="4" s="1"/>
  <c r="N30" i="4"/>
  <c r="N32" i="4" s="1"/>
  <c r="N34" i="4" s="1"/>
  <c r="N35" i="4" s="1"/>
  <c r="N61" i="4" s="1"/>
  <c r="H41" i="4"/>
  <c r="H57" i="4"/>
  <c r="H40" i="4"/>
  <c r="H30" i="4"/>
  <c r="H32" i="4" s="1"/>
  <c r="H34" i="4" s="1"/>
  <c r="H35" i="4" s="1"/>
  <c r="H61" i="4" s="1"/>
  <c r="R40" i="4"/>
  <c r="S43" i="4" s="1"/>
  <c r="S58" i="4" s="1"/>
  <c r="R57" i="4"/>
  <c r="R30" i="4"/>
  <c r="R32" i="4" s="1"/>
  <c r="R34" i="4" s="1"/>
  <c r="R35" i="4" s="1"/>
  <c r="R61" i="4" s="1"/>
  <c r="N43" i="4"/>
  <c r="N58" i="4" s="1"/>
  <c r="L57" i="4"/>
  <c r="L40" i="4"/>
  <c r="L41" i="4"/>
  <c r="L44" i="4" s="1"/>
  <c r="L59" i="4" s="1"/>
  <c r="J32" i="4"/>
  <c r="J34" i="4" s="1"/>
  <c r="J35" i="4" s="1"/>
  <c r="J61" i="4" s="1"/>
  <c r="J41" i="4"/>
  <c r="F44" i="4"/>
  <c r="F59" i="4" s="1"/>
  <c r="E43" i="4"/>
  <c r="E58" i="4" s="1"/>
  <c r="D43" i="4"/>
  <c r="D58" i="4" s="1"/>
  <c r="M42" i="4"/>
  <c r="M50" i="4" s="1"/>
  <c r="L42" i="4"/>
  <c r="L50" i="4" s="1"/>
  <c r="J40" i="4"/>
  <c r="J57" i="4"/>
  <c r="L30" i="4"/>
  <c r="L32" i="4" s="1"/>
  <c r="L34" i="4" s="1"/>
  <c r="L35" i="4" s="1"/>
  <c r="L61" i="4" s="1"/>
  <c r="J42" i="4"/>
  <c r="J50" i="4" s="1"/>
  <c r="R42" i="4"/>
  <c r="R50" i="4" s="1"/>
  <c r="R41" i="4"/>
  <c r="O44" i="4"/>
  <c r="O59" i="4" s="1"/>
  <c r="H42" i="4"/>
  <c r="H50" i="4" s="1"/>
  <c r="Q43" i="4"/>
  <c r="Q58" i="4" s="1"/>
  <c r="U43" i="1"/>
  <c r="U58" i="1" s="1"/>
  <c r="Q43" i="1"/>
  <c r="Q58" i="1" s="1"/>
  <c r="I43" i="1"/>
  <c r="I58" i="1" s="1"/>
  <c r="G43" i="1"/>
  <c r="G58" i="1" s="1"/>
  <c r="O43" i="1"/>
  <c r="O58" i="1" s="1"/>
  <c r="O60" i="1" s="1"/>
  <c r="O62" i="1" s="1"/>
  <c r="O65" i="1" s="1"/>
  <c r="F43" i="1"/>
  <c r="F58" i="1" s="1"/>
  <c r="D30" i="1"/>
  <c r="D32" i="1" s="1"/>
  <c r="D34" i="1" s="1"/>
  <c r="D35" i="1" s="1"/>
  <c r="D61" i="1" s="1"/>
  <c r="D40" i="1"/>
  <c r="V30" i="1"/>
  <c r="V32" i="1" s="1"/>
  <c r="V34" i="1" s="1"/>
  <c r="V35" i="1" s="1"/>
  <c r="V61" i="1" s="1"/>
  <c r="C44" i="1"/>
  <c r="C59" i="1" s="1"/>
  <c r="C60" i="1" s="1"/>
  <c r="L30" i="1"/>
  <c r="L32" i="1" s="1"/>
  <c r="L34" i="1" s="1"/>
  <c r="L35" i="1" s="1"/>
  <c r="L61" i="1" s="1"/>
  <c r="L40" i="1"/>
  <c r="L42" i="1"/>
  <c r="L50" i="1" s="1"/>
  <c r="P44" i="1"/>
  <c r="P59" i="1" s="1"/>
  <c r="P60" i="1" s="1"/>
  <c r="P62" i="1" s="1"/>
  <c r="P65" i="1" s="1"/>
  <c r="L57" i="1"/>
  <c r="Q44" i="1"/>
  <c r="Q59" i="1" s="1"/>
  <c r="D41" i="1"/>
  <c r="D44" i="1" s="1"/>
  <c r="D59" i="1" s="1"/>
  <c r="S44" i="1"/>
  <c r="S59" i="1" s="1"/>
  <c r="S60" i="1" s="1"/>
  <c r="S62" i="1" s="1"/>
  <c r="S65" i="1" s="1"/>
  <c r="H41" i="1"/>
  <c r="L41" i="1"/>
  <c r="M44" i="1" s="1"/>
  <c r="M59" i="1" s="1"/>
  <c r="R44" i="1"/>
  <c r="R59" i="1" s="1"/>
  <c r="R60" i="1" s="1"/>
  <c r="R62" i="1" s="1"/>
  <c r="R65" i="1" s="1"/>
  <c r="I41" i="1"/>
  <c r="J44" i="1" s="1"/>
  <c r="J59" i="1" s="1"/>
  <c r="J60" i="1" s="1"/>
  <c r="E41" i="1"/>
  <c r="G41" i="1"/>
  <c r="V44" i="1"/>
  <c r="V59" i="1" s="1"/>
  <c r="V60" i="1" s="1"/>
  <c r="U44" i="1"/>
  <c r="U59" i="1" s="1"/>
  <c r="U60" i="1" s="1"/>
  <c r="U62" i="1" s="1"/>
  <c r="U65" i="1" s="1"/>
  <c r="F41" i="1"/>
  <c r="K34" i="1"/>
  <c r="K35" i="1" s="1"/>
  <c r="K61" i="1" s="1"/>
  <c r="T44" i="1"/>
  <c r="T59" i="1" s="1"/>
  <c r="T60" i="1" s="1"/>
  <c r="T62" i="1" s="1"/>
  <c r="T65" i="1" s="1"/>
  <c r="D57" i="1"/>
  <c r="E42" i="1"/>
  <c r="E50" i="1" s="1"/>
  <c r="I42" i="1"/>
  <c r="I50" i="1" s="1"/>
  <c r="K44" i="1"/>
  <c r="K59" i="1" s="1"/>
  <c r="K60" i="1" s="1"/>
  <c r="I30" i="1"/>
  <c r="I32" i="1" s="1"/>
  <c r="I57" i="1"/>
  <c r="F30" i="1"/>
  <c r="F57" i="1"/>
  <c r="E30" i="1"/>
  <c r="E32" i="1" s="1"/>
  <c r="E57" i="1"/>
  <c r="G30" i="1"/>
  <c r="G32" i="1" s="1"/>
  <c r="G57" i="1"/>
  <c r="H30" i="1"/>
  <c r="H32" i="1" s="1"/>
  <c r="H57" i="1"/>
  <c r="H42" i="1"/>
  <c r="H50" i="1" s="1"/>
  <c r="J34" i="1"/>
  <c r="J35" i="1" s="1"/>
  <c r="J61" i="1" s="1"/>
  <c r="C32" i="1"/>
  <c r="C34" i="1" s="1"/>
  <c r="G42" i="1"/>
  <c r="G50" i="1" s="1"/>
  <c r="F42" i="1"/>
  <c r="F50" i="1" s="1"/>
  <c r="G60" i="8" l="1"/>
  <c r="G62" i="8" s="1"/>
  <c r="G65" i="8" s="1"/>
  <c r="T45" i="6"/>
  <c r="T59" i="6" s="1"/>
  <c r="C66" i="6"/>
  <c r="S60" i="5"/>
  <c r="S62" i="5" s="1"/>
  <c r="S65" i="5" s="1"/>
  <c r="D44" i="5"/>
  <c r="D58" i="5" s="1"/>
  <c r="Q60" i="4"/>
  <c r="Q62" i="4" s="1"/>
  <c r="Q65" i="4" s="1"/>
  <c r="T44" i="8"/>
  <c r="T58" i="8" s="1"/>
  <c r="P44" i="8"/>
  <c r="P58" i="8" s="1"/>
  <c r="P60" i="8" s="1"/>
  <c r="P62" i="8" s="1"/>
  <c r="P65" i="8" s="1"/>
  <c r="K60" i="8"/>
  <c r="K62" i="8" s="1"/>
  <c r="K65" i="8" s="1"/>
  <c r="I44" i="8"/>
  <c r="I58" i="8" s="1"/>
  <c r="I60" i="8" s="1"/>
  <c r="I62" i="8" s="1"/>
  <c r="I65" i="8" s="1"/>
  <c r="J62" i="8"/>
  <c r="J65" i="8" s="1"/>
  <c r="V62" i="8"/>
  <c r="V65" i="8" s="1"/>
  <c r="F60" i="5"/>
  <c r="I60" i="7"/>
  <c r="I62" i="7" s="1"/>
  <c r="I65" i="7" s="1"/>
  <c r="T60" i="7"/>
  <c r="T62" i="7" s="1"/>
  <c r="T65" i="7" s="1"/>
  <c r="H60" i="7"/>
  <c r="H62" i="7" s="1"/>
  <c r="H65" i="7" s="1"/>
  <c r="U60" i="7"/>
  <c r="U62" i="7" s="1"/>
  <c r="U65" i="7" s="1"/>
  <c r="Q44" i="7"/>
  <c r="Q58" i="7" s="1"/>
  <c r="O60" i="7"/>
  <c r="O62" i="7" s="1"/>
  <c r="O65" i="7" s="1"/>
  <c r="D33" i="7"/>
  <c r="D35" i="7" s="1"/>
  <c r="D36" i="7" s="1"/>
  <c r="D61" i="7" s="1"/>
  <c r="K45" i="7"/>
  <c r="K59" i="7" s="1"/>
  <c r="K60" i="7" s="1"/>
  <c r="K62" i="7" s="1"/>
  <c r="K65" i="7" s="1"/>
  <c r="P60" i="7"/>
  <c r="P62" i="7" s="1"/>
  <c r="P65" i="7" s="1"/>
  <c r="U63" i="6"/>
  <c r="U66" i="6" s="1"/>
  <c r="F45" i="6"/>
  <c r="F59" i="6" s="1"/>
  <c r="G61" i="6"/>
  <c r="G63" i="6" s="1"/>
  <c r="G66" i="6" s="1"/>
  <c r="K60" i="5"/>
  <c r="K62" i="5" s="1"/>
  <c r="K65" i="5" s="1"/>
  <c r="Q60" i="1"/>
  <c r="Q62" i="1" s="1"/>
  <c r="Q65" i="1" s="1"/>
  <c r="P60" i="4"/>
  <c r="P62" i="4" s="1"/>
  <c r="P65" i="4" s="1"/>
  <c r="S60" i="8"/>
  <c r="S62" i="8" s="1"/>
  <c r="S65" i="8" s="1"/>
  <c r="F60" i="7"/>
  <c r="F62" i="7" s="1"/>
  <c r="F65" i="7" s="1"/>
  <c r="N60" i="7"/>
  <c r="N62" i="7" s="1"/>
  <c r="N65" i="7" s="1"/>
  <c r="S62" i="7"/>
  <c r="S65" i="7" s="1"/>
  <c r="Q60" i="7"/>
  <c r="Q62" i="7" s="1"/>
  <c r="Q65" i="7" s="1"/>
  <c r="C62" i="7"/>
  <c r="J33" i="7"/>
  <c r="J35" i="7" s="1"/>
  <c r="J36" i="7" s="1"/>
  <c r="J61" i="7" s="1"/>
  <c r="L33" i="7"/>
  <c r="L35" i="7" s="1"/>
  <c r="L36" i="7" s="1"/>
  <c r="L61" i="7" s="1"/>
  <c r="R60" i="7"/>
  <c r="R62" i="7" s="1"/>
  <c r="R65" i="7" s="1"/>
  <c r="V60" i="7"/>
  <c r="V62" i="7" s="1"/>
  <c r="V65" i="7" s="1"/>
  <c r="L60" i="5"/>
  <c r="L62" i="5" s="1"/>
  <c r="L65" i="5" s="1"/>
  <c r="O60" i="5"/>
  <c r="O62" i="5" s="1"/>
  <c r="O65" i="5" s="1"/>
  <c r="N60" i="4"/>
  <c r="N62" i="4" s="1"/>
  <c r="N65" i="4" s="1"/>
  <c r="E60" i="4"/>
  <c r="E62" i="4" s="1"/>
  <c r="E65" i="4" s="1"/>
  <c r="D60" i="4"/>
  <c r="D62" i="4" s="1"/>
  <c r="D65" i="4" s="1"/>
  <c r="F60" i="4"/>
  <c r="F62" i="4" s="1"/>
  <c r="F65" i="4" s="1"/>
  <c r="F62" i="8"/>
  <c r="F65" i="8" s="1"/>
  <c r="N62" i="8"/>
  <c r="N65" i="8" s="1"/>
  <c r="H60" i="8"/>
  <c r="H62" i="8" s="1"/>
  <c r="H65" i="8" s="1"/>
  <c r="R60" i="8"/>
  <c r="R62" i="8" s="1"/>
  <c r="R65" i="8" s="1"/>
  <c r="C65" i="8"/>
  <c r="L45" i="8"/>
  <c r="L59" i="8" s="1"/>
  <c r="M45" i="8"/>
  <c r="M59" i="8" s="1"/>
  <c r="M60" i="8" s="1"/>
  <c r="M62" i="8" s="1"/>
  <c r="M65" i="8" s="1"/>
  <c r="D45" i="8"/>
  <c r="D59" i="8" s="1"/>
  <c r="E45" i="8"/>
  <c r="E59" i="8" s="1"/>
  <c r="E60" i="8" s="1"/>
  <c r="E62" i="8" s="1"/>
  <c r="E65" i="8" s="1"/>
  <c r="L44" i="8"/>
  <c r="L58" i="8" s="1"/>
  <c r="T45" i="8"/>
  <c r="T59" i="8" s="1"/>
  <c r="T60" i="8" s="1"/>
  <c r="T62" i="8" s="1"/>
  <c r="T65" i="8" s="1"/>
  <c r="U45" i="8"/>
  <c r="U59" i="8" s="1"/>
  <c r="U60" i="8" s="1"/>
  <c r="U62" i="8" s="1"/>
  <c r="U65" i="8" s="1"/>
  <c r="D44" i="8"/>
  <c r="D58" i="8" s="1"/>
  <c r="M45" i="7"/>
  <c r="M59" i="7" s="1"/>
  <c r="M44" i="7"/>
  <c r="M58" i="7" s="1"/>
  <c r="M60" i="7" s="1"/>
  <c r="M62" i="7" s="1"/>
  <c r="M65" i="7" s="1"/>
  <c r="L44" i="7"/>
  <c r="L58" i="7" s="1"/>
  <c r="L60" i="7" s="1"/>
  <c r="L62" i="7" s="1"/>
  <c r="L65" i="7" s="1"/>
  <c r="J44" i="7"/>
  <c r="J58" i="7" s="1"/>
  <c r="J60" i="7" s="1"/>
  <c r="E45" i="7"/>
  <c r="E59" i="7" s="1"/>
  <c r="E44" i="7"/>
  <c r="E58" i="7" s="1"/>
  <c r="D44" i="7"/>
  <c r="D58" i="7" s="1"/>
  <c r="D60" i="7" s="1"/>
  <c r="T61" i="6"/>
  <c r="T63" i="6" s="1"/>
  <c r="T66" i="6" s="1"/>
  <c r="D61" i="6"/>
  <c r="D63" i="6" s="1"/>
  <c r="D66" i="6" s="1"/>
  <c r="F61" i="6"/>
  <c r="F63" i="6" s="1"/>
  <c r="F66" i="6" s="1"/>
  <c r="P61" i="6"/>
  <c r="P63" i="6" s="1"/>
  <c r="P66" i="6" s="1"/>
  <c r="Q46" i="6"/>
  <c r="Q60" i="6" s="1"/>
  <c r="M45" i="5"/>
  <c r="M59" i="5" s="1"/>
  <c r="M60" i="5" s="1"/>
  <c r="M62" i="5" s="1"/>
  <c r="M65" i="5" s="1"/>
  <c r="E45" i="5"/>
  <c r="E59" i="5" s="1"/>
  <c r="E60" i="5" s="1"/>
  <c r="E62" i="5" s="1"/>
  <c r="E65" i="5" s="1"/>
  <c r="D60" i="5"/>
  <c r="D62" i="5" s="1"/>
  <c r="D65" i="5" s="1"/>
  <c r="Q45" i="6"/>
  <c r="Q59" i="6" s="1"/>
  <c r="N61" i="6"/>
  <c r="N63" i="6" s="1"/>
  <c r="N66" i="6" s="1"/>
  <c r="J45" i="6"/>
  <c r="J59" i="6" s="1"/>
  <c r="J61" i="6" s="1"/>
  <c r="K46" i="6"/>
  <c r="K60" i="6" s="1"/>
  <c r="K61" i="6" s="1"/>
  <c r="K63" i="6" s="1"/>
  <c r="K66" i="6" s="1"/>
  <c r="J63" i="6"/>
  <c r="J66" i="6" s="1"/>
  <c r="M45" i="6"/>
  <c r="M59" i="6" s="1"/>
  <c r="L45" i="6"/>
  <c r="L59" i="6" s="1"/>
  <c r="R45" i="6"/>
  <c r="R59" i="6" s="1"/>
  <c r="R61" i="6" s="1"/>
  <c r="R63" i="6" s="1"/>
  <c r="R66" i="6" s="1"/>
  <c r="S46" i="6"/>
  <c r="S60" i="6" s="1"/>
  <c r="S61" i="6" s="1"/>
  <c r="S63" i="6" s="1"/>
  <c r="S66" i="6" s="1"/>
  <c r="I45" i="6"/>
  <c r="I59" i="6" s="1"/>
  <c r="H45" i="6"/>
  <c r="H59" i="6" s="1"/>
  <c r="H61" i="6" s="1"/>
  <c r="H63" i="6" s="1"/>
  <c r="H66" i="6" s="1"/>
  <c r="L46" i="6"/>
  <c r="L60" i="6" s="1"/>
  <c r="M46" i="6"/>
  <c r="M60" i="6" s="1"/>
  <c r="I46" i="6"/>
  <c r="I60" i="6" s="1"/>
  <c r="F62" i="5"/>
  <c r="F65" i="5" s="1"/>
  <c r="J62" i="5"/>
  <c r="J65" i="5" s="1"/>
  <c r="N33" i="5"/>
  <c r="N35" i="5" s="1"/>
  <c r="N36" i="5" s="1"/>
  <c r="N61" i="5" s="1"/>
  <c r="H33" i="5"/>
  <c r="H35" i="5" s="1"/>
  <c r="H36" i="5" s="1"/>
  <c r="H61" i="5" s="1"/>
  <c r="G45" i="5"/>
  <c r="G59" i="5" s="1"/>
  <c r="G60" i="5" s="1"/>
  <c r="G62" i="5" s="1"/>
  <c r="G65" i="5" s="1"/>
  <c r="V62" i="5"/>
  <c r="V65" i="5" s="1"/>
  <c r="P33" i="5"/>
  <c r="P35" i="5" s="1"/>
  <c r="P36" i="5" s="1"/>
  <c r="P61" i="5" s="1"/>
  <c r="N44" i="5"/>
  <c r="N58" i="5" s="1"/>
  <c r="N60" i="5" s="1"/>
  <c r="I45" i="5"/>
  <c r="I59" i="5" s="1"/>
  <c r="I44" i="5"/>
  <c r="I58" i="5" s="1"/>
  <c r="H44" i="5"/>
  <c r="H58" i="5" s="1"/>
  <c r="H60" i="5" s="1"/>
  <c r="C65" i="5"/>
  <c r="Q44" i="5"/>
  <c r="Q58" i="5" s="1"/>
  <c r="P44" i="5"/>
  <c r="P58" i="5" s="1"/>
  <c r="P60" i="5" s="1"/>
  <c r="U44" i="5"/>
  <c r="U58" i="5" s="1"/>
  <c r="T44" i="5"/>
  <c r="T58" i="5" s="1"/>
  <c r="T60" i="5" s="1"/>
  <c r="T62" i="5" s="1"/>
  <c r="T65" i="5" s="1"/>
  <c r="U45" i="5"/>
  <c r="U59" i="5" s="1"/>
  <c r="Q45" i="5"/>
  <c r="Q59" i="5" s="1"/>
  <c r="O60" i="4"/>
  <c r="O62" i="4" s="1"/>
  <c r="O65" i="4" s="1"/>
  <c r="H44" i="4"/>
  <c r="H59" i="4" s="1"/>
  <c r="I44" i="4"/>
  <c r="I59" i="4" s="1"/>
  <c r="M43" i="4"/>
  <c r="M58" i="4" s="1"/>
  <c r="L43" i="4"/>
  <c r="L58" i="4" s="1"/>
  <c r="L60" i="4" s="1"/>
  <c r="L62" i="4" s="1"/>
  <c r="L65" i="4" s="1"/>
  <c r="K43" i="4"/>
  <c r="K58" i="4" s="1"/>
  <c r="J43" i="4"/>
  <c r="J58" i="4" s="1"/>
  <c r="J44" i="4"/>
  <c r="J59" i="4" s="1"/>
  <c r="K44" i="4"/>
  <c r="K59" i="4" s="1"/>
  <c r="R44" i="4"/>
  <c r="R59" i="4" s="1"/>
  <c r="S44" i="4"/>
  <c r="S59" i="4" s="1"/>
  <c r="S60" i="4" s="1"/>
  <c r="S62" i="4" s="1"/>
  <c r="S65" i="4" s="1"/>
  <c r="I43" i="4"/>
  <c r="I58" i="4" s="1"/>
  <c r="H43" i="4"/>
  <c r="H58" i="4" s="1"/>
  <c r="M44" i="4"/>
  <c r="M59" i="4" s="1"/>
  <c r="M60" i="4" s="1"/>
  <c r="M62" i="4" s="1"/>
  <c r="M65" i="4" s="1"/>
  <c r="R43" i="4"/>
  <c r="R58" i="4" s="1"/>
  <c r="E43" i="1"/>
  <c r="E58" i="1" s="1"/>
  <c r="D43" i="1"/>
  <c r="D58" i="1" s="1"/>
  <c r="D60" i="1" s="1"/>
  <c r="D62" i="1" s="1"/>
  <c r="D65" i="1" s="1"/>
  <c r="M43" i="1"/>
  <c r="M58" i="1" s="1"/>
  <c r="M60" i="1" s="1"/>
  <c r="M62" i="1" s="1"/>
  <c r="M65" i="1" s="1"/>
  <c r="L43" i="1"/>
  <c r="L58" i="1" s="1"/>
  <c r="C35" i="1"/>
  <c r="C61" i="1" s="1"/>
  <c r="C62" i="1" s="1"/>
  <c r="C65" i="1" s="1"/>
  <c r="E44" i="1"/>
  <c r="E59" i="1" s="1"/>
  <c r="L44" i="1"/>
  <c r="L59" i="1" s="1"/>
  <c r="V62" i="1"/>
  <c r="K62" i="1"/>
  <c r="K65" i="1" s="1"/>
  <c r="F44" i="1"/>
  <c r="F59" i="1" s="1"/>
  <c r="F60" i="1" s="1"/>
  <c r="F32" i="1"/>
  <c r="F34" i="1" s="1"/>
  <c r="F35" i="1" s="1"/>
  <c r="F61" i="1" s="1"/>
  <c r="G34" i="1"/>
  <c r="G35" i="1" s="1"/>
  <c r="G61" i="1" s="1"/>
  <c r="H44" i="1"/>
  <c r="H59" i="1" s="1"/>
  <c r="H60" i="1" s="1"/>
  <c r="J62" i="1"/>
  <c r="J65" i="1" s="1"/>
  <c r="G44" i="1"/>
  <c r="G59" i="1" s="1"/>
  <c r="G60" i="1" s="1"/>
  <c r="E34" i="1"/>
  <c r="E35" i="1" s="1"/>
  <c r="E61" i="1" s="1"/>
  <c r="I44" i="1"/>
  <c r="I59" i="1" s="1"/>
  <c r="I60" i="1" s="1"/>
  <c r="I34" i="1"/>
  <c r="I35" i="1" s="1"/>
  <c r="I61" i="1" s="1"/>
  <c r="H34" i="1"/>
  <c r="H35" i="1" s="1"/>
  <c r="H61" i="1" s="1"/>
  <c r="C65" i="7" l="1"/>
  <c r="V65" i="1"/>
  <c r="D62" i="7"/>
  <c r="D65" i="7" s="1"/>
  <c r="E60" i="7"/>
  <c r="E62" i="7" s="1"/>
  <c r="E65" i="7" s="1"/>
  <c r="I60" i="5"/>
  <c r="I62" i="5" s="1"/>
  <c r="I65" i="5" s="1"/>
  <c r="H60" i="4"/>
  <c r="H62" i="4" s="1"/>
  <c r="H65" i="4" s="1"/>
  <c r="J62" i="7"/>
  <c r="J65" i="7" s="1"/>
  <c r="D60" i="8"/>
  <c r="D62" i="8" s="1"/>
  <c r="L60" i="8"/>
  <c r="L62" i="8" s="1"/>
  <c r="L65" i="8" s="1"/>
  <c r="Q61" i="6"/>
  <c r="Q63" i="6" s="1"/>
  <c r="Q66" i="6" s="1"/>
  <c r="L61" i="6"/>
  <c r="L63" i="6" s="1"/>
  <c r="L66" i="6" s="1"/>
  <c r="M61" i="6"/>
  <c r="M63" i="6" s="1"/>
  <c r="M66" i="6" s="1"/>
  <c r="I61" i="6"/>
  <c r="I63" i="6" s="1"/>
  <c r="I66" i="6" s="1"/>
  <c r="H62" i="5"/>
  <c r="H65" i="5" s="1"/>
  <c r="N62" i="5"/>
  <c r="N65" i="5" s="1"/>
  <c r="P62" i="5"/>
  <c r="P65" i="5" s="1"/>
  <c r="Q60" i="5"/>
  <c r="Q62" i="5" s="1"/>
  <c r="Q65" i="5" s="1"/>
  <c r="U60" i="5"/>
  <c r="U62" i="5" s="1"/>
  <c r="U65" i="5" s="1"/>
  <c r="E60" i="1"/>
  <c r="E62" i="1" s="1"/>
  <c r="E65" i="1" s="1"/>
  <c r="R60" i="4"/>
  <c r="R62" i="4" s="1"/>
  <c r="R65" i="4" s="1"/>
  <c r="J60" i="4"/>
  <c r="J62" i="4" s="1"/>
  <c r="J65" i="4" s="1"/>
  <c r="I60" i="4"/>
  <c r="I62" i="4" s="1"/>
  <c r="I65" i="4" s="1"/>
  <c r="K60" i="4"/>
  <c r="K62" i="4" s="1"/>
  <c r="K65" i="4" s="1"/>
  <c r="L60" i="1"/>
  <c r="L62" i="1" s="1"/>
  <c r="L65" i="1" s="1"/>
  <c r="G62" i="1"/>
  <c r="G65" i="1" s="1"/>
  <c r="F62" i="1"/>
  <c r="F65" i="1" s="1"/>
  <c r="H62" i="1"/>
  <c r="H65" i="1" s="1"/>
  <c r="I62" i="1"/>
  <c r="I65" i="1" s="1"/>
  <c r="D65" i="8" l="1"/>
  <c r="C67" i="8"/>
  <c r="C68" i="8"/>
  <c r="C69" i="8" l="1"/>
  <c r="E70" i="8"/>
  <c r="C71" i="6"/>
  <c r="D70" i="7"/>
  <c r="C71" i="8"/>
  <c r="D71" i="8"/>
  <c r="C71" i="7"/>
  <c r="C72" i="7"/>
  <c r="D72" i="8"/>
  <c r="E72" i="8"/>
  <c r="D72" i="7"/>
  <c r="C73" i="6"/>
  <c r="C72" i="4"/>
  <c r="C72" i="5"/>
  <c r="C71" i="5"/>
  <c r="C71" i="4"/>
  <c r="C70" i="8"/>
  <c r="C72" i="8"/>
  <c r="D67" i="7"/>
  <c r="C68" i="6"/>
  <c r="E67" i="8"/>
  <c r="E68" i="8"/>
  <c r="D68" i="7"/>
  <c r="C69" i="6"/>
  <c r="D69" i="7"/>
  <c r="E69" i="8"/>
  <c r="C70" i="6"/>
  <c r="C69" i="7"/>
  <c r="D69" i="8"/>
  <c r="D68" i="8"/>
  <c r="C68" i="7"/>
  <c r="D70" i="8"/>
  <c r="C70" i="7"/>
  <c r="C67" i="7"/>
  <c r="D67" i="8"/>
  <c r="C68" i="5"/>
  <c r="C68" i="4"/>
  <c r="C69" i="4"/>
  <c r="C69" i="5"/>
  <c r="C70" i="5"/>
  <c r="C70" i="4"/>
  <c r="C67" i="5"/>
  <c r="C67" i="4"/>
  <c r="C72" i="6" l="1"/>
  <c r="E71" i="8"/>
  <c r="D7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Binh</author>
  </authors>
  <commentList>
    <comment ref="D7" authorId="0" shapeId="0" xr:uid="{651164C7-CFC4-4D42-AFD9-8A511D743C6F}">
      <text>
        <r>
          <rPr>
            <sz val="9"/>
            <color indexed="81"/>
            <rFont val="Tahoma"/>
            <family val="2"/>
          </rPr>
          <t>Điều chỉnh 2 năm/lần theo tỷ lệ lạm phát năm trước đó</t>
        </r>
      </text>
    </comment>
    <comment ref="F13" authorId="0" shapeId="0" xr:uid="{CFB08C26-FF6D-4390-817E-8FA5F88A92BF}">
      <text>
        <r>
          <rPr>
            <sz val="9"/>
            <color indexed="81"/>
            <rFont val="Tahoma"/>
            <family val="2"/>
          </rPr>
          <t>Xây dựng và thiết bị (để đơn giản ta dùng chung là 20 năm). Trên thực tế cần phải theo quy định của Bộ Tài chính.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Binh</author>
  </authors>
  <commentList>
    <comment ref="A2" authorId="0" shapeId="0" xr:uid="{AC5CC7FD-8FF1-4F12-A1BE-BCD0126EF77C}">
      <text>
        <r>
          <rPr>
            <b/>
            <u/>
            <sz val="15"/>
            <color indexed="81"/>
            <rFont val="Tahoma"/>
            <family val="2"/>
          </rPr>
          <t>Câu hỏi thảo luận: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Tahoma"/>
            <family val="2"/>
          </rPr>
          <t>Cách xử lý này đúng hay sai? Tại sao?</t>
        </r>
      </text>
    </comment>
    <comment ref="D7" authorId="0" shapeId="0" xr:uid="{6B4A4F37-90D9-4219-A0DD-711D4ADB170A}">
      <text>
        <r>
          <rPr>
            <sz val="9"/>
            <color indexed="81"/>
            <rFont val="Tahoma"/>
            <family val="2"/>
          </rPr>
          <t>Điều chỉnh 2 năm/lần theo tỷ lệ lạm phát năm trước đó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Binh</author>
  </authors>
  <commentList>
    <comment ref="A3" authorId="0" shapeId="0" xr:uid="{B73B4CAB-D4C2-4BD0-9ECF-27123686E1AC}">
      <text>
        <r>
          <rPr>
            <sz val="12"/>
            <color indexed="81"/>
            <rFont val="Tahoma"/>
            <family val="2"/>
          </rPr>
          <t xml:space="preserve">Nếu là đất do nhà nước giao thì thường có thời hạn khoảng 50 năm. </t>
        </r>
      </text>
    </comment>
    <comment ref="D7" authorId="0" shapeId="0" xr:uid="{C6D83630-09B6-4C78-962F-FBBFAC2DEBC6}">
      <text>
        <r>
          <rPr>
            <sz val="9"/>
            <color indexed="81"/>
            <rFont val="Tahoma"/>
            <family val="2"/>
          </rPr>
          <t>Điều chỉnh 2 năm/lần theo tỷ lệ lạm phát năm trước đó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Binh</author>
  </authors>
  <commentList>
    <comment ref="D7" authorId="0" shapeId="0" xr:uid="{9E86ACB9-9F3B-48C8-BEBA-BECF85938EFD}">
      <text>
        <r>
          <rPr>
            <sz val="9"/>
            <color indexed="81"/>
            <rFont val="Tahoma"/>
            <family val="2"/>
          </rPr>
          <t>Điều chỉnh 2 năm/lần theo tỷ lệ lạm phát năm trước đó</t>
        </r>
      </text>
    </comment>
    <comment ref="C10" authorId="0" shapeId="0" xr:uid="{301175E6-BCF4-4BE7-A7FD-698AD00A4BE2}">
      <text>
        <r>
          <rPr>
            <sz val="9"/>
            <color indexed="81"/>
            <rFont val="Tahoma"/>
            <family val="2"/>
          </rPr>
          <t>Thay đổi theo lạm phát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Binh</author>
  </authors>
  <commentList>
    <comment ref="D7" authorId="0" shapeId="0" xr:uid="{459DBF36-4202-4846-A6FA-70CA4956D254}">
      <text>
        <r>
          <rPr>
            <sz val="9"/>
            <color indexed="81"/>
            <rFont val="Tahoma"/>
            <family val="2"/>
          </rPr>
          <t>Điều chỉnh 2 năm/lần theo tỷ lệ lạm phát năm trước đó</t>
        </r>
      </text>
    </comment>
    <comment ref="C10" authorId="0" shapeId="0" xr:uid="{CC815BED-D999-402E-9A64-CB67DCAC4E61}">
      <text>
        <r>
          <rPr>
            <sz val="9"/>
            <color indexed="81"/>
            <rFont val="Tahoma"/>
            <family val="2"/>
          </rPr>
          <t>Thay đổi theo lạm phát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Binh</author>
  </authors>
  <commentList>
    <comment ref="D7" authorId="0" shapeId="0" xr:uid="{DD23CCAA-7B7C-4D9B-90F3-BA5060BE0424}">
      <text>
        <r>
          <rPr>
            <sz val="9"/>
            <color indexed="81"/>
            <rFont val="Tahoma"/>
            <family val="2"/>
          </rPr>
          <t>Điều chỉnh 2 năm/lần theo tỷ lệ lạm phát năm trước đó</t>
        </r>
      </text>
    </comment>
    <comment ref="C10" authorId="0" shapeId="0" xr:uid="{80FEC916-0D89-408A-B3B1-461FD1743355}">
      <text>
        <r>
          <rPr>
            <sz val="9"/>
            <color indexed="81"/>
            <rFont val="Tahoma"/>
            <family val="2"/>
          </rPr>
          <t>Thay đổi theo lạm phát</t>
        </r>
      </text>
    </comment>
  </commentList>
</comments>
</file>

<file path=xl/sharedStrings.xml><?xml version="1.0" encoding="utf-8"?>
<sst xmlns="http://schemas.openxmlformats.org/spreadsheetml/2006/main" count="538" uniqueCount="95">
  <si>
    <t>Xây dựng</t>
  </si>
  <si>
    <t>Thiết bị</t>
  </si>
  <si>
    <t>Vòng đời dự án</t>
  </si>
  <si>
    <t>Vay ngân hàng</t>
  </si>
  <si>
    <t>Đầu tư</t>
  </si>
  <si>
    <t>Doanh thu</t>
  </si>
  <si>
    <t>Lạm phát</t>
  </si>
  <si>
    <t>Thuế TNDN</t>
  </si>
  <si>
    <t>CHỈ SỐ GIÁ</t>
  </si>
  <si>
    <t>Năm</t>
  </si>
  <si>
    <t>Chỉ số lạm phát</t>
  </si>
  <si>
    <t>DOANH THU, CHI PHÍ</t>
  </si>
  <si>
    <t xml:space="preserve">Doanh thu </t>
  </si>
  <si>
    <t>Chi phí cố định</t>
  </si>
  <si>
    <t>Chi phí biến đổi</t>
  </si>
  <si>
    <t>THUẾ THU NHẬP DOANH NGHIỆP</t>
  </si>
  <si>
    <t>EBIT</t>
  </si>
  <si>
    <t>Trả lãi vay</t>
  </si>
  <si>
    <t>Số năm trả nợ</t>
  </si>
  <si>
    <t>EBT</t>
  </si>
  <si>
    <t>Vốn lưu động</t>
  </si>
  <si>
    <t>AR</t>
  </si>
  <si>
    <t>/Doanh thu</t>
  </si>
  <si>
    <t>CB</t>
  </si>
  <si>
    <t>VỐN LƯU ĐỘNG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</si>
  <si>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</rPr>
      <t>AR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</si>
  <si>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</rPr>
      <t>CB</t>
    </r>
  </si>
  <si>
    <t>BÁO CÁO NGÂN LƯU TIPV</t>
  </si>
  <si>
    <t>Ngân lưu vào</t>
  </si>
  <si>
    <t xml:space="preserve">   Doanh thu</t>
  </si>
  <si>
    <t>Khấu hao</t>
  </si>
  <si>
    <t>Ngân lưu ra</t>
  </si>
  <si>
    <t xml:space="preserve">   Đất đai</t>
  </si>
  <si>
    <t xml:space="preserve">   Xây dựng</t>
  </si>
  <si>
    <t xml:space="preserve">   Thiết bị</t>
  </si>
  <si>
    <t xml:space="preserve">   Chi phí cố định</t>
  </si>
  <si>
    <t xml:space="preserve">   Chi phí biến đổi</t>
  </si>
  <si>
    <r>
      <rPr>
        <sz val="11"/>
        <color theme="1"/>
        <rFont val="Symbol"/>
        <family val="1"/>
        <charset val="2"/>
      </rPr>
      <t xml:space="preserve">  D</t>
    </r>
    <r>
      <rPr>
        <sz val="11"/>
        <color theme="1"/>
        <rFont val="Aptos Narrow"/>
        <family val="2"/>
      </rPr>
      <t>AR</t>
    </r>
  </si>
  <si>
    <r>
      <rPr>
        <sz val="11"/>
        <color theme="1"/>
        <rFont val="Symbol"/>
        <family val="1"/>
        <charset val="2"/>
      </rPr>
      <t xml:space="preserve">  D</t>
    </r>
    <r>
      <rPr>
        <sz val="11"/>
        <color theme="1"/>
        <rFont val="Aptos Narrow"/>
        <family val="2"/>
      </rPr>
      <t>CB</t>
    </r>
  </si>
  <si>
    <t xml:space="preserve">   Thuế TNDN</t>
  </si>
  <si>
    <t>Doanh thu &amp; chi phí hoạt động</t>
  </si>
  <si>
    <t>Thông tin khác</t>
  </si>
  <si>
    <t>WACC</t>
  </si>
  <si>
    <t>Vay</t>
  </si>
  <si>
    <t>Trả nợ</t>
  </si>
  <si>
    <t>Ngân lưu ròng TIPV sau thuế</t>
  </si>
  <si>
    <t>Ngân lưu ròng TIPV trước thuế</t>
  </si>
  <si>
    <t>Ngân lưu ròng EPV sau thuế</t>
  </si>
  <si>
    <t>NPV_TIPV</t>
  </si>
  <si>
    <t>NPV_EPV</t>
  </si>
  <si>
    <t>IRR_TIPV</t>
  </si>
  <si>
    <t>IRR_EPV</t>
  </si>
  <si>
    <t>Đất (sẵn có)</t>
  </si>
  <si>
    <t>Lãi suất thực</t>
  </si>
  <si>
    <t>Lãi suất danh nghĩa</t>
  </si>
  <si>
    <t>AP</t>
  </si>
  <si>
    <t>/Chi phí biến đổi</t>
  </si>
  <si>
    <t>Tài trợ</t>
  </si>
  <si>
    <t>VAT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</si>
  <si>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</rPr>
      <t>AP</t>
    </r>
  </si>
  <si>
    <r>
      <rPr>
        <sz val="11"/>
        <color theme="1"/>
        <rFont val="Symbol"/>
        <family val="1"/>
        <charset val="2"/>
      </rPr>
      <t xml:space="preserve">  D</t>
    </r>
    <r>
      <rPr>
        <sz val="11"/>
        <color theme="1"/>
        <rFont val="Aptos Narrow"/>
        <family val="2"/>
      </rPr>
      <t>AP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</si>
  <si>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thực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</si>
  <si>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danh nghĩa</t>
    </r>
  </si>
  <si>
    <t>XỬ LÝ ĐẤT ĐAI TRONG THẨM ĐỊNH DỰ ÁN</t>
  </si>
  <si>
    <r>
      <rPr>
        <b/>
        <u/>
        <sz val="15"/>
        <color rgb="FF00B050"/>
        <rFont val="Aptos Narrow"/>
        <family val="2"/>
        <scheme val="minor"/>
      </rPr>
      <t>Trường hợp 1:</t>
    </r>
    <r>
      <rPr>
        <b/>
        <sz val="15"/>
        <color rgb="FF00B050"/>
        <rFont val="Aptos Narrow"/>
        <family val="2"/>
        <scheme val="minor"/>
      </rPr>
      <t xml:space="preserve"> Đất sẵn có, định giá theo thị trường (Theo Harberger &amp; Jenkins 1995; Jenkins et al. 2011)</t>
    </r>
  </si>
  <si>
    <r>
      <rPr>
        <b/>
        <u/>
        <sz val="15"/>
        <color rgb="FF00B050"/>
        <rFont val="Aptos Narrow"/>
        <family val="2"/>
        <scheme val="minor"/>
      </rPr>
      <t>Trường hợp 2:</t>
    </r>
    <r>
      <rPr>
        <b/>
        <sz val="15"/>
        <color rgb="FF00B050"/>
        <rFont val="Aptos Narrow"/>
        <family val="2"/>
        <scheme val="minor"/>
      </rPr>
      <t xml:space="preserve"> Đất sẵn có, không đưa vào tính (theo cách làm của nhiều doanh nghiệp Việt Nam)</t>
    </r>
  </si>
  <si>
    <t>Trường hợp 1</t>
  </si>
  <si>
    <t>Trường hợp 2</t>
  </si>
  <si>
    <r>
      <rPr>
        <b/>
        <u/>
        <sz val="15"/>
        <color rgb="FF00B050"/>
        <rFont val="Aptos Narrow"/>
        <family val="2"/>
        <scheme val="minor"/>
      </rPr>
      <t>Trường hợp 3:</t>
    </r>
    <r>
      <rPr>
        <b/>
        <sz val="15"/>
        <color rgb="FF00B050"/>
        <rFont val="Aptos Narrow"/>
        <family val="2"/>
        <scheme val="minor"/>
      </rPr>
      <t xml:space="preserve"> Đất thuê, thanh toán 1 lần vào năm 0</t>
    </r>
  </si>
  <si>
    <t>Đất (thuê, thanh toán 1 lần)</t>
  </si>
  <si>
    <t>Chi phí thuê đất (cố định)</t>
  </si>
  <si>
    <t>Khấu hao tài sản</t>
  </si>
  <si>
    <t xml:space="preserve">   Thanh lý (đất)</t>
  </si>
  <si>
    <t>Trường hợp 3</t>
  </si>
  <si>
    <r>
      <rPr>
        <b/>
        <u/>
        <sz val="15"/>
        <color rgb="FF00B050"/>
        <rFont val="Aptos Narrow"/>
        <family val="2"/>
        <scheme val="minor"/>
      </rPr>
      <t>Trường hợp 4:</t>
    </r>
    <r>
      <rPr>
        <b/>
        <sz val="15"/>
        <color rgb="FF00B050"/>
        <rFont val="Aptos Narrow"/>
        <family val="2"/>
        <scheme val="minor"/>
      </rPr>
      <t xml:space="preserve"> Đất thuê, thanh toán hàng năm, không điều chỉnh lạm phát</t>
    </r>
  </si>
  <si>
    <t>Thuê đất</t>
  </si>
  <si>
    <t>Trường hợp 4</t>
  </si>
  <si>
    <t xml:space="preserve">   Chi phí thuê đất (cố định)</t>
  </si>
  <si>
    <r>
      <rPr>
        <b/>
        <u/>
        <sz val="15"/>
        <color rgb="FF00B050"/>
        <rFont val="Aptos Narrow"/>
        <family val="2"/>
        <scheme val="minor"/>
      </rPr>
      <t>Trường hợp 5:</t>
    </r>
    <r>
      <rPr>
        <b/>
        <sz val="15"/>
        <color rgb="FF00B050"/>
        <rFont val="Aptos Narrow"/>
        <family val="2"/>
        <scheme val="minor"/>
      </rPr>
      <t xml:space="preserve"> Đất thuê, thanh toán hàng năm theo phương pháp tương đương, không điều chỉnh lạm phát</t>
    </r>
  </si>
  <si>
    <t>Trường hợp 5</t>
  </si>
  <si>
    <t>Trường hợp 6</t>
  </si>
  <si>
    <r>
      <rPr>
        <b/>
        <u/>
        <sz val="15"/>
        <color rgb="FF00B050"/>
        <rFont val="Aptos Narrow"/>
        <family val="2"/>
        <scheme val="minor"/>
      </rPr>
      <t>Trường hợp 6:</t>
    </r>
    <r>
      <rPr>
        <b/>
        <sz val="15"/>
        <color rgb="FF00B050"/>
        <rFont val="Aptos Narrow"/>
        <family val="2"/>
        <scheme val="minor"/>
      </rPr>
      <t xml:space="preserve"> Đất thuê, thanh toán hàng năm, điều chỉnh lạm phát (2 năm/lần)</t>
    </r>
  </si>
  <si>
    <t>IRR_TIPV thực</t>
  </si>
  <si>
    <t>IRR_EPV thực</t>
  </si>
  <si>
    <t>(Các trường hợp tương đương: Đất có sẵn (định giá tại năm 0 là 10 tỷ), Đất mua tại năm 0 với giá 10 tỷ</t>
  </si>
  <si>
    <t>(Các trường hợp tương đương: Đất thuê, Đất giao (dự án chịu chi phí đền bù, giải phóng mặt bằng, và các chi phí liên quan)</t>
  </si>
  <si>
    <t>Tỷ lệ tăng doanh thu</t>
  </si>
  <si>
    <t>/năm</t>
  </si>
  <si>
    <t>THÔNG SỐ DỰ ÁN (ĐV: TRIỆU ĐỒNG)</t>
  </si>
  <si>
    <t>Doanh thu/Tỷ lệ tăng</t>
  </si>
  <si>
    <t>Chỉ số tăng doanh thu</t>
  </si>
  <si>
    <t>Chi phí hoạt động</t>
  </si>
  <si>
    <t>Câu hỏi thảo luận:</t>
  </si>
  <si>
    <t xml:space="preserve">     Cách xử lý này (Trường hợp #2) đúng hay sai? Tại sao?</t>
  </si>
  <si>
    <t xml:space="preserve">     Cách thuê đất nào sẽ tốt cho dự án hơn? Tại sao?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</si>
</sst>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  <font>
      <sz val="11"/>
      <color theme="1"/>
      <name val="Aptos Narrow"/>
      <family val="1"/>
      <charset val="2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vertAlign val="subscript"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5"/>
      <color rgb="FF00B050"/>
      <name val="Aptos Narrow"/>
      <family val="2"/>
      <scheme val="minor"/>
    </font>
    <font>
      <b/>
      <u/>
      <sz val="15"/>
      <color rgb="FF00B05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5"/>
      <color rgb="FFFF0000"/>
      <name val="Aptos Narrow"/>
      <family val="2"/>
      <scheme val="minor"/>
    </font>
    <font>
      <b/>
      <u/>
      <sz val="15"/>
      <color indexed="81"/>
      <name val="Tahoma"/>
      <family val="2"/>
    </font>
    <font>
      <b/>
      <sz val="15"/>
      <color indexed="81"/>
      <name val="Tahoma"/>
      <family val="2"/>
    </font>
    <font>
      <sz val="15"/>
      <color indexed="81"/>
      <name val="Tahoma"/>
      <family val="2"/>
    </font>
    <font>
      <sz val="12"/>
      <color indexed="81"/>
      <name val="Tahoma"/>
      <family val="2"/>
    </font>
    <font>
      <b/>
      <u/>
      <sz val="11"/>
      <color theme="0"/>
      <name val="Aptos Narrow"/>
      <family val="2"/>
      <scheme val="minor"/>
    </font>
    <font>
      <b/>
      <u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2" borderId="2" xfId="0" applyFill="1" applyBorder="1"/>
    <xf numFmtId="164" fontId="0" fillId="0" borderId="1" xfId="0" applyNumberFormat="1" applyBorder="1"/>
    <xf numFmtId="0" fontId="0" fillId="0" borderId="0" xfId="0" quotePrefix="1"/>
    <xf numFmtId="0" fontId="5" fillId="0" borderId="0" xfId="0" applyFont="1"/>
    <xf numFmtId="0" fontId="5" fillId="0" borderId="1" xfId="0" applyFont="1" applyBorder="1"/>
    <xf numFmtId="0" fontId="0" fillId="0" borderId="1" xfId="0" quotePrefix="1" applyBorder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0" fillId="3" borderId="0" xfId="0" applyFill="1" applyAlignment="1">
      <alignment horizontal="center"/>
    </xf>
    <xf numFmtId="164" fontId="6" fillId="4" borderId="0" xfId="0" applyNumberFormat="1" applyFont="1" applyFill="1"/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5" fontId="0" fillId="5" borderId="0" xfId="1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165" fontId="0" fillId="4" borderId="0" xfId="1" applyNumberFormat="1" applyFont="1" applyFill="1" applyAlignment="1">
      <alignment horizontal="center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0" fillId="4" borderId="0" xfId="0" applyFill="1"/>
    <xf numFmtId="0" fontId="13" fillId="4" borderId="0" xfId="0" applyFont="1" applyFill="1"/>
    <xf numFmtId="0" fontId="14" fillId="0" borderId="0" xfId="0" applyFont="1"/>
    <xf numFmtId="0" fontId="13" fillId="0" borderId="0" xfId="0" applyFont="1"/>
    <xf numFmtId="164" fontId="13" fillId="4" borderId="0" xfId="0" applyNumberFormat="1" applyFont="1" applyFill="1"/>
    <xf numFmtId="164" fontId="0" fillId="6" borderId="0" xfId="0" applyNumberFormat="1" applyFill="1" applyAlignment="1">
      <alignment horizontal="center"/>
    </xf>
    <xf numFmtId="165" fontId="0" fillId="6" borderId="0" xfId="1" applyNumberFormat="1" applyFon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5" fontId="0" fillId="7" borderId="0" xfId="1" applyNumberFormat="1" applyFont="1" applyFill="1" applyAlignment="1">
      <alignment horizont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4" borderId="0" xfId="0" applyFill="1" applyAlignment="1">
      <alignment horizontal="center"/>
    </xf>
    <xf numFmtId="0" fontId="0" fillId="0" borderId="0" xfId="0" applyBorder="1"/>
    <xf numFmtId="0" fontId="0" fillId="0" borderId="3" xfId="0" applyBorder="1"/>
    <xf numFmtId="164" fontId="0" fillId="0" borderId="3" xfId="0" applyNumberFormat="1" applyBorder="1"/>
    <xf numFmtId="0" fontId="0" fillId="0" borderId="1" xfId="0" applyFill="1" applyBorder="1"/>
    <xf numFmtId="0" fontId="0" fillId="0" borderId="0" xfId="0" applyAlignment="1">
      <alignment vertical="center"/>
    </xf>
    <xf numFmtId="164" fontId="20" fillId="8" borderId="0" xfId="0" applyNumberFormat="1" applyFont="1" applyFill="1" applyAlignment="1">
      <alignment horizontal="center" vertical="center"/>
    </xf>
    <xf numFmtId="0" fontId="21" fillId="9" borderId="0" xfId="0" applyFont="1" applyFill="1" applyAlignment="1">
      <alignment horizontal="left"/>
    </xf>
    <xf numFmtId="0" fontId="22" fillId="0" borderId="0" xfId="0" applyFont="1"/>
    <xf numFmtId="0" fontId="23" fillId="0" borderId="1" xfId="0" applyFont="1" applyBorder="1"/>
    <xf numFmtId="164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AC9E-35CD-4275-9D7F-CA068FD4B3F4}">
  <dimension ref="A1:V72"/>
  <sheetViews>
    <sheetView topLeftCell="A44" zoomScale="89" workbookViewId="0">
      <selection activeCell="C75" sqref="C75"/>
    </sheetView>
  </sheetViews>
  <sheetFormatPr defaultRowHeight="14.25" x14ac:dyDescent="0.45"/>
  <cols>
    <col min="1" max="1" width="25.06640625" customWidth="1"/>
    <col min="2" max="2" width="17" bestFit="1" customWidth="1"/>
    <col min="3" max="3" width="16.1328125" customWidth="1"/>
    <col min="4" max="12" width="13.33203125" bestFit="1" customWidth="1"/>
    <col min="13" max="21" width="13.33203125" customWidth="1"/>
    <col min="22" max="22" width="13.33203125" bestFit="1" customWidth="1"/>
  </cols>
  <sheetData>
    <row r="1" spans="1:22" ht="26.65" x14ac:dyDescent="0.45">
      <c r="A1" s="43" t="s">
        <v>63</v>
      </c>
    </row>
    <row r="2" spans="1:22" ht="19.5" x14ac:dyDescent="0.45">
      <c r="A2" s="41" t="s">
        <v>64</v>
      </c>
    </row>
    <row r="3" spans="1:22" ht="17.649999999999999" customHeight="1" x14ac:dyDescent="0.45">
      <c r="A3" s="42" t="s">
        <v>84</v>
      </c>
    </row>
    <row r="5" spans="1:22" ht="19.5" x14ac:dyDescent="0.6">
      <c r="A5" s="53" t="s">
        <v>88</v>
      </c>
      <c r="B5" s="4"/>
      <c r="C5" s="4"/>
      <c r="D5" s="4"/>
      <c r="E5" s="4"/>
      <c r="F5" s="4"/>
      <c r="G5" s="4"/>
    </row>
    <row r="6" spans="1:22" x14ac:dyDescent="0.45">
      <c r="A6" s="1" t="s">
        <v>4</v>
      </c>
      <c r="C6" s="1" t="s">
        <v>40</v>
      </c>
      <c r="F6" s="1" t="s">
        <v>41</v>
      </c>
    </row>
    <row r="7" spans="1:22" x14ac:dyDescent="0.45">
      <c r="A7" s="30" t="s">
        <v>52</v>
      </c>
      <c r="B7" s="31">
        <v>10000</v>
      </c>
      <c r="C7" t="s">
        <v>13</v>
      </c>
      <c r="D7" s="11">
        <v>1200</v>
      </c>
      <c r="F7" t="s">
        <v>6</v>
      </c>
      <c r="G7" s="12">
        <v>0.05</v>
      </c>
    </row>
    <row r="8" spans="1:22" x14ac:dyDescent="0.45">
      <c r="A8" t="s">
        <v>0</v>
      </c>
      <c r="B8" s="11">
        <v>30000</v>
      </c>
      <c r="C8" t="s">
        <v>14</v>
      </c>
      <c r="D8" s="12">
        <v>0.2</v>
      </c>
      <c r="E8" s="7" t="s">
        <v>22</v>
      </c>
      <c r="F8" t="s">
        <v>7</v>
      </c>
      <c r="G8" s="12">
        <v>0.2</v>
      </c>
    </row>
    <row r="9" spans="1:22" ht="15.75" x14ac:dyDescent="0.55000000000000004">
      <c r="A9" t="s">
        <v>1</v>
      </c>
      <c r="B9" s="11">
        <v>20000</v>
      </c>
      <c r="C9" t="s">
        <v>5</v>
      </c>
      <c r="D9" s="11">
        <v>9000</v>
      </c>
      <c r="F9" t="s">
        <v>61</v>
      </c>
      <c r="G9" s="12">
        <v>0.1</v>
      </c>
    </row>
    <row r="10" spans="1:22" ht="15.75" x14ac:dyDescent="0.55000000000000004">
      <c r="A10" s="1" t="s">
        <v>57</v>
      </c>
      <c r="C10" t="s">
        <v>86</v>
      </c>
      <c r="D10" s="12">
        <v>0.03</v>
      </c>
      <c r="E10" s="7" t="s">
        <v>87</v>
      </c>
      <c r="F10" t="s">
        <v>62</v>
      </c>
      <c r="G10" s="27">
        <f>G9+G7+G9*G7</f>
        <v>0.15500000000000003</v>
      </c>
    </row>
    <row r="11" spans="1:22" x14ac:dyDescent="0.45">
      <c r="A11" t="s">
        <v>3</v>
      </c>
      <c r="B11" s="11">
        <f>70%*(B8+B9)</f>
        <v>35000</v>
      </c>
      <c r="C11" s="1" t="s">
        <v>20</v>
      </c>
      <c r="D11" s="11"/>
      <c r="F11" t="s">
        <v>42</v>
      </c>
      <c r="G11" s="15">
        <f>0.7*B13+0.3*G10</f>
        <v>0.11824999999999999</v>
      </c>
    </row>
    <row r="12" spans="1:22" x14ac:dyDescent="0.45">
      <c r="A12" t="s">
        <v>53</v>
      </c>
      <c r="B12" s="12">
        <v>0.05</v>
      </c>
      <c r="C12" t="s">
        <v>21</v>
      </c>
      <c r="D12" s="12">
        <v>0.1</v>
      </c>
      <c r="E12" s="7" t="s">
        <v>22</v>
      </c>
      <c r="F12" t="s">
        <v>58</v>
      </c>
      <c r="G12" s="12">
        <v>0</v>
      </c>
    </row>
    <row r="13" spans="1:22" x14ac:dyDescent="0.45">
      <c r="A13" t="s">
        <v>54</v>
      </c>
      <c r="B13" s="27">
        <f>B12+G7+B12*G7</f>
        <v>0.10250000000000001</v>
      </c>
      <c r="C13" t="s">
        <v>55</v>
      </c>
      <c r="D13" s="12">
        <v>0.1</v>
      </c>
      <c r="E13" s="7" t="s">
        <v>56</v>
      </c>
      <c r="F13" t="s">
        <v>30</v>
      </c>
      <c r="G13" s="18">
        <v>20</v>
      </c>
    </row>
    <row r="14" spans="1:22" x14ac:dyDescent="0.45">
      <c r="A14" s="4" t="s">
        <v>18</v>
      </c>
      <c r="B14" s="13">
        <v>10</v>
      </c>
      <c r="C14" s="4" t="s">
        <v>23</v>
      </c>
      <c r="D14" s="14">
        <v>0.05</v>
      </c>
      <c r="E14" s="10" t="s">
        <v>22</v>
      </c>
      <c r="F14" s="4" t="s">
        <v>2</v>
      </c>
      <c r="G14" s="16">
        <v>20</v>
      </c>
    </row>
    <row r="16" spans="1:22" x14ac:dyDescent="0.45">
      <c r="A16" s="3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45">
      <c r="A17" s="5" t="s">
        <v>9</v>
      </c>
      <c r="B17" s="5">
        <v>0</v>
      </c>
      <c r="C17" s="5">
        <v>1</v>
      </c>
      <c r="D17" s="5">
        <v>2</v>
      </c>
      <c r="E17" s="5">
        <v>3</v>
      </c>
      <c r="F17" s="5">
        <v>4</v>
      </c>
      <c r="G17" s="5">
        <v>5</v>
      </c>
      <c r="H17" s="5">
        <v>6</v>
      </c>
      <c r="I17" s="5">
        <v>7</v>
      </c>
      <c r="J17" s="5">
        <v>8</v>
      </c>
      <c r="K17" s="5">
        <v>9</v>
      </c>
      <c r="L17" s="5">
        <v>10</v>
      </c>
      <c r="M17" s="5">
        <v>11</v>
      </c>
      <c r="N17" s="5">
        <v>12</v>
      </c>
      <c r="O17" s="5">
        <v>13</v>
      </c>
      <c r="P17" s="5">
        <v>14</v>
      </c>
      <c r="Q17" s="5">
        <v>15</v>
      </c>
      <c r="R17" s="5">
        <v>16</v>
      </c>
      <c r="S17" s="5">
        <v>17</v>
      </c>
      <c r="T17" s="5">
        <v>18</v>
      </c>
      <c r="U17" s="5">
        <v>19</v>
      </c>
      <c r="V17" s="5">
        <v>20</v>
      </c>
    </row>
    <row r="18" spans="1:22" x14ac:dyDescent="0.45">
      <c r="A18" s="46" t="s">
        <v>10</v>
      </c>
      <c r="B18" s="47"/>
      <c r="C18" s="47">
        <f t="shared" ref="B18:L18" si="0">(1+$G$7)^C17</f>
        <v>1.05</v>
      </c>
      <c r="D18" s="47">
        <f t="shared" si="0"/>
        <v>1.1025</v>
      </c>
      <c r="E18" s="47">
        <f t="shared" si="0"/>
        <v>1.1576250000000001</v>
      </c>
      <c r="F18" s="47">
        <f t="shared" si="0"/>
        <v>1.21550625</v>
      </c>
      <c r="G18" s="47">
        <f t="shared" si="0"/>
        <v>1.2762815625000001</v>
      </c>
      <c r="H18" s="47">
        <f t="shared" si="0"/>
        <v>1.340095640625</v>
      </c>
      <c r="I18" s="47">
        <f t="shared" si="0"/>
        <v>1.4071004226562502</v>
      </c>
      <c r="J18" s="47">
        <f t="shared" si="0"/>
        <v>1.4774554437890626</v>
      </c>
      <c r="K18" s="47">
        <f t="shared" si="0"/>
        <v>1.5513282159785158</v>
      </c>
      <c r="L18" s="47">
        <f t="shared" si="0"/>
        <v>1.6288946267774416</v>
      </c>
      <c r="M18" s="47">
        <f t="shared" ref="M18:V18" si="1">(1+$G$7)^M17</f>
        <v>1.7103393581163138</v>
      </c>
      <c r="N18" s="47">
        <f t="shared" si="1"/>
        <v>1.7958563260221292</v>
      </c>
      <c r="O18" s="47">
        <f t="shared" si="1"/>
        <v>1.885649142323236</v>
      </c>
      <c r="P18" s="47">
        <f t="shared" si="1"/>
        <v>1.9799315994393973</v>
      </c>
      <c r="Q18" s="47">
        <f t="shared" si="1"/>
        <v>2.0789281794113679</v>
      </c>
      <c r="R18" s="47">
        <f t="shared" si="1"/>
        <v>2.182874588381936</v>
      </c>
      <c r="S18" s="47">
        <f t="shared" si="1"/>
        <v>2.2920183178010332</v>
      </c>
      <c r="T18" s="47">
        <f t="shared" si="1"/>
        <v>2.4066192336910848</v>
      </c>
      <c r="U18" s="47">
        <f t="shared" si="1"/>
        <v>2.526950195375639</v>
      </c>
      <c r="V18" s="47">
        <f t="shared" si="1"/>
        <v>2.6532977051444209</v>
      </c>
    </row>
    <row r="19" spans="1:22" x14ac:dyDescent="0.45">
      <c r="A19" s="48" t="s">
        <v>90</v>
      </c>
      <c r="B19" s="6"/>
      <c r="C19" s="6">
        <f>(1+$D$10)^C17</f>
        <v>1.03</v>
      </c>
      <c r="D19" s="6">
        <f t="shared" ref="D19:V19" si="2">(1+$D$10)^D17</f>
        <v>1.0609</v>
      </c>
      <c r="E19" s="6">
        <f t="shared" si="2"/>
        <v>1.092727</v>
      </c>
      <c r="F19" s="6">
        <f t="shared" si="2"/>
        <v>1.1255088099999999</v>
      </c>
      <c r="G19" s="6">
        <f t="shared" si="2"/>
        <v>1.1592740742999998</v>
      </c>
      <c r="H19" s="6">
        <f t="shared" si="2"/>
        <v>1.1940522965289999</v>
      </c>
      <c r="I19" s="6">
        <f t="shared" si="2"/>
        <v>1.22987386542487</v>
      </c>
      <c r="J19" s="6">
        <f t="shared" si="2"/>
        <v>1.2667700813876159</v>
      </c>
      <c r="K19" s="6">
        <f t="shared" si="2"/>
        <v>1.3047731838292445</v>
      </c>
      <c r="L19" s="6">
        <f t="shared" si="2"/>
        <v>1.3439163793441218</v>
      </c>
      <c r="M19" s="6">
        <f t="shared" si="2"/>
        <v>1.3842338707244455</v>
      </c>
      <c r="N19" s="6">
        <f t="shared" si="2"/>
        <v>1.4257608868461786</v>
      </c>
      <c r="O19" s="6">
        <f t="shared" si="2"/>
        <v>1.4685337134515639</v>
      </c>
      <c r="P19" s="6">
        <f t="shared" si="2"/>
        <v>1.512589724855111</v>
      </c>
      <c r="Q19" s="6">
        <f t="shared" si="2"/>
        <v>1.5579674166007644</v>
      </c>
      <c r="R19" s="6">
        <f t="shared" si="2"/>
        <v>1.6047064390987871</v>
      </c>
      <c r="S19" s="6">
        <f t="shared" si="2"/>
        <v>1.6528476322717507</v>
      </c>
      <c r="T19" s="6">
        <f t="shared" si="2"/>
        <v>1.7024330612399032</v>
      </c>
      <c r="U19" s="6">
        <f t="shared" si="2"/>
        <v>1.7535060530771003</v>
      </c>
      <c r="V19" s="6">
        <f t="shared" si="2"/>
        <v>1.8061112346694133</v>
      </c>
    </row>
    <row r="21" spans="1:22" x14ac:dyDescent="0.45">
      <c r="A21" s="1" t="s">
        <v>11</v>
      </c>
    </row>
    <row r="22" spans="1:22" x14ac:dyDescent="0.45">
      <c r="A22" s="5" t="s">
        <v>9</v>
      </c>
      <c r="B22" s="5">
        <v>0</v>
      </c>
      <c r="C22" s="5">
        <v>1</v>
      </c>
      <c r="D22" s="5">
        <v>2</v>
      </c>
      <c r="E22" s="5">
        <v>3</v>
      </c>
      <c r="F22" s="5">
        <v>4</v>
      </c>
      <c r="G22" s="5">
        <v>5</v>
      </c>
      <c r="H22" s="5">
        <v>6</v>
      </c>
      <c r="I22" s="5">
        <v>7</v>
      </c>
      <c r="J22" s="5">
        <v>8</v>
      </c>
      <c r="K22" s="5">
        <v>9</v>
      </c>
      <c r="L22" s="5">
        <v>10</v>
      </c>
      <c r="M22" s="5">
        <v>11</v>
      </c>
      <c r="N22" s="5">
        <v>12</v>
      </c>
      <c r="O22" s="5">
        <v>13</v>
      </c>
      <c r="P22" s="5">
        <v>14</v>
      </c>
      <c r="Q22" s="5">
        <v>15</v>
      </c>
      <c r="R22" s="5">
        <v>16</v>
      </c>
      <c r="S22" s="5">
        <v>17</v>
      </c>
      <c r="T22" s="5">
        <v>18</v>
      </c>
      <c r="U22" s="5">
        <v>19</v>
      </c>
      <c r="V22" s="5">
        <v>20</v>
      </c>
    </row>
    <row r="23" spans="1:22" x14ac:dyDescent="0.45">
      <c r="A23" t="s">
        <v>12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2" x14ac:dyDescent="0.45">
      <c r="A24" t="s">
        <v>13</v>
      </c>
      <c r="C24" s="2">
        <f>$D$7</f>
        <v>1200</v>
      </c>
      <c r="D24" s="2">
        <f t="shared" ref="D24" si="3">$D$7</f>
        <v>1200</v>
      </c>
      <c r="E24" s="2">
        <f>$D$7*$D$18</f>
        <v>1323</v>
      </c>
      <c r="F24" s="2">
        <f t="shared" ref="F24" si="4">$D$7*$D$18</f>
        <v>1323</v>
      </c>
      <c r="G24" s="2">
        <f>$D$7*$F$18</f>
        <v>1458.6075000000001</v>
      </c>
      <c r="H24" s="2">
        <f t="shared" ref="H24" si="5">$D$7*$F$18</f>
        <v>1458.6075000000001</v>
      </c>
      <c r="I24" s="2">
        <f>$D$7*$H$18</f>
        <v>1608.1147687499999</v>
      </c>
      <c r="J24" s="2">
        <f t="shared" ref="J24" si="6">$D$7*$H$18</f>
        <v>1608.1147687499999</v>
      </c>
      <c r="K24" s="2">
        <f>$D$7*$J$18</f>
        <v>1772.946532546875</v>
      </c>
      <c r="L24" s="2">
        <f t="shared" ref="L24" si="7">$D$7*$J$18</f>
        <v>1772.946532546875</v>
      </c>
      <c r="M24" s="2">
        <f>$D$7*$L$18</f>
        <v>1954.6735521329299</v>
      </c>
      <c r="N24" s="2">
        <f t="shared" ref="N24" si="8">$D$7*$L$18</f>
        <v>1954.6735521329299</v>
      </c>
      <c r="O24" s="2">
        <f>$D$7*$N$18</f>
        <v>2155.0275912265552</v>
      </c>
      <c r="P24" s="2">
        <f t="shared" ref="P24" si="9">$D$7*$N$18</f>
        <v>2155.0275912265552</v>
      </c>
      <c r="Q24" s="2">
        <f>$D$7*$P$18</f>
        <v>2375.9179193272766</v>
      </c>
      <c r="R24" s="2">
        <f t="shared" ref="R24" si="10">$D$7*$P$18</f>
        <v>2375.9179193272766</v>
      </c>
      <c r="S24" s="2">
        <f>$D$7*$R$18</f>
        <v>2619.4495060583231</v>
      </c>
      <c r="T24" s="2">
        <f t="shared" ref="T24" si="11">$D$7*$R$18</f>
        <v>2619.4495060583231</v>
      </c>
      <c r="U24" s="2">
        <f>$D$7*$T$18</f>
        <v>2887.9430804293015</v>
      </c>
      <c r="V24" s="2">
        <f t="shared" ref="V24" si="12">$D$7*$T$18</f>
        <v>2887.9430804293015</v>
      </c>
    </row>
    <row r="25" spans="1:22" x14ac:dyDescent="0.45">
      <c r="A25" s="4" t="s">
        <v>14</v>
      </c>
      <c r="B25" s="4"/>
      <c r="C25" s="6">
        <f>C23*$D$8</f>
        <v>0</v>
      </c>
      <c r="D25" s="6">
        <f t="shared" ref="D25:L25" si="13">D23*$D$8</f>
        <v>0</v>
      </c>
      <c r="E25" s="6">
        <f t="shared" si="13"/>
        <v>0</v>
      </c>
      <c r="F25" s="6">
        <f t="shared" si="13"/>
        <v>0</v>
      </c>
      <c r="G25" s="6">
        <f t="shared" si="13"/>
        <v>0</v>
      </c>
      <c r="H25" s="6">
        <f t="shared" si="13"/>
        <v>0</v>
      </c>
      <c r="I25" s="6">
        <f t="shared" si="13"/>
        <v>0</v>
      </c>
      <c r="J25" s="6">
        <f t="shared" si="13"/>
        <v>0</v>
      </c>
      <c r="K25" s="6">
        <f t="shared" si="13"/>
        <v>0</v>
      </c>
      <c r="L25" s="6">
        <f t="shared" si="13"/>
        <v>0</v>
      </c>
      <c r="M25" s="6">
        <f t="shared" ref="M25:V25" si="14">M23*$D$8</f>
        <v>0</v>
      </c>
      <c r="N25" s="6">
        <f t="shared" si="14"/>
        <v>0</v>
      </c>
      <c r="O25" s="6">
        <f t="shared" si="14"/>
        <v>0</v>
      </c>
      <c r="P25" s="6">
        <f t="shared" si="14"/>
        <v>0</v>
      </c>
      <c r="Q25" s="6">
        <f t="shared" si="14"/>
        <v>0</v>
      </c>
      <c r="R25" s="6">
        <f t="shared" si="14"/>
        <v>0</v>
      </c>
      <c r="S25" s="6">
        <f t="shared" si="14"/>
        <v>0</v>
      </c>
      <c r="T25" s="6">
        <f t="shared" si="14"/>
        <v>0</v>
      </c>
      <c r="U25" s="6">
        <f t="shared" si="14"/>
        <v>0</v>
      </c>
      <c r="V25" s="6">
        <f t="shared" si="14"/>
        <v>0</v>
      </c>
    </row>
    <row r="27" spans="1:22" x14ac:dyDescent="0.45">
      <c r="A27" s="1" t="s">
        <v>15</v>
      </c>
    </row>
    <row r="28" spans="1:22" x14ac:dyDescent="0.45">
      <c r="A28" s="5" t="s">
        <v>9</v>
      </c>
      <c r="B28" s="5">
        <v>0</v>
      </c>
      <c r="C28" s="5">
        <v>1</v>
      </c>
      <c r="D28" s="5">
        <v>2</v>
      </c>
      <c r="E28" s="5">
        <v>3</v>
      </c>
      <c r="F28" s="5">
        <v>4</v>
      </c>
      <c r="G28" s="5">
        <v>5</v>
      </c>
      <c r="H28" s="5">
        <v>6</v>
      </c>
      <c r="I28" s="5">
        <v>7</v>
      </c>
      <c r="J28" s="5">
        <v>8</v>
      </c>
      <c r="K28" s="5">
        <v>9</v>
      </c>
      <c r="L28" s="5">
        <v>10</v>
      </c>
      <c r="M28" s="5">
        <v>11</v>
      </c>
      <c r="N28" s="5">
        <v>12</v>
      </c>
      <c r="O28" s="5">
        <v>13</v>
      </c>
      <c r="P28" s="5">
        <v>14</v>
      </c>
      <c r="Q28" s="5">
        <v>15</v>
      </c>
      <c r="R28" s="5">
        <v>16</v>
      </c>
      <c r="S28" s="5">
        <v>17</v>
      </c>
      <c r="T28" s="5">
        <v>18</v>
      </c>
      <c r="U28" s="5">
        <v>19</v>
      </c>
      <c r="V28" s="5">
        <v>20</v>
      </c>
    </row>
    <row r="29" spans="1:22" x14ac:dyDescent="0.45">
      <c r="A29" t="s">
        <v>5</v>
      </c>
      <c r="C29" s="2">
        <f>C23</f>
        <v>0</v>
      </c>
      <c r="D29" s="2">
        <f t="shared" ref="D29:L29" si="15">D23</f>
        <v>0</v>
      </c>
      <c r="E29" s="2">
        <f t="shared" si="15"/>
        <v>0</v>
      </c>
      <c r="F29" s="2">
        <f t="shared" si="15"/>
        <v>0</v>
      </c>
      <c r="G29" s="2">
        <f t="shared" si="15"/>
        <v>0</v>
      </c>
      <c r="H29" s="2">
        <f t="shared" si="15"/>
        <v>0</v>
      </c>
      <c r="I29" s="2">
        <f t="shared" si="15"/>
        <v>0</v>
      </c>
      <c r="J29" s="2">
        <f t="shared" si="15"/>
        <v>0</v>
      </c>
      <c r="K29" s="2">
        <f t="shared" si="15"/>
        <v>0</v>
      </c>
      <c r="L29" s="2">
        <f t="shared" si="15"/>
        <v>0</v>
      </c>
      <c r="M29" s="2">
        <f t="shared" ref="M29:V29" si="16">M23</f>
        <v>0</v>
      </c>
      <c r="N29" s="2">
        <f t="shared" si="16"/>
        <v>0</v>
      </c>
      <c r="O29" s="2">
        <f t="shared" si="16"/>
        <v>0</v>
      </c>
      <c r="P29" s="2">
        <f t="shared" si="16"/>
        <v>0</v>
      </c>
      <c r="Q29" s="2">
        <f t="shared" si="16"/>
        <v>0</v>
      </c>
      <c r="R29" s="2">
        <f t="shared" si="16"/>
        <v>0</v>
      </c>
      <c r="S29" s="2">
        <f t="shared" si="16"/>
        <v>0</v>
      </c>
      <c r="T29" s="2">
        <f t="shared" si="16"/>
        <v>0</v>
      </c>
      <c r="U29" s="2">
        <f t="shared" si="16"/>
        <v>0</v>
      </c>
      <c r="V29" s="2">
        <f t="shared" si="16"/>
        <v>0</v>
      </c>
    </row>
    <row r="30" spans="1:22" x14ac:dyDescent="0.45">
      <c r="A30" t="s">
        <v>91</v>
      </c>
      <c r="C30" s="2">
        <f>C24+C25</f>
        <v>1200</v>
      </c>
      <c r="D30" s="2">
        <f t="shared" ref="D30:L30" si="17">D24+D25</f>
        <v>1200</v>
      </c>
      <c r="E30" s="2">
        <f t="shared" si="17"/>
        <v>1323</v>
      </c>
      <c r="F30" s="2">
        <f t="shared" si="17"/>
        <v>1323</v>
      </c>
      <c r="G30" s="2">
        <f t="shared" si="17"/>
        <v>1458.6075000000001</v>
      </c>
      <c r="H30" s="2">
        <f t="shared" si="17"/>
        <v>1458.6075000000001</v>
      </c>
      <c r="I30" s="2">
        <f t="shared" si="17"/>
        <v>1608.1147687499999</v>
      </c>
      <c r="J30" s="2">
        <f t="shared" si="17"/>
        <v>1608.1147687499999</v>
      </c>
      <c r="K30" s="2">
        <f t="shared" si="17"/>
        <v>1772.946532546875</v>
      </c>
      <c r="L30" s="2">
        <f t="shared" si="17"/>
        <v>1772.946532546875</v>
      </c>
      <c r="M30" s="2">
        <f t="shared" ref="M30:V30" si="18">M24+M25</f>
        <v>1954.6735521329299</v>
      </c>
      <c r="N30" s="2">
        <f t="shared" si="18"/>
        <v>1954.6735521329299</v>
      </c>
      <c r="O30" s="2">
        <f t="shared" si="18"/>
        <v>2155.0275912265552</v>
      </c>
      <c r="P30" s="2">
        <f t="shared" si="18"/>
        <v>2155.0275912265552</v>
      </c>
      <c r="Q30" s="2">
        <f t="shared" si="18"/>
        <v>2375.9179193272766</v>
      </c>
      <c r="R30" s="2">
        <f t="shared" si="18"/>
        <v>2375.9179193272766</v>
      </c>
      <c r="S30" s="2">
        <f t="shared" si="18"/>
        <v>2619.4495060583231</v>
      </c>
      <c r="T30" s="2">
        <f t="shared" si="18"/>
        <v>2619.4495060583231</v>
      </c>
      <c r="U30" s="2">
        <f t="shared" si="18"/>
        <v>2887.9430804293015</v>
      </c>
      <c r="V30" s="2">
        <f t="shared" si="18"/>
        <v>2887.9430804293015</v>
      </c>
    </row>
    <row r="31" spans="1:22" x14ac:dyDescent="0.45">
      <c r="A31" t="s">
        <v>71</v>
      </c>
      <c r="C31" s="2">
        <f>($B$8+$B$9)/$G$13</f>
        <v>2500</v>
      </c>
      <c r="D31" s="2">
        <f t="shared" ref="D31:V31" si="19">($B$8+$B$9)/$G$13</f>
        <v>2500</v>
      </c>
      <c r="E31" s="2">
        <f t="shared" si="19"/>
        <v>2500</v>
      </c>
      <c r="F31" s="2">
        <f t="shared" si="19"/>
        <v>2500</v>
      </c>
      <c r="G31" s="2">
        <f t="shared" si="19"/>
        <v>2500</v>
      </c>
      <c r="H31" s="2">
        <f t="shared" si="19"/>
        <v>2500</v>
      </c>
      <c r="I31" s="2">
        <f t="shared" si="19"/>
        <v>2500</v>
      </c>
      <c r="J31" s="2">
        <f t="shared" si="19"/>
        <v>2500</v>
      </c>
      <c r="K31" s="2">
        <f t="shared" si="19"/>
        <v>2500</v>
      </c>
      <c r="L31" s="2">
        <f t="shared" si="19"/>
        <v>2500</v>
      </c>
      <c r="M31" s="2">
        <f t="shared" si="19"/>
        <v>2500</v>
      </c>
      <c r="N31" s="2">
        <f t="shared" si="19"/>
        <v>2500</v>
      </c>
      <c r="O31" s="2">
        <f t="shared" si="19"/>
        <v>2500</v>
      </c>
      <c r="P31" s="2">
        <f t="shared" si="19"/>
        <v>2500</v>
      </c>
      <c r="Q31" s="2">
        <f t="shared" si="19"/>
        <v>2500</v>
      </c>
      <c r="R31" s="2">
        <f t="shared" si="19"/>
        <v>2500</v>
      </c>
      <c r="S31" s="2">
        <f t="shared" si="19"/>
        <v>2500</v>
      </c>
      <c r="T31" s="2">
        <f t="shared" si="19"/>
        <v>2500</v>
      </c>
      <c r="U31" s="2">
        <f t="shared" si="19"/>
        <v>2500</v>
      </c>
      <c r="V31" s="2">
        <f t="shared" si="19"/>
        <v>2500</v>
      </c>
    </row>
    <row r="32" spans="1:22" x14ac:dyDescent="0.45">
      <c r="A32" t="s">
        <v>16</v>
      </c>
      <c r="C32" s="2">
        <f>C29-C30-C31</f>
        <v>-3700</v>
      </c>
      <c r="D32" s="2">
        <f t="shared" ref="D32:V32" si="20">D29-D30-D31</f>
        <v>-3700</v>
      </c>
      <c r="E32" s="2">
        <f t="shared" si="20"/>
        <v>-3823</v>
      </c>
      <c r="F32" s="2">
        <f t="shared" si="20"/>
        <v>-3823</v>
      </c>
      <c r="G32" s="2">
        <f t="shared" si="20"/>
        <v>-3958.6075000000001</v>
      </c>
      <c r="H32" s="2">
        <f t="shared" si="20"/>
        <v>-3958.6075000000001</v>
      </c>
      <c r="I32" s="2">
        <f t="shared" si="20"/>
        <v>-4108.1147687499997</v>
      </c>
      <c r="J32" s="2">
        <f t="shared" si="20"/>
        <v>-4108.1147687499997</v>
      </c>
      <c r="K32" s="2">
        <f t="shared" si="20"/>
        <v>-4272.9465325468755</v>
      </c>
      <c r="L32" s="2">
        <f t="shared" si="20"/>
        <v>-4272.9465325468755</v>
      </c>
      <c r="M32" s="2">
        <f t="shared" si="20"/>
        <v>-4454.6735521329301</v>
      </c>
      <c r="N32" s="2">
        <f t="shared" si="20"/>
        <v>-4454.6735521329301</v>
      </c>
      <c r="O32" s="2">
        <f t="shared" si="20"/>
        <v>-4655.0275912265552</v>
      </c>
      <c r="P32" s="2">
        <f t="shared" si="20"/>
        <v>-4655.0275912265552</v>
      </c>
      <c r="Q32" s="2">
        <f t="shared" si="20"/>
        <v>-4875.9179193272766</v>
      </c>
      <c r="R32" s="2">
        <f t="shared" si="20"/>
        <v>-4875.9179193272766</v>
      </c>
      <c r="S32" s="2">
        <f t="shared" si="20"/>
        <v>-5119.4495060583231</v>
      </c>
      <c r="T32" s="2">
        <f t="shared" si="20"/>
        <v>-5119.4495060583231</v>
      </c>
      <c r="U32" s="2">
        <f t="shared" si="20"/>
        <v>-5387.9430804293015</v>
      </c>
      <c r="V32" s="2">
        <f t="shared" si="20"/>
        <v>-5387.9430804293015</v>
      </c>
    </row>
    <row r="33" spans="1:22" x14ac:dyDescent="0.45">
      <c r="A33" t="s">
        <v>17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45">
      <c r="A34" t="s">
        <v>19</v>
      </c>
      <c r="C34" s="2">
        <f>C32-C33</f>
        <v>-3700</v>
      </c>
      <c r="D34" s="2">
        <f t="shared" ref="D34:L34" si="21">D32-D33</f>
        <v>-3700</v>
      </c>
      <c r="E34" s="2">
        <f t="shared" si="21"/>
        <v>-3823</v>
      </c>
      <c r="F34" s="2">
        <f t="shared" si="21"/>
        <v>-3823</v>
      </c>
      <c r="G34" s="2">
        <f t="shared" si="21"/>
        <v>-3958.6075000000001</v>
      </c>
      <c r="H34" s="2">
        <f t="shared" si="21"/>
        <v>-3958.6075000000001</v>
      </c>
      <c r="I34" s="2">
        <f t="shared" si="21"/>
        <v>-4108.1147687499997</v>
      </c>
      <c r="J34" s="2">
        <f t="shared" si="21"/>
        <v>-4108.1147687499997</v>
      </c>
      <c r="K34" s="2">
        <f t="shared" si="21"/>
        <v>-4272.9465325468755</v>
      </c>
      <c r="L34" s="2">
        <f t="shared" si="21"/>
        <v>-4272.9465325468755</v>
      </c>
      <c r="M34" s="2">
        <f t="shared" ref="M34" si="22">M32-M33</f>
        <v>-4454.6735521329301</v>
      </c>
      <c r="N34" s="2">
        <f t="shared" ref="N34" si="23">N32-N33</f>
        <v>-4454.6735521329301</v>
      </c>
      <c r="O34" s="2">
        <f t="shared" ref="O34" si="24">O32-O33</f>
        <v>-4655.0275912265552</v>
      </c>
      <c r="P34" s="2">
        <f t="shared" ref="P34" si="25">P32-P33</f>
        <v>-4655.0275912265552</v>
      </c>
      <c r="Q34" s="2">
        <f t="shared" ref="Q34" si="26">Q32-Q33</f>
        <v>-4875.9179193272766</v>
      </c>
      <c r="R34" s="2">
        <f t="shared" ref="R34" si="27">R32-R33</f>
        <v>-4875.9179193272766</v>
      </c>
      <c r="S34" s="2">
        <f t="shared" ref="S34" si="28">S32-S33</f>
        <v>-5119.4495060583231</v>
      </c>
      <c r="T34" s="2">
        <f t="shared" ref="T34" si="29">T32-T33</f>
        <v>-5119.4495060583231</v>
      </c>
      <c r="U34" s="2">
        <f t="shared" ref="U34" si="30">U32-U33</f>
        <v>-5387.9430804293015</v>
      </c>
      <c r="V34" s="2">
        <f t="shared" ref="V34" si="31">V32-V33</f>
        <v>-5387.9430804293015</v>
      </c>
    </row>
    <row r="35" spans="1:22" x14ac:dyDescent="0.45">
      <c r="A35" s="4" t="s">
        <v>7</v>
      </c>
      <c r="B35" s="4"/>
      <c r="C35" s="6">
        <f>C34*$G$8</f>
        <v>-740</v>
      </c>
      <c r="D35" s="6">
        <f t="shared" ref="D35:L35" si="32">D34*$G$8</f>
        <v>-740</v>
      </c>
      <c r="E35" s="6">
        <f t="shared" si="32"/>
        <v>-764.6</v>
      </c>
      <c r="F35" s="6">
        <f t="shared" si="32"/>
        <v>-764.6</v>
      </c>
      <c r="G35" s="6">
        <f t="shared" si="32"/>
        <v>-791.72150000000011</v>
      </c>
      <c r="H35" s="6">
        <f t="shared" si="32"/>
        <v>-791.72150000000011</v>
      </c>
      <c r="I35" s="6">
        <f t="shared" si="32"/>
        <v>-821.62295374999997</v>
      </c>
      <c r="J35" s="6">
        <f t="shared" si="32"/>
        <v>-821.62295374999997</v>
      </c>
      <c r="K35" s="6">
        <f t="shared" si="32"/>
        <v>-854.58930650937509</v>
      </c>
      <c r="L35" s="6">
        <f t="shared" si="32"/>
        <v>-854.58930650937509</v>
      </c>
      <c r="M35" s="6">
        <f t="shared" ref="M35:V35" si="33">M34*$G$8</f>
        <v>-890.93471042658609</v>
      </c>
      <c r="N35" s="6">
        <f t="shared" si="33"/>
        <v>-890.93471042658609</v>
      </c>
      <c r="O35" s="6">
        <f t="shared" si="33"/>
        <v>-931.00551824531112</v>
      </c>
      <c r="P35" s="6">
        <f t="shared" si="33"/>
        <v>-931.00551824531112</v>
      </c>
      <c r="Q35" s="6">
        <f t="shared" si="33"/>
        <v>-975.18358386545538</v>
      </c>
      <c r="R35" s="6">
        <f t="shared" si="33"/>
        <v>-975.18358386545538</v>
      </c>
      <c r="S35" s="6">
        <f t="shared" si="33"/>
        <v>-1023.8899012116647</v>
      </c>
      <c r="T35" s="6">
        <f t="shared" si="33"/>
        <v>-1023.8899012116647</v>
      </c>
      <c r="U35" s="6">
        <f t="shared" si="33"/>
        <v>-1077.5886160858604</v>
      </c>
      <c r="V35" s="6">
        <f t="shared" si="33"/>
        <v>-1077.5886160858604</v>
      </c>
    </row>
    <row r="37" spans="1:22" x14ac:dyDescent="0.45">
      <c r="A37" s="1" t="s">
        <v>24</v>
      </c>
    </row>
    <row r="38" spans="1:22" x14ac:dyDescent="0.45">
      <c r="A38" s="5" t="s">
        <v>9</v>
      </c>
      <c r="B38" s="5">
        <v>0</v>
      </c>
      <c r="C38" s="5">
        <v>1</v>
      </c>
      <c r="D38" s="5">
        <v>2</v>
      </c>
      <c r="E38" s="5">
        <v>3</v>
      </c>
      <c r="F38" s="5">
        <v>4</v>
      </c>
      <c r="G38" s="5">
        <v>5</v>
      </c>
      <c r="H38" s="5">
        <v>6</v>
      </c>
      <c r="I38" s="5">
        <v>7</v>
      </c>
      <c r="J38" s="5">
        <v>8</v>
      </c>
      <c r="K38" s="5">
        <v>9</v>
      </c>
      <c r="L38" s="5">
        <v>10</v>
      </c>
      <c r="M38" s="5">
        <v>11</v>
      </c>
      <c r="N38" s="5">
        <v>12</v>
      </c>
      <c r="O38" s="5">
        <v>13</v>
      </c>
      <c r="P38" s="5">
        <v>14</v>
      </c>
      <c r="Q38" s="5">
        <v>15</v>
      </c>
      <c r="R38" s="5">
        <v>16</v>
      </c>
      <c r="S38" s="5">
        <v>17</v>
      </c>
      <c r="T38" s="5">
        <v>18</v>
      </c>
      <c r="U38" s="5">
        <v>19</v>
      </c>
      <c r="V38" s="5">
        <v>20</v>
      </c>
    </row>
    <row r="39" spans="1:22" x14ac:dyDescent="0.45">
      <c r="A39" t="s">
        <v>21</v>
      </c>
      <c r="C39" s="2">
        <f>C23*$D$12</f>
        <v>0</v>
      </c>
      <c r="D39" s="2">
        <f t="shared" ref="D39:U39" si="34">D23*$D$12</f>
        <v>0</v>
      </c>
      <c r="E39" s="2">
        <f t="shared" si="34"/>
        <v>0</v>
      </c>
      <c r="F39" s="2">
        <f t="shared" si="34"/>
        <v>0</v>
      </c>
      <c r="G39" s="2">
        <f t="shared" si="34"/>
        <v>0</v>
      </c>
      <c r="H39" s="2">
        <f t="shared" si="34"/>
        <v>0</v>
      </c>
      <c r="I39" s="2">
        <f t="shared" si="34"/>
        <v>0</v>
      </c>
      <c r="J39" s="2">
        <f t="shared" si="34"/>
        <v>0</v>
      </c>
      <c r="K39" s="2">
        <f t="shared" si="34"/>
        <v>0</v>
      </c>
      <c r="L39" s="2">
        <f t="shared" si="34"/>
        <v>0</v>
      </c>
      <c r="M39" s="2">
        <f t="shared" si="34"/>
        <v>0</v>
      </c>
      <c r="N39" s="2">
        <f t="shared" si="34"/>
        <v>0</v>
      </c>
      <c r="O39" s="2">
        <f t="shared" si="34"/>
        <v>0</v>
      </c>
      <c r="P39" s="2">
        <f t="shared" si="34"/>
        <v>0</v>
      </c>
      <c r="Q39" s="2">
        <f t="shared" si="34"/>
        <v>0</v>
      </c>
      <c r="R39" s="2">
        <f t="shared" si="34"/>
        <v>0</v>
      </c>
      <c r="S39" s="2">
        <f t="shared" si="34"/>
        <v>0</v>
      </c>
      <c r="T39" s="2">
        <f t="shared" si="34"/>
        <v>0</v>
      </c>
      <c r="U39" s="2">
        <f t="shared" si="34"/>
        <v>0</v>
      </c>
      <c r="V39" s="2"/>
    </row>
    <row r="40" spans="1:22" x14ac:dyDescent="0.45">
      <c r="A40" t="s">
        <v>55</v>
      </c>
      <c r="C40" s="2">
        <f>$D$13*C25</f>
        <v>0</v>
      </c>
      <c r="D40" s="2">
        <f t="shared" ref="D40:U40" si="35">$D$13*D25</f>
        <v>0</v>
      </c>
      <c r="E40" s="2">
        <f t="shared" si="35"/>
        <v>0</v>
      </c>
      <c r="F40" s="2">
        <f t="shared" si="35"/>
        <v>0</v>
      </c>
      <c r="G40" s="2">
        <f t="shared" si="35"/>
        <v>0</v>
      </c>
      <c r="H40" s="2">
        <f t="shared" si="35"/>
        <v>0</v>
      </c>
      <c r="I40" s="2">
        <f t="shared" si="35"/>
        <v>0</v>
      </c>
      <c r="J40" s="2">
        <f t="shared" si="35"/>
        <v>0</v>
      </c>
      <c r="K40" s="2">
        <f t="shared" si="35"/>
        <v>0</v>
      </c>
      <c r="L40" s="2">
        <f t="shared" si="35"/>
        <v>0</v>
      </c>
      <c r="M40" s="2">
        <f t="shared" si="35"/>
        <v>0</v>
      </c>
      <c r="N40" s="2">
        <f t="shared" si="35"/>
        <v>0</v>
      </c>
      <c r="O40" s="2">
        <f t="shared" si="35"/>
        <v>0</v>
      </c>
      <c r="P40" s="2">
        <f t="shared" si="35"/>
        <v>0</v>
      </c>
      <c r="Q40" s="2">
        <f t="shared" si="35"/>
        <v>0</v>
      </c>
      <c r="R40" s="2">
        <f t="shared" si="35"/>
        <v>0</v>
      </c>
      <c r="S40" s="2">
        <f t="shared" si="35"/>
        <v>0</v>
      </c>
      <c r="T40" s="2">
        <f t="shared" si="35"/>
        <v>0</v>
      </c>
      <c r="U40" s="2">
        <f t="shared" si="35"/>
        <v>0</v>
      </c>
      <c r="V40" s="2"/>
    </row>
    <row r="41" spans="1:22" x14ac:dyDescent="0.45">
      <c r="A41" t="s">
        <v>23</v>
      </c>
      <c r="C41" s="2">
        <f>C29*$D$14</f>
        <v>0</v>
      </c>
      <c r="D41" s="2">
        <f t="shared" ref="D41:U41" si="36">D29*$D$14</f>
        <v>0</v>
      </c>
      <c r="E41" s="2">
        <f t="shared" si="36"/>
        <v>0</v>
      </c>
      <c r="F41" s="2">
        <f t="shared" si="36"/>
        <v>0</v>
      </c>
      <c r="G41" s="2">
        <f t="shared" si="36"/>
        <v>0</v>
      </c>
      <c r="H41" s="2">
        <f t="shared" si="36"/>
        <v>0</v>
      </c>
      <c r="I41" s="2">
        <f t="shared" si="36"/>
        <v>0</v>
      </c>
      <c r="J41" s="2">
        <f t="shared" si="36"/>
        <v>0</v>
      </c>
      <c r="K41" s="2">
        <f t="shared" si="36"/>
        <v>0</v>
      </c>
      <c r="L41" s="2">
        <f t="shared" si="36"/>
        <v>0</v>
      </c>
      <c r="M41" s="2">
        <f t="shared" si="36"/>
        <v>0</v>
      </c>
      <c r="N41" s="2">
        <f t="shared" si="36"/>
        <v>0</v>
      </c>
      <c r="O41" s="2">
        <f t="shared" si="36"/>
        <v>0</v>
      </c>
      <c r="P41" s="2">
        <f t="shared" si="36"/>
        <v>0</v>
      </c>
      <c r="Q41" s="2">
        <f t="shared" si="36"/>
        <v>0</v>
      </c>
      <c r="R41" s="2">
        <f t="shared" si="36"/>
        <v>0</v>
      </c>
      <c r="S41" s="2">
        <f t="shared" si="36"/>
        <v>0</v>
      </c>
      <c r="T41" s="2">
        <f t="shared" si="36"/>
        <v>0</v>
      </c>
      <c r="U41" s="2">
        <f t="shared" si="36"/>
        <v>0</v>
      </c>
      <c r="V41" s="2"/>
    </row>
    <row r="42" spans="1:22" ht="14.65" x14ac:dyDescent="0.45">
      <c r="A42" s="8" t="s">
        <v>25</v>
      </c>
      <c r="C42" s="2">
        <f>B39-C39</f>
        <v>0</v>
      </c>
      <c r="D42" s="2">
        <f t="shared" ref="D42:L42" si="37">C39-D39</f>
        <v>0</v>
      </c>
      <c r="E42" s="2">
        <f t="shared" si="37"/>
        <v>0</v>
      </c>
      <c r="F42" s="2">
        <f t="shared" si="37"/>
        <v>0</v>
      </c>
      <c r="G42" s="2">
        <f t="shared" si="37"/>
        <v>0</v>
      </c>
      <c r="H42" s="2">
        <f t="shared" si="37"/>
        <v>0</v>
      </c>
      <c r="I42" s="2">
        <f t="shared" si="37"/>
        <v>0</v>
      </c>
      <c r="J42" s="2">
        <f t="shared" si="37"/>
        <v>0</v>
      </c>
      <c r="K42" s="2">
        <f t="shared" si="37"/>
        <v>0</v>
      </c>
      <c r="L42" s="2">
        <f t="shared" si="37"/>
        <v>0</v>
      </c>
      <c r="M42" s="2">
        <f t="shared" ref="M42:V42" si="38">L39-M39</f>
        <v>0</v>
      </c>
      <c r="N42" s="2">
        <f t="shared" si="38"/>
        <v>0</v>
      </c>
      <c r="O42" s="2">
        <f t="shared" si="38"/>
        <v>0</v>
      </c>
      <c r="P42" s="2">
        <f t="shared" si="38"/>
        <v>0</v>
      </c>
      <c r="Q42" s="2">
        <f t="shared" si="38"/>
        <v>0</v>
      </c>
      <c r="R42" s="2">
        <f t="shared" si="38"/>
        <v>0</v>
      </c>
      <c r="S42" s="2">
        <f t="shared" si="38"/>
        <v>0</v>
      </c>
      <c r="T42" s="2">
        <f t="shared" si="38"/>
        <v>0</v>
      </c>
      <c r="U42" s="2">
        <f t="shared" si="38"/>
        <v>0</v>
      </c>
      <c r="V42" s="2">
        <f t="shared" si="38"/>
        <v>0</v>
      </c>
    </row>
    <row r="43" spans="1:22" ht="14.65" x14ac:dyDescent="0.45">
      <c r="A43" s="8" t="s">
        <v>59</v>
      </c>
      <c r="C43" s="2">
        <f>B40-C40</f>
        <v>0</v>
      </c>
      <c r="D43" s="2">
        <f t="shared" ref="D43:V43" si="39">C40-D40</f>
        <v>0</v>
      </c>
      <c r="E43" s="2">
        <f t="shared" si="39"/>
        <v>0</v>
      </c>
      <c r="F43" s="2">
        <f t="shared" si="39"/>
        <v>0</v>
      </c>
      <c r="G43" s="2">
        <f t="shared" si="39"/>
        <v>0</v>
      </c>
      <c r="H43" s="2">
        <f t="shared" si="39"/>
        <v>0</v>
      </c>
      <c r="I43" s="2">
        <f t="shared" si="39"/>
        <v>0</v>
      </c>
      <c r="J43" s="2">
        <f t="shared" si="39"/>
        <v>0</v>
      </c>
      <c r="K43" s="2">
        <f t="shared" si="39"/>
        <v>0</v>
      </c>
      <c r="L43" s="2">
        <f t="shared" si="39"/>
        <v>0</v>
      </c>
      <c r="M43" s="2">
        <f t="shared" si="39"/>
        <v>0</v>
      </c>
      <c r="N43" s="2">
        <f t="shared" si="39"/>
        <v>0</v>
      </c>
      <c r="O43" s="2">
        <f t="shared" si="39"/>
        <v>0</v>
      </c>
      <c r="P43" s="2">
        <f t="shared" si="39"/>
        <v>0</v>
      </c>
      <c r="Q43" s="2">
        <f t="shared" si="39"/>
        <v>0</v>
      </c>
      <c r="R43" s="2">
        <f t="shared" si="39"/>
        <v>0</v>
      </c>
      <c r="S43" s="2">
        <f t="shared" si="39"/>
        <v>0</v>
      </c>
      <c r="T43" s="2">
        <f t="shared" si="39"/>
        <v>0</v>
      </c>
      <c r="U43" s="2">
        <f t="shared" si="39"/>
        <v>0</v>
      </c>
      <c r="V43" s="2">
        <f t="shared" si="39"/>
        <v>0</v>
      </c>
    </row>
    <row r="44" spans="1:22" ht="14.65" x14ac:dyDescent="0.45">
      <c r="A44" s="9" t="s">
        <v>26</v>
      </c>
      <c r="B44" s="4"/>
      <c r="C44" s="6">
        <f>C41-B41</f>
        <v>0</v>
      </c>
      <c r="D44" s="6">
        <f t="shared" ref="D44:L44" si="40">D41-C41</f>
        <v>0</v>
      </c>
      <c r="E44" s="6">
        <f t="shared" si="40"/>
        <v>0</v>
      </c>
      <c r="F44" s="6">
        <f t="shared" si="40"/>
        <v>0</v>
      </c>
      <c r="G44" s="6">
        <f t="shared" si="40"/>
        <v>0</v>
      </c>
      <c r="H44" s="6">
        <f t="shared" si="40"/>
        <v>0</v>
      </c>
      <c r="I44" s="6">
        <f t="shared" si="40"/>
        <v>0</v>
      </c>
      <c r="J44" s="6">
        <f t="shared" si="40"/>
        <v>0</v>
      </c>
      <c r="K44" s="6">
        <f t="shared" si="40"/>
        <v>0</v>
      </c>
      <c r="L44" s="6">
        <f t="shared" si="40"/>
        <v>0</v>
      </c>
      <c r="M44" s="6">
        <f t="shared" ref="M44:V44" si="41">M41-L41</f>
        <v>0</v>
      </c>
      <c r="N44" s="6">
        <f t="shared" si="41"/>
        <v>0</v>
      </c>
      <c r="O44" s="6">
        <f t="shared" si="41"/>
        <v>0</v>
      </c>
      <c r="P44" s="6">
        <f t="shared" si="41"/>
        <v>0</v>
      </c>
      <c r="Q44" s="6">
        <f t="shared" si="41"/>
        <v>0</v>
      </c>
      <c r="R44" s="6">
        <f t="shared" si="41"/>
        <v>0</v>
      </c>
      <c r="S44" s="6">
        <f t="shared" si="41"/>
        <v>0</v>
      </c>
      <c r="T44" s="6">
        <f t="shared" si="41"/>
        <v>0</v>
      </c>
      <c r="U44" s="6">
        <f t="shared" si="41"/>
        <v>0</v>
      </c>
      <c r="V44" s="6">
        <f t="shared" si="41"/>
        <v>0</v>
      </c>
    </row>
    <row r="46" spans="1:22" x14ac:dyDescent="0.45">
      <c r="A46" s="1" t="s">
        <v>27</v>
      </c>
    </row>
    <row r="47" spans="1:22" x14ac:dyDescent="0.45">
      <c r="A47" s="5" t="s">
        <v>9</v>
      </c>
      <c r="B47" s="5">
        <v>0</v>
      </c>
      <c r="C47" s="5">
        <v>1</v>
      </c>
      <c r="D47" s="5">
        <v>2</v>
      </c>
      <c r="E47" s="5">
        <v>3</v>
      </c>
      <c r="F47" s="5">
        <v>4</v>
      </c>
      <c r="G47" s="5">
        <v>5</v>
      </c>
      <c r="H47" s="5">
        <v>6</v>
      </c>
      <c r="I47" s="5">
        <v>7</v>
      </c>
      <c r="J47" s="5">
        <v>8</v>
      </c>
      <c r="K47" s="5">
        <v>9</v>
      </c>
      <c r="L47" s="5">
        <v>10</v>
      </c>
      <c r="M47" s="5">
        <v>11</v>
      </c>
      <c r="N47" s="5">
        <v>12</v>
      </c>
      <c r="O47" s="5">
        <v>13</v>
      </c>
      <c r="P47" s="5">
        <v>14</v>
      </c>
      <c r="Q47" s="5">
        <v>15</v>
      </c>
      <c r="R47" s="5">
        <v>16</v>
      </c>
      <c r="S47" s="5">
        <v>17</v>
      </c>
      <c r="T47" s="5">
        <v>18</v>
      </c>
      <c r="U47" s="5">
        <v>19</v>
      </c>
      <c r="V47" s="5">
        <v>20</v>
      </c>
    </row>
    <row r="48" spans="1:22" x14ac:dyDescent="0.45">
      <c r="A48" s="1" t="s">
        <v>28</v>
      </c>
    </row>
    <row r="49" spans="1:22" x14ac:dyDescent="0.45">
      <c r="A49" t="s">
        <v>29</v>
      </c>
      <c r="C49" s="2">
        <f>C23</f>
        <v>0</v>
      </c>
      <c r="D49" s="2">
        <f t="shared" ref="D49:L49" si="42">D23</f>
        <v>0</v>
      </c>
      <c r="E49" s="2">
        <f t="shared" si="42"/>
        <v>0</v>
      </c>
      <c r="F49" s="2">
        <f t="shared" si="42"/>
        <v>0</v>
      </c>
      <c r="G49" s="2">
        <f t="shared" si="42"/>
        <v>0</v>
      </c>
      <c r="H49" s="2">
        <f t="shared" si="42"/>
        <v>0</v>
      </c>
      <c r="I49" s="2">
        <f t="shared" si="42"/>
        <v>0</v>
      </c>
      <c r="J49" s="2">
        <f t="shared" si="42"/>
        <v>0</v>
      </c>
      <c r="K49" s="2">
        <f t="shared" si="42"/>
        <v>0</v>
      </c>
      <c r="L49" s="2">
        <f t="shared" si="42"/>
        <v>0</v>
      </c>
      <c r="M49" s="2">
        <f t="shared" ref="M49:V49" si="43">M23</f>
        <v>0</v>
      </c>
      <c r="N49" s="2">
        <f t="shared" si="43"/>
        <v>0</v>
      </c>
      <c r="O49" s="2">
        <f t="shared" si="43"/>
        <v>0</v>
      </c>
      <c r="P49" s="2">
        <f t="shared" si="43"/>
        <v>0</v>
      </c>
      <c r="Q49" s="2">
        <f t="shared" si="43"/>
        <v>0</v>
      </c>
      <c r="R49" s="2">
        <f t="shared" si="43"/>
        <v>0</v>
      </c>
      <c r="S49" s="2">
        <f t="shared" si="43"/>
        <v>0</v>
      </c>
      <c r="T49" s="2">
        <f t="shared" si="43"/>
        <v>0</v>
      </c>
      <c r="U49" s="2">
        <f t="shared" si="43"/>
        <v>0</v>
      </c>
      <c r="V49" s="2">
        <f t="shared" si="43"/>
        <v>0</v>
      </c>
    </row>
    <row r="50" spans="1:22" ht="14.65" x14ac:dyDescent="0.45">
      <c r="A50" s="8" t="s">
        <v>37</v>
      </c>
      <c r="C50" s="2">
        <f>C42</f>
        <v>0</v>
      </c>
      <c r="D50" s="2">
        <f t="shared" ref="D50:L50" si="44">D42</f>
        <v>0</v>
      </c>
      <c r="E50" s="2">
        <f t="shared" si="44"/>
        <v>0</v>
      </c>
      <c r="F50" s="2">
        <f t="shared" si="44"/>
        <v>0</v>
      </c>
      <c r="G50" s="2">
        <f t="shared" si="44"/>
        <v>0</v>
      </c>
      <c r="H50" s="2">
        <f t="shared" si="44"/>
        <v>0</v>
      </c>
      <c r="I50" s="2">
        <f t="shared" si="44"/>
        <v>0</v>
      </c>
      <c r="J50" s="2">
        <f t="shared" si="44"/>
        <v>0</v>
      </c>
      <c r="K50" s="2">
        <f t="shared" si="44"/>
        <v>0</v>
      </c>
      <c r="L50" s="2">
        <f t="shared" si="44"/>
        <v>0</v>
      </c>
      <c r="M50" s="2">
        <f t="shared" ref="M50:V50" si="45">M42</f>
        <v>0</v>
      </c>
      <c r="N50" s="2">
        <f t="shared" si="45"/>
        <v>0</v>
      </c>
      <c r="O50" s="2">
        <f t="shared" si="45"/>
        <v>0</v>
      </c>
      <c r="P50" s="2">
        <f t="shared" si="45"/>
        <v>0</v>
      </c>
      <c r="Q50" s="2">
        <f t="shared" si="45"/>
        <v>0</v>
      </c>
      <c r="R50" s="2">
        <f t="shared" si="45"/>
        <v>0</v>
      </c>
      <c r="S50" s="2">
        <f t="shared" si="45"/>
        <v>0</v>
      </c>
      <c r="T50" s="2">
        <f t="shared" si="45"/>
        <v>0</v>
      </c>
      <c r="U50" s="2">
        <f t="shared" si="45"/>
        <v>0</v>
      </c>
      <c r="V50" s="2">
        <f t="shared" si="45"/>
        <v>0</v>
      </c>
    </row>
    <row r="51" spans="1:22" s="35" customFormat="1" x14ac:dyDescent="0.45">
      <c r="A51" s="35" t="s">
        <v>72</v>
      </c>
      <c r="V51" s="36"/>
    </row>
    <row r="52" spans="1:22" x14ac:dyDescent="0.45">
      <c r="A52" s="1" t="s">
        <v>31</v>
      </c>
    </row>
    <row r="53" spans="1:22" x14ac:dyDescent="0.45">
      <c r="A53" s="35" t="s">
        <v>32</v>
      </c>
      <c r="B53" s="33"/>
    </row>
    <row r="54" spans="1:22" x14ac:dyDescent="0.45">
      <c r="A54" t="s">
        <v>33</v>
      </c>
      <c r="B54">
        <f>B8</f>
        <v>30000</v>
      </c>
    </row>
    <row r="55" spans="1:22" x14ac:dyDescent="0.45">
      <c r="A55" t="s">
        <v>34</v>
      </c>
      <c r="B55">
        <f>B9</f>
        <v>20000</v>
      </c>
    </row>
    <row r="56" spans="1:22" x14ac:dyDescent="0.45">
      <c r="A56" t="s">
        <v>35</v>
      </c>
      <c r="C56" s="2">
        <f>C24</f>
        <v>1200</v>
      </c>
      <c r="D56" s="2">
        <f t="shared" ref="D56:L56" si="46">D24</f>
        <v>1200</v>
      </c>
      <c r="E56" s="2">
        <f t="shared" si="46"/>
        <v>1323</v>
      </c>
      <c r="F56" s="2">
        <f t="shared" si="46"/>
        <v>1323</v>
      </c>
      <c r="G56" s="2">
        <f t="shared" si="46"/>
        <v>1458.6075000000001</v>
      </c>
      <c r="H56" s="2">
        <f t="shared" si="46"/>
        <v>1458.6075000000001</v>
      </c>
      <c r="I56" s="2">
        <f t="shared" si="46"/>
        <v>1608.1147687499999</v>
      </c>
      <c r="J56" s="2">
        <f t="shared" si="46"/>
        <v>1608.1147687499999</v>
      </c>
      <c r="K56" s="2">
        <f t="shared" si="46"/>
        <v>1772.946532546875</v>
      </c>
      <c r="L56" s="2">
        <f t="shared" si="46"/>
        <v>1772.946532546875</v>
      </c>
      <c r="M56" s="2">
        <f t="shared" ref="M56:V56" si="47">M24</f>
        <v>1954.6735521329299</v>
      </c>
      <c r="N56" s="2">
        <f t="shared" si="47"/>
        <v>1954.6735521329299</v>
      </c>
      <c r="O56" s="2">
        <f t="shared" si="47"/>
        <v>2155.0275912265552</v>
      </c>
      <c r="P56" s="2">
        <f t="shared" si="47"/>
        <v>2155.0275912265552</v>
      </c>
      <c r="Q56" s="2">
        <f t="shared" si="47"/>
        <v>2375.9179193272766</v>
      </c>
      <c r="R56" s="2">
        <f t="shared" si="47"/>
        <v>2375.9179193272766</v>
      </c>
      <c r="S56" s="2">
        <f t="shared" si="47"/>
        <v>2619.4495060583231</v>
      </c>
      <c r="T56" s="2">
        <f t="shared" si="47"/>
        <v>2619.4495060583231</v>
      </c>
      <c r="U56" s="2">
        <f t="shared" si="47"/>
        <v>2887.9430804293015</v>
      </c>
      <c r="V56" s="2">
        <f t="shared" si="47"/>
        <v>2887.9430804293015</v>
      </c>
    </row>
    <row r="57" spans="1:22" x14ac:dyDescent="0.45">
      <c r="A57" t="s">
        <v>36</v>
      </c>
      <c r="C57" s="2">
        <f t="shared" ref="C57:L57" si="48">C25</f>
        <v>0</v>
      </c>
      <c r="D57" s="2">
        <f t="shared" si="48"/>
        <v>0</v>
      </c>
      <c r="E57" s="2">
        <f t="shared" si="48"/>
        <v>0</v>
      </c>
      <c r="F57" s="2">
        <f t="shared" si="48"/>
        <v>0</v>
      </c>
      <c r="G57" s="2">
        <f t="shared" si="48"/>
        <v>0</v>
      </c>
      <c r="H57" s="2">
        <f t="shared" si="48"/>
        <v>0</v>
      </c>
      <c r="I57" s="2">
        <f t="shared" si="48"/>
        <v>0</v>
      </c>
      <c r="J57" s="2">
        <f t="shared" si="48"/>
        <v>0</v>
      </c>
      <c r="K57" s="2">
        <f t="shared" si="48"/>
        <v>0</v>
      </c>
      <c r="L57" s="2">
        <f t="shared" si="48"/>
        <v>0</v>
      </c>
      <c r="M57" s="2">
        <f t="shared" ref="M57:V57" si="49">M25</f>
        <v>0</v>
      </c>
      <c r="N57" s="2">
        <f t="shared" si="49"/>
        <v>0</v>
      </c>
      <c r="O57" s="2">
        <f t="shared" si="49"/>
        <v>0</v>
      </c>
      <c r="P57" s="2">
        <f t="shared" si="49"/>
        <v>0</v>
      </c>
      <c r="Q57" s="2">
        <f t="shared" si="49"/>
        <v>0</v>
      </c>
      <c r="R57" s="2">
        <f t="shared" si="49"/>
        <v>0</v>
      </c>
      <c r="S57" s="2">
        <f t="shared" si="49"/>
        <v>0</v>
      </c>
      <c r="T57" s="2">
        <f t="shared" si="49"/>
        <v>0</v>
      </c>
      <c r="U57" s="2">
        <f t="shared" si="49"/>
        <v>0</v>
      </c>
      <c r="V57" s="2">
        <f t="shared" si="49"/>
        <v>0</v>
      </c>
    </row>
    <row r="58" spans="1:22" ht="14.65" x14ac:dyDescent="0.45">
      <c r="A58" s="8" t="s">
        <v>60</v>
      </c>
      <c r="C58" s="2">
        <f>C43</f>
        <v>0</v>
      </c>
      <c r="D58" s="2">
        <f t="shared" ref="D58:V58" si="50">D43</f>
        <v>0</v>
      </c>
      <c r="E58" s="2">
        <f t="shared" si="50"/>
        <v>0</v>
      </c>
      <c r="F58" s="2">
        <f t="shared" si="50"/>
        <v>0</v>
      </c>
      <c r="G58" s="2">
        <f t="shared" si="50"/>
        <v>0</v>
      </c>
      <c r="H58" s="2">
        <f t="shared" si="50"/>
        <v>0</v>
      </c>
      <c r="I58" s="2">
        <f t="shared" si="50"/>
        <v>0</v>
      </c>
      <c r="J58" s="2">
        <f t="shared" si="50"/>
        <v>0</v>
      </c>
      <c r="K58" s="2">
        <f t="shared" si="50"/>
        <v>0</v>
      </c>
      <c r="L58" s="2">
        <f t="shared" si="50"/>
        <v>0</v>
      </c>
      <c r="M58" s="2">
        <f t="shared" si="50"/>
        <v>0</v>
      </c>
      <c r="N58" s="2">
        <f t="shared" si="50"/>
        <v>0</v>
      </c>
      <c r="O58" s="2">
        <f t="shared" si="50"/>
        <v>0</v>
      </c>
      <c r="P58" s="2">
        <f t="shared" si="50"/>
        <v>0</v>
      </c>
      <c r="Q58" s="2">
        <f t="shared" si="50"/>
        <v>0</v>
      </c>
      <c r="R58" s="2">
        <f t="shared" si="50"/>
        <v>0</v>
      </c>
      <c r="S58" s="2">
        <f t="shared" si="50"/>
        <v>0</v>
      </c>
      <c r="T58" s="2">
        <f t="shared" si="50"/>
        <v>0</v>
      </c>
      <c r="U58" s="2">
        <f t="shared" si="50"/>
        <v>0</v>
      </c>
      <c r="V58" s="2">
        <f t="shared" si="50"/>
        <v>0</v>
      </c>
    </row>
    <row r="59" spans="1:22" ht="14.65" x14ac:dyDescent="0.45">
      <c r="A59" s="8" t="s">
        <v>38</v>
      </c>
      <c r="C59" s="2">
        <f>C44</f>
        <v>0</v>
      </c>
      <c r="D59" s="2">
        <f t="shared" ref="D59:L59" si="51">D44</f>
        <v>0</v>
      </c>
      <c r="E59" s="2">
        <f t="shared" si="51"/>
        <v>0</v>
      </c>
      <c r="F59" s="2">
        <f t="shared" si="51"/>
        <v>0</v>
      </c>
      <c r="G59" s="2">
        <f t="shared" si="51"/>
        <v>0</v>
      </c>
      <c r="H59" s="2">
        <f t="shared" si="51"/>
        <v>0</v>
      </c>
      <c r="I59" s="2">
        <f t="shared" si="51"/>
        <v>0</v>
      </c>
      <c r="J59" s="2">
        <f t="shared" si="51"/>
        <v>0</v>
      </c>
      <c r="K59" s="2">
        <f t="shared" si="51"/>
        <v>0</v>
      </c>
      <c r="L59" s="2">
        <f t="shared" si="51"/>
        <v>0</v>
      </c>
      <c r="M59" s="2">
        <f t="shared" ref="M59:V59" si="52">M44</f>
        <v>0</v>
      </c>
      <c r="N59" s="2">
        <f t="shared" si="52"/>
        <v>0</v>
      </c>
      <c r="O59" s="2">
        <f t="shared" si="52"/>
        <v>0</v>
      </c>
      <c r="P59" s="2">
        <f t="shared" si="52"/>
        <v>0</v>
      </c>
      <c r="Q59" s="2">
        <f t="shared" si="52"/>
        <v>0</v>
      </c>
      <c r="R59" s="2">
        <f t="shared" si="52"/>
        <v>0</v>
      </c>
      <c r="S59" s="2">
        <f t="shared" si="52"/>
        <v>0</v>
      </c>
      <c r="T59" s="2">
        <f t="shared" si="52"/>
        <v>0</v>
      </c>
      <c r="U59" s="2">
        <f t="shared" si="52"/>
        <v>0</v>
      </c>
      <c r="V59" s="2">
        <f t="shared" si="52"/>
        <v>0</v>
      </c>
    </row>
    <row r="60" spans="1:22" x14ac:dyDescent="0.45">
      <c r="A60" s="1" t="s">
        <v>46</v>
      </c>
      <c r="B60" s="2">
        <f>SUM(B49:B51)-SUM(B53:B59)</f>
        <v>-50000</v>
      </c>
      <c r="C60" s="2">
        <f t="shared" ref="C60:L60" si="53">SUM(C49:C51)-SUM(C53:C59)</f>
        <v>-1200</v>
      </c>
      <c r="D60" s="2">
        <f t="shared" si="53"/>
        <v>-1200</v>
      </c>
      <c r="E60" s="2">
        <f t="shared" si="53"/>
        <v>-1323</v>
      </c>
      <c r="F60" s="2">
        <f t="shared" si="53"/>
        <v>-1323</v>
      </c>
      <c r="G60" s="2">
        <f t="shared" si="53"/>
        <v>-1458.6075000000001</v>
      </c>
      <c r="H60" s="2">
        <f t="shared" si="53"/>
        <v>-1458.6075000000001</v>
      </c>
      <c r="I60" s="2">
        <f t="shared" si="53"/>
        <v>-1608.1147687499999</v>
      </c>
      <c r="J60" s="2">
        <f t="shared" si="53"/>
        <v>-1608.1147687499999</v>
      </c>
      <c r="K60" s="2">
        <f t="shared" si="53"/>
        <v>-1772.946532546875</v>
      </c>
      <c r="L60" s="2">
        <f t="shared" si="53"/>
        <v>-1772.946532546875</v>
      </c>
      <c r="M60" s="2">
        <f t="shared" ref="M60" si="54">SUM(M49:M51)-SUM(M53:M59)</f>
        <v>-1954.6735521329299</v>
      </c>
      <c r="N60" s="2">
        <f t="shared" ref="N60" si="55">SUM(N49:N51)-SUM(N53:N59)</f>
        <v>-1954.6735521329299</v>
      </c>
      <c r="O60" s="2">
        <f t="shared" ref="O60" si="56">SUM(O49:O51)-SUM(O53:O59)</f>
        <v>-2155.0275912265552</v>
      </c>
      <c r="P60" s="2">
        <f t="shared" ref="P60" si="57">SUM(P49:P51)-SUM(P53:P59)</f>
        <v>-2155.0275912265552</v>
      </c>
      <c r="Q60" s="2">
        <f t="shared" ref="Q60" si="58">SUM(Q49:Q51)-SUM(Q53:Q59)</f>
        <v>-2375.9179193272766</v>
      </c>
      <c r="R60" s="2">
        <f t="shared" ref="R60" si="59">SUM(R49:R51)-SUM(R53:R59)</f>
        <v>-2375.9179193272766</v>
      </c>
      <c r="S60" s="2">
        <f t="shared" ref="S60" si="60">SUM(S49:S51)-SUM(S53:S59)</f>
        <v>-2619.4495060583231</v>
      </c>
      <c r="T60" s="2">
        <f t="shared" ref="T60" si="61">SUM(T49:T51)-SUM(T53:T59)</f>
        <v>-2619.4495060583231</v>
      </c>
      <c r="U60" s="2">
        <f t="shared" ref="U60" si="62">SUM(U49:U51)-SUM(U53:U59)</f>
        <v>-2887.9430804293015</v>
      </c>
      <c r="V60" s="2">
        <f t="shared" ref="V60" si="63">SUM(V49:V51)-SUM(V53:V59)</f>
        <v>-2887.9430804293015</v>
      </c>
    </row>
    <row r="61" spans="1:22" x14ac:dyDescent="0.45">
      <c r="A61" t="s">
        <v>39</v>
      </c>
      <c r="C61" s="2">
        <f>C35</f>
        <v>-740</v>
      </c>
      <c r="D61" s="2">
        <f t="shared" ref="D61:L61" si="64">D35</f>
        <v>-740</v>
      </c>
      <c r="E61" s="2">
        <f t="shared" si="64"/>
        <v>-764.6</v>
      </c>
      <c r="F61" s="2">
        <f t="shared" si="64"/>
        <v>-764.6</v>
      </c>
      <c r="G61" s="2">
        <f t="shared" si="64"/>
        <v>-791.72150000000011</v>
      </c>
      <c r="H61" s="2">
        <f t="shared" si="64"/>
        <v>-791.72150000000011</v>
      </c>
      <c r="I61" s="2">
        <f t="shared" si="64"/>
        <v>-821.62295374999997</v>
      </c>
      <c r="J61" s="2">
        <f t="shared" si="64"/>
        <v>-821.62295374999997</v>
      </c>
      <c r="K61" s="2">
        <f t="shared" si="64"/>
        <v>-854.58930650937509</v>
      </c>
      <c r="L61" s="2">
        <f t="shared" si="64"/>
        <v>-854.58930650937509</v>
      </c>
      <c r="M61" s="2">
        <f t="shared" ref="M61:V61" si="65">M35</f>
        <v>-890.93471042658609</v>
      </c>
      <c r="N61" s="2">
        <f t="shared" si="65"/>
        <v>-890.93471042658609</v>
      </c>
      <c r="O61" s="2">
        <f t="shared" si="65"/>
        <v>-931.00551824531112</v>
      </c>
      <c r="P61" s="2">
        <f t="shared" si="65"/>
        <v>-931.00551824531112</v>
      </c>
      <c r="Q61" s="2">
        <f t="shared" si="65"/>
        <v>-975.18358386545538</v>
      </c>
      <c r="R61" s="2">
        <f t="shared" si="65"/>
        <v>-975.18358386545538</v>
      </c>
      <c r="S61" s="2">
        <f t="shared" si="65"/>
        <v>-1023.8899012116647</v>
      </c>
      <c r="T61" s="2">
        <f t="shared" si="65"/>
        <v>-1023.8899012116647</v>
      </c>
      <c r="U61" s="2">
        <f t="shared" si="65"/>
        <v>-1077.5886160858604</v>
      </c>
      <c r="V61" s="2">
        <f t="shared" si="65"/>
        <v>-1077.5886160858604</v>
      </c>
    </row>
    <row r="62" spans="1:22" x14ac:dyDescent="0.45">
      <c r="A62" s="3" t="s">
        <v>45</v>
      </c>
      <c r="B62" s="6">
        <f>B60-B61</f>
        <v>-50000</v>
      </c>
      <c r="C62" s="6">
        <f t="shared" ref="C62:L62" si="66">C60-C61</f>
        <v>-460</v>
      </c>
      <c r="D62" s="6">
        <f t="shared" si="66"/>
        <v>-460</v>
      </c>
      <c r="E62" s="6">
        <f t="shared" si="66"/>
        <v>-558.4</v>
      </c>
      <c r="F62" s="6">
        <f t="shared" si="66"/>
        <v>-558.4</v>
      </c>
      <c r="G62" s="6">
        <f t="shared" si="66"/>
        <v>-666.88599999999997</v>
      </c>
      <c r="H62" s="6">
        <f t="shared" si="66"/>
        <v>-666.88599999999997</v>
      </c>
      <c r="I62" s="6">
        <f t="shared" si="66"/>
        <v>-786.49181499999997</v>
      </c>
      <c r="J62" s="6">
        <f t="shared" si="66"/>
        <v>-786.49181499999997</v>
      </c>
      <c r="K62" s="6">
        <f t="shared" si="66"/>
        <v>-918.35722603749991</v>
      </c>
      <c r="L62" s="6">
        <f t="shared" si="66"/>
        <v>-918.35722603749991</v>
      </c>
      <c r="M62" s="6">
        <f t="shared" ref="M62" si="67">M60-M61</f>
        <v>-1063.7388417063439</v>
      </c>
      <c r="N62" s="6">
        <f t="shared" ref="N62" si="68">N60-N61</f>
        <v>-1063.7388417063439</v>
      </c>
      <c r="O62" s="6">
        <f t="shared" ref="O62" si="69">O60-O61</f>
        <v>-1224.022072981244</v>
      </c>
      <c r="P62" s="6">
        <f t="shared" ref="P62" si="70">P60-P61</f>
        <v>-1224.022072981244</v>
      </c>
      <c r="Q62" s="6">
        <f t="shared" ref="Q62" si="71">Q60-Q61</f>
        <v>-1400.7343354618213</v>
      </c>
      <c r="R62" s="6">
        <f t="shared" ref="R62" si="72">R60-R61</f>
        <v>-1400.7343354618213</v>
      </c>
      <c r="S62" s="6">
        <f t="shared" ref="S62" si="73">S60-S61</f>
        <v>-1595.5596048466584</v>
      </c>
      <c r="T62" s="6">
        <f t="shared" ref="T62" si="74">T60-T61</f>
        <v>-1595.5596048466584</v>
      </c>
      <c r="U62" s="6">
        <f t="shared" ref="U62" si="75">U60-U61</f>
        <v>-1810.3544643434411</v>
      </c>
      <c r="V62" s="6">
        <f t="shared" ref="V62" si="76">V60-V61</f>
        <v>-1810.3544643434411</v>
      </c>
    </row>
    <row r="63" spans="1:22" x14ac:dyDescent="0.45">
      <c r="A63" t="s">
        <v>43</v>
      </c>
      <c r="B63" s="2">
        <f>B11</f>
        <v>35000</v>
      </c>
    </row>
    <row r="64" spans="1:22" x14ac:dyDescent="0.45">
      <c r="A64" t="s">
        <v>44</v>
      </c>
      <c r="C64" s="2">
        <f>-PMT($B$13,10,$B$11)</f>
        <v>5757.4056309321031</v>
      </c>
      <c r="D64" s="2">
        <f t="shared" ref="D64:L64" si="77">-PMT($B$13,10,$B$11)</f>
        <v>5757.4056309321031</v>
      </c>
      <c r="E64" s="2">
        <f t="shared" si="77"/>
        <v>5757.4056309321031</v>
      </c>
      <c r="F64" s="2">
        <f t="shared" si="77"/>
        <v>5757.4056309321031</v>
      </c>
      <c r="G64" s="2">
        <f t="shared" si="77"/>
        <v>5757.4056309321031</v>
      </c>
      <c r="H64" s="2">
        <f t="shared" si="77"/>
        <v>5757.4056309321031</v>
      </c>
      <c r="I64" s="2">
        <f t="shared" si="77"/>
        <v>5757.4056309321031</v>
      </c>
      <c r="J64" s="2">
        <f t="shared" si="77"/>
        <v>5757.4056309321031</v>
      </c>
      <c r="K64" s="2">
        <f t="shared" si="77"/>
        <v>5757.4056309321031</v>
      </c>
      <c r="L64" s="2">
        <f t="shared" si="77"/>
        <v>5757.4056309321031</v>
      </c>
      <c r="M64" s="2"/>
      <c r="N64" s="2"/>
      <c r="O64" s="2"/>
      <c r="P64" s="2"/>
      <c r="Q64" s="2"/>
      <c r="R64" s="2"/>
      <c r="S64" s="2"/>
      <c r="T64" s="2"/>
      <c r="U64" s="2"/>
    </row>
    <row r="65" spans="1:22" x14ac:dyDescent="0.45">
      <c r="A65" s="3" t="s">
        <v>47</v>
      </c>
      <c r="B65" s="6">
        <f>B62+B63-B64</f>
        <v>-15000</v>
      </c>
      <c r="C65" s="6">
        <f t="shared" ref="C65:L65" si="78">C62+C63-C64</f>
        <v>-6217.4056309321031</v>
      </c>
      <c r="D65" s="6">
        <f t="shared" si="78"/>
        <v>-6217.4056309321031</v>
      </c>
      <c r="E65" s="6">
        <f t="shared" si="78"/>
        <v>-6315.8056309321028</v>
      </c>
      <c r="F65" s="6">
        <f t="shared" si="78"/>
        <v>-6315.8056309321028</v>
      </c>
      <c r="G65" s="6">
        <f t="shared" si="78"/>
        <v>-6424.2916309321026</v>
      </c>
      <c r="H65" s="6">
        <f t="shared" si="78"/>
        <v>-6424.2916309321026</v>
      </c>
      <c r="I65" s="6">
        <f t="shared" si="78"/>
        <v>-6543.8974459321034</v>
      </c>
      <c r="J65" s="6">
        <f t="shared" si="78"/>
        <v>-6543.8974459321034</v>
      </c>
      <c r="K65" s="6">
        <f t="shared" si="78"/>
        <v>-6675.7628569696026</v>
      </c>
      <c r="L65" s="6">
        <f t="shared" si="78"/>
        <v>-6675.7628569696026</v>
      </c>
      <c r="M65" s="6">
        <f t="shared" ref="M65" si="79">M62+M63-M64</f>
        <v>-1063.7388417063439</v>
      </c>
      <c r="N65" s="6">
        <f t="shared" ref="N65" si="80">N62+N63-N64</f>
        <v>-1063.7388417063439</v>
      </c>
      <c r="O65" s="6">
        <f t="shared" ref="O65" si="81">O62+O63-O64</f>
        <v>-1224.022072981244</v>
      </c>
      <c r="P65" s="6">
        <f t="shared" ref="P65" si="82">P62+P63-P64</f>
        <v>-1224.022072981244</v>
      </c>
      <c r="Q65" s="6">
        <f t="shared" ref="Q65" si="83">Q62+Q63-Q64</f>
        <v>-1400.7343354618213</v>
      </c>
      <c r="R65" s="6">
        <f t="shared" ref="R65" si="84">R62+R63-R64</f>
        <v>-1400.7343354618213</v>
      </c>
      <c r="S65" s="6">
        <f t="shared" ref="S65" si="85">S62+S63-S64</f>
        <v>-1595.5596048466584</v>
      </c>
      <c r="T65" s="6">
        <f t="shared" ref="T65" si="86">T62+T63-T64</f>
        <v>-1595.5596048466584</v>
      </c>
      <c r="U65" s="6">
        <f t="shared" ref="U65" si="87">U62+U63-U64</f>
        <v>-1810.3544643434411</v>
      </c>
      <c r="V65" s="6">
        <f t="shared" ref="V65" si="88">V62+V63-V64</f>
        <v>-1810.3544643434411</v>
      </c>
    </row>
    <row r="66" spans="1:22" ht="18" customHeight="1" x14ac:dyDescent="0.45">
      <c r="A66" s="1"/>
      <c r="B66" s="50" t="s">
        <v>66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45">
      <c r="A67" s="21" t="s">
        <v>48</v>
      </c>
      <c r="B67" s="23"/>
    </row>
    <row r="68" spans="1:22" x14ac:dyDescent="0.45">
      <c r="A68" s="21" t="s">
        <v>49</v>
      </c>
      <c r="B68" s="23"/>
    </row>
    <row r="69" spans="1:22" x14ac:dyDescent="0.45">
      <c r="A69" s="21" t="s">
        <v>50</v>
      </c>
      <c r="B69" s="24"/>
      <c r="C69" s="49"/>
    </row>
    <row r="70" spans="1:22" x14ac:dyDescent="0.45">
      <c r="A70" s="21" t="s">
        <v>51</v>
      </c>
      <c r="B70" s="24"/>
    </row>
    <row r="71" spans="1:22" x14ac:dyDescent="0.45">
      <c r="A71" s="21" t="s">
        <v>82</v>
      </c>
      <c r="B71" s="24"/>
    </row>
    <row r="72" spans="1:22" x14ac:dyDescent="0.45">
      <c r="A72" s="21" t="s">
        <v>83</v>
      </c>
      <c r="B72" s="2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234E-3185-4600-8791-5131A815668D}">
  <dimension ref="A1:V75"/>
  <sheetViews>
    <sheetView topLeftCell="A48" zoomScale="89" workbookViewId="0">
      <selection activeCell="B67" sqref="B67:B72"/>
    </sheetView>
  </sheetViews>
  <sheetFormatPr defaultRowHeight="14.25" x14ac:dyDescent="0.45"/>
  <cols>
    <col min="1" max="1" width="25.06640625" customWidth="1"/>
    <col min="2" max="2" width="19.86328125" bestFit="1" customWidth="1"/>
    <col min="3" max="3" width="16.265625" customWidth="1"/>
    <col min="4" max="12" width="13.33203125" bestFit="1" customWidth="1"/>
    <col min="13" max="21" width="13.33203125" customWidth="1"/>
    <col min="22" max="22" width="13.33203125" bestFit="1" customWidth="1"/>
  </cols>
  <sheetData>
    <row r="1" spans="1:22" ht="26.65" x14ac:dyDescent="0.45">
      <c r="A1" s="43" t="s">
        <v>63</v>
      </c>
    </row>
    <row r="2" spans="1:22" ht="19.5" x14ac:dyDescent="0.45">
      <c r="A2" s="41" t="s">
        <v>65</v>
      </c>
    </row>
    <row r="3" spans="1:22" ht="19.5" x14ac:dyDescent="0.45">
      <c r="A3" s="42" t="s">
        <v>84</v>
      </c>
    </row>
    <row r="4" spans="1:22" ht="12" customHeight="1" x14ac:dyDescent="0.45"/>
    <row r="5" spans="1:22" ht="19.5" x14ac:dyDescent="0.6">
      <c r="A5" s="53" t="s">
        <v>88</v>
      </c>
      <c r="B5" s="4"/>
      <c r="C5" s="4"/>
      <c r="D5" s="4"/>
      <c r="E5" s="4"/>
      <c r="F5" s="4"/>
      <c r="G5" s="4"/>
    </row>
    <row r="6" spans="1:22" x14ac:dyDescent="0.45">
      <c r="A6" s="1" t="s">
        <v>4</v>
      </c>
      <c r="C6" s="1" t="s">
        <v>40</v>
      </c>
      <c r="F6" s="1" t="s">
        <v>41</v>
      </c>
    </row>
    <row r="7" spans="1:22" x14ac:dyDescent="0.45">
      <c r="A7" s="30" t="s">
        <v>52</v>
      </c>
      <c r="B7" s="31">
        <v>0</v>
      </c>
      <c r="C7" t="s">
        <v>13</v>
      </c>
      <c r="D7" s="11">
        <v>1200</v>
      </c>
      <c r="F7" t="s">
        <v>6</v>
      </c>
      <c r="G7" s="12">
        <v>0.05</v>
      </c>
    </row>
    <row r="8" spans="1:22" x14ac:dyDescent="0.45">
      <c r="A8" t="s">
        <v>0</v>
      </c>
      <c r="B8" s="11">
        <v>30000</v>
      </c>
      <c r="C8" t="s">
        <v>14</v>
      </c>
      <c r="D8" s="12">
        <v>0.2</v>
      </c>
      <c r="E8" s="7" t="s">
        <v>22</v>
      </c>
      <c r="F8" t="s">
        <v>7</v>
      </c>
      <c r="G8" s="12">
        <v>0.2</v>
      </c>
    </row>
    <row r="9" spans="1:22" ht="15.75" x14ac:dyDescent="0.55000000000000004">
      <c r="A9" t="s">
        <v>1</v>
      </c>
      <c r="B9" s="11">
        <v>20000</v>
      </c>
      <c r="C9" t="s">
        <v>5</v>
      </c>
      <c r="D9" s="11">
        <v>9000</v>
      </c>
      <c r="F9" t="s">
        <v>61</v>
      </c>
      <c r="G9" s="12">
        <v>0.1</v>
      </c>
    </row>
    <row r="10" spans="1:22" ht="15.75" x14ac:dyDescent="0.55000000000000004">
      <c r="A10" s="1" t="s">
        <v>57</v>
      </c>
      <c r="C10" t="s">
        <v>86</v>
      </c>
      <c r="D10" s="12">
        <v>0.03</v>
      </c>
      <c r="E10" s="7" t="s">
        <v>87</v>
      </c>
      <c r="F10" t="s">
        <v>62</v>
      </c>
      <c r="G10" s="27">
        <f>G9+G7+G9*G7</f>
        <v>0.15500000000000003</v>
      </c>
    </row>
    <row r="11" spans="1:22" x14ac:dyDescent="0.45">
      <c r="A11" t="s">
        <v>3</v>
      </c>
      <c r="B11" s="11">
        <f>70%*(B8+B9)</f>
        <v>35000</v>
      </c>
      <c r="C11" s="1" t="s">
        <v>20</v>
      </c>
      <c r="D11" s="11"/>
      <c r="F11" t="s">
        <v>42</v>
      </c>
      <c r="G11" s="15">
        <f>0.7*B13+0.3*G10</f>
        <v>0.11824999999999999</v>
      </c>
    </row>
    <row r="12" spans="1:22" x14ac:dyDescent="0.45">
      <c r="A12" t="s">
        <v>53</v>
      </c>
      <c r="B12" s="12">
        <v>0.05</v>
      </c>
      <c r="C12" t="s">
        <v>21</v>
      </c>
      <c r="D12" s="12">
        <v>0.1</v>
      </c>
      <c r="E12" s="7" t="s">
        <v>22</v>
      </c>
      <c r="F12" t="s">
        <v>58</v>
      </c>
      <c r="G12" s="12">
        <v>0</v>
      </c>
    </row>
    <row r="13" spans="1:22" x14ac:dyDescent="0.45">
      <c r="A13" t="s">
        <v>54</v>
      </c>
      <c r="B13" s="27">
        <f>B12+G7+B12*G7</f>
        <v>0.10250000000000001</v>
      </c>
      <c r="C13" t="s">
        <v>55</v>
      </c>
      <c r="D13" s="12">
        <v>0.1</v>
      </c>
      <c r="E13" s="7" t="s">
        <v>56</v>
      </c>
      <c r="F13" t="s">
        <v>30</v>
      </c>
      <c r="G13" s="18">
        <v>20</v>
      </c>
    </row>
    <row r="14" spans="1:22" x14ac:dyDescent="0.45">
      <c r="A14" s="4" t="s">
        <v>18</v>
      </c>
      <c r="B14" s="13">
        <v>10</v>
      </c>
      <c r="C14" s="4" t="s">
        <v>23</v>
      </c>
      <c r="D14" s="14">
        <v>0.05</v>
      </c>
      <c r="E14" s="10" t="s">
        <v>22</v>
      </c>
      <c r="F14" s="4" t="s">
        <v>2</v>
      </c>
      <c r="G14" s="16">
        <v>20</v>
      </c>
    </row>
    <row r="16" spans="1:22" x14ac:dyDescent="0.45">
      <c r="A16" s="3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45">
      <c r="A17" s="5" t="s">
        <v>9</v>
      </c>
      <c r="B17" s="5">
        <v>0</v>
      </c>
      <c r="C17" s="5">
        <v>1</v>
      </c>
      <c r="D17" s="5">
        <v>2</v>
      </c>
      <c r="E17" s="5">
        <v>3</v>
      </c>
      <c r="F17" s="5">
        <v>4</v>
      </c>
      <c r="G17" s="5">
        <v>5</v>
      </c>
      <c r="H17" s="5">
        <v>6</v>
      </c>
      <c r="I17" s="5">
        <v>7</v>
      </c>
      <c r="J17" s="5">
        <v>8</v>
      </c>
      <c r="K17" s="5">
        <v>9</v>
      </c>
      <c r="L17" s="5">
        <v>10</v>
      </c>
      <c r="M17" s="5">
        <v>11</v>
      </c>
      <c r="N17" s="5">
        <v>12</v>
      </c>
      <c r="O17" s="5">
        <v>13</v>
      </c>
      <c r="P17" s="5">
        <v>14</v>
      </c>
      <c r="Q17" s="5">
        <v>15</v>
      </c>
      <c r="R17" s="5">
        <v>16</v>
      </c>
      <c r="S17" s="5">
        <v>17</v>
      </c>
      <c r="T17" s="5">
        <v>18</v>
      </c>
      <c r="U17" s="5">
        <v>19</v>
      </c>
      <c r="V17" s="5">
        <v>20</v>
      </c>
    </row>
    <row r="18" spans="1:22" x14ac:dyDescent="0.45">
      <c r="A18" s="46" t="s">
        <v>10</v>
      </c>
      <c r="B18" s="47"/>
      <c r="C18" s="47">
        <f t="shared" ref="B18:V18" si="0">(1+$G$7)^C17</f>
        <v>1.05</v>
      </c>
      <c r="D18" s="47">
        <f t="shared" si="0"/>
        <v>1.1025</v>
      </c>
      <c r="E18" s="47">
        <f t="shared" si="0"/>
        <v>1.1576250000000001</v>
      </c>
      <c r="F18" s="47">
        <f t="shared" si="0"/>
        <v>1.21550625</v>
      </c>
      <c r="G18" s="47">
        <f t="shared" si="0"/>
        <v>1.2762815625000001</v>
      </c>
      <c r="H18" s="47">
        <f t="shared" si="0"/>
        <v>1.340095640625</v>
      </c>
      <c r="I18" s="47">
        <f t="shared" si="0"/>
        <v>1.4071004226562502</v>
      </c>
      <c r="J18" s="47">
        <f t="shared" si="0"/>
        <v>1.4774554437890626</v>
      </c>
      <c r="K18" s="47">
        <f t="shared" si="0"/>
        <v>1.5513282159785158</v>
      </c>
      <c r="L18" s="47">
        <f t="shared" si="0"/>
        <v>1.6288946267774416</v>
      </c>
      <c r="M18" s="47">
        <f t="shared" si="0"/>
        <v>1.7103393581163138</v>
      </c>
      <c r="N18" s="47">
        <f t="shared" si="0"/>
        <v>1.7958563260221292</v>
      </c>
      <c r="O18" s="47">
        <f t="shared" si="0"/>
        <v>1.885649142323236</v>
      </c>
      <c r="P18" s="47">
        <f t="shared" si="0"/>
        <v>1.9799315994393973</v>
      </c>
      <c r="Q18" s="47">
        <f t="shared" si="0"/>
        <v>2.0789281794113679</v>
      </c>
      <c r="R18" s="47">
        <f t="shared" si="0"/>
        <v>2.182874588381936</v>
      </c>
      <c r="S18" s="47">
        <f t="shared" si="0"/>
        <v>2.2920183178010332</v>
      </c>
      <c r="T18" s="47">
        <f t="shared" si="0"/>
        <v>2.4066192336910848</v>
      </c>
      <c r="U18" s="47">
        <f t="shared" si="0"/>
        <v>2.526950195375639</v>
      </c>
      <c r="V18" s="47">
        <f t="shared" si="0"/>
        <v>2.6532977051444209</v>
      </c>
    </row>
    <row r="19" spans="1:22" x14ac:dyDescent="0.45">
      <c r="A19" s="48" t="s">
        <v>90</v>
      </c>
      <c r="B19" s="6"/>
      <c r="C19" s="6">
        <f>(1+$D$10)^C17</f>
        <v>1.03</v>
      </c>
      <c r="D19" s="6">
        <f t="shared" ref="D19:V19" si="1">(1+$D$10)^D17</f>
        <v>1.0609</v>
      </c>
      <c r="E19" s="6">
        <f t="shared" si="1"/>
        <v>1.092727</v>
      </c>
      <c r="F19" s="6">
        <f t="shared" si="1"/>
        <v>1.1255088099999999</v>
      </c>
      <c r="G19" s="6">
        <f t="shared" si="1"/>
        <v>1.1592740742999998</v>
      </c>
      <c r="H19" s="6">
        <f t="shared" si="1"/>
        <v>1.1940522965289999</v>
      </c>
      <c r="I19" s="6">
        <f t="shared" si="1"/>
        <v>1.22987386542487</v>
      </c>
      <c r="J19" s="6">
        <f t="shared" si="1"/>
        <v>1.2667700813876159</v>
      </c>
      <c r="K19" s="6">
        <f t="shared" si="1"/>
        <v>1.3047731838292445</v>
      </c>
      <c r="L19" s="6">
        <f t="shared" si="1"/>
        <v>1.3439163793441218</v>
      </c>
      <c r="M19" s="6">
        <f t="shared" si="1"/>
        <v>1.3842338707244455</v>
      </c>
      <c r="N19" s="6">
        <f t="shared" si="1"/>
        <v>1.4257608868461786</v>
      </c>
      <c r="O19" s="6">
        <f t="shared" si="1"/>
        <v>1.4685337134515639</v>
      </c>
      <c r="P19" s="6">
        <f t="shared" si="1"/>
        <v>1.512589724855111</v>
      </c>
      <c r="Q19" s="6">
        <f t="shared" si="1"/>
        <v>1.5579674166007644</v>
      </c>
      <c r="R19" s="6">
        <f t="shared" si="1"/>
        <v>1.6047064390987871</v>
      </c>
      <c r="S19" s="6">
        <f t="shared" si="1"/>
        <v>1.6528476322717507</v>
      </c>
      <c r="T19" s="6">
        <f t="shared" si="1"/>
        <v>1.7024330612399032</v>
      </c>
      <c r="U19" s="6">
        <f t="shared" si="1"/>
        <v>1.7535060530771003</v>
      </c>
      <c r="V19" s="6">
        <f t="shared" si="1"/>
        <v>1.8061112346694133</v>
      </c>
    </row>
    <row r="21" spans="1:22" x14ac:dyDescent="0.45">
      <c r="A21" s="1" t="s">
        <v>11</v>
      </c>
    </row>
    <row r="22" spans="1:22" x14ac:dyDescent="0.45">
      <c r="A22" s="5" t="s">
        <v>9</v>
      </c>
      <c r="B22" s="5">
        <v>0</v>
      </c>
      <c r="C22" s="5">
        <v>1</v>
      </c>
      <c r="D22" s="5">
        <v>2</v>
      </c>
      <c r="E22" s="5">
        <v>3</v>
      </c>
      <c r="F22" s="5">
        <v>4</v>
      </c>
      <c r="G22" s="5">
        <v>5</v>
      </c>
      <c r="H22" s="5">
        <v>6</v>
      </c>
      <c r="I22" s="5">
        <v>7</v>
      </c>
      <c r="J22" s="5">
        <v>8</v>
      </c>
      <c r="K22" s="5">
        <v>9</v>
      </c>
      <c r="L22" s="5">
        <v>10</v>
      </c>
      <c r="M22" s="5">
        <v>11</v>
      </c>
      <c r="N22" s="5">
        <v>12</v>
      </c>
      <c r="O22" s="5">
        <v>13</v>
      </c>
      <c r="P22" s="5">
        <v>14</v>
      </c>
      <c r="Q22" s="5">
        <v>15</v>
      </c>
      <c r="R22" s="5">
        <v>16</v>
      </c>
      <c r="S22" s="5">
        <v>17</v>
      </c>
      <c r="T22" s="5">
        <v>18</v>
      </c>
      <c r="U22" s="5">
        <v>19</v>
      </c>
      <c r="V22" s="5">
        <v>20</v>
      </c>
    </row>
    <row r="23" spans="1:22" x14ac:dyDescent="0.45">
      <c r="A23" t="s">
        <v>12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2" x14ac:dyDescent="0.45">
      <c r="A24" t="s">
        <v>13</v>
      </c>
      <c r="C24" s="2">
        <f>$D$7</f>
        <v>1200</v>
      </c>
      <c r="D24" s="2">
        <f t="shared" ref="D24" si="2">$D$7</f>
        <v>1200</v>
      </c>
      <c r="E24" s="2">
        <f>$D$7*$D$18</f>
        <v>1323</v>
      </c>
      <c r="F24" s="2">
        <f t="shared" ref="F24" si="3">$D$7*$D$18</f>
        <v>1323</v>
      </c>
      <c r="G24" s="2">
        <f>$D$7*$F$18</f>
        <v>1458.6075000000001</v>
      </c>
      <c r="H24" s="2">
        <f t="shared" ref="H24" si="4">$D$7*$F$18</f>
        <v>1458.6075000000001</v>
      </c>
      <c r="I24" s="2">
        <f>$D$7*$H$18</f>
        <v>1608.1147687499999</v>
      </c>
      <c r="J24" s="2">
        <f t="shared" ref="J24" si="5">$D$7*$H$18</f>
        <v>1608.1147687499999</v>
      </c>
      <c r="K24" s="2">
        <f>$D$7*$J$18</f>
        <v>1772.946532546875</v>
      </c>
      <c r="L24" s="2">
        <f t="shared" ref="L24" si="6">$D$7*$J$18</f>
        <v>1772.946532546875</v>
      </c>
      <c r="M24" s="2">
        <f>$D$7*$L$18</f>
        <v>1954.6735521329299</v>
      </c>
      <c r="N24" s="2">
        <f t="shared" ref="N24" si="7">$D$7*$L$18</f>
        <v>1954.6735521329299</v>
      </c>
      <c r="O24" s="2">
        <f>$D$7*$N$18</f>
        <v>2155.0275912265552</v>
      </c>
      <c r="P24" s="2">
        <f t="shared" ref="P24" si="8">$D$7*$N$18</f>
        <v>2155.0275912265552</v>
      </c>
      <c r="Q24" s="2">
        <f>$D$7*$P$18</f>
        <v>2375.9179193272766</v>
      </c>
      <c r="R24" s="2">
        <f t="shared" ref="R24" si="9">$D$7*$P$18</f>
        <v>2375.9179193272766</v>
      </c>
      <c r="S24" s="2">
        <f>$D$7*$R$18</f>
        <v>2619.4495060583231</v>
      </c>
      <c r="T24" s="2">
        <f t="shared" ref="T24" si="10">$D$7*$R$18</f>
        <v>2619.4495060583231</v>
      </c>
      <c r="U24" s="2">
        <f>$D$7*$T$18</f>
        <v>2887.9430804293015</v>
      </c>
      <c r="V24" s="2">
        <f t="shared" ref="V24" si="11">$D$7*$T$18</f>
        <v>2887.9430804293015</v>
      </c>
    </row>
    <row r="25" spans="1:22" x14ac:dyDescent="0.45">
      <c r="A25" s="4" t="s">
        <v>14</v>
      </c>
      <c r="B25" s="4"/>
      <c r="C25" s="6">
        <f>C23*$D$8</f>
        <v>0</v>
      </c>
      <c r="D25" s="6">
        <f t="shared" ref="D25:V25" si="12">D23*$D$8</f>
        <v>0</v>
      </c>
      <c r="E25" s="6">
        <f t="shared" si="12"/>
        <v>0</v>
      </c>
      <c r="F25" s="6">
        <f t="shared" si="12"/>
        <v>0</v>
      </c>
      <c r="G25" s="6">
        <f t="shared" si="12"/>
        <v>0</v>
      </c>
      <c r="H25" s="6">
        <f t="shared" si="12"/>
        <v>0</v>
      </c>
      <c r="I25" s="6">
        <f t="shared" si="12"/>
        <v>0</v>
      </c>
      <c r="J25" s="6">
        <f t="shared" si="12"/>
        <v>0</v>
      </c>
      <c r="K25" s="6">
        <f t="shared" si="12"/>
        <v>0</v>
      </c>
      <c r="L25" s="6">
        <f t="shared" si="12"/>
        <v>0</v>
      </c>
      <c r="M25" s="6">
        <f t="shared" si="12"/>
        <v>0</v>
      </c>
      <c r="N25" s="6">
        <f t="shared" si="12"/>
        <v>0</v>
      </c>
      <c r="O25" s="6">
        <f t="shared" si="12"/>
        <v>0</v>
      </c>
      <c r="P25" s="6">
        <f t="shared" si="12"/>
        <v>0</v>
      </c>
      <c r="Q25" s="6">
        <f t="shared" si="12"/>
        <v>0</v>
      </c>
      <c r="R25" s="6">
        <f t="shared" si="12"/>
        <v>0</v>
      </c>
      <c r="S25" s="6">
        <f t="shared" si="12"/>
        <v>0</v>
      </c>
      <c r="T25" s="6">
        <f t="shared" si="12"/>
        <v>0</v>
      </c>
      <c r="U25" s="6">
        <f t="shared" si="12"/>
        <v>0</v>
      </c>
      <c r="V25" s="6">
        <f t="shared" si="12"/>
        <v>0</v>
      </c>
    </row>
    <row r="27" spans="1:22" x14ac:dyDescent="0.45">
      <c r="A27" s="1" t="s">
        <v>15</v>
      </c>
    </row>
    <row r="28" spans="1:22" x14ac:dyDescent="0.45">
      <c r="A28" s="5" t="s">
        <v>9</v>
      </c>
      <c r="B28" s="5">
        <v>0</v>
      </c>
      <c r="C28" s="5">
        <v>1</v>
      </c>
      <c r="D28" s="5">
        <v>2</v>
      </c>
      <c r="E28" s="5">
        <v>3</v>
      </c>
      <c r="F28" s="5">
        <v>4</v>
      </c>
      <c r="G28" s="5">
        <v>5</v>
      </c>
      <c r="H28" s="5">
        <v>6</v>
      </c>
      <c r="I28" s="5">
        <v>7</v>
      </c>
      <c r="J28" s="5">
        <v>8</v>
      </c>
      <c r="K28" s="5">
        <v>9</v>
      </c>
      <c r="L28" s="5">
        <v>10</v>
      </c>
      <c r="M28" s="5">
        <v>11</v>
      </c>
      <c r="N28" s="5">
        <v>12</v>
      </c>
      <c r="O28" s="5">
        <v>13</v>
      </c>
      <c r="P28" s="5">
        <v>14</v>
      </c>
      <c r="Q28" s="5">
        <v>15</v>
      </c>
      <c r="R28" s="5">
        <v>16</v>
      </c>
      <c r="S28" s="5">
        <v>17</v>
      </c>
      <c r="T28" s="5">
        <v>18</v>
      </c>
      <c r="U28" s="5">
        <v>19</v>
      </c>
      <c r="V28" s="5">
        <v>20</v>
      </c>
    </row>
    <row r="29" spans="1:22" x14ac:dyDescent="0.45">
      <c r="A29" t="s">
        <v>5</v>
      </c>
      <c r="C29" s="2">
        <f>C23</f>
        <v>0</v>
      </c>
      <c r="D29" s="2">
        <f t="shared" ref="D29:V29" si="13">D23</f>
        <v>0</v>
      </c>
      <c r="E29" s="2">
        <f t="shared" si="13"/>
        <v>0</v>
      </c>
      <c r="F29" s="2">
        <f t="shared" si="13"/>
        <v>0</v>
      </c>
      <c r="G29" s="2">
        <f t="shared" si="13"/>
        <v>0</v>
      </c>
      <c r="H29" s="2">
        <f t="shared" si="13"/>
        <v>0</v>
      </c>
      <c r="I29" s="2">
        <f t="shared" si="13"/>
        <v>0</v>
      </c>
      <c r="J29" s="2">
        <f t="shared" si="13"/>
        <v>0</v>
      </c>
      <c r="K29" s="2">
        <f t="shared" si="13"/>
        <v>0</v>
      </c>
      <c r="L29" s="2">
        <f t="shared" si="13"/>
        <v>0</v>
      </c>
      <c r="M29" s="2">
        <f t="shared" si="13"/>
        <v>0</v>
      </c>
      <c r="N29" s="2">
        <f t="shared" si="13"/>
        <v>0</v>
      </c>
      <c r="O29" s="2">
        <f t="shared" si="13"/>
        <v>0</v>
      </c>
      <c r="P29" s="2">
        <f t="shared" si="13"/>
        <v>0</v>
      </c>
      <c r="Q29" s="2">
        <f t="shared" si="13"/>
        <v>0</v>
      </c>
      <c r="R29" s="2">
        <f t="shared" si="13"/>
        <v>0</v>
      </c>
      <c r="S29" s="2">
        <f t="shared" si="13"/>
        <v>0</v>
      </c>
      <c r="T29" s="2">
        <f t="shared" si="13"/>
        <v>0</v>
      </c>
      <c r="U29" s="2">
        <f t="shared" si="13"/>
        <v>0</v>
      </c>
      <c r="V29" s="2">
        <f t="shared" si="13"/>
        <v>0</v>
      </c>
    </row>
    <row r="30" spans="1:22" x14ac:dyDescent="0.45">
      <c r="A30" t="s">
        <v>91</v>
      </c>
      <c r="C30" s="2">
        <f>C24+C25</f>
        <v>1200</v>
      </c>
      <c r="D30" s="2">
        <f t="shared" ref="D30:V30" si="14">D24+D25</f>
        <v>1200</v>
      </c>
      <c r="E30" s="2">
        <f t="shared" si="14"/>
        <v>1323</v>
      </c>
      <c r="F30" s="2">
        <f t="shared" si="14"/>
        <v>1323</v>
      </c>
      <c r="G30" s="2">
        <f t="shared" si="14"/>
        <v>1458.6075000000001</v>
      </c>
      <c r="H30" s="2">
        <f t="shared" si="14"/>
        <v>1458.6075000000001</v>
      </c>
      <c r="I30" s="2">
        <f t="shared" si="14"/>
        <v>1608.1147687499999</v>
      </c>
      <c r="J30" s="2">
        <f t="shared" si="14"/>
        <v>1608.1147687499999</v>
      </c>
      <c r="K30" s="2">
        <f t="shared" si="14"/>
        <v>1772.946532546875</v>
      </c>
      <c r="L30" s="2">
        <f t="shared" si="14"/>
        <v>1772.946532546875</v>
      </c>
      <c r="M30" s="2">
        <f t="shared" si="14"/>
        <v>1954.6735521329299</v>
      </c>
      <c r="N30" s="2">
        <f t="shared" si="14"/>
        <v>1954.6735521329299</v>
      </c>
      <c r="O30" s="2">
        <f t="shared" si="14"/>
        <v>2155.0275912265552</v>
      </c>
      <c r="P30" s="2">
        <f t="shared" si="14"/>
        <v>2155.0275912265552</v>
      </c>
      <c r="Q30" s="2">
        <f t="shared" si="14"/>
        <v>2375.9179193272766</v>
      </c>
      <c r="R30" s="2">
        <f t="shared" si="14"/>
        <v>2375.9179193272766</v>
      </c>
      <c r="S30" s="2">
        <f t="shared" si="14"/>
        <v>2619.4495060583231</v>
      </c>
      <c r="T30" s="2">
        <f t="shared" si="14"/>
        <v>2619.4495060583231</v>
      </c>
      <c r="U30" s="2">
        <f t="shared" si="14"/>
        <v>2887.9430804293015</v>
      </c>
      <c r="V30" s="2">
        <f t="shared" si="14"/>
        <v>2887.9430804293015</v>
      </c>
    </row>
    <row r="31" spans="1:22" x14ac:dyDescent="0.45">
      <c r="A31" t="s">
        <v>71</v>
      </c>
      <c r="C31" s="2">
        <f>($B$8+$B$9)/$G$13</f>
        <v>2500</v>
      </c>
      <c r="D31" s="2">
        <f t="shared" ref="D31:V31" si="15">($B$8+$B$9)/$G$13</f>
        <v>2500</v>
      </c>
      <c r="E31" s="2">
        <f t="shared" si="15"/>
        <v>2500</v>
      </c>
      <c r="F31" s="2">
        <f t="shared" si="15"/>
        <v>2500</v>
      </c>
      <c r="G31" s="2">
        <f t="shared" si="15"/>
        <v>2500</v>
      </c>
      <c r="H31" s="2">
        <f t="shared" si="15"/>
        <v>2500</v>
      </c>
      <c r="I31" s="2">
        <f t="shared" si="15"/>
        <v>2500</v>
      </c>
      <c r="J31" s="2">
        <f t="shared" si="15"/>
        <v>2500</v>
      </c>
      <c r="K31" s="2">
        <f t="shared" si="15"/>
        <v>2500</v>
      </c>
      <c r="L31" s="2">
        <f t="shared" si="15"/>
        <v>2500</v>
      </c>
      <c r="M31" s="2">
        <f t="shared" si="15"/>
        <v>2500</v>
      </c>
      <c r="N31" s="2">
        <f t="shared" si="15"/>
        <v>2500</v>
      </c>
      <c r="O31" s="2">
        <f t="shared" si="15"/>
        <v>2500</v>
      </c>
      <c r="P31" s="2">
        <f t="shared" si="15"/>
        <v>2500</v>
      </c>
      <c r="Q31" s="2">
        <f t="shared" si="15"/>
        <v>2500</v>
      </c>
      <c r="R31" s="2">
        <f t="shared" si="15"/>
        <v>2500</v>
      </c>
      <c r="S31" s="2">
        <f t="shared" si="15"/>
        <v>2500</v>
      </c>
      <c r="T31" s="2">
        <f t="shared" si="15"/>
        <v>2500</v>
      </c>
      <c r="U31" s="2">
        <f t="shared" si="15"/>
        <v>2500</v>
      </c>
      <c r="V31" s="2">
        <f t="shared" si="15"/>
        <v>2500</v>
      </c>
    </row>
    <row r="32" spans="1:22" x14ac:dyDescent="0.45">
      <c r="A32" t="s">
        <v>16</v>
      </c>
      <c r="C32" s="2">
        <f>C29-C30-C31</f>
        <v>-3700</v>
      </c>
      <c r="D32" s="2">
        <f t="shared" ref="D32:V32" si="16">D29-D30-D31</f>
        <v>-3700</v>
      </c>
      <c r="E32" s="2">
        <f t="shared" si="16"/>
        <v>-3823</v>
      </c>
      <c r="F32" s="2">
        <f t="shared" si="16"/>
        <v>-3823</v>
      </c>
      <c r="G32" s="2">
        <f t="shared" si="16"/>
        <v>-3958.6075000000001</v>
      </c>
      <c r="H32" s="2">
        <f t="shared" si="16"/>
        <v>-3958.6075000000001</v>
      </c>
      <c r="I32" s="2">
        <f t="shared" si="16"/>
        <v>-4108.1147687499997</v>
      </c>
      <c r="J32" s="2">
        <f t="shared" si="16"/>
        <v>-4108.1147687499997</v>
      </c>
      <c r="K32" s="2">
        <f t="shared" si="16"/>
        <v>-4272.9465325468755</v>
      </c>
      <c r="L32" s="2">
        <f t="shared" si="16"/>
        <v>-4272.9465325468755</v>
      </c>
      <c r="M32" s="2">
        <f t="shared" si="16"/>
        <v>-4454.6735521329301</v>
      </c>
      <c r="N32" s="2">
        <f t="shared" si="16"/>
        <v>-4454.6735521329301</v>
      </c>
      <c r="O32" s="2">
        <f t="shared" si="16"/>
        <v>-4655.0275912265552</v>
      </c>
      <c r="P32" s="2">
        <f t="shared" si="16"/>
        <v>-4655.0275912265552</v>
      </c>
      <c r="Q32" s="2">
        <f t="shared" si="16"/>
        <v>-4875.9179193272766</v>
      </c>
      <c r="R32" s="2">
        <f t="shared" si="16"/>
        <v>-4875.9179193272766</v>
      </c>
      <c r="S32" s="2">
        <f t="shared" si="16"/>
        <v>-5119.4495060583231</v>
      </c>
      <c r="T32" s="2">
        <f t="shared" si="16"/>
        <v>-5119.4495060583231</v>
      </c>
      <c r="U32" s="2">
        <f t="shared" si="16"/>
        <v>-5387.9430804293015</v>
      </c>
      <c r="V32" s="2">
        <f t="shared" si="16"/>
        <v>-5387.9430804293015</v>
      </c>
    </row>
    <row r="33" spans="1:22" x14ac:dyDescent="0.45">
      <c r="A33" t="s">
        <v>17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45">
      <c r="A34" t="s">
        <v>19</v>
      </c>
      <c r="C34" s="2">
        <f>C32-C33</f>
        <v>-3700</v>
      </c>
      <c r="D34" s="2">
        <f t="shared" ref="D34:V34" si="17">D32-D33</f>
        <v>-3700</v>
      </c>
      <c r="E34" s="2">
        <f t="shared" si="17"/>
        <v>-3823</v>
      </c>
      <c r="F34" s="2">
        <f t="shared" si="17"/>
        <v>-3823</v>
      </c>
      <c r="G34" s="2">
        <f t="shared" si="17"/>
        <v>-3958.6075000000001</v>
      </c>
      <c r="H34" s="2">
        <f t="shared" si="17"/>
        <v>-3958.6075000000001</v>
      </c>
      <c r="I34" s="2">
        <f t="shared" si="17"/>
        <v>-4108.1147687499997</v>
      </c>
      <c r="J34" s="2">
        <f t="shared" si="17"/>
        <v>-4108.1147687499997</v>
      </c>
      <c r="K34" s="2">
        <f t="shared" si="17"/>
        <v>-4272.9465325468755</v>
      </c>
      <c r="L34" s="2">
        <f t="shared" si="17"/>
        <v>-4272.9465325468755</v>
      </c>
      <c r="M34" s="2">
        <f t="shared" si="17"/>
        <v>-4454.6735521329301</v>
      </c>
      <c r="N34" s="2">
        <f t="shared" si="17"/>
        <v>-4454.6735521329301</v>
      </c>
      <c r="O34" s="2">
        <f t="shared" si="17"/>
        <v>-4655.0275912265552</v>
      </c>
      <c r="P34" s="2">
        <f t="shared" si="17"/>
        <v>-4655.0275912265552</v>
      </c>
      <c r="Q34" s="2">
        <f t="shared" si="17"/>
        <v>-4875.9179193272766</v>
      </c>
      <c r="R34" s="2">
        <f t="shared" si="17"/>
        <v>-4875.9179193272766</v>
      </c>
      <c r="S34" s="2">
        <f t="shared" si="17"/>
        <v>-5119.4495060583231</v>
      </c>
      <c r="T34" s="2">
        <f t="shared" si="17"/>
        <v>-5119.4495060583231</v>
      </c>
      <c r="U34" s="2">
        <f t="shared" si="17"/>
        <v>-5387.9430804293015</v>
      </c>
      <c r="V34" s="2">
        <f t="shared" si="17"/>
        <v>-5387.9430804293015</v>
      </c>
    </row>
    <row r="35" spans="1:22" x14ac:dyDescent="0.45">
      <c r="A35" s="4" t="s">
        <v>7</v>
      </c>
      <c r="B35" s="4"/>
      <c r="C35" s="6">
        <f>C34*$G$8</f>
        <v>-740</v>
      </c>
      <c r="D35" s="6">
        <f t="shared" ref="D35:V35" si="18">D34*$G$8</f>
        <v>-740</v>
      </c>
      <c r="E35" s="6">
        <f t="shared" si="18"/>
        <v>-764.6</v>
      </c>
      <c r="F35" s="6">
        <f t="shared" si="18"/>
        <v>-764.6</v>
      </c>
      <c r="G35" s="6">
        <f t="shared" si="18"/>
        <v>-791.72150000000011</v>
      </c>
      <c r="H35" s="6">
        <f t="shared" si="18"/>
        <v>-791.72150000000011</v>
      </c>
      <c r="I35" s="6">
        <f t="shared" si="18"/>
        <v>-821.62295374999997</v>
      </c>
      <c r="J35" s="6">
        <f t="shared" si="18"/>
        <v>-821.62295374999997</v>
      </c>
      <c r="K35" s="6">
        <f t="shared" si="18"/>
        <v>-854.58930650937509</v>
      </c>
      <c r="L35" s="6">
        <f t="shared" si="18"/>
        <v>-854.58930650937509</v>
      </c>
      <c r="M35" s="6">
        <f t="shared" si="18"/>
        <v>-890.93471042658609</v>
      </c>
      <c r="N35" s="6">
        <f t="shared" si="18"/>
        <v>-890.93471042658609</v>
      </c>
      <c r="O35" s="6">
        <f t="shared" si="18"/>
        <v>-931.00551824531112</v>
      </c>
      <c r="P35" s="6">
        <f t="shared" si="18"/>
        <v>-931.00551824531112</v>
      </c>
      <c r="Q35" s="6">
        <f t="shared" si="18"/>
        <v>-975.18358386545538</v>
      </c>
      <c r="R35" s="6">
        <f t="shared" si="18"/>
        <v>-975.18358386545538</v>
      </c>
      <c r="S35" s="6">
        <f t="shared" si="18"/>
        <v>-1023.8899012116647</v>
      </c>
      <c r="T35" s="6">
        <f t="shared" si="18"/>
        <v>-1023.8899012116647</v>
      </c>
      <c r="U35" s="6">
        <f t="shared" si="18"/>
        <v>-1077.5886160858604</v>
      </c>
      <c r="V35" s="6">
        <f t="shared" si="18"/>
        <v>-1077.5886160858604</v>
      </c>
    </row>
    <row r="37" spans="1:22" x14ac:dyDescent="0.45">
      <c r="A37" s="1" t="s">
        <v>24</v>
      </c>
    </row>
    <row r="38" spans="1:22" x14ac:dyDescent="0.45">
      <c r="A38" s="5" t="s">
        <v>9</v>
      </c>
      <c r="B38" s="5">
        <v>0</v>
      </c>
      <c r="C38" s="5">
        <v>1</v>
      </c>
      <c r="D38" s="5">
        <v>2</v>
      </c>
      <c r="E38" s="5">
        <v>3</v>
      </c>
      <c r="F38" s="5">
        <v>4</v>
      </c>
      <c r="G38" s="5">
        <v>5</v>
      </c>
      <c r="H38" s="5">
        <v>6</v>
      </c>
      <c r="I38" s="5">
        <v>7</v>
      </c>
      <c r="J38" s="5">
        <v>8</v>
      </c>
      <c r="K38" s="5">
        <v>9</v>
      </c>
      <c r="L38" s="5">
        <v>10</v>
      </c>
      <c r="M38" s="5">
        <v>11</v>
      </c>
      <c r="N38" s="5">
        <v>12</v>
      </c>
      <c r="O38" s="5">
        <v>13</v>
      </c>
      <c r="P38" s="5">
        <v>14</v>
      </c>
      <c r="Q38" s="5">
        <v>15</v>
      </c>
      <c r="R38" s="5">
        <v>16</v>
      </c>
      <c r="S38" s="5">
        <v>17</v>
      </c>
      <c r="T38" s="5">
        <v>18</v>
      </c>
      <c r="U38" s="5">
        <v>19</v>
      </c>
      <c r="V38" s="5">
        <v>20</v>
      </c>
    </row>
    <row r="39" spans="1:22" x14ac:dyDescent="0.45">
      <c r="A39" t="s">
        <v>21</v>
      </c>
      <c r="C39" s="2">
        <f>C23*$D$12</f>
        <v>0</v>
      </c>
      <c r="D39" s="2">
        <f t="shared" ref="D39:U39" si="19">D23*$D$12</f>
        <v>0</v>
      </c>
      <c r="E39" s="2">
        <f t="shared" si="19"/>
        <v>0</v>
      </c>
      <c r="F39" s="2">
        <f t="shared" si="19"/>
        <v>0</v>
      </c>
      <c r="G39" s="2">
        <f t="shared" si="19"/>
        <v>0</v>
      </c>
      <c r="H39" s="2">
        <f t="shared" si="19"/>
        <v>0</v>
      </c>
      <c r="I39" s="2">
        <f t="shared" si="19"/>
        <v>0</v>
      </c>
      <c r="J39" s="2">
        <f t="shared" si="19"/>
        <v>0</v>
      </c>
      <c r="K39" s="2">
        <f t="shared" si="19"/>
        <v>0</v>
      </c>
      <c r="L39" s="2">
        <f t="shared" si="19"/>
        <v>0</v>
      </c>
      <c r="M39" s="2">
        <f t="shared" si="19"/>
        <v>0</v>
      </c>
      <c r="N39" s="2">
        <f t="shared" si="19"/>
        <v>0</v>
      </c>
      <c r="O39" s="2">
        <f t="shared" si="19"/>
        <v>0</v>
      </c>
      <c r="P39" s="2">
        <f t="shared" si="19"/>
        <v>0</v>
      </c>
      <c r="Q39" s="2">
        <f t="shared" si="19"/>
        <v>0</v>
      </c>
      <c r="R39" s="2">
        <f t="shared" si="19"/>
        <v>0</v>
      </c>
      <c r="S39" s="2">
        <f t="shared" si="19"/>
        <v>0</v>
      </c>
      <c r="T39" s="2">
        <f t="shared" si="19"/>
        <v>0</v>
      </c>
      <c r="U39" s="2">
        <f t="shared" si="19"/>
        <v>0</v>
      </c>
      <c r="V39" s="2"/>
    </row>
    <row r="40" spans="1:22" x14ac:dyDescent="0.45">
      <c r="A40" t="s">
        <v>55</v>
      </c>
      <c r="C40" s="2">
        <f>$D$13*C25</f>
        <v>0</v>
      </c>
      <c r="D40" s="2">
        <f t="shared" ref="D40:U40" si="20">$D$13*D25</f>
        <v>0</v>
      </c>
      <c r="E40" s="2">
        <f t="shared" si="20"/>
        <v>0</v>
      </c>
      <c r="F40" s="2">
        <f t="shared" si="20"/>
        <v>0</v>
      </c>
      <c r="G40" s="2">
        <f t="shared" si="20"/>
        <v>0</v>
      </c>
      <c r="H40" s="2">
        <f t="shared" si="20"/>
        <v>0</v>
      </c>
      <c r="I40" s="2">
        <f t="shared" si="20"/>
        <v>0</v>
      </c>
      <c r="J40" s="2">
        <f t="shared" si="20"/>
        <v>0</v>
      </c>
      <c r="K40" s="2">
        <f t="shared" si="20"/>
        <v>0</v>
      </c>
      <c r="L40" s="2">
        <f t="shared" si="20"/>
        <v>0</v>
      </c>
      <c r="M40" s="2">
        <f t="shared" si="20"/>
        <v>0</v>
      </c>
      <c r="N40" s="2">
        <f t="shared" si="20"/>
        <v>0</v>
      </c>
      <c r="O40" s="2">
        <f t="shared" si="20"/>
        <v>0</v>
      </c>
      <c r="P40" s="2">
        <f t="shared" si="20"/>
        <v>0</v>
      </c>
      <c r="Q40" s="2">
        <f t="shared" si="20"/>
        <v>0</v>
      </c>
      <c r="R40" s="2">
        <f t="shared" si="20"/>
        <v>0</v>
      </c>
      <c r="S40" s="2">
        <f t="shared" si="20"/>
        <v>0</v>
      </c>
      <c r="T40" s="2">
        <f t="shared" si="20"/>
        <v>0</v>
      </c>
      <c r="U40" s="2">
        <f t="shared" si="20"/>
        <v>0</v>
      </c>
      <c r="V40" s="2"/>
    </row>
    <row r="41" spans="1:22" x14ac:dyDescent="0.45">
      <c r="A41" t="s">
        <v>23</v>
      </c>
      <c r="C41" s="2">
        <f>C29*$D$14</f>
        <v>0</v>
      </c>
      <c r="D41" s="2">
        <f t="shared" ref="D41:U41" si="21">D29*$D$14</f>
        <v>0</v>
      </c>
      <c r="E41" s="2">
        <f t="shared" si="21"/>
        <v>0</v>
      </c>
      <c r="F41" s="2">
        <f t="shared" si="21"/>
        <v>0</v>
      </c>
      <c r="G41" s="2">
        <f t="shared" si="21"/>
        <v>0</v>
      </c>
      <c r="H41" s="2">
        <f t="shared" si="21"/>
        <v>0</v>
      </c>
      <c r="I41" s="2">
        <f t="shared" si="21"/>
        <v>0</v>
      </c>
      <c r="J41" s="2">
        <f t="shared" si="21"/>
        <v>0</v>
      </c>
      <c r="K41" s="2">
        <f t="shared" si="21"/>
        <v>0</v>
      </c>
      <c r="L41" s="2">
        <f t="shared" si="21"/>
        <v>0</v>
      </c>
      <c r="M41" s="2">
        <f t="shared" si="21"/>
        <v>0</v>
      </c>
      <c r="N41" s="2">
        <f t="shared" si="21"/>
        <v>0</v>
      </c>
      <c r="O41" s="2">
        <f t="shared" si="21"/>
        <v>0</v>
      </c>
      <c r="P41" s="2">
        <f t="shared" si="21"/>
        <v>0</v>
      </c>
      <c r="Q41" s="2">
        <f t="shared" si="21"/>
        <v>0</v>
      </c>
      <c r="R41" s="2">
        <f t="shared" si="21"/>
        <v>0</v>
      </c>
      <c r="S41" s="2">
        <f t="shared" si="21"/>
        <v>0</v>
      </c>
      <c r="T41" s="2">
        <f t="shared" si="21"/>
        <v>0</v>
      </c>
      <c r="U41" s="2">
        <f t="shared" si="21"/>
        <v>0</v>
      </c>
      <c r="V41" s="2"/>
    </row>
    <row r="42" spans="1:22" ht="14.65" x14ac:dyDescent="0.45">
      <c r="A42" s="8" t="s">
        <v>25</v>
      </c>
      <c r="C42" s="2">
        <f>B39-C39</f>
        <v>0</v>
      </c>
      <c r="D42" s="2">
        <f t="shared" ref="D42:V43" si="22">C39-D39</f>
        <v>0</v>
      </c>
      <c r="E42" s="2">
        <f t="shared" si="22"/>
        <v>0</v>
      </c>
      <c r="F42" s="2">
        <f t="shared" si="22"/>
        <v>0</v>
      </c>
      <c r="G42" s="2">
        <f t="shared" si="22"/>
        <v>0</v>
      </c>
      <c r="H42" s="2">
        <f t="shared" si="22"/>
        <v>0</v>
      </c>
      <c r="I42" s="2">
        <f t="shared" si="22"/>
        <v>0</v>
      </c>
      <c r="J42" s="2">
        <f t="shared" si="22"/>
        <v>0</v>
      </c>
      <c r="K42" s="2">
        <f t="shared" si="22"/>
        <v>0</v>
      </c>
      <c r="L42" s="2">
        <f t="shared" si="22"/>
        <v>0</v>
      </c>
      <c r="M42" s="2">
        <f t="shared" si="22"/>
        <v>0</v>
      </c>
      <c r="N42" s="2">
        <f t="shared" si="22"/>
        <v>0</v>
      </c>
      <c r="O42" s="2">
        <f t="shared" si="22"/>
        <v>0</v>
      </c>
      <c r="P42" s="2">
        <f t="shared" si="22"/>
        <v>0</v>
      </c>
      <c r="Q42" s="2">
        <f t="shared" si="22"/>
        <v>0</v>
      </c>
      <c r="R42" s="2">
        <f t="shared" si="22"/>
        <v>0</v>
      </c>
      <c r="S42" s="2">
        <f t="shared" si="22"/>
        <v>0</v>
      </c>
      <c r="T42" s="2">
        <f t="shared" si="22"/>
        <v>0</v>
      </c>
      <c r="U42" s="2">
        <f t="shared" si="22"/>
        <v>0</v>
      </c>
      <c r="V42" s="2">
        <f t="shared" si="22"/>
        <v>0</v>
      </c>
    </row>
    <row r="43" spans="1:22" ht="14.65" x14ac:dyDescent="0.45">
      <c r="A43" s="8" t="s">
        <v>59</v>
      </c>
      <c r="C43" s="2">
        <f>B40-C40</f>
        <v>0</v>
      </c>
      <c r="D43" s="2">
        <f t="shared" si="22"/>
        <v>0</v>
      </c>
      <c r="E43" s="2">
        <f t="shared" si="22"/>
        <v>0</v>
      </c>
      <c r="F43" s="2">
        <f t="shared" si="22"/>
        <v>0</v>
      </c>
      <c r="G43" s="2">
        <f t="shared" si="22"/>
        <v>0</v>
      </c>
      <c r="H43" s="2">
        <f t="shared" si="22"/>
        <v>0</v>
      </c>
      <c r="I43" s="2">
        <f t="shared" si="22"/>
        <v>0</v>
      </c>
      <c r="J43" s="2">
        <f t="shared" si="22"/>
        <v>0</v>
      </c>
      <c r="K43" s="2">
        <f t="shared" si="22"/>
        <v>0</v>
      </c>
      <c r="L43" s="2">
        <f t="shared" si="22"/>
        <v>0</v>
      </c>
      <c r="M43" s="2">
        <f t="shared" si="22"/>
        <v>0</v>
      </c>
      <c r="N43" s="2">
        <f t="shared" si="22"/>
        <v>0</v>
      </c>
      <c r="O43" s="2">
        <f t="shared" si="22"/>
        <v>0</v>
      </c>
      <c r="P43" s="2">
        <f t="shared" si="22"/>
        <v>0</v>
      </c>
      <c r="Q43" s="2">
        <f t="shared" si="22"/>
        <v>0</v>
      </c>
      <c r="R43" s="2">
        <f t="shared" si="22"/>
        <v>0</v>
      </c>
      <c r="S43" s="2">
        <f t="shared" si="22"/>
        <v>0</v>
      </c>
      <c r="T43" s="2">
        <f t="shared" si="22"/>
        <v>0</v>
      </c>
      <c r="U43" s="2">
        <f t="shared" si="22"/>
        <v>0</v>
      </c>
      <c r="V43" s="2">
        <f t="shared" si="22"/>
        <v>0</v>
      </c>
    </row>
    <row r="44" spans="1:22" ht="14.65" x14ac:dyDescent="0.45">
      <c r="A44" s="9" t="s">
        <v>26</v>
      </c>
      <c r="B44" s="4"/>
      <c r="C44" s="6">
        <f>C41-B41</f>
        <v>0</v>
      </c>
      <c r="D44" s="6">
        <f t="shared" ref="D44:V44" si="23">D41-C41</f>
        <v>0</v>
      </c>
      <c r="E44" s="6">
        <f t="shared" si="23"/>
        <v>0</v>
      </c>
      <c r="F44" s="6">
        <f t="shared" si="23"/>
        <v>0</v>
      </c>
      <c r="G44" s="6">
        <f t="shared" si="23"/>
        <v>0</v>
      </c>
      <c r="H44" s="6">
        <f t="shared" si="23"/>
        <v>0</v>
      </c>
      <c r="I44" s="6">
        <f t="shared" si="23"/>
        <v>0</v>
      </c>
      <c r="J44" s="6">
        <f t="shared" si="23"/>
        <v>0</v>
      </c>
      <c r="K44" s="6">
        <f t="shared" si="23"/>
        <v>0</v>
      </c>
      <c r="L44" s="6">
        <f t="shared" si="23"/>
        <v>0</v>
      </c>
      <c r="M44" s="6">
        <f t="shared" si="23"/>
        <v>0</v>
      </c>
      <c r="N44" s="6">
        <f t="shared" si="23"/>
        <v>0</v>
      </c>
      <c r="O44" s="6">
        <f t="shared" si="23"/>
        <v>0</v>
      </c>
      <c r="P44" s="6">
        <f t="shared" si="23"/>
        <v>0</v>
      </c>
      <c r="Q44" s="6">
        <f t="shared" si="23"/>
        <v>0</v>
      </c>
      <c r="R44" s="6">
        <f t="shared" si="23"/>
        <v>0</v>
      </c>
      <c r="S44" s="6">
        <f t="shared" si="23"/>
        <v>0</v>
      </c>
      <c r="T44" s="6">
        <f t="shared" si="23"/>
        <v>0</v>
      </c>
      <c r="U44" s="6">
        <f t="shared" si="23"/>
        <v>0</v>
      </c>
      <c r="V44" s="6">
        <f t="shared" si="23"/>
        <v>0</v>
      </c>
    </row>
    <row r="46" spans="1:22" x14ac:dyDescent="0.45">
      <c r="A46" s="1" t="s">
        <v>27</v>
      </c>
    </row>
    <row r="47" spans="1:22" x14ac:dyDescent="0.45">
      <c r="A47" s="5" t="s">
        <v>9</v>
      </c>
      <c r="B47" s="5">
        <v>0</v>
      </c>
      <c r="C47" s="5">
        <v>1</v>
      </c>
      <c r="D47" s="5">
        <v>2</v>
      </c>
      <c r="E47" s="5">
        <v>3</v>
      </c>
      <c r="F47" s="5">
        <v>4</v>
      </c>
      <c r="G47" s="5">
        <v>5</v>
      </c>
      <c r="H47" s="5">
        <v>6</v>
      </c>
      <c r="I47" s="5">
        <v>7</v>
      </c>
      <c r="J47" s="5">
        <v>8</v>
      </c>
      <c r="K47" s="5">
        <v>9</v>
      </c>
      <c r="L47" s="5">
        <v>10</v>
      </c>
      <c r="M47" s="5">
        <v>11</v>
      </c>
      <c r="N47" s="5">
        <v>12</v>
      </c>
      <c r="O47" s="5">
        <v>13</v>
      </c>
      <c r="P47" s="5">
        <v>14</v>
      </c>
      <c r="Q47" s="5">
        <v>15</v>
      </c>
      <c r="R47" s="5">
        <v>16</v>
      </c>
      <c r="S47" s="5">
        <v>17</v>
      </c>
      <c r="T47" s="5">
        <v>18</v>
      </c>
      <c r="U47" s="5">
        <v>19</v>
      </c>
      <c r="V47" s="5">
        <v>20</v>
      </c>
    </row>
    <row r="48" spans="1:22" x14ac:dyDescent="0.45">
      <c r="A48" s="1" t="s">
        <v>28</v>
      </c>
    </row>
    <row r="49" spans="1:22" x14ac:dyDescent="0.45">
      <c r="A49" t="s">
        <v>29</v>
      </c>
      <c r="C49" s="2">
        <f>C23</f>
        <v>0</v>
      </c>
      <c r="D49" s="2">
        <f t="shared" ref="D49:V49" si="24">D23</f>
        <v>0</v>
      </c>
      <c r="E49" s="2">
        <f t="shared" si="24"/>
        <v>0</v>
      </c>
      <c r="F49" s="2">
        <f t="shared" si="24"/>
        <v>0</v>
      </c>
      <c r="G49" s="2">
        <f t="shared" si="24"/>
        <v>0</v>
      </c>
      <c r="H49" s="2">
        <f t="shared" si="24"/>
        <v>0</v>
      </c>
      <c r="I49" s="2">
        <f t="shared" si="24"/>
        <v>0</v>
      </c>
      <c r="J49" s="2">
        <f t="shared" si="24"/>
        <v>0</v>
      </c>
      <c r="K49" s="2">
        <f t="shared" si="24"/>
        <v>0</v>
      </c>
      <c r="L49" s="2">
        <f t="shared" si="24"/>
        <v>0</v>
      </c>
      <c r="M49" s="2">
        <f t="shared" si="24"/>
        <v>0</v>
      </c>
      <c r="N49" s="2">
        <f t="shared" si="24"/>
        <v>0</v>
      </c>
      <c r="O49" s="2">
        <f t="shared" si="24"/>
        <v>0</v>
      </c>
      <c r="P49" s="2">
        <f t="shared" si="24"/>
        <v>0</v>
      </c>
      <c r="Q49" s="2">
        <f t="shared" si="24"/>
        <v>0</v>
      </c>
      <c r="R49" s="2">
        <f t="shared" si="24"/>
        <v>0</v>
      </c>
      <c r="S49" s="2">
        <f t="shared" si="24"/>
        <v>0</v>
      </c>
      <c r="T49" s="2">
        <f t="shared" si="24"/>
        <v>0</v>
      </c>
      <c r="U49" s="2">
        <f t="shared" si="24"/>
        <v>0</v>
      </c>
      <c r="V49" s="2">
        <f t="shared" si="24"/>
        <v>0</v>
      </c>
    </row>
    <row r="50" spans="1:22" ht="14.65" x14ac:dyDescent="0.45">
      <c r="A50" s="8" t="s">
        <v>37</v>
      </c>
      <c r="C50" s="2">
        <f>C42</f>
        <v>0</v>
      </c>
      <c r="D50" s="2">
        <f t="shared" ref="D50:V50" si="25">D42</f>
        <v>0</v>
      </c>
      <c r="E50" s="2">
        <f t="shared" si="25"/>
        <v>0</v>
      </c>
      <c r="F50" s="2">
        <f t="shared" si="25"/>
        <v>0</v>
      </c>
      <c r="G50" s="2">
        <f t="shared" si="25"/>
        <v>0</v>
      </c>
      <c r="H50" s="2">
        <f t="shared" si="25"/>
        <v>0</v>
      </c>
      <c r="I50" s="2">
        <f t="shared" si="25"/>
        <v>0</v>
      </c>
      <c r="J50" s="2">
        <f t="shared" si="25"/>
        <v>0</v>
      </c>
      <c r="K50" s="2">
        <f t="shared" si="25"/>
        <v>0</v>
      </c>
      <c r="L50" s="2">
        <f t="shared" si="25"/>
        <v>0</v>
      </c>
      <c r="M50" s="2">
        <f t="shared" si="25"/>
        <v>0</v>
      </c>
      <c r="N50" s="2">
        <f t="shared" si="25"/>
        <v>0</v>
      </c>
      <c r="O50" s="2">
        <f t="shared" si="25"/>
        <v>0</v>
      </c>
      <c r="P50" s="2">
        <f t="shared" si="25"/>
        <v>0</v>
      </c>
      <c r="Q50" s="2">
        <f t="shared" si="25"/>
        <v>0</v>
      </c>
      <c r="R50" s="2">
        <f t="shared" si="25"/>
        <v>0</v>
      </c>
      <c r="S50" s="2">
        <f t="shared" si="25"/>
        <v>0</v>
      </c>
      <c r="T50" s="2">
        <f t="shared" si="25"/>
        <v>0</v>
      </c>
      <c r="U50" s="2">
        <f t="shared" si="25"/>
        <v>0</v>
      </c>
      <c r="V50" s="2">
        <f t="shared" si="25"/>
        <v>0</v>
      </c>
    </row>
    <row r="51" spans="1:22" x14ac:dyDescent="0.45">
      <c r="A51" s="35" t="s">
        <v>72</v>
      </c>
      <c r="V51" s="22"/>
    </row>
    <row r="52" spans="1:22" x14ac:dyDescent="0.45">
      <c r="A52" s="1" t="s">
        <v>31</v>
      </c>
    </row>
    <row r="53" spans="1:22" s="35" customFormat="1" x14ac:dyDescent="0.45">
      <c r="A53" s="35" t="s">
        <v>32</v>
      </c>
      <c r="B53" s="33"/>
    </row>
    <row r="54" spans="1:22" x14ac:dyDescent="0.45">
      <c r="A54" t="s">
        <v>33</v>
      </c>
      <c r="B54">
        <f>B8</f>
        <v>30000</v>
      </c>
    </row>
    <row r="55" spans="1:22" x14ac:dyDescent="0.45">
      <c r="A55" t="s">
        <v>34</v>
      </c>
      <c r="B55">
        <f>B9</f>
        <v>20000</v>
      </c>
    </row>
    <row r="56" spans="1:22" x14ac:dyDescent="0.45">
      <c r="A56" t="s">
        <v>35</v>
      </c>
      <c r="C56" s="2">
        <f>C24</f>
        <v>1200</v>
      </c>
      <c r="D56" s="2">
        <f t="shared" ref="D56:V57" si="26">D24</f>
        <v>1200</v>
      </c>
      <c r="E56" s="2">
        <f t="shared" si="26"/>
        <v>1323</v>
      </c>
      <c r="F56" s="2">
        <f t="shared" si="26"/>
        <v>1323</v>
      </c>
      <c r="G56" s="2">
        <f t="shared" si="26"/>
        <v>1458.6075000000001</v>
      </c>
      <c r="H56" s="2">
        <f t="shared" si="26"/>
        <v>1458.6075000000001</v>
      </c>
      <c r="I56" s="2">
        <f t="shared" si="26"/>
        <v>1608.1147687499999</v>
      </c>
      <c r="J56" s="2">
        <f t="shared" si="26"/>
        <v>1608.1147687499999</v>
      </c>
      <c r="K56" s="2">
        <f t="shared" si="26"/>
        <v>1772.946532546875</v>
      </c>
      <c r="L56" s="2">
        <f t="shared" si="26"/>
        <v>1772.946532546875</v>
      </c>
      <c r="M56" s="2">
        <f t="shared" si="26"/>
        <v>1954.6735521329299</v>
      </c>
      <c r="N56" s="2">
        <f t="shared" si="26"/>
        <v>1954.6735521329299</v>
      </c>
      <c r="O56" s="2">
        <f t="shared" si="26"/>
        <v>2155.0275912265552</v>
      </c>
      <c r="P56" s="2">
        <f t="shared" si="26"/>
        <v>2155.0275912265552</v>
      </c>
      <c r="Q56" s="2">
        <f t="shared" si="26"/>
        <v>2375.9179193272766</v>
      </c>
      <c r="R56" s="2">
        <f t="shared" si="26"/>
        <v>2375.9179193272766</v>
      </c>
      <c r="S56" s="2">
        <f t="shared" si="26"/>
        <v>2619.4495060583231</v>
      </c>
      <c r="T56" s="2">
        <f t="shared" si="26"/>
        <v>2619.4495060583231</v>
      </c>
      <c r="U56" s="2">
        <f t="shared" si="26"/>
        <v>2887.9430804293015</v>
      </c>
      <c r="V56" s="2">
        <f t="shared" si="26"/>
        <v>2887.9430804293015</v>
      </c>
    </row>
    <row r="57" spans="1:22" x14ac:dyDescent="0.45">
      <c r="A57" t="s">
        <v>36</v>
      </c>
      <c r="C57" s="2">
        <f t="shared" ref="C57:L57" si="27">C25</f>
        <v>0</v>
      </c>
      <c r="D57" s="2">
        <f t="shared" si="27"/>
        <v>0</v>
      </c>
      <c r="E57" s="2">
        <f t="shared" si="27"/>
        <v>0</v>
      </c>
      <c r="F57" s="2">
        <f t="shared" si="27"/>
        <v>0</v>
      </c>
      <c r="G57" s="2">
        <f t="shared" si="27"/>
        <v>0</v>
      </c>
      <c r="H57" s="2">
        <f t="shared" si="27"/>
        <v>0</v>
      </c>
      <c r="I57" s="2">
        <f t="shared" si="27"/>
        <v>0</v>
      </c>
      <c r="J57" s="2">
        <f t="shared" si="27"/>
        <v>0</v>
      </c>
      <c r="K57" s="2">
        <f t="shared" si="27"/>
        <v>0</v>
      </c>
      <c r="L57" s="2">
        <f t="shared" si="27"/>
        <v>0</v>
      </c>
      <c r="M57" s="2">
        <f t="shared" si="26"/>
        <v>0</v>
      </c>
      <c r="N57" s="2">
        <f t="shared" si="26"/>
        <v>0</v>
      </c>
      <c r="O57" s="2">
        <f t="shared" si="26"/>
        <v>0</v>
      </c>
      <c r="P57" s="2">
        <f t="shared" si="26"/>
        <v>0</v>
      </c>
      <c r="Q57" s="2">
        <f t="shared" si="26"/>
        <v>0</v>
      </c>
      <c r="R57" s="2">
        <f t="shared" si="26"/>
        <v>0</v>
      </c>
      <c r="S57" s="2">
        <f t="shared" si="26"/>
        <v>0</v>
      </c>
      <c r="T57" s="2">
        <f t="shared" si="26"/>
        <v>0</v>
      </c>
      <c r="U57" s="2">
        <f t="shared" si="26"/>
        <v>0</v>
      </c>
      <c r="V57" s="2">
        <f t="shared" si="26"/>
        <v>0</v>
      </c>
    </row>
    <row r="58" spans="1:22" ht="14.65" x14ac:dyDescent="0.45">
      <c r="A58" s="8" t="s">
        <v>60</v>
      </c>
      <c r="C58" s="2">
        <f>C43</f>
        <v>0</v>
      </c>
      <c r="D58" s="2">
        <f t="shared" ref="D58:V59" si="28">D43</f>
        <v>0</v>
      </c>
      <c r="E58" s="2">
        <f t="shared" si="28"/>
        <v>0</v>
      </c>
      <c r="F58" s="2">
        <f t="shared" si="28"/>
        <v>0</v>
      </c>
      <c r="G58" s="2">
        <f t="shared" si="28"/>
        <v>0</v>
      </c>
      <c r="H58" s="2">
        <f t="shared" si="28"/>
        <v>0</v>
      </c>
      <c r="I58" s="2">
        <f t="shared" si="28"/>
        <v>0</v>
      </c>
      <c r="J58" s="2">
        <f t="shared" si="28"/>
        <v>0</v>
      </c>
      <c r="K58" s="2">
        <f t="shared" si="28"/>
        <v>0</v>
      </c>
      <c r="L58" s="2">
        <f t="shared" si="28"/>
        <v>0</v>
      </c>
      <c r="M58" s="2">
        <f t="shared" si="28"/>
        <v>0</v>
      </c>
      <c r="N58" s="2">
        <f t="shared" si="28"/>
        <v>0</v>
      </c>
      <c r="O58" s="2">
        <f t="shared" si="28"/>
        <v>0</v>
      </c>
      <c r="P58" s="2">
        <f t="shared" si="28"/>
        <v>0</v>
      </c>
      <c r="Q58" s="2">
        <f t="shared" si="28"/>
        <v>0</v>
      </c>
      <c r="R58" s="2">
        <f t="shared" si="28"/>
        <v>0</v>
      </c>
      <c r="S58" s="2">
        <f t="shared" si="28"/>
        <v>0</v>
      </c>
      <c r="T58" s="2">
        <f t="shared" si="28"/>
        <v>0</v>
      </c>
      <c r="U58" s="2">
        <f t="shared" si="28"/>
        <v>0</v>
      </c>
      <c r="V58" s="2">
        <f t="shared" si="28"/>
        <v>0</v>
      </c>
    </row>
    <row r="59" spans="1:22" ht="14.65" x14ac:dyDescent="0.45">
      <c r="A59" s="8" t="s">
        <v>38</v>
      </c>
      <c r="C59" s="2">
        <f>C44</f>
        <v>0</v>
      </c>
      <c r="D59" s="2">
        <f t="shared" si="28"/>
        <v>0</v>
      </c>
      <c r="E59" s="2">
        <f t="shared" si="28"/>
        <v>0</v>
      </c>
      <c r="F59" s="2">
        <f t="shared" si="28"/>
        <v>0</v>
      </c>
      <c r="G59" s="2">
        <f t="shared" si="28"/>
        <v>0</v>
      </c>
      <c r="H59" s="2">
        <f t="shared" si="28"/>
        <v>0</v>
      </c>
      <c r="I59" s="2">
        <f t="shared" si="28"/>
        <v>0</v>
      </c>
      <c r="J59" s="2">
        <f t="shared" si="28"/>
        <v>0</v>
      </c>
      <c r="K59" s="2">
        <f t="shared" si="28"/>
        <v>0</v>
      </c>
      <c r="L59" s="2">
        <f t="shared" si="28"/>
        <v>0</v>
      </c>
      <c r="M59" s="2">
        <f t="shared" si="28"/>
        <v>0</v>
      </c>
      <c r="N59" s="2">
        <f t="shared" si="28"/>
        <v>0</v>
      </c>
      <c r="O59" s="2">
        <f t="shared" si="28"/>
        <v>0</v>
      </c>
      <c r="P59" s="2">
        <f t="shared" si="28"/>
        <v>0</v>
      </c>
      <c r="Q59" s="2">
        <f t="shared" si="28"/>
        <v>0</v>
      </c>
      <c r="R59" s="2">
        <f t="shared" si="28"/>
        <v>0</v>
      </c>
      <c r="S59" s="2">
        <f t="shared" si="28"/>
        <v>0</v>
      </c>
      <c r="T59" s="2">
        <f t="shared" si="28"/>
        <v>0</v>
      </c>
      <c r="U59" s="2">
        <f t="shared" si="28"/>
        <v>0</v>
      </c>
      <c r="V59" s="2">
        <f t="shared" si="28"/>
        <v>0</v>
      </c>
    </row>
    <row r="60" spans="1:22" x14ac:dyDescent="0.45">
      <c r="A60" s="1" t="s">
        <v>46</v>
      </c>
      <c r="B60" s="2">
        <f>SUM(B49:B51)-SUM(B53:B59)</f>
        <v>-50000</v>
      </c>
      <c r="C60" s="2">
        <f t="shared" ref="C60:V60" si="29">SUM(C49:C51)-SUM(C53:C59)</f>
        <v>-1200</v>
      </c>
      <c r="D60" s="2">
        <f t="shared" si="29"/>
        <v>-1200</v>
      </c>
      <c r="E60" s="2">
        <f t="shared" si="29"/>
        <v>-1323</v>
      </c>
      <c r="F60" s="2">
        <f t="shared" si="29"/>
        <v>-1323</v>
      </c>
      <c r="G60" s="2">
        <f t="shared" si="29"/>
        <v>-1458.6075000000001</v>
      </c>
      <c r="H60" s="2">
        <f t="shared" si="29"/>
        <v>-1458.6075000000001</v>
      </c>
      <c r="I60" s="2">
        <f t="shared" si="29"/>
        <v>-1608.1147687499999</v>
      </c>
      <c r="J60" s="2">
        <f t="shared" si="29"/>
        <v>-1608.1147687499999</v>
      </c>
      <c r="K60" s="2">
        <f t="shared" si="29"/>
        <v>-1772.946532546875</v>
      </c>
      <c r="L60" s="2">
        <f t="shared" si="29"/>
        <v>-1772.946532546875</v>
      </c>
      <c r="M60" s="2">
        <f t="shared" si="29"/>
        <v>-1954.6735521329299</v>
      </c>
      <c r="N60" s="2">
        <f t="shared" si="29"/>
        <v>-1954.6735521329299</v>
      </c>
      <c r="O60" s="2">
        <f t="shared" si="29"/>
        <v>-2155.0275912265552</v>
      </c>
      <c r="P60" s="2">
        <f t="shared" si="29"/>
        <v>-2155.0275912265552</v>
      </c>
      <c r="Q60" s="2">
        <f t="shared" si="29"/>
        <v>-2375.9179193272766</v>
      </c>
      <c r="R60" s="2">
        <f t="shared" si="29"/>
        <v>-2375.9179193272766</v>
      </c>
      <c r="S60" s="2">
        <f t="shared" si="29"/>
        <v>-2619.4495060583231</v>
      </c>
      <c r="T60" s="2">
        <f t="shared" si="29"/>
        <v>-2619.4495060583231</v>
      </c>
      <c r="U60" s="2">
        <f t="shared" si="29"/>
        <v>-2887.9430804293015</v>
      </c>
      <c r="V60" s="2">
        <f t="shared" si="29"/>
        <v>-2887.9430804293015</v>
      </c>
    </row>
    <row r="61" spans="1:22" x14ac:dyDescent="0.45">
      <c r="A61" t="s">
        <v>39</v>
      </c>
      <c r="C61" s="2">
        <f>C35</f>
        <v>-740</v>
      </c>
      <c r="D61" s="2">
        <f t="shared" ref="D61:V61" si="30">D35</f>
        <v>-740</v>
      </c>
      <c r="E61" s="2">
        <f t="shared" si="30"/>
        <v>-764.6</v>
      </c>
      <c r="F61" s="2">
        <f t="shared" si="30"/>
        <v>-764.6</v>
      </c>
      <c r="G61" s="2">
        <f t="shared" si="30"/>
        <v>-791.72150000000011</v>
      </c>
      <c r="H61" s="2">
        <f t="shared" si="30"/>
        <v>-791.72150000000011</v>
      </c>
      <c r="I61" s="2">
        <f t="shared" si="30"/>
        <v>-821.62295374999997</v>
      </c>
      <c r="J61" s="2">
        <f t="shared" si="30"/>
        <v>-821.62295374999997</v>
      </c>
      <c r="K61" s="2">
        <f t="shared" si="30"/>
        <v>-854.58930650937509</v>
      </c>
      <c r="L61" s="2">
        <f t="shared" si="30"/>
        <v>-854.58930650937509</v>
      </c>
      <c r="M61" s="2">
        <f t="shared" si="30"/>
        <v>-890.93471042658609</v>
      </c>
      <c r="N61" s="2">
        <f t="shared" si="30"/>
        <v>-890.93471042658609</v>
      </c>
      <c r="O61" s="2">
        <f t="shared" si="30"/>
        <v>-931.00551824531112</v>
      </c>
      <c r="P61" s="2">
        <f t="shared" si="30"/>
        <v>-931.00551824531112</v>
      </c>
      <c r="Q61" s="2">
        <f t="shared" si="30"/>
        <v>-975.18358386545538</v>
      </c>
      <c r="R61" s="2">
        <f t="shared" si="30"/>
        <v>-975.18358386545538</v>
      </c>
      <c r="S61" s="2">
        <f t="shared" si="30"/>
        <v>-1023.8899012116647</v>
      </c>
      <c r="T61" s="2">
        <f t="shared" si="30"/>
        <v>-1023.8899012116647</v>
      </c>
      <c r="U61" s="2">
        <f t="shared" si="30"/>
        <v>-1077.5886160858604</v>
      </c>
      <c r="V61" s="2">
        <f t="shared" si="30"/>
        <v>-1077.5886160858604</v>
      </c>
    </row>
    <row r="62" spans="1:22" x14ac:dyDescent="0.45">
      <c r="A62" s="3" t="s">
        <v>45</v>
      </c>
      <c r="B62" s="6">
        <f>B60-B61</f>
        <v>-50000</v>
      </c>
      <c r="C62" s="6">
        <f t="shared" ref="C62:V62" si="31">C60-C61</f>
        <v>-460</v>
      </c>
      <c r="D62" s="6">
        <f t="shared" si="31"/>
        <v>-460</v>
      </c>
      <c r="E62" s="6">
        <f t="shared" si="31"/>
        <v>-558.4</v>
      </c>
      <c r="F62" s="6">
        <f t="shared" si="31"/>
        <v>-558.4</v>
      </c>
      <c r="G62" s="6">
        <f t="shared" si="31"/>
        <v>-666.88599999999997</v>
      </c>
      <c r="H62" s="6">
        <f t="shared" si="31"/>
        <v>-666.88599999999997</v>
      </c>
      <c r="I62" s="6">
        <f t="shared" si="31"/>
        <v>-786.49181499999997</v>
      </c>
      <c r="J62" s="6">
        <f t="shared" si="31"/>
        <v>-786.49181499999997</v>
      </c>
      <c r="K62" s="6">
        <f t="shared" si="31"/>
        <v>-918.35722603749991</v>
      </c>
      <c r="L62" s="6">
        <f t="shared" si="31"/>
        <v>-918.35722603749991</v>
      </c>
      <c r="M62" s="6">
        <f t="shared" si="31"/>
        <v>-1063.7388417063439</v>
      </c>
      <c r="N62" s="6">
        <f t="shared" si="31"/>
        <v>-1063.7388417063439</v>
      </c>
      <c r="O62" s="6">
        <f t="shared" si="31"/>
        <v>-1224.022072981244</v>
      </c>
      <c r="P62" s="6">
        <f t="shared" si="31"/>
        <v>-1224.022072981244</v>
      </c>
      <c r="Q62" s="6">
        <f t="shared" si="31"/>
        <v>-1400.7343354618213</v>
      </c>
      <c r="R62" s="6">
        <f t="shared" si="31"/>
        <v>-1400.7343354618213</v>
      </c>
      <c r="S62" s="6">
        <f t="shared" si="31"/>
        <v>-1595.5596048466584</v>
      </c>
      <c r="T62" s="6">
        <f t="shared" si="31"/>
        <v>-1595.5596048466584</v>
      </c>
      <c r="U62" s="6">
        <f t="shared" si="31"/>
        <v>-1810.3544643434411</v>
      </c>
      <c r="V62" s="6">
        <f t="shared" si="31"/>
        <v>-1810.3544643434411</v>
      </c>
    </row>
    <row r="63" spans="1:22" x14ac:dyDescent="0.45">
      <c r="A63" t="s">
        <v>43</v>
      </c>
      <c r="B63" s="2">
        <f>B11</f>
        <v>35000</v>
      </c>
    </row>
    <row r="64" spans="1:22" x14ac:dyDescent="0.45">
      <c r="A64" t="s">
        <v>44</v>
      </c>
      <c r="C64" s="2">
        <f>-PMT($B$13,10,$B$11)</f>
        <v>5757.4056309321031</v>
      </c>
      <c r="D64" s="2">
        <f t="shared" ref="D64:L64" si="32">-PMT($B$13,10,$B$11)</f>
        <v>5757.4056309321031</v>
      </c>
      <c r="E64" s="2">
        <f t="shared" si="32"/>
        <v>5757.4056309321031</v>
      </c>
      <c r="F64" s="2">
        <f t="shared" si="32"/>
        <v>5757.4056309321031</v>
      </c>
      <c r="G64" s="2">
        <f t="shared" si="32"/>
        <v>5757.4056309321031</v>
      </c>
      <c r="H64" s="2">
        <f t="shared" si="32"/>
        <v>5757.4056309321031</v>
      </c>
      <c r="I64" s="2">
        <f t="shared" si="32"/>
        <v>5757.4056309321031</v>
      </c>
      <c r="J64" s="2">
        <f t="shared" si="32"/>
        <v>5757.4056309321031</v>
      </c>
      <c r="K64" s="2">
        <f t="shared" si="32"/>
        <v>5757.4056309321031</v>
      </c>
      <c r="L64" s="2">
        <f t="shared" si="32"/>
        <v>5757.4056309321031</v>
      </c>
      <c r="M64" s="2"/>
      <c r="N64" s="2"/>
      <c r="O64" s="2"/>
      <c r="P64" s="2"/>
      <c r="Q64" s="2"/>
      <c r="R64" s="2"/>
      <c r="S64" s="2"/>
      <c r="T64" s="2"/>
      <c r="U64" s="2"/>
    </row>
    <row r="65" spans="1:22" x14ac:dyDescent="0.45">
      <c r="A65" s="3" t="s">
        <v>47</v>
      </c>
      <c r="B65" s="6">
        <f>B62+B63-B64</f>
        <v>-15000</v>
      </c>
      <c r="C65" s="6">
        <f t="shared" ref="C65:V65" si="33">C62+C63-C64</f>
        <v>-6217.4056309321031</v>
      </c>
      <c r="D65" s="6">
        <f t="shared" si="33"/>
        <v>-6217.4056309321031</v>
      </c>
      <c r="E65" s="6">
        <f t="shared" si="33"/>
        <v>-6315.8056309321028</v>
      </c>
      <c r="F65" s="6">
        <f t="shared" si="33"/>
        <v>-6315.8056309321028</v>
      </c>
      <c r="G65" s="6">
        <f t="shared" si="33"/>
        <v>-6424.2916309321026</v>
      </c>
      <c r="H65" s="6">
        <f t="shared" si="33"/>
        <v>-6424.2916309321026</v>
      </c>
      <c r="I65" s="6">
        <f t="shared" si="33"/>
        <v>-6543.8974459321034</v>
      </c>
      <c r="J65" s="6">
        <f t="shared" si="33"/>
        <v>-6543.8974459321034</v>
      </c>
      <c r="K65" s="6">
        <f t="shared" si="33"/>
        <v>-6675.7628569696026</v>
      </c>
      <c r="L65" s="6">
        <f t="shared" si="33"/>
        <v>-6675.7628569696026</v>
      </c>
      <c r="M65" s="6">
        <f t="shared" si="33"/>
        <v>-1063.7388417063439</v>
      </c>
      <c r="N65" s="6">
        <f t="shared" si="33"/>
        <v>-1063.7388417063439</v>
      </c>
      <c r="O65" s="6">
        <f t="shared" si="33"/>
        <v>-1224.022072981244</v>
      </c>
      <c r="P65" s="6">
        <f t="shared" si="33"/>
        <v>-1224.022072981244</v>
      </c>
      <c r="Q65" s="6">
        <f t="shared" si="33"/>
        <v>-1400.7343354618213</v>
      </c>
      <c r="R65" s="6">
        <f t="shared" si="33"/>
        <v>-1400.7343354618213</v>
      </c>
      <c r="S65" s="6">
        <f t="shared" si="33"/>
        <v>-1595.5596048466584</v>
      </c>
      <c r="T65" s="6">
        <f t="shared" si="33"/>
        <v>-1595.5596048466584</v>
      </c>
      <c r="U65" s="6">
        <f t="shared" si="33"/>
        <v>-1810.3544643434411</v>
      </c>
      <c r="V65" s="6">
        <f t="shared" si="33"/>
        <v>-1810.3544643434411</v>
      </c>
    </row>
    <row r="66" spans="1:22" ht="15.4" customHeight="1" x14ac:dyDescent="0.45">
      <c r="A66" s="1"/>
      <c r="B66" s="50" t="s">
        <v>67</v>
      </c>
      <c r="C66" s="50" t="s">
        <v>66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45">
      <c r="A67" s="21" t="s">
        <v>48</v>
      </c>
      <c r="B67" s="23"/>
      <c r="C67" s="25">
        <f>'TH1_Đất sẵn có 1'!B67</f>
        <v>0</v>
      </c>
    </row>
    <row r="68" spans="1:22" x14ac:dyDescent="0.45">
      <c r="A68" s="21" t="s">
        <v>49</v>
      </c>
      <c r="B68" s="23"/>
      <c r="C68" s="25">
        <f>'TH1_Đất sẵn có 1'!B68</f>
        <v>0</v>
      </c>
    </row>
    <row r="69" spans="1:22" x14ac:dyDescent="0.45">
      <c r="A69" s="21" t="s">
        <v>50</v>
      </c>
      <c r="B69" s="24"/>
      <c r="C69" s="26">
        <f>'TH1_Đất sẵn có 1'!B69</f>
        <v>0</v>
      </c>
      <c r="D69" s="27"/>
    </row>
    <row r="70" spans="1:22" x14ac:dyDescent="0.45">
      <c r="A70" s="21" t="s">
        <v>51</v>
      </c>
      <c r="B70" s="24"/>
      <c r="C70" s="26">
        <f>'TH1_Đất sẵn có 1'!B70</f>
        <v>0</v>
      </c>
      <c r="D70" s="27"/>
    </row>
    <row r="71" spans="1:22" x14ac:dyDescent="0.45">
      <c r="A71" s="21" t="s">
        <v>82</v>
      </c>
      <c r="B71" s="24"/>
      <c r="C71" s="26">
        <f>'TH1_Đất sẵn có 1'!B71</f>
        <v>0</v>
      </c>
    </row>
    <row r="72" spans="1:22" x14ac:dyDescent="0.45">
      <c r="A72" s="21" t="s">
        <v>83</v>
      </c>
      <c r="B72" s="24"/>
      <c r="C72" s="26">
        <f>'TH1_Đất sẵn có 1'!B72</f>
        <v>0</v>
      </c>
    </row>
    <row r="73" spans="1:22" x14ac:dyDescent="0.45">
      <c r="B73" s="17"/>
    </row>
    <row r="74" spans="1:22" ht="19.5" x14ac:dyDescent="0.6">
      <c r="A74" s="51" t="s">
        <v>92</v>
      </c>
      <c r="C74" s="17"/>
    </row>
    <row r="75" spans="1:22" ht="19.5" x14ac:dyDescent="0.6">
      <c r="A75" s="52" t="s">
        <v>93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7681-A09E-481F-B896-9EDBD45A8AC0}">
  <dimension ref="A1:V72"/>
  <sheetViews>
    <sheetView topLeftCell="A47" zoomScale="89" workbookViewId="0">
      <selection activeCell="B67" sqref="B67:B72"/>
    </sheetView>
  </sheetViews>
  <sheetFormatPr defaultRowHeight="14.25" x14ac:dyDescent="0.45"/>
  <cols>
    <col min="1" max="1" width="25.06640625" customWidth="1"/>
    <col min="2" max="2" width="19.86328125" bestFit="1" customWidth="1"/>
    <col min="3" max="3" width="16.6640625" customWidth="1"/>
    <col min="4" max="12" width="13.33203125" bestFit="1" customWidth="1"/>
    <col min="13" max="21" width="13.33203125" customWidth="1"/>
    <col min="22" max="22" width="13.33203125" bestFit="1" customWidth="1"/>
  </cols>
  <sheetData>
    <row r="1" spans="1:22" ht="26.65" x14ac:dyDescent="0.45">
      <c r="A1" s="43" t="s">
        <v>63</v>
      </c>
    </row>
    <row r="2" spans="1:22" ht="19.5" x14ac:dyDescent="0.45">
      <c r="A2" s="41" t="s">
        <v>68</v>
      </c>
    </row>
    <row r="3" spans="1:22" ht="17.649999999999999" customHeight="1" x14ac:dyDescent="0.45">
      <c r="A3" s="42" t="s">
        <v>85</v>
      </c>
    </row>
    <row r="5" spans="1:22" ht="19.5" x14ac:dyDescent="0.6">
      <c r="A5" s="53" t="s">
        <v>88</v>
      </c>
      <c r="B5" s="4"/>
      <c r="C5" s="4"/>
      <c r="D5" s="4"/>
      <c r="E5" s="4"/>
      <c r="F5" s="4"/>
      <c r="G5" s="4"/>
    </row>
    <row r="6" spans="1:22" x14ac:dyDescent="0.45">
      <c r="A6" s="1" t="s">
        <v>4</v>
      </c>
      <c r="C6" s="1" t="s">
        <v>40</v>
      </c>
      <c r="F6" s="1" t="s">
        <v>41</v>
      </c>
    </row>
    <row r="7" spans="1:22" x14ac:dyDescent="0.45">
      <c r="A7" s="30" t="s">
        <v>69</v>
      </c>
      <c r="B7" s="31">
        <v>10000</v>
      </c>
      <c r="C7" t="s">
        <v>13</v>
      </c>
      <c r="D7" s="11">
        <v>1200</v>
      </c>
      <c r="F7" t="s">
        <v>6</v>
      </c>
      <c r="G7" s="12">
        <v>0.05</v>
      </c>
    </row>
    <row r="8" spans="1:22" x14ac:dyDescent="0.45">
      <c r="A8" t="s">
        <v>0</v>
      </c>
      <c r="B8" s="11">
        <v>30000</v>
      </c>
      <c r="C8" t="s">
        <v>14</v>
      </c>
      <c r="D8" s="12">
        <v>0.2</v>
      </c>
      <c r="E8" s="7" t="s">
        <v>22</v>
      </c>
      <c r="F8" t="s">
        <v>7</v>
      </c>
      <c r="G8" s="12">
        <v>0.2</v>
      </c>
    </row>
    <row r="9" spans="1:22" ht="15.75" x14ac:dyDescent="0.55000000000000004">
      <c r="A9" t="s">
        <v>1</v>
      </c>
      <c r="B9" s="11">
        <v>20000</v>
      </c>
      <c r="C9" t="s">
        <v>5</v>
      </c>
      <c r="D9" s="11">
        <v>9000</v>
      </c>
      <c r="F9" t="s">
        <v>61</v>
      </c>
      <c r="G9" s="12">
        <v>0.1</v>
      </c>
    </row>
    <row r="10" spans="1:22" ht="15.75" x14ac:dyDescent="0.55000000000000004">
      <c r="A10" s="1" t="s">
        <v>57</v>
      </c>
      <c r="C10" t="s">
        <v>86</v>
      </c>
      <c r="D10" s="12">
        <v>0.03</v>
      </c>
      <c r="E10" s="7" t="s">
        <v>87</v>
      </c>
      <c r="F10" t="s">
        <v>62</v>
      </c>
      <c r="G10" s="27">
        <f>G9+G7+G9*G7</f>
        <v>0.15500000000000003</v>
      </c>
    </row>
    <row r="11" spans="1:22" x14ac:dyDescent="0.45">
      <c r="A11" t="s">
        <v>3</v>
      </c>
      <c r="B11" s="11">
        <f>70%*(B8+B9)</f>
        <v>35000</v>
      </c>
      <c r="C11" s="1" t="s">
        <v>20</v>
      </c>
      <c r="D11" s="11"/>
      <c r="F11" t="s">
        <v>42</v>
      </c>
      <c r="G11" s="15">
        <f>0.7*B13+0.3*G10</f>
        <v>0.11824999999999999</v>
      </c>
    </row>
    <row r="12" spans="1:22" x14ac:dyDescent="0.45">
      <c r="A12" t="s">
        <v>53</v>
      </c>
      <c r="B12" s="12">
        <v>0.05</v>
      </c>
      <c r="C12" t="s">
        <v>21</v>
      </c>
      <c r="D12" s="12">
        <v>0.1</v>
      </c>
      <c r="E12" s="7" t="s">
        <v>22</v>
      </c>
      <c r="F12" t="s">
        <v>58</v>
      </c>
      <c r="G12" s="12">
        <v>0</v>
      </c>
    </row>
    <row r="13" spans="1:22" x14ac:dyDescent="0.45">
      <c r="A13" t="s">
        <v>54</v>
      </c>
      <c r="B13" s="27">
        <f>B12+G7+B12*G7</f>
        <v>0.10250000000000001</v>
      </c>
      <c r="C13" t="s">
        <v>55</v>
      </c>
      <c r="D13" s="12">
        <v>0.1</v>
      </c>
      <c r="E13" s="7" t="s">
        <v>56</v>
      </c>
      <c r="F13" t="s">
        <v>30</v>
      </c>
      <c r="G13" s="18">
        <v>20</v>
      </c>
    </row>
    <row r="14" spans="1:22" x14ac:dyDescent="0.45">
      <c r="A14" s="4" t="s">
        <v>18</v>
      </c>
      <c r="B14" s="13">
        <v>10</v>
      </c>
      <c r="C14" s="4" t="s">
        <v>23</v>
      </c>
      <c r="D14" s="14">
        <v>0.05</v>
      </c>
      <c r="E14" s="10" t="s">
        <v>22</v>
      </c>
      <c r="F14" s="4" t="s">
        <v>2</v>
      </c>
      <c r="G14" s="16">
        <v>20</v>
      </c>
    </row>
    <row r="16" spans="1:22" x14ac:dyDescent="0.45">
      <c r="A16" s="3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45">
      <c r="A17" s="5" t="s">
        <v>9</v>
      </c>
      <c r="B17" s="5">
        <v>0</v>
      </c>
      <c r="C17" s="5">
        <v>1</v>
      </c>
      <c r="D17" s="5">
        <v>2</v>
      </c>
      <c r="E17" s="5">
        <v>3</v>
      </c>
      <c r="F17" s="5">
        <v>4</v>
      </c>
      <c r="G17" s="5">
        <v>5</v>
      </c>
      <c r="H17" s="5">
        <v>6</v>
      </c>
      <c r="I17" s="5">
        <v>7</v>
      </c>
      <c r="J17" s="5">
        <v>8</v>
      </c>
      <c r="K17" s="5">
        <v>9</v>
      </c>
      <c r="L17" s="5">
        <v>10</v>
      </c>
      <c r="M17" s="5">
        <v>11</v>
      </c>
      <c r="N17" s="5">
        <v>12</v>
      </c>
      <c r="O17" s="5">
        <v>13</v>
      </c>
      <c r="P17" s="5">
        <v>14</v>
      </c>
      <c r="Q17" s="5">
        <v>15</v>
      </c>
      <c r="R17" s="5">
        <v>16</v>
      </c>
      <c r="S17" s="5">
        <v>17</v>
      </c>
      <c r="T17" s="5">
        <v>18</v>
      </c>
      <c r="U17" s="5">
        <v>19</v>
      </c>
      <c r="V17" s="5">
        <v>20</v>
      </c>
    </row>
    <row r="18" spans="1:22" x14ac:dyDescent="0.45">
      <c r="A18" s="46" t="s">
        <v>10</v>
      </c>
      <c r="B18" s="47"/>
      <c r="C18" s="47">
        <f t="shared" ref="C18:V18" si="0">(1+$G$7)^C17</f>
        <v>1.05</v>
      </c>
      <c r="D18" s="47">
        <f t="shared" si="0"/>
        <v>1.1025</v>
      </c>
      <c r="E18" s="47">
        <f t="shared" si="0"/>
        <v>1.1576250000000001</v>
      </c>
      <c r="F18" s="47">
        <f t="shared" si="0"/>
        <v>1.21550625</v>
      </c>
      <c r="G18" s="47">
        <f t="shared" si="0"/>
        <v>1.2762815625000001</v>
      </c>
      <c r="H18" s="47">
        <f t="shared" si="0"/>
        <v>1.340095640625</v>
      </c>
      <c r="I18" s="47">
        <f t="shared" si="0"/>
        <v>1.4071004226562502</v>
      </c>
      <c r="J18" s="47">
        <f t="shared" si="0"/>
        <v>1.4774554437890626</v>
      </c>
      <c r="K18" s="47">
        <f t="shared" si="0"/>
        <v>1.5513282159785158</v>
      </c>
      <c r="L18" s="47">
        <f t="shared" si="0"/>
        <v>1.6288946267774416</v>
      </c>
      <c r="M18" s="47">
        <f t="shared" si="0"/>
        <v>1.7103393581163138</v>
      </c>
      <c r="N18" s="47">
        <f t="shared" si="0"/>
        <v>1.7958563260221292</v>
      </c>
      <c r="O18" s="47">
        <f t="shared" si="0"/>
        <v>1.885649142323236</v>
      </c>
      <c r="P18" s="47">
        <f t="shared" si="0"/>
        <v>1.9799315994393973</v>
      </c>
      <c r="Q18" s="47">
        <f t="shared" si="0"/>
        <v>2.0789281794113679</v>
      </c>
      <c r="R18" s="47">
        <f t="shared" si="0"/>
        <v>2.182874588381936</v>
      </c>
      <c r="S18" s="47">
        <f t="shared" si="0"/>
        <v>2.2920183178010332</v>
      </c>
      <c r="T18" s="47">
        <f t="shared" si="0"/>
        <v>2.4066192336910848</v>
      </c>
      <c r="U18" s="47">
        <f t="shared" si="0"/>
        <v>2.526950195375639</v>
      </c>
      <c r="V18" s="47">
        <f t="shared" si="0"/>
        <v>2.6532977051444209</v>
      </c>
    </row>
    <row r="19" spans="1:22" x14ac:dyDescent="0.45">
      <c r="A19" s="48" t="s">
        <v>90</v>
      </c>
      <c r="B19" s="6"/>
      <c r="C19" s="6">
        <f>(1+$D$10)^C17</f>
        <v>1.03</v>
      </c>
      <c r="D19" s="6">
        <f t="shared" ref="D19:V19" si="1">(1+$D$10)^D17</f>
        <v>1.0609</v>
      </c>
      <c r="E19" s="6">
        <f t="shared" si="1"/>
        <v>1.092727</v>
      </c>
      <c r="F19" s="6">
        <f t="shared" si="1"/>
        <v>1.1255088099999999</v>
      </c>
      <c r="G19" s="6">
        <f t="shared" si="1"/>
        <v>1.1592740742999998</v>
      </c>
      <c r="H19" s="6">
        <f t="shared" si="1"/>
        <v>1.1940522965289999</v>
      </c>
      <c r="I19" s="6">
        <f t="shared" si="1"/>
        <v>1.22987386542487</v>
      </c>
      <c r="J19" s="6">
        <f t="shared" si="1"/>
        <v>1.2667700813876159</v>
      </c>
      <c r="K19" s="6">
        <f t="shared" si="1"/>
        <v>1.3047731838292445</v>
      </c>
      <c r="L19" s="6">
        <f t="shared" si="1"/>
        <v>1.3439163793441218</v>
      </c>
      <c r="M19" s="6">
        <f t="shared" si="1"/>
        <v>1.3842338707244455</v>
      </c>
      <c r="N19" s="6">
        <f t="shared" si="1"/>
        <v>1.4257608868461786</v>
      </c>
      <c r="O19" s="6">
        <f t="shared" si="1"/>
        <v>1.4685337134515639</v>
      </c>
      <c r="P19" s="6">
        <f t="shared" si="1"/>
        <v>1.512589724855111</v>
      </c>
      <c r="Q19" s="6">
        <f t="shared" si="1"/>
        <v>1.5579674166007644</v>
      </c>
      <c r="R19" s="6">
        <f t="shared" si="1"/>
        <v>1.6047064390987871</v>
      </c>
      <c r="S19" s="6">
        <f t="shared" si="1"/>
        <v>1.6528476322717507</v>
      </c>
      <c r="T19" s="6">
        <f t="shared" si="1"/>
        <v>1.7024330612399032</v>
      </c>
      <c r="U19" s="6">
        <f t="shared" si="1"/>
        <v>1.7535060530771003</v>
      </c>
      <c r="V19" s="6">
        <f t="shared" si="1"/>
        <v>1.8061112346694133</v>
      </c>
    </row>
    <row r="21" spans="1:22" x14ac:dyDescent="0.45">
      <c r="A21" s="1" t="s">
        <v>11</v>
      </c>
    </row>
    <row r="22" spans="1:22" x14ac:dyDescent="0.45">
      <c r="A22" s="5" t="s">
        <v>9</v>
      </c>
      <c r="B22" s="5">
        <v>0</v>
      </c>
      <c r="C22" s="5">
        <v>1</v>
      </c>
      <c r="D22" s="5">
        <v>2</v>
      </c>
      <c r="E22" s="5">
        <v>3</v>
      </c>
      <c r="F22" s="5">
        <v>4</v>
      </c>
      <c r="G22" s="5">
        <v>5</v>
      </c>
      <c r="H22" s="5">
        <v>6</v>
      </c>
      <c r="I22" s="5">
        <v>7</v>
      </c>
      <c r="J22" s="5">
        <v>8</v>
      </c>
      <c r="K22" s="5">
        <v>9</v>
      </c>
      <c r="L22" s="5">
        <v>10</v>
      </c>
      <c r="M22" s="5">
        <v>11</v>
      </c>
      <c r="N22" s="5">
        <v>12</v>
      </c>
      <c r="O22" s="5">
        <v>13</v>
      </c>
      <c r="P22" s="5">
        <v>14</v>
      </c>
      <c r="Q22" s="5">
        <v>15</v>
      </c>
      <c r="R22" s="5">
        <v>16</v>
      </c>
      <c r="S22" s="5">
        <v>17</v>
      </c>
      <c r="T22" s="5">
        <v>18</v>
      </c>
      <c r="U22" s="5">
        <v>19</v>
      </c>
      <c r="V22" s="5">
        <v>20</v>
      </c>
    </row>
    <row r="23" spans="1:22" x14ac:dyDescent="0.45">
      <c r="A23" t="s">
        <v>12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2" x14ac:dyDescent="0.45">
      <c r="A24" t="s">
        <v>13</v>
      </c>
      <c r="C24" s="2">
        <f>$D$7</f>
        <v>1200</v>
      </c>
      <c r="D24" s="2">
        <f t="shared" ref="D24" si="2">$D$7</f>
        <v>1200</v>
      </c>
      <c r="E24" s="2">
        <f>$D$7*$D$18</f>
        <v>1323</v>
      </c>
      <c r="F24" s="2">
        <f t="shared" ref="F24" si="3">$D$7*$D$18</f>
        <v>1323</v>
      </c>
      <c r="G24" s="2">
        <f>$D$7*$F$18</f>
        <v>1458.6075000000001</v>
      </c>
      <c r="H24" s="2">
        <f t="shared" ref="H24" si="4">$D$7*$F$18</f>
        <v>1458.6075000000001</v>
      </c>
      <c r="I24" s="2">
        <f>$D$7*$H$18</f>
        <v>1608.1147687499999</v>
      </c>
      <c r="J24" s="2">
        <f t="shared" ref="J24" si="5">$D$7*$H$18</f>
        <v>1608.1147687499999</v>
      </c>
      <c r="K24" s="2">
        <f>$D$7*$J$18</f>
        <v>1772.946532546875</v>
      </c>
      <c r="L24" s="2">
        <f t="shared" ref="L24" si="6">$D$7*$J$18</f>
        <v>1772.946532546875</v>
      </c>
      <c r="M24" s="2">
        <f>$D$7*$L$18</f>
        <v>1954.6735521329299</v>
      </c>
      <c r="N24" s="2">
        <f t="shared" ref="N24" si="7">$D$7*$L$18</f>
        <v>1954.6735521329299</v>
      </c>
      <c r="O24" s="2">
        <f>$D$7*$N$18</f>
        <v>2155.0275912265552</v>
      </c>
      <c r="P24" s="2">
        <f t="shared" ref="P24" si="8">$D$7*$N$18</f>
        <v>2155.0275912265552</v>
      </c>
      <c r="Q24" s="2">
        <f>$D$7*$P$18</f>
        <v>2375.9179193272766</v>
      </c>
      <c r="R24" s="2">
        <f t="shared" ref="R24" si="9">$D$7*$P$18</f>
        <v>2375.9179193272766</v>
      </c>
      <c r="S24" s="2">
        <f>$D$7*$R$18</f>
        <v>2619.4495060583231</v>
      </c>
      <c r="T24" s="2">
        <f t="shared" ref="T24" si="10">$D$7*$R$18</f>
        <v>2619.4495060583231</v>
      </c>
      <c r="U24" s="2">
        <f>$D$7*$T$18</f>
        <v>2887.9430804293015</v>
      </c>
      <c r="V24" s="2">
        <f t="shared" ref="V24" si="11">$D$7*$T$18</f>
        <v>2887.9430804293015</v>
      </c>
    </row>
    <row r="25" spans="1:22" x14ac:dyDescent="0.45">
      <c r="A25" t="s">
        <v>70</v>
      </c>
      <c r="C25" s="2">
        <f>$B$7/$G$14</f>
        <v>500</v>
      </c>
      <c r="D25" s="2">
        <f t="shared" ref="D25:V25" si="12">$B$7/$G$14</f>
        <v>500</v>
      </c>
      <c r="E25" s="2">
        <f t="shared" si="12"/>
        <v>500</v>
      </c>
      <c r="F25" s="2">
        <f t="shared" si="12"/>
        <v>500</v>
      </c>
      <c r="G25" s="2">
        <f t="shared" si="12"/>
        <v>500</v>
      </c>
      <c r="H25" s="2">
        <f t="shared" si="12"/>
        <v>500</v>
      </c>
      <c r="I25" s="2">
        <f t="shared" si="12"/>
        <v>500</v>
      </c>
      <c r="J25" s="2">
        <f t="shared" si="12"/>
        <v>500</v>
      </c>
      <c r="K25" s="2">
        <f t="shared" si="12"/>
        <v>500</v>
      </c>
      <c r="L25" s="2">
        <f t="shared" si="12"/>
        <v>500</v>
      </c>
      <c r="M25" s="2">
        <f t="shared" si="12"/>
        <v>500</v>
      </c>
      <c r="N25" s="2">
        <f t="shared" si="12"/>
        <v>500</v>
      </c>
      <c r="O25" s="2">
        <f t="shared" si="12"/>
        <v>500</v>
      </c>
      <c r="P25" s="2">
        <f t="shared" si="12"/>
        <v>500</v>
      </c>
      <c r="Q25" s="2">
        <f t="shared" si="12"/>
        <v>500</v>
      </c>
      <c r="R25" s="2">
        <f t="shared" si="12"/>
        <v>500</v>
      </c>
      <c r="S25" s="2">
        <f t="shared" si="12"/>
        <v>500</v>
      </c>
      <c r="T25" s="2">
        <f t="shared" si="12"/>
        <v>500</v>
      </c>
      <c r="U25" s="2">
        <f t="shared" si="12"/>
        <v>500</v>
      </c>
      <c r="V25" s="2">
        <f t="shared" si="12"/>
        <v>500</v>
      </c>
    </row>
    <row r="26" spans="1:22" x14ac:dyDescent="0.45">
      <c r="A26" s="4" t="s">
        <v>14</v>
      </c>
      <c r="B26" s="4"/>
      <c r="C26" s="6">
        <f>C23*$D$8</f>
        <v>0</v>
      </c>
      <c r="D26" s="6">
        <f t="shared" ref="D26:V26" si="13">D23*$D$8</f>
        <v>0</v>
      </c>
      <c r="E26" s="6">
        <f t="shared" si="13"/>
        <v>0</v>
      </c>
      <c r="F26" s="6">
        <f t="shared" si="13"/>
        <v>0</v>
      </c>
      <c r="G26" s="6">
        <f t="shared" si="13"/>
        <v>0</v>
      </c>
      <c r="H26" s="6">
        <f t="shared" si="13"/>
        <v>0</v>
      </c>
      <c r="I26" s="6">
        <f t="shared" si="13"/>
        <v>0</v>
      </c>
      <c r="J26" s="6">
        <f t="shared" si="13"/>
        <v>0</v>
      </c>
      <c r="K26" s="6">
        <f t="shared" si="13"/>
        <v>0</v>
      </c>
      <c r="L26" s="6">
        <f t="shared" si="13"/>
        <v>0</v>
      </c>
      <c r="M26" s="6">
        <f t="shared" si="13"/>
        <v>0</v>
      </c>
      <c r="N26" s="6">
        <f t="shared" si="13"/>
        <v>0</v>
      </c>
      <c r="O26" s="6">
        <f t="shared" si="13"/>
        <v>0</v>
      </c>
      <c r="P26" s="6">
        <f t="shared" si="13"/>
        <v>0</v>
      </c>
      <c r="Q26" s="6">
        <f t="shared" si="13"/>
        <v>0</v>
      </c>
      <c r="R26" s="6">
        <f t="shared" si="13"/>
        <v>0</v>
      </c>
      <c r="S26" s="6">
        <f t="shared" si="13"/>
        <v>0</v>
      </c>
      <c r="T26" s="6">
        <f t="shared" si="13"/>
        <v>0</v>
      </c>
      <c r="U26" s="6">
        <f t="shared" si="13"/>
        <v>0</v>
      </c>
      <c r="V26" s="6">
        <f t="shared" si="13"/>
        <v>0</v>
      </c>
    </row>
    <row r="28" spans="1:22" x14ac:dyDescent="0.45">
      <c r="A28" s="1" t="s">
        <v>15</v>
      </c>
    </row>
    <row r="29" spans="1:22" x14ac:dyDescent="0.45">
      <c r="A29" s="5" t="s">
        <v>9</v>
      </c>
      <c r="B29" s="5">
        <v>0</v>
      </c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  <c r="O29" s="5">
        <v>13</v>
      </c>
      <c r="P29" s="5">
        <v>14</v>
      </c>
      <c r="Q29" s="5">
        <v>15</v>
      </c>
      <c r="R29" s="5">
        <v>16</v>
      </c>
      <c r="S29" s="5">
        <v>17</v>
      </c>
      <c r="T29" s="5">
        <v>18</v>
      </c>
      <c r="U29" s="5">
        <v>19</v>
      </c>
      <c r="V29" s="5">
        <v>20</v>
      </c>
    </row>
    <row r="30" spans="1:22" x14ac:dyDescent="0.45">
      <c r="A30" t="s">
        <v>5</v>
      </c>
      <c r="C30" s="2">
        <f>C23</f>
        <v>0</v>
      </c>
      <c r="D30" s="2">
        <f t="shared" ref="D30:V30" si="14">D23</f>
        <v>0</v>
      </c>
      <c r="E30" s="2">
        <f t="shared" si="14"/>
        <v>0</v>
      </c>
      <c r="F30" s="2">
        <f t="shared" si="14"/>
        <v>0</v>
      </c>
      <c r="G30" s="2">
        <f t="shared" si="14"/>
        <v>0</v>
      </c>
      <c r="H30" s="2">
        <f t="shared" si="14"/>
        <v>0</v>
      </c>
      <c r="I30" s="2">
        <f t="shared" si="14"/>
        <v>0</v>
      </c>
      <c r="J30" s="2">
        <f t="shared" si="14"/>
        <v>0</v>
      </c>
      <c r="K30" s="2">
        <f t="shared" si="14"/>
        <v>0</v>
      </c>
      <c r="L30" s="2">
        <f t="shared" si="14"/>
        <v>0</v>
      </c>
      <c r="M30" s="2">
        <f t="shared" si="14"/>
        <v>0</v>
      </c>
      <c r="N30" s="2">
        <f t="shared" si="14"/>
        <v>0</v>
      </c>
      <c r="O30" s="2">
        <f t="shared" si="14"/>
        <v>0</v>
      </c>
      <c r="P30" s="2">
        <f t="shared" si="14"/>
        <v>0</v>
      </c>
      <c r="Q30" s="2">
        <f t="shared" si="14"/>
        <v>0</v>
      </c>
      <c r="R30" s="2">
        <f t="shared" si="14"/>
        <v>0</v>
      </c>
      <c r="S30" s="2">
        <f t="shared" si="14"/>
        <v>0</v>
      </c>
      <c r="T30" s="2">
        <f t="shared" si="14"/>
        <v>0</v>
      </c>
      <c r="U30" s="2">
        <f t="shared" si="14"/>
        <v>0</v>
      </c>
      <c r="V30" s="2">
        <f t="shared" si="14"/>
        <v>0</v>
      </c>
    </row>
    <row r="31" spans="1:22" x14ac:dyDescent="0.45">
      <c r="A31" t="s">
        <v>91</v>
      </c>
      <c r="C31" s="2">
        <f>SUM(C24:C26)</f>
        <v>1700</v>
      </c>
      <c r="D31" s="2">
        <f t="shared" ref="D31:V31" si="15">SUM(D24:D26)</f>
        <v>1700</v>
      </c>
      <c r="E31" s="2">
        <f t="shared" si="15"/>
        <v>1823</v>
      </c>
      <c r="F31" s="2">
        <f t="shared" si="15"/>
        <v>1823</v>
      </c>
      <c r="G31" s="2">
        <f t="shared" si="15"/>
        <v>1958.6075000000001</v>
      </c>
      <c r="H31" s="2">
        <f t="shared" si="15"/>
        <v>1958.6075000000001</v>
      </c>
      <c r="I31" s="2">
        <f t="shared" si="15"/>
        <v>2108.1147687499997</v>
      </c>
      <c r="J31" s="2">
        <f t="shared" si="15"/>
        <v>2108.1147687499997</v>
      </c>
      <c r="K31" s="2">
        <f t="shared" si="15"/>
        <v>2272.946532546875</v>
      </c>
      <c r="L31" s="2">
        <f t="shared" si="15"/>
        <v>2272.946532546875</v>
      </c>
      <c r="M31" s="2">
        <f t="shared" si="15"/>
        <v>2454.6735521329301</v>
      </c>
      <c r="N31" s="2">
        <f t="shared" si="15"/>
        <v>2454.6735521329301</v>
      </c>
      <c r="O31" s="2">
        <f t="shared" si="15"/>
        <v>2655.0275912265552</v>
      </c>
      <c r="P31" s="2">
        <f t="shared" si="15"/>
        <v>2655.0275912265552</v>
      </c>
      <c r="Q31" s="2">
        <f t="shared" si="15"/>
        <v>2875.9179193272766</v>
      </c>
      <c r="R31" s="2">
        <f t="shared" si="15"/>
        <v>2875.9179193272766</v>
      </c>
      <c r="S31" s="2">
        <f t="shared" si="15"/>
        <v>3119.4495060583231</v>
      </c>
      <c r="T31" s="2">
        <f t="shared" si="15"/>
        <v>3119.4495060583231</v>
      </c>
      <c r="U31" s="2">
        <f t="shared" si="15"/>
        <v>3387.9430804293015</v>
      </c>
      <c r="V31" s="2">
        <f t="shared" si="15"/>
        <v>3387.9430804293015</v>
      </c>
    </row>
    <row r="32" spans="1:22" x14ac:dyDescent="0.45">
      <c r="A32" t="s">
        <v>71</v>
      </c>
      <c r="C32" s="2">
        <f>($B$8+$B$9)/$G$13</f>
        <v>2500</v>
      </c>
      <c r="D32" s="2">
        <f t="shared" ref="D32:V32" si="16">($B$8+$B$9)/$G$13</f>
        <v>2500</v>
      </c>
      <c r="E32" s="2">
        <f t="shared" si="16"/>
        <v>2500</v>
      </c>
      <c r="F32" s="2">
        <f t="shared" si="16"/>
        <v>2500</v>
      </c>
      <c r="G32" s="2">
        <f t="shared" si="16"/>
        <v>2500</v>
      </c>
      <c r="H32" s="2">
        <f t="shared" si="16"/>
        <v>2500</v>
      </c>
      <c r="I32" s="2">
        <f t="shared" si="16"/>
        <v>2500</v>
      </c>
      <c r="J32" s="2">
        <f t="shared" si="16"/>
        <v>2500</v>
      </c>
      <c r="K32" s="2">
        <f t="shared" si="16"/>
        <v>2500</v>
      </c>
      <c r="L32" s="2">
        <f t="shared" si="16"/>
        <v>2500</v>
      </c>
      <c r="M32" s="2">
        <f t="shared" si="16"/>
        <v>2500</v>
      </c>
      <c r="N32" s="2">
        <f t="shared" si="16"/>
        <v>2500</v>
      </c>
      <c r="O32" s="2">
        <f t="shared" si="16"/>
        <v>2500</v>
      </c>
      <c r="P32" s="2">
        <f t="shared" si="16"/>
        <v>2500</v>
      </c>
      <c r="Q32" s="2">
        <f t="shared" si="16"/>
        <v>2500</v>
      </c>
      <c r="R32" s="2">
        <f t="shared" si="16"/>
        <v>2500</v>
      </c>
      <c r="S32" s="2">
        <f t="shared" si="16"/>
        <v>2500</v>
      </c>
      <c r="T32" s="2">
        <f t="shared" si="16"/>
        <v>2500</v>
      </c>
      <c r="U32" s="2">
        <f t="shared" si="16"/>
        <v>2500</v>
      </c>
      <c r="V32" s="2">
        <f t="shared" si="16"/>
        <v>2500</v>
      </c>
    </row>
    <row r="33" spans="1:22" x14ac:dyDescent="0.45">
      <c r="A33" t="s">
        <v>16</v>
      </c>
      <c r="C33" s="2">
        <f>C30-SUM(C31:C32)</f>
        <v>-4200</v>
      </c>
      <c r="D33" s="2">
        <f>D30-SUM(D31:D32)</f>
        <v>-4200</v>
      </c>
      <c r="E33" s="2">
        <f>E30-SUM(E31:E32)</f>
        <v>-4323</v>
      </c>
      <c r="F33" s="2">
        <f>F30-SUM(F31:F32)</f>
        <v>-4323</v>
      </c>
      <c r="G33" s="2">
        <f>G30-SUM(G31:G32)</f>
        <v>-4458.6075000000001</v>
      </c>
      <c r="H33" s="2">
        <f>H30-SUM(H31:H32)</f>
        <v>-4458.6075000000001</v>
      </c>
      <c r="I33" s="2">
        <f>I30-SUM(I31:I32)</f>
        <v>-4608.1147687499997</v>
      </c>
      <c r="J33" s="2">
        <f>J30-SUM(J31:J32)</f>
        <v>-4608.1147687499997</v>
      </c>
      <c r="K33" s="2">
        <f>K30-SUM(K31:K32)</f>
        <v>-4772.9465325468755</v>
      </c>
      <c r="L33" s="2">
        <f>L30-SUM(L31:L32)</f>
        <v>-4772.9465325468755</v>
      </c>
      <c r="M33" s="2">
        <f>M30-SUM(M31:M32)</f>
        <v>-4954.6735521329301</v>
      </c>
      <c r="N33" s="2">
        <f>N30-SUM(N31:N32)</f>
        <v>-4954.6735521329301</v>
      </c>
      <c r="O33" s="2">
        <f>O30-SUM(O31:O32)</f>
        <v>-5155.0275912265552</v>
      </c>
      <c r="P33" s="2">
        <f>P30-SUM(P31:P32)</f>
        <v>-5155.0275912265552</v>
      </c>
      <c r="Q33" s="2">
        <f>Q30-SUM(Q31:Q32)</f>
        <v>-5375.9179193272766</v>
      </c>
      <c r="R33" s="2">
        <f>R30-SUM(R31:R32)</f>
        <v>-5375.9179193272766</v>
      </c>
      <c r="S33" s="2">
        <f>S30-SUM(S31:S32)</f>
        <v>-5619.4495060583231</v>
      </c>
      <c r="T33" s="2">
        <f>T30-SUM(T31:T32)</f>
        <v>-5619.4495060583231</v>
      </c>
      <c r="U33" s="2">
        <f>U30-SUM(U31:U32)</f>
        <v>-5887.9430804293015</v>
      </c>
      <c r="V33" s="2">
        <f>V30-SUM(V31:V32)</f>
        <v>-5887.9430804293015</v>
      </c>
    </row>
    <row r="34" spans="1:22" x14ac:dyDescent="0.45">
      <c r="A34" t="s">
        <v>17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45">
      <c r="A35" t="s">
        <v>19</v>
      </c>
      <c r="C35" s="2">
        <f>C33-C34</f>
        <v>-4200</v>
      </c>
      <c r="D35" s="2">
        <f t="shared" ref="D35:V35" si="17">D33-D34</f>
        <v>-4200</v>
      </c>
      <c r="E35" s="2">
        <f t="shared" si="17"/>
        <v>-4323</v>
      </c>
      <c r="F35" s="2">
        <f t="shared" si="17"/>
        <v>-4323</v>
      </c>
      <c r="G35" s="2">
        <f t="shared" si="17"/>
        <v>-4458.6075000000001</v>
      </c>
      <c r="H35" s="2">
        <f t="shared" si="17"/>
        <v>-4458.6075000000001</v>
      </c>
      <c r="I35" s="2">
        <f t="shared" si="17"/>
        <v>-4608.1147687499997</v>
      </c>
      <c r="J35" s="2">
        <f t="shared" si="17"/>
        <v>-4608.1147687499997</v>
      </c>
      <c r="K35" s="2">
        <f t="shared" si="17"/>
        <v>-4772.9465325468755</v>
      </c>
      <c r="L35" s="2">
        <f t="shared" si="17"/>
        <v>-4772.9465325468755</v>
      </c>
      <c r="M35" s="2">
        <f t="shared" si="17"/>
        <v>-4954.6735521329301</v>
      </c>
      <c r="N35" s="2">
        <f t="shared" si="17"/>
        <v>-4954.6735521329301</v>
      </c>
      <c r="O35" s="2">
        <f t="shared" si="17"/>
        <v>-5155.0275912265552</v>
      </c>
      <c r="P35" s="2">
        <f t="shared" si="17"/>
        <v>-5155.0275912265552</v>
      </c>
      <c r="Q35" s="2">
        <f t="shared" si="17"/>
        <v>-5375.9179193272766</v>
      </c>
      <c r="R35" s="2">
        <f t="shared" si="17"/>
        <v>-5375.9179193272766</v>
      </c>
      <c r="S35" s="2">
        <f t="shared" si="17"/>
        <v>-5619.4495060583231</v>
      </c>
      <c r="T35" s="2">
        <f t="shared" si="17"/>
        <v>-5619.4495060583231</v>
      </c>
      <c r="U35" s="2">
        <f t="shared" si="17"/>
        <v>-5887.9430804293015</v>
      </c>
      <c r="V35" s="2">
        <f t="shared" si="17"/>
        <v>-5887.9430804293015</v>
      </c>
    </row>
    <row r="36" spans="1:22" x14ac:dyDescent="0.45">
      <c r="A36" s="4" t="s">
        <v>7</v>
      </c>
      <c r="B36" s="4"/>
      <c r="C36" s="6">
        <f>C35*$G$8</f>
        <v>-840</v>
      </c>
      <c r="D36" s="6">
        <f t="shared" ref="D36:V36" si="18">D35*$G$8</f>
        <v>-840</v>
      </c>
      <c r="E36" s="6">
        <f t="shared" si="18"/>
        <v>-864.6</v>
      </c>
      <c r="F36" s="6">
        <f t="shared" si="18"/>
        <v>-864.6</v>
      </c>
      <c r="G36" s="6">
        <f t="shared" si="18"/>
        <v>-891.72150000000011</v>
      </c>
      <c r="H36" s="6">
        <f t="shared" si="18"/>
        <v>-891.72150000000011</v>
      </c>
      <c r="I36" s="6">
        <f t="shared" si="18"/>
        <v>-921.62295374999997</v>
      </c>
      <c r="J36" s="6">
        <f t="shared" si="18"/>
        <v>-921.62295374999997</v>
      </c>
      <c r="K36" s="6">
        <f t="shared" si="18"/>
        <v>-954.58930650937509</v>
      </c>
      <c r="L36" s="6">
        <f t="shared" si="18"/>
        <v>-954.58930650937509</v>
      </c>
      <c r="M36" s="6">
        <f t="shared" si="18"/>
        <v>-990.93471042658609</v>
      </c>
      <c r="N36" s="6">
        <f t="shared" si="18"/>
        <v>-990.93471042658609</v>
      </c>
      <c r="O36" s="6">
        <f t="shared" si="18"/>
        <v>-1031.0055182453111</v>
      </c>
      <c r="P36" s="6">
        <f t="shared" si="18"/>
        <v>-1031.0055182453111</v>
      </c>
      <c r="Q36" s="6">
        <f t="shared" si="18"/>
        <v>-1075.1835838654554</v>
      </c>
      <c r="R36" s="6">
        <f t="shared" si="18"/>
        <v>-1075.1835838654554</v>
      </c>
      <c r="S36" s="6">
        <f t="shared" si="18"/>
        <v>-1123.8899012116647</v>
      </c>
      <c r="T36" s="6">
        <f t="shared" si="18"/>
        <v>-1123.8899012116647</v>
      </c>
      <c r="U36" s="6">
        <f t="shared" si="18"/>
        <v>-1177.5886160858604</v>
      </c>
      <c r="V36" s="6">
        <f t="shared" si="18"/>
        <v>-1177.5886160858604</v>
      </c>
    </row>
    <row r="38" spans="1:22" x14ac:dyDescent="0.45">
      <c r="A38" s="1" t="s">
        <v>24</v>
      </c>
    </row>
    <row r="39" spans="1:22" x14ac:dyDescent="0.45">
      <c r="A39" s="5" t="s">
        <v>9</v>
      </c>
      <c r="B39" s="5">
        <v>0</v>
      </c>
      <c r="C39" s="5">
        <v>1</v>
      </c>
      <c r="D39" s="5">
        <v>2</v>
      </c>
      <c r="E39" s="5">
        <v>3</v>
      </c>
      <c r="F39" s="5">
        <v>4</v>
      </c>
      <c r="G39" s="5">
        <v>5</v>
      </c>
      <c r="H39" s="5">
        <v>6</v>
      </c>
      <c r="I39" s="5">
        <v>7</v>
      </c>
      <c r="J39" s="5">
        <v>8</v>
      </c>
      <c r="K39" s="5">
        <v>9</v>
      </c>
      <c r="L39" s="5">
        <v>10</v>
      </c>
      <c r="M39" s="5">
        <v>11</v>
      </c>
      <c r="N39" s="5">
        <v>12</v>
      </c>
      <c r="O39" s="5">
        <v>13</v>
      </c>
      <c r="P39" s="5">
        <v>14</v>
      </c>
      <c r="Q39" s="5">
        <v>15</v>
      </c>
      <c r="R39" s="5">
        <v>16</v>
      </c>
      <c r="S39" s="5">
        <v>17</v>
      </c>
      <c r="T39" s="5">
        <v>18</v>
      </c>
      <c r="U39" s="5">
        <v>19</v>
      </c>
      <c r="V39" s="5">
        <v>20</v>
      </c>
    </row>
    <row r="40" spans="1:22" x14ac:dyDescent="0.45">
      <c r="A40" t="s">
        <v>21</v>
      </c>
      <c r="C40" s="2">
        <f>C23*$D$12</f>
        <v>0</v>
      </c>
      <c r="D40" s="2">
        <f>D23*$D$12</f>
        <v>0</v>
      </c>
      <c r="E40" s="2">
        <f>E23*$D$12</f>
        <v>0</v>
      </c>
      <c r="F40" s="2">
        <f>F23*$D$12</f>
        <v>0</v>
      </c>
      <c r="G40" s="2">
        <f>G23*$D$12</f>
        <v>0</v>
      </c>
      <c r="H40" s="2">
        <f>H23*$D$12</f>
        <v>0</v>
      </c>
      <c r="I40" s="2">
        <f>I23*$D$12</f>
        <v>0</v>
      </c>
      <c r="J40" s="2">
        <f>J23*$D$12</f>
        <v>0</v>
      </c>
      <c r="K40" s="2">
        <f>K23*$D$12</f>
        <v>0</v>
      </c>
      <c r="L40" s="2">
        <f>L23*$D$12</f>
        <v>0</v>
      </c>
      <c r="M40" s="2">
        <f>M23*$D$12</f>
        <v>0</v>
      </c>
      <c r="N40" s="2">
        <f>N23*$D$12</f>
        <v>0</v>
      </c>
      <c r="O40" s="2">
        <f>O23*$D$12</f>
        <v>0</v>
      </c>
      <c r="P40" s="2">
        <f>P23*$D$12</f>
        <v>0</v>
      </c>
      <c r="Q40" s="2">
        <f>Q23*$D$12</f>
        <v>0</v>
      </c>
      <c r="R40" s="2">
        <f>R23*$D$12</f>
        <v>0</v>
      </c>
      <c r="S40" s="2">
        <f>S23*$D$12</f>
        <v>0</v>
      </c>
      <c r="T40" s="2">
        <f>T23*$D$12</f>
        <v>0</v>
      </c>
      <c r="U40" s="2">
        <f>U23*$D$12</f>
        <v>0</v>
      </c>
      <c r="V40" s="2"/>
    </row>
    <row r="41" spans="1:22" x14ac:dyDescent="0.45">
      <c r="A41" t="s">
        <v>55</v>
      </c>
      <c r="C41" s="2">
        <f>$D$13*C26</f>
        <v>0</v>
      </c>
      <c r="D41" s="2">
        <f>$D$13*D26</f>
        <v>0</v>
      </c>
      <c r="E41" s="2">
        <f>$D$13*E26</f>
        <v>0</v>
      </c>
      <c r="F41" s="2">
        <f>$D$13*F26</f>
        <v>0</v>
      </c>
      <c r="G41" s="2">
        <f>$D$13*G26</f>
        <v>0</v>
      </c>
      <c r="H41" s="2">
        <f>$D$13*H26</f>
        <v>0</v>
      </c>
      <c r="I41" s="2">
        <f>$D$13*I26</f>
        <v>0</v>
      </c>
      <c r="J41" s="2">
        <f>$D$13*J26</f>
        <v>0</v>
      </c>
      <c r="K41" s="2">
        <f>$D$13*K26</f>
        <v>0</v>
      </c>
      <c r="L41" s="2">
        <f>$D$13*L26</f>
        <v>0</v>
      </c>
      <c r="M41" s="2">
        <f>$D$13*M26</f>
        <v>0</v>
      </c>
      <c r="N41" s="2">
        <f>$D$13*N26</f>
        <v>0</v>
      </c>
      <c r="O41" s="2">
        <f>$D$13*O26</f>
        <v>0</v>
      </c>
      <c r="P41" s="2">
        <f>$D$13*P26</f>
        <v>0</v>
      </c>
      <c r="Q41" s="2">
        <f>$D$13*Q26</f>
        <v>0</v>
      </c>
      <c r="R41" s="2">
        <f>$D$13*R26</f>
        <v>0</v>
      </c>
      <c r="S41" s="2">
        <f>$D$13*S26</f>
        <v>0</v>
      </c>
      <c r="T41" s="2">
        <f>$D$13*T26</f>
        <v>0</v>
      </c>
      <c r="U41" s="2">
        <f>$D$13*U26</f>
        <v>0</v>
      </c>
      <c r="V41" s="2"/>
    </row>
    <row r="42" spans="1:22" x14ac:dyDescent="0.45">
      <c r="A42" t="s">
        <v>23</v>
      </c>
      <c r="C42" s="2">
        <f>C30*$D$14</f>
        <v>0</v>
      </c>
      <c r="D42" s="2">
        <f>D30*$D$14</f>
        <v>0</v>
      </c>
      <c r="E42" s="2">
        <f>E30*$D$14</f>
        <v>0</v>
      </c>
      <c r="F42" s="2">
        <f>F30*$D$14</f>
        <v>0</v>
      </c>
      <c r="G42" s="2">
        <f>G30*$D$14</f>
        <v>0</v>
      </c>
      <c r="H42" s="2">
        <f>H30*$D$14</f>
        <v>0</v>
      </c>
      <c r="I42" s="2">
        <f>I30*$D$14</f>
        <v>0</v>
      </c>
      <c r="J42" s="2">
        <f>J30*$D$14</f>
        <v>0</v>
      </c>
      <c r="K42" s="2">
        <f>K30*$D$14</f>
        <v>0</v>
      </c>
      <c r="L42" s="2">
        <f>L30*$D$14</f>
        <v>0</v>
      </c>
      <c r="M42" s="2">
        <f>M30*$D$14</f>
        <v>0</v>
      </c>
      <c r="N42" s="2">
        <f>N30*$D$14</f>
        <v>0</v>
      </c>
      <c r="O42" s="2">
        <f>O30*$D$14</f>
        <v>0</v>
      </c>
      <c r="P42" s="2">
        <f>P30*$D$14</f>
        <v>0</v>
      </c>
      <c r="Q42" s="2">
        <f>Q30*$D$14</f>
        <v>0</v>
      </c>
      <c r="R42" s="2">
        <f>R30*$D$14</f>
        <v>0</v>
      </c>
      <c r="S42" s="2">
        <f>S30*$D$14</f>
        <v>0</v>
      </c>
      <c r="T42" s="2">
        <f>T30*$D$14</f>
        <v>0</v>
      </c>
      <c r="U42" s="2">
        <f>U30*$D$14</f>
        <v>0</v>
      </c>
      <c r="V42" s="2"/>
    </row>
    <row r="43" spans="1:22" ht="14.65" x14ac:dyDescent="0.45">
      <c r="A43" s="8" t="s">
        <v>25</v>
      </c>
      <c r="C43" s="2">
        <f>B40-C40</f>
        <v>0</v>
      </c>
      <c r="D43" s="2">
        <f t="shared" ref="D43:V44" si="19">C40-D40</f>
        <v>0</v>
      </c>
      <c r="E43" s="2">
        <f t="shared" si="19"/>
        <v>0</v>
      </c>
      <c r="F43" s="2">
        <f t="shared" si="19"/>
        <v>0</v>
      </c>
      <c r="G43" s="2">
        <f t="shared" si="19"/>
        <v>0</v>
      </c>
      <c r="H43" s="2">
        <f t="shared" si="19"/>
        <v>0</v>
      </c>
      <c r="I43" s="2">
        <f t="shared" si="19"/>
        <v>0</v>
      </c>
      <c r="J43" s="2">
        <f t="shared" si="19"/>
        <v>0</v>
      </c>
      <c r="K43" s="2">
        <f t="shared" si="19"/>
        <v>0</v>
      </c>
      <c r="L43" s="2">
        <f t="shared" si="19"/>
        <v>0</v>
      </c>
      <c r="M43" s="2">
        <f t="shared" si="19"/>
        <v>0</v>
      </c>
      <c r="N43" s="2">
        <f t="shared" si="19"/>
        <v>0</v>
      </c>
      <c r="O43" s="2">
        <f t="shared" si="19"/>
        <v>0</v>
      </c>
      <c r="P43" s="2">
        <f t="shared" si="19"/>
        <v>0</v>
      </c>
      <c r="Q43" s="2">
        <f t="shared" si="19"/>
        <v>0</v>
      </c>
      <c r="R43" s="2">
        <f t="shared" si="19"/>
        <v>0</v>
      </c>
      <c r="S43" s="2">
        <f t="shared" si="19"/>
        <v>0</v>
      </c>
      <c r="T43" s="2">
        <f t="shared" si="19"/>
        <v>0</v>
      </c>
      <c r="U43" s="2">
        <f t="shared" si="19"/>
        <v>0</v>
      </c>
      <c r="V43" s="2">
        <f t="shared" si="19"/>
        <v>0</v>
      </c>
    </row>
    <row r="44" spans="1:22" ht="14.65" x14ac:dyDescent="0.45">
      <c r="A44" s="8" t="s">
        <v>59</v>
      </c>
      <c r="C44" s="2">
        <f>B41-C41</f>
        <v>0</v>
      </c>
      <c r="D44" s="2">
        <f t="shared" si="19"/>
        <v>0</v>
      </c>
      <c r="E44" s="2">
        <f t="shared" si="19"/>
        <v>0</v>
      </c>
      <c r="F44" s="2">
        <f t="shared" si="19"/>
        <v>0</v>
      </c>
      <c r="G44" s="2">
        <f t="shared" si="19"/>
        <v>0</v>
      </c>
      <c r="H44" s="2">
        <f t="shared" si="19"/>
        <v>0</v>
      </c>
      <c r="I44" s="2">
        <f t="shared" si="19"/>
        <v>0</v>
      </c>
      <c r="J44" s="2">
        <f t="shared" si="19"/>
        <v>0</v>
      </c>
      <c r="K44" s="2">
        <f t="shared" si="19"/>
        <v>0</v>
      </c>
      <c r="L44" s="2">
        <f t="shared" si="19"/>
        <v>0</v>
      </c>
      <c r="M44" s="2">
        <f t="shared" si="19"/>
        <v>0</v>
      </c>
      <c r="N44" s="2">
        <f t="shared" si="19"/>
        <v>0</v>
      </c>
      <c r="O44" s="2">
        <f t="shared" si="19"/>
        <v>0</v>
      </c>
      <c r="P44" s="2">
        <f t="shared" si="19"/>
        <v>0</v>
      </c>
      <c r="Q44" s="2">
        <f t="shared" si="19"/>
        <v>0</v>
      </c>
      <c r="R44" s="2">
        <f t="shared" si="19"/>
        <v>0</v>
      </c>
      <c r="S44" s="2">
        <f t="shared" si="19"/>
        <v>0</v>
      </c>
      <c r="T44" s="2">
        <f t="shared" si="19"/>
        <v>0</v>
      </c>
      <c r="U44" s="2">
        <f t="shared" si="19"/>
        <v>0</v>
      </c>
      <c r="V44" s="2">
        <f t="shared" si="19"/>
        <v>0</v>
      </c>
    </row>
    <row r="45" spans="1:22" ht="14.65" x14ac:dyDescent="0.45">
      <c r="A45" s="9" t="s">
        <v>26</v>
      </c>
      <c r="B45" s="4"/>
      <c r="C45" s="6">
        <f>C42-B42</f>
        <v>0</v>
      </c>
      <c r="D45" s="6">
        <f t="shared" ref="D45:V45" si="20">D42-C42</f>
        <v>0</v>
      </c>
      <c r="E45" s="6">
        <f t="shared" si="20"/>
        <v>0</v>
      </c>
      <c r="F45" s="6">
        <f t="shared" si="20"/>
        <v>0</v>
      </c>
      <c r="G45" s="6">
        <f t="shared" si="20"/>
        <v>0</v>
      </c>
      <c r="H45" s="6">
        <f t="shared" si="20"/>
        <v>0</v>
      </c>
      <c r="I45" s="6">
        <f t="shared" si="20"/>
        <v>0</v>
      </c>
      <c r="J45" s="6">
        <f t="shared" si="20"/>
        <v>0</v>
      </c>
      <c r="K45" s="6">
        <f t="shared" si="20"/>
        <v>0</v>
      </c>
      <c r="L45" s="6">
        <f t="shared" si="20"/>
        <v>0</v>
      </c>
      <c r="M45" s="6">
        <f t="shared" si="20"/>
        <v>0</v>
      </c>
      <c r="N45" s="6">
        <f t="shared" si="20"/>
        <v>0</v>
      </c>
      <c r="O45" s="6">
        <f t="shared" si="20"/>
        <v>0</v>
      </c>
      <c r="P45" s="6">
        <f t="shared" si="20"/>
        <v>0</v>
      </c>
      <c r="Q45" s="6">
        <f t="shared" si="20"/>
        <v>0</v>
      </c>
      <c r="R45" s="6">
        <f t="shared" si="20"/>
        <v>0</v>
      </c>
      <c r="S45" s="6">
        <f t="shared" si="20"/>
        <v>0</v>
      </c>
      <c r="T45" s="6">
        <f t="shared" si="20"/>
        <v>0</v>
      </c>
      <c r="U45" s="6">
        <f t="shared" si="20"/>
        <v>0</v>
      </c>
      <c r="V45" s="6">
        <f t="shared" si="20"/>
        <v>0</v>
      </c>
    </row>
    <row r="47" spans="1:22" x14ac:dyDescent="0.45">
      <c r="A47" s="1" t="s">
        <v>27</v>
      </c>
    </row>
    <row r="48" spans="1:22" x14ac:dyDescent="0.45">
      <c r="A48" s="5" t="s">
        <v>9</v>
      </c>
      <c r="B48" s="5">
        <v>0</v>
      </c>
      <c r="C48" s="5">
        <v>1</v>
      </c>
      <c r="D48" s="5">
        <v>2</v>
      </c>
      <c r="E48" s="5">
        <v>3</v>
      </c>
      <c r="F48" s="5">
        <v>4</v>
      </c>
      <c r="G48" s="5">
        <v>5</v>
      </c>
      <c r="H48" s="5">
        <v>6</v>
      </c>
      <c r="I48" s="5">
        <v>7</v>
      </c>
      <c r="J48" s="5">
        <v>8</v>
      </c>
      <c r="K48" s="5">
        <v>9</v>
      </c>
      <c r="L48" s="5">
        <v>10</v>
      </c>
      <c r="M48" s="5">
        <v>11</v>
      </c>
      <c r="N48" s="5">
        <v>12</v>
      </c>
      <c r="O48" s="5">
        <v>13</v>
      </c>
      <c r="P48" s="5">
        <v>14</v>
      </c>
      <c r="Q48" s="5">
        <v>15</v>
      </c>
      <c r="R48" s="5">
        <v>16</v>
      </c>
      <c r="S48" s="5">
        <v>17</v>
      </c>
      <c r="T48" s="5">
        <v>18</v>
      </c>
      <c r="U48" s="5">
        <v>19</v>
      </c>
      <c r="V48" s="5">
        <v>20</v>
      </c>
    </row>
    <row r="49" spans="1:22" x14ac:dyDescent="0.45">
      <c r="A49" s="1" t="s">
        <v>28</v>
      </c>
    </row>
    <row r="50" spans="1:22" x14ac:dyDescent="0.45">
      <c r="A50" t="s">
        <v>29</v>
      </c>
      <c r="C50" s="2">
        <f>C23</f>
        <v>0</v>
      </c>
      <c r="D50" s="2">
        <f>D23</f>
        <v>0</v>
      </c>
      <c r="E50" s="2">
        <f>E23</f>
        <v>0</v>
      </c>
      <c r="F50" s="2">
        <f>F23</f>
        <v>0</v>
      </c>
      <c r="G50" s="2">
        <f>G23</f>
        <v>0</v>
      </c>
      <c r="H50" s="2">
        <f>H23</f>
        <v>0</v>
      </c>
      <c r="I50" s="2">
        <f>I23</f>
        <v>0</v>
      </c>
      <c r="J50" s="2">
        <f>J23</f>
        <v>0</v>
      </c>
      <c r="K50" s="2">
        <f>K23</f>
        <v>0</v>
      </c>
      <c r="L50" s="2">
        <f>L23</f>
        <v>0</v>
      </c>
      <c r="M50" s="2">
        <f>M23</f>
        <v>0</v>
      </c>
      <c r="N50" s="2">
        <f>N23</f>
        <v>0</v>
      </c>
      <c r="O50" s="2">
        <f>O23</f>
        <v>0</v>
      </c>
      <c r="P50" s="2">
        <f>P23</f>
        <v>0</v>
      </c>
      <c r="Q50" s="2">
        <f>Q23</f>
        <v>0</v>
      </c>
      <c r="R50" s="2">
        <f>R23</f>
        <v>0</v>
      </c>
      <c r="S50" s="2">
        <f>S23</f>
        <v>0</v>
      </c>
      <c r="T50" s="2">
        <f>T23</f>
        <v>0</v>
      </c>
      <c r="U50" s="2">
        <f>U23</f>
        <v>0</v>
      </c>
      <c r="V50" s="2">
        <f>V23</f>
        <v>0</v>
      </c>
    </row>
    <row r="51" spans="1:22" ht="14.65" x14ac:dyDescent="0.45">
      <c r="A51" s="8" t="s">
        <v>37</v>
      </c>
      <c r="C51" s="2">
        <f>C43</f>
        <v>0</v>
      </c>
      <c r="D51" s="2">
        <f t="shared" ref="D51:V51" si="21">D43</f>
        <v>0</v>
      </c>
      <c r="E51" s="2">
        <f t="shared" si="21"/>
        <v>0</v>
      </c>
      <c r="F51" s="2">
        <f t="shared" si="21"/>
        <v>0</v>
      </c>
      <c r="G51" s="2">
        <f t="shared" si="21"/>
        <v>0</v>
      </c>
      <c r="H51" s="2">
        <f t="shared" si="21"/>
        <v>0</v>
      </c>
      <c r="I51" s="2">
        <f t="shared" si="21"/>
        <v>0</v>
      </c>
      <c r="J51" s="2">
        <f t="shared" si="21"/>
        <v>0</v>
      </c>
      <c r="K51" s="2">
        <f t="shared" si="21"/>
        <v>0</v>
      </c>
      <c r="L51" s="2">
        <f t="shared" si="21"/>
        <v>0</v>
      </c>
      <c r="M51" s="2">
        <f t="shared" si="21"/>
        <v>0</v>
      </c>
      <c r="N51" s="2">
        <f t="shared" si="21"/>
        <v>0</v>
      </c>
      <c r="O51" s="2">
        <f t="shared" si="21"/>
        <v>0</v>
      </c>
      <c r="P51" s="2">
        <f t="shared" si="21"/>
        <v>0</v>
      </c>
      <c r="Q51" s="2">
        <f t="shared" si="21"/>
        <v>0</v>
      </c>
      <c r="R51" s="2">
        <f t="shared" si="21"/>
        <v>0</v>
      </c>
      <c r="S51" s="2">
        <f t="shared" si="21"/>
        <v>0</v>
      </c>
      <c r="T51" s="2">
        <f t="shared" si="21"/>
        <v>0</v>
      </c>
      <c r="U51" s="2">
        <f t="shared" si="21"/>
        <v>0</v>
      </c>
      <c r="V51" s="2">
        <f t="shared" si="21"/>
        <v>0</v>
      </c>
    </row>
    <row r="52" spans="1:22" x14ac:dyDescent="0.45">
      <c r="A52" s="1" t="s">
        <v>31</v>
      </c>
    </row>
    <row r="53" spans="1:22" s="35" customFormat="1" x14ac:dyDescent="0.45">
      <c r="A53" s="35" t="s">
        <v>32</v>
      </c>
      <c r="B53" s="33"/>
    </row>
    <row r="54" spans="1:22" x14ac:dyDescent="0.45">
      <c r="A54" t="s">
        <v>33</v>
      </c>
      <c r="B54">
        <f>B8</f>
        <v>30000</v>
      </c>
    </row>
    <row r="55" spans="1:22" x14ac:dyDescent="0.45">
      <c r="A55" t="s">
        <v>34</v>
      </c>
      <c r="B55">
        <f>B9</f>
        <v>20000</v>
      </c>
    </row>
    <row r="56" spans="1:22" x14ac:dyDescent="0.45">
      <c r="A56" t="s">
        <v>35</v>
      </c>
      <c r="C56" s="2">
        <f>C24</f>
        <v>1200</v>
      </c>
      <c r="D56" s="2">
        <f>D24</f>
        <v>1200</v>
      </c>
      <c r="E56" s="2">
        <f>E24</f>
        <v>1323</v>
      </c>
      <c r="F56" s="2">
        <f>F24</f>
        <v>1323</v>
      </c>
      <c r="G56" s="2">
        <f>G24</f>
        <v>1458.6075000000001</v>
      </c>
      <c r="H56" s="2">
        <f>H24</f>
        <v>1458.6075000000001</v>
      </c>
      <c r="I56" s="2">
        <f>I24</f>
        <v>1608.1147687499999</v>
      </c>
      <c r="J56" s="2">
        <f>J24</f>
        <v>1608.1147687499999</v>
      </c>
      <c r="K56" s="2">
        <f>K24</f>
        <v>1772.946532546875</v>
      </c>
      <c r="L56" s="2">
        <f>L24</f>
        <v>1772.946532546875</v>
      </c>
      <c r="M56" s="2">
        <f>M24</f>
        <v>1954.6735521329299</v>
      </c>
      <c r="N56" s="2">
        <f>N24</f>
        <v>1954.6735521329299</v>
      </c>
      <c r="O56" s="2">
        <f>O24</f>
        <v>2155.0275912265552</v>
      </c>
      <c r="P56" s="2">
        <f>P24</f>
        <v>2155.0275912265552</v>
      </c>
      <c r="Q56" s="2">
        <f>Q24</f>
        <v>2375.9179193272766</v>
      </c>
      <c r="R56" s="2">
        <f>R24</f>
        <v>2375.9179193272766</v>
      </c>
      <c r="S56" s="2">
        <f>S24</f>
        <v>2619.4495060583231</v>
      </c>
      <c r="T56" s="2">
        <f>T24</f>
        <v>2619.4495060583231</v>
      </c>
      <c r="U56" s="2">
        <f>U24</f>
        <v>2887.9430804293015</v>
      </c>
      <c r="V56" s="2">
        <f>V24</f>
        <v>2887.9430804293015</v>
      </c>
    </row>
    <row r="57" spans="1:22" x14ac:dyDescent="0.45">
      <c r="A57" t="s">
        <v>36</v>
      </c>
      <c r="C57" s="2">
        <f>C26</f>
        <v>0</v>
      </c>
      <c r="D57" s="2">
        <f>D26</f>
        <v>0</v>
      </c>
      <c r="E57" s="2">
        <f>E26</f>
        <v>0</v>
      </c>
      <c r="F57" s="2">
        <f>F26</f>
        <v>0</v>
      </c>
      <c r="G57" s="2">
        <f>G26</f>
        <v>0</v>
      </c>
      <c r="H57" s="2">
        <f>H26</f>
        <v>0</v>
      </c>
      <c r="I57" s="2">
        <f>I26</f>
        <v>0</v>
      </c>
      <c r="J57" s="2">
        <f>J26</f>
        <v>0</v>
      </c>
      <c r="K57" s="2">
        <f>K26</f>
        <v>0</v>
      </c>
      <c r="L57" s="2">
        <f>L26</f>
        <v>0</v>
      </c>
      <c r="M57" s="2">
        <f>M26</f>
        <v>0</v>
      </c>
      <c r="N57" s="2">
        <f>N26</f>
        <v>0</v>
      </c>
      <c r="O57" s="2">
        <f>O26</f>
        <v>0</v>
      </c>
      <c r="P57" s="2">
        <f>P26</f>
        <v>0</v>
      </c>
      <c r="Q57" s="2">
        <f>Q26</f>
        <v>0</v>
      </c>
      <c r="R57" s="2">
        <f>R26</f>
        <v>0</v>
      </c>
      <c r="S57" s="2">
        <f>S26</f>
        <v>0</v>
      </c>
      <c r="T57" s="2">
        <f>T26</f>
        <v>0</v>
      </c>
      <c r="U57" s="2">
        <f>U26</f>
        <v>0</v>
      </c>
      <c r="V57" s="2">
        <f>V26</f>
        <v>0</v>
      </c>
    </row>
    <row r="58" spans="1:22" ht="14.65" x14ac:dyDescent="0.45">
      <c r="A58" s="8" t="s">
        <v>60</v>
      </c>
      <c r="C58" s="2">
        <f t="shared" ref="C58:V58" si="22">C44</f>
        <v>0</v>
      </c>
      <c r="D58" s="2">
        <f t="shared" si="22"/>
        <v>0</v>
      </c>
      <c r="E58" s="2">
        <f t="shared" si="22"/>
        <v>0</v>
      </c>
      <c r="F58" s="2">
        <f t="shared" si="22"/>
        <v>0</v>
      </c>
      <c r="G58" s="2">
        <f t="shared" si="22"/>
        <v>0</v>
      </c>
      <c r="H58" s="2">
        <f t="shared" si="22"/>
        <v>0</v>
      </c>
      <c r="I58" s="2">
        <f t="shared" si="22"/>
        <v>0</v>
      </c>
      <c r="J58" s="2">
        <f t="shared" si="22"/>
        <v>0</v>
      </c>
      <c r="K58" s="2">
        <f t="shared" si="22"/>
        <v>0</v>
      </c>
      <c r="L58" s="2">
        <f t="shared" si="22"/>
        <v>0</v>
      </c>
      <c r="M58" s="2">
        <f t="shared" si="22"/>
        <v>0</v>
      </c>
      <c r="N58" s="2">
        <f t="shared" si="22"/>
        <v>0</v>
      </c>
      <c r="O58" s="2">
        <f t="shared" si="22"/>
        <v>0</v>
      </c>
      <c r="P58" s="2">
        <f t="shared" si="22"/>
        <v>0</v>
      </c>
      <c r="Q58" s="2">
        <f t="shared" si="22"/>
        <v>0</v>
      </c>
      <c r="R58" s="2">
        <f t="shared" si="22"/>
        <v>0</v>
      </c>
      <c r="S58" s="2">
        <f t="shared" si="22"/>
        <v>0</v>
      </c>
      <c r="T58" s="2">
        <f t="shared" si="22"/>
        <v>0</v>
      </c>
      <c r="U58" s="2">
        <f t="shared" si="22"/>
        <v>0</v>
      </c>
      <c r="V58" s="2">
        <f t="shared" si="22"/>
        <v>0</v>
      </c>
    </row>
    <row r="59" spans="1:22" ht="14.65" x14ac:dyDescent="0.45">
      <c r="A59" s="8" t="s">
        <v>38</v>
      </c>
      <c r="C59" s="2">
        <f t="shared" ref="C59:V59" si="23">C45</f>
        <v>0</v>
      </c>
      <c r="D59" s="2">
        <f t="shared" si="23"/>
        <v>0</v>
      </c>
      <c r="E59" s="2">
        <f t="shared" si="23"/>
        <v>0</v>
      </c>
      <c r="F59" s="2">
        <f t="shared" si="23"/>
        <v>0</v>
      </c>
      <c r="G59" s="2">
        <f t="shared" si="23"/>
        <v>0</v>
      </c>
      <c r="H59" s="2">
        <f t="shared" si="23"/>
        <v>0</v>
      </c>
      <c r="I59" s="2">
        <f t="shared" si="23"/>
        <v>0</v>
      </c>
      <c r="J59" s="2">
        <f t="shared" si="23"/>
        <v>0</v>
      </c>
      <c r="K59" s="2">
        <f t="shared" si="23"/>
        <v>0</v>
      </c>
      <c r="L59" s="2">
        <f t="shared" si="23"/>
        <v>0</v>
      </c>
      <c r="M59" s="2">
        <f t="shared" si="23"/>
        <v>0</v>
      </c>
      <c r="N59" s="2">
        <f t="shared" si="23"/>
        <v>0</v>
      </c>
      <c r="O59" s="2">
        <f t="shared" si="23"/>
        <v>0</v>
      </c>
      <c r="P59" s="2">
        <f t="shared" si="23"/>
        <v>0</v>
      </c>
      <c r="Q59" s="2">
        <f t="shared" si="23"/>
        <v>0</v>
      </c>
      <c r="R59" s="2">
        <f t="shared" si="23"/>
        <v>0</v>
      </c>
      <c r="S59" s="2">
        <f t="shared" si="23"/>
        <v>0</v>
      </c>
      <c r="T59" s="2">
        <f t="shared" si="23"/>
        <v>0</v>
      </c>
      <c r="U59" s="2">
        <f t="shared" si="23"/>
        <v>0</v>
      </c>
      <c r="V59" s="2">
        <f t="shared" si="23"/>
        <v>0</v>
      </c>
    </row>
    <row r="60" spans="1:22" x14ac:dyDescent="0.45">
      <c r="A60" s="1" t="s">
        <v>46</v>
      </c>
      <c r="B60" s="2">
        <f t="shared" ref="B60:V60" si="24">SUM(B50:B51)-SUM(B53:B59)</f>
        <v>-50000</v>
      </c>
      <c r="C60" s="2">
        <f t="shared" si="24"/>
        <v>-1200</v>
      </c>
      <c r="D60" s="2">
        <f t="shared" si="24"/>
        <v>-1200</v>
      </c>
      <c r="E60" s="2">
        <f t="shared" si="24"/>
        <v>-1323</v>
      </c>
      <c r="F60" s="2">
        <f t="shared" si="24"/>
        <v>-1323</v>
      </c>
      <c r="G60" s="2">
        <f t="shared" si="24"/>
        <v>-1458.6075000000001</v>
      </c>
      <c r="H60" s="2">
        <f t="shared" si="24"/>
        <v>-1458.6075000000001</v>
      </c>
      <c r="I60" s="2">
        <f t="shared" si="24"/>
        <v>-1608.1147687499999</v>
      </c>
      <c r="J60" s="2">
        <f t="shared" si="24"/>
        <v>-1608.1147687499999</v>
      </c>
      <c r="K60" s="2">
        <f t="shared" si="24"/>
        <v>-1772.946532546875</v>
      </c>
      <c r="L60" s="2">
        <f t="shared" si="24"/>
        <v>-1772.946532546875</v>
      </c>
      <c r="M60" s="2">
        <f t="shared" si="24"/>
        <v>-1954.6735521329299</v>
      </c>
      <c r="N60" s="2">
        <f t="shared" si="24"/>
        <v>-1954.6735521329299</v>
      </c>
      <c r="O60" s="2">
        <f t="shared" si="24"/>
        <v>-2155.0275912265552</v>
      </c>
      <c r="P60" s="2">
        <f t="shared" si="24"/>
        <v>-2155.0275912265552</v>
      </c>
      <c r="Q60" s="2">
        <f t="shared" si="24"/>
        <v>-2375.9179193272766</v>
      </c>
      <c r="R60" s="2">
        <f t="shared" si="24"/>
        <v>-2375.9179193272766</v>
      </c>
      <c r="S60" s="2">
        <f t="shared" si="24"/>
        <v>-2619.4495060583231</v>
      </c>
      <c r="T60" s="2">
        <f t="shared" si="24"/>
        <v>-2619.4495060583231</v>
      </c>
      <c r="U60" s="2">
        <f t="shared" si="24"/>
        <v>-2887.9430804293015</v>
      </c>
      <c r="V60" s="2">
        <f t="shared" si="24"/>
        <v>-2887.9430804293015</v>
      </c>
    </row>
    <row r="61" spans="1:22" x14ac:dyDescent="0.45">
      <c r="A61" t="s">
        <v>39</v>
      </c>
      <c r="C61" s="2">
        <f t="shared" ref="C61:V61" si="25">C36</f>
        <v>-840</v>
      </c>
      <c r="D61" s="2">
        <f t="shared" si="25"/>
        <v>-840</v>
      </c>
      <c r="E61" s="2">
        <f t="shared" si="25"/>
        <v>-864.6</v>
      </c>
      <c r="F61" s="2">
        <f t="shared" si="25"/>
        <v>-864.6</v>
      </c>
      <c r="G61" s="2">
        <f t="shared" si="25"/>
        <v>-891.72150000000011</v>
      </c>
      <c r="H61" s="2">
        <f t="shared" si="25"/>
        <v>-891.72150000000011</v>
      </c>
      <c r="I61" s="2">
        <f t="shared" si="25"/>
        <v>-921.62295374999997</v>
      </c>
      <c r="J61" s="2">
        <f t="shared" si="25"/>
        <v>-921.62295374999997</v>
      </c>
      <c r="K61" s="2">
        <f t="shared" si="25"/>
        <v>-954.58930650937509</v>
      </c>
      <c r="L61" s="2">
        <f t="shared" si="25"/>
        <v>-954.58930650937509</v>
      </c>
      <c r="M61" s="2">
        <f t="shared" si="25"/>
        <v>-990.93471042658609</v>
      </c>
      <c r="N61" s="2">
        <f t="shared" si="25"/>
        <v>-990.93471042658609</v>
      </c>
      <c r="O61" s="2">
        <f t="shared" si="25"/>
        <v>-1031.0055182453111</v>
      </c>
      <c r="P61" s="2">
        <f t="shared" si="25"/>
        <v>-1031.0055182453111</v>
      </c>
      <c r="Q61" s="2">
        <f t="shared" si="25"/>
        <v>-1075.1835838654554</v>
      </c>
      <c r="R61" s="2">
        <f t="shared" si="25"/>
        <v>-1075.1835838654554</v>
      </c>
      <c r="S61" s="2">
        <f t="shared" si="25"/>
        <v>-1123.8899012116647</v>
      </c>
      <c r="T61" s="2">
        <f t="shared" si="25"/>
        <v>-1123.8899012116647</v>
      </c>
      <c r="U61" s="2">
        <f t="shared" si="25"/>
        <v>-1177.5886160858604</v>
      </c>
      <c r="V61" s="2">
        <f t="shared" si="25"/>
        <v>-1177.5886160858604</v>
      </c>
    </row>
    <row r="62" spans="1:22" x14ac:dyDescent="0.45">
      <c r="A62" s="3" t="s">
        <v>45</v>
      </c>
      <c r="B62" s="6">
        <f>B60-B61</f>
        <v>-50000</v>
      </c>
      <c r="C62" s="6">
        <f t="shared" ref="C62:V62" si="26">C60-C61</f>
        <v>-360</v>
      </c>
      <c r="D62" s="6">
        <f t="shared" si="26"/>
        <v>-360</v>
      </c>
      <c r="E62" s="6">
        <f t="shared" si="26"/>
        <v>-458.4</v>
      </c>
      <c r="F62" s="6">
        <f t="shared" si="26"/>
        <v>-458.4</v>
      </c>
      <c r="G62" s="6">
        <f t="shared" si="26"/>
        <v>-566.88599999999997</v>
      </c>
      <c r="H62" s="6">
        <f t="shared" si="26"/>
        <v>-566.88599999999997</v>
      </c>
      <c r="I62" s="6">
        <f t="shared" si="26"/>
        <v>-686.49181499999997</v>
      </c>
      <c r="J62" s="6">
        <f t="shared" si="26"/>
        <v>-686.49181499999997</v>
      </c>
      <c r="K62" s="6">
        <f t="shared" si="26"/>
        <v>-818.35722603749991</v>
      </c>
      <c r="L62" s="6">
        <f t="shared" si="26"/>
        <v>-818.35722603749991</v>
      </c>
      <c r="M62" s="6">
        <f t="shared" si="26"/>
        <v>-963.73884170634381</v>
      </c>
      <c r="N62" s="6">
        <f t="shared" si="26"/>
        <v>-963.73884170634381</v>
      </c>
      <c r="O62" s="6">
        <f t="shared" si="26"/>
        <v>-1124.022072981244</v>
      </c>
      <c r="P62" s="6">
        <f t="shared" si="26"/>
        <v>-1124.022072981244</v>
      </c>
      <c r="Q62" s="6">
        <f t="shared" si="26"/>
        <v>-1300.7343354618213</v>
      </c>
      <c r="R62" s="6">
        <f t="shared" si="26"/>
        <v>-1300.7343354618213</v>
      </c>
      <c r="S62" s="6">
        <f t="shared" si="26"/>
        <v>-1495.5596048466584</v>
      </c>
      <c r="T62" s="6">
        <f t="shared" si="26"/>
        <v>-1495.5596048466584</v>
      </c>
      <c r="U62" s="6">
        <f t="shared" si="26"/>
        <v>-1710.3544643434411</v>
      </c>
      <c r="V62" s="6">
        <f t="shared" si="26"/>
        <v>-1710.3544643434411</v>
      </c>
    </row>
    <row r="63" spans="1:22" x14ac:dyDescent="0.45">
      <c r="A63" t="s">
        <v>43</v>
      </c>
      <c r="B63" s="2">
        <f>B11</f>
        <v>35000</v>
      </c>
    </row>
    <row r="64" spans="1:22" x14ac:dyDescent="0.45">
      <c r="A64" t="s">
        <v>44</v>
      </c>
      <c r="C64" s="2">
        <f>-PMT($B$13,10,$B$11)</f>
        <v>5757.4056309321031</v>
      </c>
      <c r="D64" s="2">
        <f t="shared" ref="D64:L64" si="27">-PMT($B$13,10,$B$11)</f>
        <v>5757.4056309321031</v>
      </c>
      <c r="E64" s="2">
        <f t="shared" si="27"/>
        <v>5757.4056309321031</v>
      </c>
      <c r="F64" s="2">
        <f t="shared" si="27"/>
        <v>5757.4056309321031</v>
      </c>
      <c r="G64" s="2">
        <f t="shared" si="27"/>
        <v>5757.4056309321031</v>
      </c>
      <c r="H64" s="2">
        <f t="shared" si="27"/>
        <v>5757.4056309321031</v>
      </c>
      <c r="I64" s="2">
        <f t="shared" si="27"/>
        <v>5757.4056309321031</v>
      </c>
      <c r="J64" s="2">
        <f t="shared" si="27"/>
        <v>5757.4056309321031</v>
      </c>
      <c r="K64" s="2">
        <f t="shared" si="27"/>
        <v>5757.4056309321031</v>
      </c>
      <c r="L64" s="2">
        <f t="shared" si="27"/>
        <v>5757.4056309321031</v>
      </c>
      <c r="M64" s="2"/>
      <c r="N64" s="2"/>
      <c r="O64" s="2"/>
      <c r="P64" s="2"/>
      <c r="Q64" s="2"/>
      <c r="R64" s="2"/>
      <c r="S64" s="2"/>
      <c r="T64" s="2"/>
      <c r="U64" s="2"/>
    </row>
    <row r="65" spans="1:22" x14ac:dyDescent="0.45">
      <c r="A65" s="3" t="s">
        <v>47</v>
      </c>
      <c r="B65" s="6">
        <f>B62+B63-B64</f>
        <v>-15000</v>
      </c>
      <c r="C65" s="6">
        <f t="shared" ref="C65:V65" si="28">C62+C63-C64</f>
        <v>-6117.4056309321031</v>
      </c>
      <c r="D65" s="6">
        <f t="shared" si="28"/>
        <v>-6117.4056309321031</v>
      </c>
      <c r="E65" s="6">
        <f t="shared" si="28"/>
        <v>-6215.8056309321028</v>
      </c>
      <c r="F65" s="6">
        <f t="shared" si="28"/>
        <v>-6215.8056309321028</v>
      </c>
      <c r="G65" s="6">
        <f t="shared" si="28"/>
        <v>-6324.2916309321026</v>
      </c>
      <c r="H65" s="6">
        <f t="shared" si="28"/>
        <v>-6324.2916309321026</v>
      </c>
      <c r="I65" s="6">
        <f t="shared" si="28"/>
        <v>-6443.8974459321034</v>
      </c>
      <c r="J65" s="6">
        <f t="shared" si="28"/>
        <v>-6443.8974459321034</v>
      </c>
      <c r="K65" s="6">
        <f t="shared" si="28"/>
        <v>-6575.7628569696026</v>
      </c>
      <c r="L65" s="6">
        <f t="shared" si="28"/>
        <v>-6575.7628569696026</v>
      </c>
      <c r="M65" s="6">
        <f t="shared" si="28"/>
        <v>-963.73884170634381</v>
      </c>
      <c r="N65" s="6">
        <f t="shared" si="28"/>
        <v>-963.73884170634381</v>
      </c>
      <c r="O65" s="6">
        <f t="shared" si="28"/>
        <v>-1124.022072981244</v>
      </c>
      <c r="P65" s="6">
        <f t="shared" si="28"/>
        <v>-1124.022072981244</v>
      </c>
      <c r="Q65" s="6">
        <f t="shared" si="28"/>
        <v>-1300.7343354618213</v>
      </c>
      <c r="R65" s="6">
        <f t="shared" si="28"/>
        <v>-1300.7343354618213</v>
      </c>
      <c r="S65" s="6">
        <f t="shared" si="28"/>
        <v>-1495.5596048466584</v>
      </c>
      <c r="T65" s="6">
        <f t="shared" si="28"/>
        <v>-1495.5596048466584</v>
      </c>
      <c r="U65" s="6">
        <f t="shared" si="28"/>
        <v>-1710.3544643434411</v>
      </c>
      <c r="V65" s="6">
        <f t="shared" si="28"/>
        <v>-1710.3544643434411</v>
      </c>
    </row>
    <row r="66" spans="1:22" ht="16.899999999999999" customHeight="1" x14ac:dyDescent="0.45">
      <c r="A66" s="1"/>
      <c r="B66" s="50" t="s">
        <v>73</v>
      </c>
      <c r="C66" s="50" t="s">
        <v>66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45">
      <c r="A67" s="21" t="s">
        <v>48</v>
      </c>
      <c r="B67" s="23"/>
      <c r="C67" s="25">
        <f>'TH1_Đất sẵn có 1'!B67</f>
        <v>0</v>
      </c>
    </row>
    <row r="68" spans="1:22" x14ac:dyDescent="0.45">
      <c r="A68" s="21" t="s">
        <v>49</v>
      </c>
      <c r="B68" s="23"/>
      <c r="C68" s="25">
        <f>'TH1_Đất sẵn có 1'!B68</f>
        <v>0</v>
      </c>
    </row>
    <row r="69" spans="1:22" x14ac:dyDescent="0.45">
      <c r="A69" s="21" t="s">
        <v>50</v>
      </c>
      <c r="B69" s="24"/>
      <c r="C69" s="26">
        <f>'TH1_Đất sẵn có 1'!B69</f>
        <v>0</v>
      </c>
    </row>
    <row r="70" spans="1:22" x14ac:dyDescent="0.45">
      <c r="A70" s="21" t="s">
        <v>51</v>
      </c>
      <c r="B70" s="24"/>
      <c r="C70" s="26">
        <f>'TH1_Đất sẵn có 1'!B70</f>
        <v>0</v>
      </c>
    </row>
    <row r="71" spans="1:22" x14ac:dyDescent="0.45">
      <c r="A71" s="21" t="s">
        <v>82</v>
      </c>
      <c r="B71" s="24"/>
      <c r="C71" s="26">
        <f>'TH1_Đất sẵn có 1'!B71</f>
        <v>0</v>
      </c>
    </row>
    <row r="72" spans="1:22" x14ac:dyDescent="0.45">
      <c r="A72" s="21" t="s">
        <v>83</v>
      </c>
      <c r="B72" s="24"/>
      <c r="C72" s="26">
        <f>'TH1_Đất sẵn có 1'!B72</f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9DAF-0971-48AD-A949-9675FB11EE39}">
  <dimension ref="A1:V73"/>
  <sheetViews>
    <sheetView topLeftCell="A46" zoomScale="89" workbookViewId="0">
      <selection activeCell="B68" sqref="B68:B73"/>
    </sheetView>
  </sheetViews>
  <sheetFormatPr defaultRowHeight="14.25" x14ac:dyDescent="0.45"/>
  <cols>
    <col min="1" max="1" width="25.06640625" customWidth="1"/>
    <col min="2" max="2" width="19.86328125" bestFit="1" customWidth="1"/>
    <col min="3" max="3" width="16.796875" customWidth="1"/>
    <col min="4" max="12" width="13.33203125" bestFit="1" customWidth="1"/>
    <col min="13" max="21" width="13.33203125" customWidth="1"/>
    <col min="22" max="22" width="13.33203125" bestFit="1" customWidth="1"/>
  </cols>
  <sheetData>
    <row r="1" spans="1:22" ht="26.65" x14ac:dyDescent="0.85">
      <c r="A1" s="19" t="s">
        <v>63</v>
      </c>
    </row>
    <row r="2" spans="1:22" ht="19.5" x14ac:dyDescent="0.45">
      <c r="A2" s="41" t="s">
        <v>74</v>
      </c>
    </row>
    <row r="3" spans="1:22" ht="13.15" customHeight="1" x14ac:dyDescent="0.6">
      <c r="A3" s="20"/>
    </row>
    <row r="5" spans="1:22" ht="19.5" x14ac:dyDescent="0.6">
      <c r="A5" s="53" t="s">
        <v>88</v>
      </c>
      <c r="B5" s="4"/>
      <c r="C5" s="4"/>
      <c r="D5" s="4"/>
      <c r="E5" s="4"/>
      <c r="F5" s="4"/>
      <c r="G5" s="4"/>
    </row>
    <row r="6" spans="1:22" x14ac:dyDescent="0.45">
      <c r="A6" s="1" t="s">
        <v>4</v>
      </c>
      <c r="C6" s="1" t="s">
        <v>40</v>
      </c>
      <c r="F6" s="1" t="s">
        <v>41</v>
      </c>
    </row>
    <row r="7" spans="1:22" x14ac:dyDescent="0.45">
      <c r="A7" s="30"/>
      <c r="B7" s="31"/>
      <c r="C7" t="s">
        <v>13</v>
      </c>
      <c r="D7" s="11">
        <v>1200</v>
      </c>
      <c r="F7" t="s">
        <v>6</v>
      </c>
      <c r="G7" s="12">
        <v>0.05</v>
      </c>
    </row>
    <row r="8" spans="1:22" x14ac:dyDescent="0.45">
      <c r="A8" t="s">
        <v>0</v>
      </c>
      <c r="B8" s="11">
        <v>30000</v>
      </c>
      <c r="C8" s="32" t="s">
        <v>75</v>
      </c>
      <c r="D8" s="44">
        <f>10000/20</f>
        <v>500</v>
      </c>
      <c r="F8" t="s">
        <v>7</v>
      </c>
      <c r="G8" s="12">
        <v>0.2</v>
      </c>
    </row>
    <row r="9" spans="1:22" ht="15.75" x14ac:dyDescent="0.55000000000000004">
      <c r="A9" t="s">
        <v>1</v>
      </c>
      <c r="B9" s="11">
        <v>20000</v>
      </c>
      <c r="C9" t="s">
        <v>14</v>
      </c>
      <c r="D9" s="12">
        <v>0.2</v>
      </c>
      <c r="E9" s="7" t="s">
        <v>22</v>
      </c>
      <c r="F9" t="s">
        <v>61</v>
      </c>
      <c r="G9" s="12">
        <v>0.1</v>
      </c>
    </row>
    <row r="10" spans="1:22" ht="15.75" x14ac:dyDescent="0.55000000000000004">
      <c r="A10" s="1" t="s">
        <v>57</v>
      </c>
      <c r="C10" t="s">
        <v>89</v>
      </c>
      <c r="D10" s="11">
        <v>9000</v>
      </c>
      <c r="E10" s="12">
        <v>0.03</v>
      </c>
      <c r="F10" t="s">
        <v>62</v>
      </c>
      <c r="G10" s="27">
        <f>G9+G7+G9*G7</f>
        <v>0.15500000000000003</v>
      </c>
    </row>
    <row r="11" spans="1:22" x14ac:dyDescent="0.45">
      <c r="A11" t="s">
        <v>3</v>
      </c>
      <c r="B11" s="11">
        <f>70%*(B8+B9)</f>
        <v>35000</v>
      </c>
      <c r="C11" s="1" t="s">
        <v>20</v>
      </c>
      <c r="D11" s="11"/>
      <c r="F11" t="s">
        <v>42</v>
      </c>
      <c r="G11" s="15">
        <f>0.7*B13+0.3*G10</f>
        <v>0.11824999999999999</v>
      </c>
    </row>
    <row r="12" spans="1:22" x14ac:dyDescent="0.45">
      <c r="A12" t="s">
        <v>53</v>
      </c>
      <c r="B12" s="12">
        <v>0.05</v>
      </c>
      <c r="C12" t="s">
        <v>21</v>
      </c>
      <c r="D12" s="12">
        <v>0.1</v>
      </c>
      <c r="E12" s="7" t="s">
        <v>22</v>
      </c>
      <c r="F12" t="s">
        <v>58</v>
      </c>
      <c r="G12" s="12">
        <v>0</v>
      </c>
    </row>
    <row r="13" spans="1:22" x14ac:dyDescent="0.45">
      <c r="A13" t="s">
        <v>54</v>
      </c>
      <c r="B13" s="27">
        <f>B12+G7+B12*G7</f>
        <v>0.10250000000000001</v>
      </c>
      <c r="C13" t="s">
        <v>55</v>
      </c>
      <c r="D13" s="12">
        <v>0.1</v>
      </c>
      <c r="E13" s="7" t="s">
        <v>56</v>
      </c>
      <c r="F13" t="s">
        <v>30</v>
      </c>
      <c r="G13" s="18">
        <v>20</v>
      </c>
    </row>
    <row r="14" spans="1:22" x14ac:dyDescent="0.45">
      <c r="A14" s="4" t="s">
        <v>18</v>
      </c>
      <c r="B14" s="13">
        <v>10</v>
      </c>
      <c r="C14" s="4" t="s">
        <v>23</v>
      </c>
      <c r="D14" s="14">
        <v>0.05</v>
      </c>
      <c r="E14" s="10" t="s">
        <v>22</v>
      </c>
      <c r="F14" s="4" t="s">
        <v>2</v>
      </c>
      <c r="G14" s="16">
        <v>20</v>
      </c>
    </row>
    <row r="16" spans="1:22" x14ac:dyDescent="0.45">
      <c r="A16" s="3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45">
      <c r="A17" s="5" t="s">
        <v>9</v>
      </c>
      <c r="B17" s="5">
        <v>0</v>
      </c>
      <c r="C17" s="5">
        <v>1</v>
      </c>
      <c r="D17" s="5">
        <v>2</v>
      </c>
      <c r="E17" s="5">
        <v>3</v>
      </c>
      <c r="F17" s="5">
        <v>4</v>
      </c>
      <c r="G17" s="5">
        <v>5</v>
      </c>
      <c r="H17" s="5">
        <v>6</v>
      </c>
      <c r="I17" s="5">
        <v>7</v>
      </c>
      <c r="J17" s="5">
        <v>8</v>
      </c>
      <c r="K17" s="5">
        <v>9</v>
      </c>
      <c r="L17" s="5">
        <v>10</v>
      </c>
      <c r="M17" s="5">
        <v>11</v>
      </c>
      <c r="N17" s="5">
        <v>12</v>
      </c>
      <c r="O17" s="5">
        <v>13</v>
      </c>
      <c r="P17" s="5">
        <v>14</v>
      </c>
      <c r="Q17" s="5">
        <v>15</v>
      </c>
      <c r="R17" s="5">
        <v>16</v>
      </c>
      <c r="S17" s="5">
        <v>17</v>
      </c>
      <c r="T17" s="5">
        <v>18</v>
      </c>
      <c r="U17" s="5">
        <v>19</v>
      </c>
      <c r="V17" s="5">
        <v>20</v>
      </c>
    </row>
    <row r="18" spans="1:22" x14ac:dyDescent="0.45">
      <c r="A18" s="46" t="s">
        <v>10</v>
      </c>
      <c r="B18" s="47"/>
      <c r="C18" s="47">
        <f t="shared" ref="B18:V18" si="0">(1+$G$7)^C17</f>
        <v>1.05</v>
      </c>
      <c r="D18" s="47">
        <f t="shared" si="0"/>
        <v>1.1025</v>
      </c>
      <c r="E18" s="47">
        <f t="shared" si="0"/>
        <v>1.1576250000000001</v>
      </c>
      <c r="F18" s="47">
        <f t="shared" si="0"/>
        <v>1.21550625</v>
      </c>
      <c r="G18" s="47">
        <f t="shared" si="0"/>
        <v>1.2762815625000001</v>
      </c>
      <c r="H18" s="47">
        <f t="shared" si="0"/>
        <v>1.340095640625</v>
      </c>
      <c r="I18" s="47">
        <f t="shared" si="0"/>
        <v>1.4071004226562502</v>
      </c>
      <c r="J18" s="47">
        <f t="shared" si="0"/>
        <v>1.4774554437890626</v>
      </c>
      <c r="K18" s="47">
        <f t="shared" si="0"/>
        <v>1.5513282159785158</v>
      </c>
      <c r="L18" s="47">
        <f t="shared" si="0"/>
        <v>1.6288946267774416</v>
      </c>
      <c r="M18" s="47">
        <f t="shared" si="0"/>
        <v>1.7103393581163138</v>
      </c>
      <c r="N18" s="47">
        <f t="shared" si="0"/>
        <v>1.7958563260221292</v>
      </c>
      <c r="O18" s="47">
        <f t="shared" si="0"/>
        <v>1.885649142323236</v>
      </c>
      <c r="P18" s="47">
        <f t="shared" si="0"/>
        <v>1.9799315994393973</v>
      </c>
      <c r="Q18" s="47">
        <f t="shared" si="0"/>
        <v>2.0789281794113679</v>
      </c>
      <c r="R18" s="47">
        <f t="shared" si="0"/>
        <v>2.182874588381936</v>
      </c>
      <c r="S18" s="47">
        <f t="shared" si="0"/>
        <v>2.2920183178010332</v>
      </c>
      <c r="T18" s="47">
        <f t="shared" si="0"/>
        <v>2.4066192336910848</v>
      </c>
      <c r="U18" s="47">
        <f t="shared" si="0"/>
        <v>2.526950195375639</v>
      </c>
      <c r="V18" s="47">
        <f t="shared" si="0"/>
        <v>2.6532977051444209</v>
      </c>
    </row>
    <row r="19" spans="1:22" s="45" customFormat="1" x14ac:dyDescent="0.45">
      <c r="A19" s="48" t="s">
        <v>90</v>
      </c>
      <c r="B19" s="6"/>
      <c r="C19" s="6">
        <f>(1+$E$10)^C17</f>
        <v>1.03</v>
      </c>
      <c r="D19" s="6">
        <f t="shared" ref="D19:V19" si="1">(1+$E$10)^D17</f>
        <v>1.0609</v>
      </c>
      <c r="E19" s="6">
        <f t="shared" si="1"/>
        <v>1.092727</v>
      </c>
      <c r="F19" s="6">
        <f t="shared" si="1"/>
        <v>1.1255088099999999</v>
      </c>
      <c r="G19" s="6">
        <f t="shared" si="1"/>
        <v>1.1592740742999998</v>
      </c>
      <c r="H19" s="6">
        <f t="shared" si="1"/>
        <v>1.1940522965289999</v>
      </c>
      <c r="I19" s="6">
        <f t="shared" si="1"/>
        <v>1.22987386542487</v>
      </c>
      <c r="J19" s="6">
        <f t="shared" si="1"/>
        <v>1.2667700813876159</v>
      </c>
      <c r="K19" s="6">
        <f t="shared" si="1"/>
        <v>1.3047731838292445</v>
      </c>
      <c r="L19" s="6">
        <f t="shared" si="1"/>
        <v>1.3439163793441218</v>
      </c>
      <c r="M19" s="6">
        <f t="shared" si="1"/>
        <v>1.3842338707244455</v>
      </c>
      <c r="N19" s="6">
        <f t="shared" si="1"/>
        <v>1.4257608868461786</v>
      </c>
      <c r="O19" s="6">
        <f t="shared" si="1"/>
        <v>1.4685337134515639</v>
      </c>
      <c r="P19" s="6">
        <f t="shared" si="1"/>
        <v>1.512589724855111</v>
      </c>
      <c r="Q19" s="6">
        <f t="shared" si="1"/>
        <v>1.5579674166007644</v>
      </c>
      <c r="R19" s="6">
        <f t="shared" si="1"/>
        <v>1.6047064390987871</v>
      </c>
      <c r="S19" s="6">
        <f t="shared" si="1"/>
        <v>1.6528476322717507</v>
      </c>
      <c r="T19" s="6">
        <f t="shared" si="1"/>
        <v>1.7024330612399032</v>
      </c>
      <c r="U19" s="6">
        <f t="shared" si="1"/>
        <v>1.7535060530771003</v>
      </c>
      <c r="V19" s="6">
        <f t="shared" si="1"/>
        <v>1.8061112346694133</v>
      </c>
    </row>
    <row r="21" spans="1:22" x14ac:dyDescent="0.45">
      <c r="A21" s="1" t="s">
        <v>11</v>
      </c>
    </row>
    <row r="22" spans="1:22" x14ac:dyDescent="0.45">
      <c r="A22" s="5" t="s">
        <v>9</v>
      </c>
      <c r="B22" s="5">
        <v>0</v>
      </c>
      <c r="C22" s="5">
        <v>1</v>
      </c>
      <c r="D22" s="5">
        <v>2</v>
      </c>
      <c r="E22" s="5">
        <v>3</v>
      </c>
      <c r="F22" s="5">
        <v>4</v>
      </c>
      <c r="G22" s="5">
        <v>5</v>
      </c>
      <c r="H22" s="5">
        <v>6</v>
      </c>
      <c r="I22" s="5">
        <v>7</v>
      </c>
      <c r="J22" s="5">
        <v>8</v>
      </c>
      <c r="K22" s="5">
        <v>9</v>
      </c>
      <c r="L22" s="5">
        <v>10</v>
      </c>
      <c r="M22" s="5">
        <v>11</v>
      </c>
      <c r="N22" s="5">
        <v>12</v>
      </c>
      <c r="O22" s="5">
        <v>13</v>
      </c>
      <c r="P22" s="5">
        <v>14</v>
      </c>
      <c r="Q22" s="5">
        <v>15</v>
      </c>
      <c r="R22" s="5">
        <v>16</v>
      </c>
      <c r="S22" s="5">
        <v>17</v>
      </c>
      <c r="T22" s="5">
        <v>18</v>
      </c>
      <c r="U22" s="5">
        <v>19</v>
      </c>
      <c r="V22" s="5">
        <v>20</v>
      </c>
    </row>
    <row r="23" spans="1:22" x14ac:dyDescent="0.45">
      <c r="A23" t="s">
        <v>12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2" x14ac:dyDescent="0.45">
      <c r="A24" t="s">
        <v>13</v>
      </c>
      <c r="C24" s="2">
        <f>$D$7</f>
        <v>1200</v>
      </c>
      <c r="D24" s="2">
        <f t="shared" ref="D24" si="2">$D$7</f>
        <v>1200</v>
      </c>
      <c r="E24" s="2">
        <f>$D$7*$D$18</f>
        <v>1323</v>
      </c>
      <c r="F24" s="2">
        <f t="shared" ref="F24" si="3">$D$7*$D$18</f>
        <v>1323</v>
      </c>
      <c r="G24" s="2">
        <f>$D$7*$F$18</f>
        <v>1458.6075000000001</v>
      </c>
      <c r="H24" s="2">
        <f t="shared" ref="H24" si="4">$D$7*$F$18</f>
        <v>1458.6075000000001</v>
      </c>
      <c r="I24" s="2">
        <f>$D$7*$H$18</f>
        <v>1608.1147687499999</v>
      </c>
      <c r="J24" s="2">
        <f t="shared" ref="J24" si="5">$D$7*$H$18</f>
        <v>1608.1147687499999</v>
      </c>
      <c r="K24" s="2">
        <f>$D$7*$J$18</f>
        <v>1772.946532546875</v>
      </c>
      <c r="L24" s="2">
        <f t="shared" ref="L24" si="6">$D$7*$J$18</f>
        <v>1772.946532546875</v>
      </c>
      <c r="M24" s="2">
        <f>$D$7*$L$18</f>
        <v>1954.6735521329299</v>
      </c>
      <c r="N24" s="2">
        <f t="shared" ref="N24" si="7">$D$7*$L$18</f>
        <v>1954.6735521329299</v>
      </c>
      <c r="O24" s="2">
        <f>$D$7*$N$18</f>
        <v>2155.0275912265552</v>
      </c>
      <c r="P24" s="2">
        <f t="shared" ref="P24" si="8">$D$7*$N$18</f>
        <v>2155.0275912265552</v>
      </c>
      <c r="Q24" s="2">
        <f>$D$7*$P$18</f>
        <v>2375.9179193272766</v>
      </c>
      <c r="R24" s="2">
        <f t="shared" ref="R24" si="9">$D$7*$P$18</f>
        <v>2375.9179193272766</v>
      </c>
      <c r="S24" s="2">
        <f>$D$7*$R$18</f>
        <v>2619.4495060583231</v>
      </c>
      <c r="T24" s="2">
        <f t="shared" ref="T24" si="10">$D$7*$R$18</f>
        <v>2619.4495060583231</v>
      </c>
      <c r="U24" s="2">
        <f>$D$7*$T$18</f>
        <v>2887.9430804293015</v>
      </c>
      <c r="V24" s="2">
        <f t="shared" ref="V24" si="11">$D$7*$T$18</f>
        <v>2887.9430804293015</v>
      </c>
    </row>
    <row r="25" spans="1:22" x14ac:dyDescent="0.45">
      <c r="A25" t="s">
        <v>70</v>
      </c>
      <c r="C25" s="2">
        <f>$D$8</f>
        <v>500</v>
      </c>
      <c r="D25" s="2">
        <f t="shared" ref="D25:V25" si="12">$D$8</f>
        <v>500</v>
      </c>
      <c r="E25" s="2">
        <f t="shared" si="12"/>
        <v>500</v>
      </c>
      <c r="F25" s="2">
        <f t="shared" si="12"/>
        <v>500</v>
      </c>
      <c r="G25" s="2">
        <f t="shared" si="12"/>
        <v>500</v>
      </c>
      <c r="H25" s="2">
        <f t="shared" si="12"/>
        <v>500</v>
      </c>
      <c r="I25" s="2">
        <f t="shared" si="12"/>
        <v>500</v>
      </c>
      <c r="J25" s="2">
        <f t="shared" si="12"/>
        <v>500</v>
      </c>
      <c r="K25" s="2">
        <f t="shared" si="12"/>
        <v>500</v>
      </c>
      <c r="L25" s="2">
        <f t="shared" si="12"/>
        <v>500</v>
      </c>
      <c r="M25" s="2">
        <f t="shared" si="12"/>
        <v>500</v>
      </c>
      <c r="N25" s="2">
        <f t="shared" si="12"/>
        <v>500</v>
      </c>
      <c r="O25" s="2">
        <f t="shared" si="12"/>
        <v>500</v>
      </c>
      <c r="P25" s="2">
        <f t="shared" si="12"/>
        <v>500</v>
      </c>
      <c r="Q25" s="2">
        <f t="shared" si="12"/>
        <v>500</v>
      </c>
      <c r="R25" s="2">
        <f t="shared" si="12"/>
        <v>500</v>
      </c>
      <c r="S25" s="2">
        <f t="shared" si="12"/>
        <v>500</v>
      </c>
      <c r="T25" s="2">
        <f t="shared" si="12"/>
        <v>500</v>
      </c>
      <c r="U25" s="2">
        <f t="shared" si="12"/>
        <v>500</v>
      </c>
      <c r="V25" s="2">
        <f t="shared" si="12"/>
        <v>500</v>
      </c>
    </row>
    <row r="26" spans="1:22" x14ac:dyDescent="0.45">
      <c r="A26" s="4" t="s">
        <v>14</v>
      </c>
      <c r="B26" s="4"/>
      <c r="C26" s="6">
        <f t="shared" ref="C26:V26" si="13">C23*$D$9</f>
        <v>0</v>
      </c>
      <c r="D26" s="6">
        <f t="shared" si="13"/>
        <v>0</v>
      </c>
      <c r="E26" s="6">
        <f t="shared" si="13"/>
        <v>0</v>
      </c>
      <c r="F26" s="6">
        <f t="shared" si="13"/>
        <v>0</v>
      </c>
      <c r="G26" s="6">
        <f t="shared" si="13"/>
        <v>0</v>
      </c>
      <c r="H26" s="6">
        <f t="shared" si="13"/>
        <v>0</v>
      </c>
      <c r="I26" s="6">
        <f t="shared" si="13"/>
        <v>0</v>
      </c>
      <c r="J26" s="6">
        <f t="shared" si="13"/>
        <v>0</v>
      </c>
      <c r="K26" s="6">
        <f t="shared" si="13"/>
        <v>0</v>
      </c>
      <c r="L26" s="6">
        <f t="shared" si="13"/>
        <v>0</v>
      </c>
      <c r="M26" s="6">
        <f t="shared" si="13"/>
        <v>0</v>
      </c>
      <c r="N26" s="6">
        <f t="shared" si="13"/>
        <v>0</v>
      </c>
      <c r="O26" s="6">
        <f t="shared" si="13"/>
        <v>0</v>
      </c>
      <c r="P26" s="6">
        <f t="shared" si="13"/>
        <v>0</v>
      </c>
      <c r="Q26" s="6">
        <f t="shared" si="13"/>
        <v>0</v>
      </c>
      <c r="R26" s="6">
        <f t="shared" si="13"/>
        <v>0</v>
      </c>
      <c r="S26" s="6">
        <f t="shared" si="13"/>
        <v>0</v>
      </c>
      <c r="T26" s="6">
        <f t="shared" si="13"/>
        <v>0</v>
      </c>
      <c r="U26" s="6">
        <f t="shared" si="13"/>
        <v>0</v>
      </c>
      <c r="V26" s="6">
        <f t="shared" si="13"/>
        <v>0</v>
      </c>
    </row>
    <row r="28" spans="1:22" x14ac:dyDescent="0.45">
      <c r="A28" s="1" t="s">
        <v>15</v>
      </c>
    </row>
    <row r="29" spans="1:22" x14ac:dyDescent="0.45">
      <c r="A29" s="5" t="s">
        <v>9</v>
      </c>
      <c r="B29" s="5">
        <v>0</v>
      </c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  <c r="O29" s="5">
        <v>13</v>
      </c>
      <c r="P29" s="5">
        <v>14</v>
      </c>
      <c r="Q29" s="5">
        <v>15</v>
      </c>
      <c r="R29" s="5">
        <v>16</v>
      </c>
      <c r="S29" s="5">
        <v>17</v>
      </c>
      <c r="T29" s="5">
        <v>18</v>
      </c>
      <c r="U29" s="5">
        <v>19</v>
      </c>
      <c r="V29" s="5">
        <v>20</v>
      </c>
    </row>
    <row r="30" spans="1:22" x14ac:dyDescent="0.45">
      <c r="A30" t="s">
        <v>5</v>
      </c>
      <c r="C30" s="2">
        <f>C23</f>
        <v>0</v>
      </c>
      <c r="D30" s="2">
        <f t="shared" ref="D30:V30" si="14">D23</f>
        <v>0</v>
      </c>
      <c r="E30" s="2">
        <f t="shared" si="14"/>
        <v>0</v>
      </c>
      <c r="F30" s="2">
        <f t="shared" si="14"/>
        <v>0</v>
      </c>
      <c r="G30" s="2">
        <f t="shared" si="14"/>
        <v>0</v>
      </c>
      <c r="H30" s="2">
        <f t="shared" si="14"/>
        <v>0</v>
      </c>
      <c r="I30" s="2">
        <f t="shared" si="14"/>
        <v>0</v>
      </c>
      <c r="J30" s="2">
        <f t="shared" si="14"/>
        <v>0</v>
      </c>
      <c r="K30" s="2">
        <f t="shared" si="14"/>
        <v>0</v>
      </c>
      <c r="L30" s="2">
        <f t="shared" si="14"/>
        <v>0</v>
      </c>
      <c r="M30" s="2">
        <f t="shared" si="14"/>
        <v>0</v>
      </c>
      <c r="N30" s="2">
        <f t="shared" si="14"/>
        <v>0</v>
      </c>
      <c r="O30" s="2">
        <f t="shared" si="14"/>
        <v>0</v>
      </c>
      <c r="P30" s="2">
        <f t="shared" si="14"/>
        <v>0</v>
      </c>
      <c r="Q30" s="2">
        <f t="shared" si="14"/>
        <v>0</v>
      </c>
      <c r="R30" s="2">
        <f t="shared" si="14"/>
        <v>0</v>
      </c>
      <c r="S30" s="2">
        <f t="shared" si="14"/>
        <v>0</v>
      </c>
      <c r="T30" s="2">
        <f t="shared" si="14"/>
        <v>0</v>
      </c>
      <c r="U30" s="2">
        <f t="shared" si="14"/>
        <v>0</v>
      </c>
      <c r="V30" s="2">
        <f t="shared" si="14"/>
        <v>0</v>
      </c>
    </row>
    <row r="31" spans="1:22" x14ac:dyDescent="0.45">
      <c r="A31" t="s">
        <v>91</v>
      </c>
      <c r="C31" s="2">
        <f>C24+C26</f>
        <v>1200</v>
      </c>
      <c r="D31" s="2">
        <f t="shared" ref="D31:V31" si="15">D24+D26</f>
        <v>1200</v>
      </c>
      <c r="E31" s="2">
        <f t="shared" si="15"/>
        <v>1323</v>
      </c>
      <c r="F31" s="2">
        <f t="shared" si="15"/>
        <v>1323</v>
      </c>
      <c r="G31" s="2">
        <f t="shared" si="15"/>
        <v>1458.6075000000001</v>
      </c>
      <c r="H31" s="2">
        <f t="shared" si="15"/>
        <v>1458.6075000000001</v>
      </c>
      <c r="I31" s="2">
        <f t="shared" si="15"/>
        <v>1608.1147687499999</v>
      </c>
      <c r="J31" s="2">
        <f t="shared" si="15"/>
        <v>1608.1147687499999</v>
      </c>
      <c r="K31" s="2">
        <f t="shared" si="15"/>
        <v>1772.946532546875</v>
      </c>
      <c r="L31" s="2">
        <f t="shared" si="15"/>
        <v>1772.946532546875</v>
      </c>
      <c r="M31" s="2">
        <f t="shared" si="15"/>
        <v>1954.6735521329299</v>
      </c>
      <c r="N31" s="2">
        <f t="shared" si="15"/>
        <v>1954.6735521329299</v>
      </c>
      <c r="O31" s="2">
        <f t="shared" si="15"/>
        <v>2155.0275912265552</v>
      </c>
      <c r="P31" s="2">
        <f t="shared" si="15"/>
        <v>2155.0275912265552</v>
      </c>
      <c r="Q31" s="2">
        <f t="shared" si="15"/>
        <v>2375.9179193272766</v>
      </c>
      <c r="R31" s="2">
        <f t="shared" si="15"/>
        <v>2375.9179193272766</v>
      </c>
      <c r="S31" s="2">
        <f t="shared" si="15"/>
        <v>2619.4495060583231</v>
      </c>
      <c r="T31" s="2">
        <f t="shared" si="15"/>
        <v>2619.4495060583231</v>
      </c>
      <c r="U31" s="2">
        <f t="shared" si="15"/>
        <v>2887.9430804293015</v>
      </c>
      <c r="V31" s="2">
        <f t="shared" si="15"/>
        <v>2887.9430804293015</v>
      </c>
    </row>
    <row r="32" spans="1:22" x14ac:dyDescent="0.45">
      <c r="A32" t="s">
        <v>70</v>
      </c>
      <c r="C32" s="2">
        <f>C25</f>
        <v>500</v>
      </c>
      <c r="D32" s="2">
        <f t="shared" ref="D32:V32" si="16">D25</f>
        <v>500</v>
      </c>
      <c r="E32" s="2">
        <f t="shared" si="16"/>
        <v>500</v>
      </c>
      <c r="F32" s="2">
        <f t="shared" si="16"/>
        <v>500</v>
      </c>
      <c r="G32" s="2">
        <f t="shared" si="16"/>
        <v>500</v>
      </c>
      <c r="H32" s="2">
        <f t="shared" si="16"/>
        <v>500</v>
      </c>
      <c r="I32" s="2">
        <f t="shared" si="16"/>
        <v>500</v>
      </c>
      <c r="J32" s="2">
        <f t="shared" si="16"/>
        <v>500</v>
      </c>
      <c r="K32" s="2">
        <f t="shared" si="16"/>
        <v>500</v>
      </c>
      <c r="L32" s="2">
        <f t="shared" si="16"/>
        <v>500</v>
      </c>
      <c r="M32" s="2">
        <f t="shared" si="16"/>
        <v>500</v>
      </c>
      <c r="N32" s="2">
        <f t="shared" si="16"/>
        <v>500</v>
      </c>
      <c r="O32" s="2">
        <f t="shared" si="16"/>
        <v>500</v>
      </c>
      <c r="P32" s="2">
        <f t="shared" si="16"/>
        <v>500</v>
      </c>
      <c r="Q32" s="2">
        <f t="shared" si="16"/>
        <v>500</v>
      </c>
      <c r="R32" s="2">
        <f t="shared" si="16"/>
        <v>500</v>
      </c>
      <c r="S32" s="2">
        <f t="shared" si="16"/>
        <v>500</v>
      </c>
      <c r="T32" s="2">
        <f t="shared" si="16"/>
        <v>500</v>
      </c>
      <c r="U32" s="2">
        <f t="shared" si="16"/>
        <v>500</v>
      </c>
      <c r="V32" s="2">
        <f t="shared" si="16"/>
        <v>500</v>
      </c>
    </row>
    <row r="33" spans="1:22" x14ac:dyDescent="0.45">
      <c r="A33" t="s">
        <v>71</v>
      </c>
      <c r="C33" s="2">
        <f>($B$8+$B$9)/$G$13</f>
        <v>2500</v>
      </c>
      <c r="D33" s="2">
        <f t="shared" ref="D33:V33" si="17">($B$8+$B$9)/$G$13</f>
        <v>2500</v>
      </c>
      <c r="E33" s="2">
        <f t="shared" si="17"/>
        <v>2500</v>
      </c>
      <c r="F33" s="2">
        <f t="shared" si="17"/>
        <v>2500</v>
      </c>
      <c r="G33" s="2">
        <f t="shared" si="17"/>
        <v>2500</v>
      </c>
      <c r="H33" s="2">
        <f t="shared" si="17"/>
        <v>2500</v>
      </c>
      <c r="I33" s="2">
        <f t="shared" si="17"/>
        <v>2500</v>
      </c>
      <c r="J33" s="2">
        <f t="shared" si="17"/>
        <v>2500</v>
      </c>
      <c r="K33" s="2">
        <f t="shared" si="17"/>
        <v>2500</v>
      </c>
      <c r="L33" s="2">
        <f t="shared" si="17"/>
        <v>2500</v>
      </c>
      <c r="M33" s="2">
        <f t="shared" si="17"/>
        <v>2500</v>
      </c>
      <c r="N33" s="2">
        <f t="shared" si="17"/>
        <v>2500</v>
      </c>
      <c r="O33" s="2">
        <f t="shared" si="17"/>
        <v>2500</v>
      </c>
      <c r="P33" s="2">
        <f t="shared" si="17"/>
        <v>2500</v>
      </c>
      <c r="Q33" s="2">
        <f t="shared" si="17"/>
        <v>2500</v>
      </c>
      <c r="R33" s="2">
        <f t="shared" si="17"/>
        <v>2500</v>
      </c>
      <c r="S33" s="2">
        <f t="shared" si="17"/>
        <v>2500</v>
      </c>
      <c r="T33" s="2">
        <f t="shared" si="17"/>
        <v>2500</v>
      </c>
      <c r="U33" s="2">
        <f t="shared" si="17"/>
        <v>2500</v>
      </c>
      <c r="V33" s="2">
        <f t="shared" si="17"/>
        <v>2500</v>
      </c>
    </row>
    <row r="34" spans="1:22" x14ac:dyDescent="0.45">
      <c r="A34" t="s">
        <v>16</v>
      </c>
      <c r="C34" s="2">
        <f>C30-SUM(C31:C33)</f>
        <v>-4200</v>
      </c>
      <c r="D34" s="2">
        <f t="shared" ref="D34:V34" si="18">D30-SUM(D31:D33)</f>
        <v>-4200</v>
      </c>
      <c r="E34" s="2">
        <f t="shared" si="18"/>
        <v>-4323</v>
      </c>
      <c r="F34" s="2">
        <f t="shared" si="18"/>
        <v>-4323</v>
      </c>
      <c r="G34" s="2">
        <f t="shared" si="18"/>
        <v>-4458.6075000000001</v>
      </c>
      <c r="H34" s="2">
        <f t="shared" si="18"/>
        <v>-4458.6075000000001</v>
      </c>
      <c r="I34" s="2">
        <f t="shared" si="18"/>
        <v>-4608.1147687499997</v>
      </c>
      <c r="J34" s="2">
        <f t="shared" si="18"/>
        <v>-4608.1147687499997</v>
      </c>
      <c r="K34" s="2">
        <f t="shared" si="18"/>
        <v>-4772.9465325468755</v>
      </c>
      <c r="L34" s="2">
        <f t="shared" si="18"/>
        <v>-4772.9465325468755</v>
      </c>
      <c r="M34" s="2">
        <f t="shared" si="18"/>
        <v>-4954.6735521329301</v>
      </c>
      <c r="N34" s="2">
        <f t="shared" si="18"/>
        <v>-4954.6735521329301</v>
      </c>
      <c r="O34" s="2">
        <f t="shared" si="18"/>
        <v>-5155.0275912265552</v>
      </c>
      <c r="P34" s="2">
        <f t="shared" si="18"/>
        <v>-5155.0275912265552</v>
      </c>
      <c r="Q34" s="2">
        <f t="shared" si="18"/>
        <v>-5375.9179193272766</v>
      </c>
      <c r="R34" s="2">
        <f t="shared" si="18"/>
        <v>-5375.9179193272766</v>
      </c>
      <c r="S34" s="2">
        <f t="shared" si="18"/>
        <v>-5619.4495060583231</v>
      </c>
      <c r="T34" s="2">
        <f t="shared" si="18"/>
        <v>-5619.4495060583231</v>
      </c>
      <c r="U34" s="2">
        <f t="shared" si="18"/>
        <v>-5887.9430804293015</v>
      </c>
      <c r="V34" s="2">
        <f t="shared" si="18"/>
        <v>-5887.9430804293015</v>
      </c>
    </row>
    <row r="35" spans="1:22" x14ac:dyDescent="0.45">
      <c r="A35" t="s">
        <v>17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45">
      <c r="A36" t="s">
        <v>19</v>
      </c>
      <c r="C36" s="2">
        <f>C34-C35</f>
        <v>-4200</v>
      </c>
      <c r="D36" s="2">
        <f t="shared" ref="D36:V36" si="19">D34-D35</f>
        <v>-4200</v>
      </c>
      <c r="E36" s="2">
        <f t="shared" si="19"/>
        <v>-4323</v>
      </c>
      <c r="F36" s="2">
        <f t="shared" si="19"/>
        <v>-4323</v>
      </c>
      <c r="G36" s="2">
        <f t="shared" si="19"/>
        <v>-4458.6075000000001</v>
      </c>
      <c r="H36" s="2">
        <f t="shared" si="19"/>
        <v>-4458.6075000000001</v>
      </c>
      <c r="I36" s="2">
        <f t="shared" si="19"/>
        <v>-4608.1147687499997</v>
      </c>
      <c r="J36" s="2">
        <f t="shared" si="19"/>
        <v>-4608.1147687499997</v>
      </c>
      <c r="K36" s="2">
        <f t="shared" si="19"/>
        <v>-4772.9465325468755</v>
      </c>
      <c r="L36" s="2">
        <f t="shared" si="19"/>
        <v>-4772.9465325468755</v>
      </c>
      <c r="M36" s="2">
        <f t="shared" si="19"/>
        <v>-4954.6735521329301</v>
      </c>
      <c r="N36" s="2">
        <f t="shared" si="19"/>
        <v>-4954.6735521329301</v>
      </c>
      <c r="O36" s="2">
        <f t="shared" si="19"/>
        <v>-5155.0275912265552</v>
      </c>
      <c r="P36" s="2">
        <f t="shared" si="19"/>
        <v>-5155.0275912265552</v>
      </c>
      <c r="Q36" s="2">
        <f t="shared" si="19"/>
        <v>-5375.9179193272766</v>
      </c>
      <c r="R36" s="2">
        <f t="shared" si="19"/>
        <v>-5375.9179193272766</v>
      </c>
      <c r="S36" s="2">
        <f t="shared" si="19"/>
        <v>-5619.4495060583231</v>
      </c>
      <c r="T36" s="2">
        <f t="shared" si="19"/>
        <v>-5619.4495060583231</v>
      </c>
      <c r="U36" s="2">
        <f t="shared" si="19"/>
        <v>-5887.9430804293015</v>
      </c>
      <c r="V36" s="2">
        <f t="shared" si="19"/>
        <v>-5887.9430804293015</v>
      </c>
    </row>
    <row r="37" spans="1:22" x14ac:dyDescent="0.45">
      <c r="A37" s="4" t="s">
        <v>7</v>
      </c>
      <c r="B37" s="4"/>
      <c r="C37" s="6">
        <f>C36*$G$8</f>
        <v>-840</v>
      </c>
      <c r="D37" s="6">
        <f t="shared" ref="D37:V37" si="20">D36*$G$8</f>
        <v>-840</v>
      </c>
      <c r="E37" s="6">
        <f t="shared" si="20"/>
        <v>-864.6</v>
      </c>
      <c r="F37" s="6">
        <f t="shared" si="20"/>
        <v>-864.6</v>
      </c>
      <c r="G37" s="6">
        <f t="shared" si="20"/>
        <v>-891.72150000000011</v>
      </c>
      <c r="H37" s="6">
        <f t="shared" si="20"/>
        <v>-891.72150000000011</v>
      </c>
      <c r="I37" s="6">
        <f t="shared" si="20"/>
        <v>-921.62295374999997</v>
      </c>
      <c r="J37" s="6">
        <f t="shared" si="20"/>
        <v>-921.62295374999997</v>
      </c>
      <c r="K37" s="6">
        <f t="shared" si="20"/>
        <v>-954.58930650937509</v>
      </c>
      <c r="L37" s="6">
        <f t="shared" si="20"/>
        <v>-954.58930650937509</v>
      </c>
      <c r="M37" s="6">
        <f t="shared" si="20"/>
        <v>-990.93471042658609</v>
      </c>
      <c r="N37" s="6">
        <f t="shared" si="20"/>
        <v>-990.93471042658609</v>
      </c>
      <c r="O37" s="6">
        <f t="shared" si="20"/>
        <v>-1031.0055182453111</v>
      </c>
      <c r="P37" s="6">
        <f t="shared" si="20"/>
        <v>-1031.0055182453111</v>
      </c>
      <c r="Q37" s="6">
        <f t="shared" si="20"/>
        <v>-1075.1835838654554</v>
      </c>
      <c r="R37" s="6">
        <f t="shared" si="20"/>
        <v>-1075.1835838654554</v>
      </c>
      <c r="S37" s="6">
        <f t="shared" si="20"/>
        <v>-1123.8899012116647</v>
      </c>
      <c r="T37" s="6">
        <f t="shared" si="20"/>
        <v>-1123.8899012116647</v>
      </c>
      <c r="U37" s="6">
        <f t="shared" si="20"/>
        <v>-1177.5886160858604</v>
      </c>
      <c r="V37" s="6">
        <f t="shared" si="20"/>
        <v>-1177.5886160858604</v>
      </c>
    </row>
    <row r="39" spans="1:22" x14ac:dyDescent="0.45">
      <c r="A39" s="1" t="s">
        <v>24</v>
      </c>
    </row>
    <row r="40" spans="1:22" x14ac:dyDescent="0.45">
      <c r="A40" s="5" t="s">
        <v>9</v>
      </c>
      <c r="B40" s="5">
        <v>0</v>
      </c>
      <c r="C40" s="5">
        <v>1</v>
      </c>
      <c r="D40" s="5">
        <v>2</v>
      </c>
      <c r="E40" s="5">
        <v>3</v>
      </c>
      <c r="F40" s="5">
        <v>4</v>
      </c>
      <c r="G40" s="5">
        <v>5</v>
      </c>
      <c r="H40" s="5">
        <v>6</v>
      </c>
      <c r="I40" s="5">
        <v>7</v>
      </c>
      <c r="J40" s="5">
        <v>8</v>
      </c>
      <c r="K40" s="5">
        <v>9</v>
      </c>
      <c r="L40" s="5">
        <v>10</v>
      </c>
      <c r="M40" s="5">
        <v>11</v>
      </c>
      <c r="N40" s="5">
        <v>12</v>
      </c>
      <c r="O40" s="5">
        <v>13</v>
      </c>
      <c r="P40" s="5">
        <v>14</v>
      </c>
      <c r="Q40" s="5">
        <v>15</v>
      </c>
      <c r="R40" s="5">
        <v>16</v>
      </c>
      <c r="S40" s="5">
        <v>17</v>
      </c>
      <c r="T40" s="5">
        <v>18</v>
      </c>
      <c r="U40" s="5">
        <v>19</v>
      </c>
      <c r="V40" s="5">
        <v>20</v>
      </c>
    </row>
    <row r="41" spans="1:22" x14ac:dyDescent="0.45">
      <c r="A41" t="s">
        <v>21</v>
      </c>
      <c r="C41" s="2">
        <f>C23*$D$12</f>
        <v>0</v>
      </c>
      <c r="D41" s="2">
        <f t="shared" ref="D41:U41" si="21">D23*$D$12</f>
        <v>0</v>
      </c>
      <c r="E41" s="2">
        <f t="shared" si="21"/>
        <v>0</v>
      </c>
      <c r="F41" s="2">
        <f t="shared" si="21"/>
        <v>0</v>
      </c>
      <c r="G41" s="2">
        <f t="shared" si="21"/>
        <v>0</v>
      </c>
      <c r="H41" s="2">
        <f t="shared" si="21"/>
        <v>0</v>
      </c>
      <c r="I41" s="2">
        <f t="shared" si="21"/>
        <v>0</v>
      </c>
      <c r="J41" s="2">
        <f t="shared" si="21"/>
        <v>0</v>
      </c>
      <c r="K41" s="2">
        <f t="shared" si="21"/>
        <v>0</v>
      </c>
      <c r="L41" s="2">
        <f t="shared" si="21"/>
        <v>0</v>
      </c>
      <c r="M41" s="2">
        <f t="shared" si="21"/>
        <v>0</v>
      </c>
      <c r="N41" s="2">
        <f t="shared" si="21"/>
        <v>0</v>
      </c>
      <c r="O41" s="2">
        <f t="shared" si="21"/>
        <v>0</v>
      </c>
      <c r="P41" s="2">
        <f t="shared" si="21"/>
        <v>0</v>
      </c>
      <c r="Q41" s="2">
        <f t="shared" si="21"/>
        <v>0</v>
      </c>
      <c r="R41" s="2">
        <f t="shared" si="21"/>
        <v>0</v>
      </c>
      <c r="S41" s="2">
        <f t="shared" si="21"/>
        <v>0</v>
      </c>
      <c r="T41" s="2">
        <f t="shared" si="21"/>
        <v>0</v>
      </c>
      <c r="U41" s="2">
        <f t="shared" si="21"/>
        <v>0</v>
      </c>
      <c r="V41" s="2"/>
    </row>
    <row r="42" spans="1:22" x14ac:dyDescent="0.45">
      <c r="A42" t="s">
        <v>55</v>
      </c>
      <c r="C42" s="2">
        <f>$D$13*C26</f>
        <v>0</v>
      </c>
      <c r="D42" s="2">
        <f t="shared" ref="D42:U42" si="22">$D$13*D26</f>
        <v>0</v>
      </c>
      <c r="E42" s="2">
        <f t="shared" si="22"/>
        <v>0</v>
      </c>
      <c r="F42" s="2">
        <f t="shared" si="22"/>
        <v>0</v>
      </c>
      <c r="G42" s="2">
        <f t="shared" si="22"/>
        <v>0</v>
      </c>
      <c r="H42" s="2">
        <f t="shared" si="22"/>
        <v>0</v>
      </c>
      <c r="I42" s="2">
        <f t="shared" si="22"/>
        <v>0</v>
      </c>
      <c r="J42" s="2">
        <f t="shared" si="22"/>
        <v>0</v>
      </c>
      <c r="K42" s="2">
        <f t="shared" si="22"/>
        <v>0</v>
      </c>
      <c r="L42" s="2">
        <f t="shared" si="22"/>
        <v>0</v>
      </c>
      <c r="M42" s="2">
        <f t="shared" si="22"/>
        <v>0</v>
      </c>
      <c r="N42" s="2">
        <f t="shared" si="22"/>
        <v>0</v>
      </c>
      <c r="O42" s="2">
        <f t="shared" si="22"/>
        <v>0</v>
      </c>
      <c r="P42" s="2">
        <f t="shared" si="22"/>
        <v>0</v>
      </c>
      <c r="Q42" s="2">
        <f t="shared" si="22"/>
        <v>0</v>
      </c>
      <c r="R42" s="2">
        <f t="shared" si="22"/>
        <v>0</v>
      </c>
      <c r="S42" s="2">
        <f t="shared" si="22"/>
        <v>0</v>
      </c>
      <c r="T42" s="2">
        <f t="shared" si="22"/>
        <v>0</v>
      </c>
      <c r="U42" s="2">
        <f t="shared" si="22"/>
        <v>0</v>
      </c>
      <c r="V42" s="2"/>
    </row>
    <row r="43" spans="1:22" x14ac:dyDescent="0.45">
      <c r="A43" t="s">
        <v>23</v>
      </c>
      <c r="C43" s="2">
        <f>C30*$D$14</f>
        <v>0</v>
      </c>
      <c r="D43" s="2">
        <f t="shared" ref="D43:U43" si="23">D30*$D$14</f>
        <v>0</v>
      </c>
      <c r="E43" s="2">
        <f t="shared" si="23"/>
        <v>0</v>
      </c>
      <c r="F43" s="2">
        <f t="shared" si="23"/>
        <v>0</v>
      </c>
      <c r="G43" s="2">
        <f t="shared" si="23"/>
        <v>0</v>
      </c>
      <c r="H43" s="2">
        <f t="shared" si="23"/>
        <v>0</v>
      </c>
      <c r="I43" s="2">
        <f t="shared" si="23"/>
        <v>0</v>
      </c>
      <c r="J43" s="2">
        <f t="shared" si="23"/>
        <v>0</v>
      </c>
      <c r="K43" s="2">
        <f t="shared" si="23"/>
        <v>0</v>
      </c>
      <c r="L43" s="2">
        <f t="shared" si="23"/>
        <v>0</v>
      </c>
      <c r="M43" s="2">
        <f t="shared" si="23"/>
        <v>0</v>
      </c>
      <c r="N43" s="2">
        <f t="shared" si="23"/>
        <v>0</v>
      </c>
      <c r="O43" s="2">
        <f t="shared" si="23"/>
        <v>0</v>
      </c>
      <c r="P43" s="2">
        <f t="shared" si="23"/>
        <v>0</v>
      </c>
      <c r="Q43" s="2">
        <f t="shared" si="23"/>
        <v>0</v>
      </c>
      <c r="R43" s="2">
        <f t="shared" si="23"/>
        <v>0</v>
      </c>
      <c r="S43" s="2">
        <f t="shared" si="23"/>
        <v>0</v>
      </c>
      <c r="T43" s="2">
        <f t="shared" si="23"/>
        <v>0</v>
      </c>
      <c r="U43" s="2">
        <f t="shared" si="23"/>
        <v>0</v>
      </c>
      <c r="V43" s="2"/>
    </row>
    <row r="44" spans="1:22" ht="14.65" x14ac:dyDescent="0.45">
      <c r="A44" s="8" t="s">
        <v>25</v>
      </c>
      <c r="C44" s="2">
        <f>B41-C41</f>
        <v>0</v>
      </c>
      <c r="D44" s="2">
        <f t="shared" ref="D44:V45" si="24">C41-D41</f>
        <v>0</v>
      </c>
      <c r="E44" s="2">
        <f t="shared" si="24"/>
        <v>0</v>
      </c>
      <c r="F44" s="2">
        <f t="shared" si="24"/>
        <v>0</v>
      </c>
      <c r="G44" s="2">
        <f t="shared" si="24"/>
        <v>0</v>
      </c>
      <c r="H44" s="2">
        <f t="shared" si="24"/>
        <v>0</v>
      </c>
      <c r="I44" s="2">
        <f t="shared" si="24"/>
        <v>0</v>
      </c>
      <c r="J44" s="2">
        <f t="shared" si="24"/>
        <v>0</v>
      </c>
      <c r="K44" s="2">
        <f t="shared" si="24"/>
        <v>0</v>
      </c>
      <c r="L44" s="2">
        <f t="shared" si="24"/>
        <v>0</v>
      </c>
      <c r="M44" s="2">
        <f t="shared" si="24"/>
        <v>0</v>
      </c>
      <c r="N44" s="2">
        <f t="shared" si="24"/>
        <v>0</v>
      </c>
      <c r="O44" s="2">
        <f t="shared" si="24"/>
        <v>0</v>
      </c>
      <c r="P44" s="2">
        <f t="shared" si="24"/>
        <v>0</v>
      </c>
      <c r="Q44" s="2">
        <f t="shared" si="24"/>
        <v>0</v>
      </c>
      <c r="R44" s="2">
        <f t="shared" si="24"/>
        <v>0</v>
      </c>
      <c r="S44" s="2">
        <f t="shared" si="24"/>
        <v>0</v>
      </c>
      <c r="T44" s="2">
        <f t="shared" si="24"/>
        <v>0</v>
      </c>
      <c r="U44" s="2">
        <f t="shared" si="24"/>
        <v>0</v>
      </c>
      <c r="V44" s="2">
        <f t="shared" si="24"/>
        <v>0</v>
      </c>
    </row>
    <row r="45" spans="1:22" ht="14.65" x14ac:dyDescent="0.45">
      <c r="A45" s="8" t="s">
        <v>59</v>
      </c>
      <c r="C45" s="2">
        <f>B42-C42</f>
        <v>0</v>
      </c>
      <c r="D45" s="2">
        <f t="shared" si="24"/>
        <v>0</v>
      </c>
      <c r="E45" s="2">
        <f t="shared" si="24"/>
        <v>0</v>
      </c>
      <c r="F45" s="2">
        <f t="shared" si="24"/>
        <v>0</v>
      </c>
      <c r="G45" s="2">
        <f t="shared" si="24"/>
        <v>0</v>
      </c>
      <c r="H45" s="2">
        <f t="shared" si="24"/>
        <v>0</v>
      </c>
      <c r="I45" s="2">
        <f t="shared" si="24"/>
        <v>0</v>
      </c>
      <c r="J45" s="2">
        <f t="shared" si="24"/>
        <v>0</v>
      </c>
      <c r="K45" s="2">
        <f t="shared" si="24"/>
        <v>0</v>
      </c>
      <c r="L45" s="2">
        <f t="shared" si="24"/>
        <v>0</v>
      </c>
      <c r="M45" s="2">
        <f t="shared" si="24"/>
        <v>0</v>
      </c>
      <c r="N45" s="2">
        <f t="shared" si="24"/>
        <v>0</v>
      </c>
      <c r="O45" s="2">
        <f t="shared" si="24"/>
        <v>0</v>
      </c>
      <c r="P45" s="2">
        <f t="shared" si="24"/>
        <v>0</v>
      </c>
      <c r="Q45" s="2">
        <f t="shared" si="24"/>
        <v>0</v>
      </c>
      <c r="R45" s="2">
        <f t="shared" si="24"/>
        <v>0</v>
      </c>
      <c r="S45" s="2">
        <f t="shared" si="24"/>
        <v>0</v>
      </c>
      <c r="T45" s="2">
        <f t="shared" si="24"/>
        <v>0</v>
      </c>
      <c r="U45" s="2">
        <f t="shared" si="24"/>
        <v>0</v>
      </c>
      <c r="V45" s="2">
        <f t="shared" si="24"/>
        <v>0</v>
      </c>
    </row>
    <row r="46" spans="1:22" ht="14.65" x14ac:dyDescent="0.45">
      <c r="A46" s="9" t="s">
        <v>26</v>
      </c>
      <c r="B46" s="4"/>
      <c r="C46" s="6">
        <f>C43-B43</f>
        <v>0</v>
      </c>
      <c r="D46" s="6">
        <f t="shared" ref="D46:V46" si="25">D43-C43</f>
        <v>0</v>
      </c>
      <c r="E46" s="6">
        <f t="shared" si="25"/>
        <v>0</v>
      </c>
      <c r="F46" s="6">
        <f t="shared" si="25"/>
        <v>0</v>
      </c>
      <c r="G46" s="6">
        <f t="shared" si="25"/>
        <v>0</v>
      </c>
      <c r="H46" s="6">
        <f t="shared" si="25"/>
        <v>0</v>
      </c>
      <c r="I46" s="6">
        <f t="shared" si="25"/>
        <v>0</v>
      </c>
      <c r="J46" s="6">
        <f t="shared" si="25"/>
        <v>0</v>
      </c>
      <c r="K46" s="6">
        <f t="shared" si="25"/>
        <v>0</v>
      </c>
      <c r="L46" s="6">
        <f t="shared" si="25"/>
        <v>0</v>
      </c>
      <c r="M46" s="6">
        <f t="shared" si="25"/>
        <v>0</v>
      </c>
      <c r="N46" s="6">
        <f t="shared" si="25"/>
        <v>0</v>
      </c>
      <c r="O46" s="6">
        <f t="shared" si="25"/>
        <v>0</v>
      </c>
      <c r="P46" s="6">
        <f t="shared" si="25"/>
        <v>0</v>
      </c>
      <c r="Q46" s="6">
        <f t="shared" si="25"/>
        <v>0</v>
      </c>
      <c r="R46" s="6">
        <f t="shared" si="25"/>
        <v>0</v>
      </c>
      <c r="S46" s="6">
        <f t="shared" si="25"/>
        <v>0</v>
      </c>
      <c r="T46" s="6">
        <f t="shared" si="25"/>
        <v>0</v>
      </c>
      <c r="U46" s="6">
        <f t="shared" si="25"/>
        <v>0</v>
      </c>
      <c r="V46" s="6">
        <f t="shared" si="25"/>
        <v>0</v>
      </c>
    </row>
    <row r="48" spans="1:22" x14ac:dyDescent="0.45">
      <c r="A48" s="1" t="s">
        <v>27</v>
      </c>
    </row>
    <row r="49" spans="1:22" x14ac:dyDescent="0.45">
      <c r="A49" s="5" t="s">
        <v>9</v>
      </c>
      <c r="B49" s="5">
        <v>0</v>
      </c>
      <c r="C49" s="5">
        <v>1</v>
      </c>
      <c r="D49" s="5">
        <v>2</v>
      </c>
      <c r="E49" s="5">
        <v>3</v>
      </c>
      <c r="F49" s="5">
        <v>4</v>
      </c>
      <c r="G49" s="5">
        <v>5</v>
      </c>
      <c r="H49" s="5">
        <v>6</v>
      </c>
      <c r="I49" s="5">
        <v>7</v>
      </c>
      <c r="J49" s="5">
        <v>8</v>
      </c>
      <c r="K49" s="5">
        <v>9</v>
      </c>
      <c r="L49" s="5">
        <v>10</v>
      </c>
      <c r="M49" s="5">
        <v>11</v>
      </c>
      <c r="N49" s="5">
        <v>12</v>
      </c>
      <c r="O49" s="5">
        <v>13</v>
      </c>
      <c r="P49" s="5">
        <v>14</v>
      </c>
      <c r="Q49" s="5">
        <v>15</v>
      </c>
      <c r="R49" s="5">
        <v>16</v>
      </c>
      <c r="S49" s="5">
        <v>17</v>
      </c>
      <c r="T49" s="5">
        <v>18</v>
      </c>
      <c r="U49" s="5">
        <v>19</v>
      </c>
      <c r="V49" s="5">
        <v>20</v>
      </c>
    </row>
    <row r="50" spans="1:22" x14ac:dyDescent="0.45">
      <c r="A50" s="1" t="s">
        <v>28</v>
      </c>
    </row>
    <row r="51" spans="1:22" x14ac:dyDescent="0.45">
      <c r="A51" t="s">
        <v>29</v>
      </c>
      <c r="C51" s="2">
        <f>C23</f>
        <v>0</v>
      </c>
      <c r="D51" s="2">
        <f t="shared" ref="D51:V51" si="26">D23</f>
        <v>0</v>
      </c>
      <c r="E51" s="2">
        <f t="shared" si="26"/>
        <v>0</v>
      </c>
      <c r="F51" s="2">
        <f t="shared" si="26"/>
        <v>0</v>
      </c>
      <c r="G51" s="2">
        <f t="shared" si="26"/>
        <v>0</v>
      </c>
      <c r="H51" s="2">
        <f t="shared" si="26"/>
        <v>0</v>
      </c>
      <c r="I51" s="2">
        <f t="shared" si="26"/>
        <v>0</v>
      </c>
      <c r="J51" s="2">
        <f t="shared" si="26"/>
        <v>0</v>
      </c>
      <c r="K51" s="2">
        <f t="shared" si="26"/>
        <v>0</v>
      </c>
      <c r="L51" s="2">
        <f t="shared" si="26"/>
        <v>0</v>
      </c>
      <c r="M51" s="2">
        <f t="shared" si="26"/>
        <v>0</v>
      </c>
      <c r="N51" s="2">
        <f t="shared" si="26"/>
        <v>0</v>
      </c>
      <c r="O51" s="2">
        <f t="shared" si="26"/>
        <v>0</v>
      </c>
      <c r="P51" s="2">
        <f t="shared" si="26"/>
        <v>0</v>
      </c>
      <c r="Q51" s="2">
        <f t="shared" si="26"/>
        <v>0</v>
      </c>
      <c r="R51" s="2">
        <f t="shared" si="26"/>
        <v>0</v>
      </c>
      <c r="S51" s="2">
        <f t="shared" si="26"/>
        <v>0</v>
      </c>
      <c r="T51" s="2">
        <f t="shared" si="26"/>
        <v>0</v>
      </c>
      <c r="U51" s="2">
        <f t="shared" si="26"/>
        <v>0</v>
      </c>
      <c r="V51" s="2">
        <f t="shared" si="26"/>
        <v>0</v>
      </c>
    </row>
    <row r="52" spans="1:22" ht="14.65" x14ac:dyDescent="0.45">
      <c r="A52" s="8" t="s">
        <v>37</v>
      </c>
      <c r="C52" s="2">
        <f>C44</f>
        <v>0</v>
      </c>
      <c r="D52" s="2">
        <f t="shared" ref="D52:V52" si="27">D44</f>
        <v>0</v>
      </c>
      <c r="E52" s="2">
        <f t="shared" si="27"/>
        <v>0</v>
      </c>
      <c r="F52" s="2">
        <f t="shared" si="27"/>
        <v>0</v>
      </c>
      <c r="G52" s="2">
        <f t="shared" si="27"/>
        <v>0</v>
      </c>
      <c r="H52" s="2">
        <f t="shared" si="27"/>
        <v>0</v>
      </c>
      <c r="I52" s="2">
        <f t="shared" si="27"/>
        <v>0</v>
      </c>
      <c r="J52" s="2">
        <f t="shared" si="27"/>
        <v>0</v>
      </c>
      <c r="K52" s="2">
        <f t="shared" si="27"/>
        <v>0</v>
      </c>
      <c r="L52" s="2">
        <f t="shared" si="27"/>
        <v>0</v>
      </c>
      <c r="M52" s="2">
        <f t="shared" si="27"/>
        <v>0</v>
      </c>
      <c r="N52" s="2">
        <f t="shared" si="27"/>
        <v>0</v>
      </c>
      <c r="O52" s="2">
        <f t="shared" si="27"/>
        <v>0</v>
      </c>
      <c r="P52" s="2">
        <f t="shared" si="27"/>
        <v>0</v>
      </c>
      <c r="Q52" s="2">
        <f t="shared" si="27"/>
        <v>0</v>
      </c>
      <c r="R52" s="2">
        <f t="shared" si="27"/>
        <v>0</v>
      </c>
      <c r="S52" s="2">
        <f t="shared" si="27"/>
        <v>0</v>
      </c>
      <c r="T52" s="2">
        <f t="shared" si="27"/>
        <v>0</v>
      </c>
      <c r="U52" s="2">
        <f t="shared" si="27"/>
        <v>0</v>
      </c>
      <c r="V52" s="2">
        <f t="shared" si="27"/>
        <v>0</v>
      </c>
    </row>
    <row r="53" spans="1:22" x14ac:dyDescent="0.45">
      <c r="A53" s="1" t="s">
        <v>31</v>
      </c>
    </row>
    <row r="54" spans="1:22" x14ac:dyDescent="0.45">
      <c r="A54" t="s">
        <v>33</v>
      </c>
      <c r="B54">
        <f>B8</f>
        <v>30000</v>
      </c>
    </row>
    <row r="55" spans="1:22" x14ac:dyDescent="0.45">
      <c r="A55" t="s">
        <v>34</v>
      </c>
      <c r="B55">
        <f>B9</f>
        <v>20000</v>
      </c>
    </row>
    <row r="56" spans="1:22" x14ac:dyDescent="0.45">
      <c r="A56" t="s">
        <v>35</v>
      </c>
      <c r="C56" s="2">
        <f t="shared" ref="C56:V56" si="28">C24</f>
        <v>1200</v>
      </c>
      <c r="D56" s="2">
        <f t="shared" si="28"/>
        <v>1200</v>
      </c>
      <c r="E56" s="2">
        <f t="shared" si="28"/>
        <v>1323</v>
      </c>
      <c r="F56" s="2">
        <f t="shared" si="28"/>
        <v>1323</v>
      </c>
      <c r="G56" s="2">
        <f t="shared" si="28"/>
        <v>1458.6075000000001</v>
      </c>
      <c r="H56" s="2">
        <f t="shared" si="28"/>
        <v>1458.6075000000001</v>
      </c>
      <c r="I56" s="2">
        <f t="shared" si="28"/>
        <v>1608.1147687499999</v>
      </c>
      <c r="J56" s="2">
        <f t="shared" si="28"/>
        <v>1608.1147687499999</v>
      </c>
      <c r="K56" s="2">
        <f t="shared" si="28"/>
        <v>1772.946532546875</v>
      </c>
      <c r="L56" s="2">
        <f t="shared" si="28"/>
        <v>1772.946532546875</v>
      </c>
      <c r="M56" s="2">
        <f t="shared" si="28"/>
        <v>1954.6735521329299</v>
      </c>
      <c r="N56" s="2">
        <f t="shared" si="28"/>
        <v>1954.6735521329299</v>
      </c>
      <c r="O56" s="2">
        <f t="shared" si="28"/>
        <v>2155.0275912265552</v>
      </c>
      <c r="P56" s="2">
        <f t="shared" si="28"/>
        <v>2155.0275912265552</v>
      </c>
      <c r="Q56" s="2">
        <f t="shared" si="28"/>
        <v>2375.9179193272766</v>
      </c>
      <c r="R56" s="2">
        <f t="shared" si="28"/>
        <v>2375.9179193272766</v>
      </c>
      <c r="S56" s="2">
        <f t="shared" si="28"/>
        <v>2619.4495060583231</v>
      </c>
      <c r="T56" s="2">
        <f t="shared" si="28"/>
        <v>2619.4495060583231</v>
      </c>
      <c r="U56" s="2">
        <f t="shared" si="28"/>
        <v>2887.9430804293015</v>
      </c>
      <c r="V56" s="2">
        <f t="shared" si="28"/>
        <v>2887.9430804293015</v>
      </c>
    </row>
    <row r="57" spans="1:22" s="34" customFormat="1" x14ac:dyDescent="0.45">
      <c r="A57" s="33" t="s">
        <v>77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 x14ac:dyDescent="0.45">
      <c r="A58" t="s">
        <v>36</v>
      </c>
      <c r="C58" s="2">
        <f>C26</f>
        <v>0</v>
      </c>
      <c r="D58" s="2">
        <f t="shared" ref="D58:V58" si="29">D26</f>
        <v>0</v>
      </c>
      <c r="E58" s="2">
        <f t="shared" si="29"/>
        <v>0</v>
      </c>
      <c r="F58" s="2">
        <f t="shared" si="29"/>
        <v>0</v>
      </c>
      <c r="G58" s="2">
        <f t="shared" si="29"/>
        <v>0</v>
      </c>
      <c r="H58" s="2">
        <f t="shared" si="29"/>
        <v>0</v>
      </c>
      <c r="I58" s="2">
        <f t="shared" si="29"/>
        <v>0</v>
      </c>
      <c r="J58" s="2">
        <f t="shared" si="29"/>
        <v>0</v>
      </c>
      <c r="K58" s="2">
        <f t="shared" si="29"/>
        <v>0</v>
      </c>
      <c r="L58" s="2">
        <f t="shared" si="29"/>
        <v>0</v>
      </c>
      <c r="M58" s="2">
        <f t="shared" si="29"/>
        <v>0</v>
      </c>
      <c r="N58" s="2">
        <f t="shared" si="29"/>
        <v>0</v>
      </c>
      <c r="O58" s="2">
        <f t="shared" si="29"/>
        <v>0</v>
      </c>
      <c r="P58" s="2">
        <f t="shared" si="29"/>
        <v>0</v>
      </c>
      <c r="Q58" s="2">
        <f t="shared" si="29"/>
        <v>0</v>
      </c>
      <c r="R58" s="2">
        <f t="shared" si="29"/>
        <v>0</v>
      </c>
      <c r="S58" s="2">
        <f t="shared" si="29"/>
        <v>0</v>
      </c>
      <c r="T58" s="2">
        <f t="shared" si="29"/>
        <v>0</v>
      </c>
      <c r="U58" s="2">
        <f t="shared" si="29"/>
        <v>0</v>
      </c>
      <c r="V58" s="2">
        <f t="shared" si="29"/>
        <v>0</v>
      </c>
    </row>
    <row r="59" spans="1:22" ht="14.65" x14ac:dyDescent="0.45">
      <c r="A59" s="8" t="s">
        <v>60</v>
      </c>
      <c r="C59" s="2">
        <f t="shared" ref="C59:V59" si="30">C45</f>
        <v>0</v>
      </c>
      <c r="D59" s="2">
        <f t="shared" si="30"/>
        <v>0</v>
      </c>
      <c r="E59" s="2">
        <f t="shared" si="30"/>
        <v>0</v>
      </c>
      <c r="F59" s="2">
        <f t="shared" si="30"/>
        <v>0</v>
      </c>
      <c r="G59" s="2">
        <f t="shared" si="30"/>
        <v>0</v>
      </c>
      <c r="H59" s="2">
        <f t="shared" si="30"/>
        <v>0</v>
      </c>
      <c r="I59" s="2">
        <f t="shared" si="30"/>
        <v>0</v>
      </c>
      <c r="J59" s="2">
        <f t="shared" si="30"/>
        <v>0</v>
      </c>
      <c r="K59" s="2">
        <f t="shared" si="30"/>
        <v>0</v>
      </c>
      <c r="L59" s="2">
        <f t="shared" si="30"/>
        <v>0</v>
      </c>
      <c r="M59" s="2">
        <f t="shared" si="30"/>
        <v>0</v>
      </c>
      <c r="N59" s="2">
        <f t="shared" si="30"/>
        <v>0</v>
      </c>
      <c r="O59" s="2">
        <f t="shared" si="30"/>
        <v>0</v>
      </c>
      <c r="P59" s="2">
        <f t="shared" si="30"/>
        <v>0</v>
      </c>
      <c r="Q59" s="2">
        <f t="shared" si="30"/>
        <v>0</v>
      </c>
      <c r="R59" s="2">
        <f t="shared" si="30"/>
        <v>0</v>
      </c>
      <c r="S59" s="2">
        <f t="shared" si="30"/>
        <v>0</v>
      </c>
      <c r="T59" s="2">
        <f t="shared" si="30"/>
        <v>0</v>
      </c>
      <c r="U59" s="2">
        <f t="shared" si="30"/>
        <v>0</v>
      </c>
      <c r="V59" s="2">
        <f t="shared" si="30"/>
        <v>0</v>
      </c>
    </row>
    <row r="60" spans="1:22" ht="14.65" x14ac:dyDescent="0.45">
      <c r="A60" s="8" t="s">
        <v>38</v>
      </c>
      <c r="C60" s="2">
        <f t="shared" ref="C60:V60" si="31">C46</f>
        <v>0</v>
      </c>
      <c r="D60" s="2">
        <f t="shared" si="31"/>
        <v>0</v>
      </c>
      <c r="E60" s="2">
        <f t="shared" si="31"/>
        <v>0</v>
      </c>
      <c r="F60" s="2">
        <f t="shared" si="31"/>
        <v>0</v>
      </c>
      <c r="G60" s="2">
        <f t="shared" si="31"/>
        <v>0</v>
      </c>
      <c r="H60" s="2">
        <f t="shared" si="31"/>
        <v>0</v>
      </c>
      <c r="I60" s="2">
        <f t="shared" si="31"/>
        <v>0</v>
      </c>
      <c r="J60" s="2">
        <f t="shared" si="31"/>
        <v>0</v>
      </c>
      <c r="K60" s="2">
        <f t="shared" si="31"/>
        <v>0</v>
      </c>
      <c r="L60" s="2">
        <f t="shared" si="31"/>
        <v>0</v>
      </c>
      <c r="M60" s="2">
        <f t="shared" si="31"/>
        <v>0</v>
      </c>
      <c r="N60" s="2">
        <f t="shared" si="31"/>
        <v>0</v>
      </c>
      <c r="O60" s="2">
        <f t="shared" si="31"/>
        <v>0</v>
      </c>
      <c r="P60" s="2">
        <f t="shared" si="31"/>
        <v>0</v>
      </c>
      <c r="Q60" s="2">
        <f t="shared" si="31"/>
        <v>0</v>
      </c>
      <c r="R60" s="2">
        <f t="shared" si="31"/>
        <v>0</v>
      </c>
      <c r="S60" s="2">
        <f t="shared" si="31"/>
        <v>0</v>
      </c>
      <c r="T60" s="2">
        <f t="shared" si="31"/>
        <v>0</v>
      </c>
      <c r="U60" s="2">
        <f t="shared" si="31"/>
        <v>0</v>
      </c>
      <c r="V60" s="2">
        <f t="shared" si="31"/>
        <v>0</v>
      </c>
    </row>
    <row r="61" spans="1:22" x14ac:dyDescent="0.45">
      <c r="A61" s="1" t="s">
        <v>46</v>
      </c>
      <c r="B61" s="2">
        <f t="shared" ref="B61:V61" si="32">SUM(B51:B52)-SUM(B54:B60)</f>
        <v>-50000</v>
      </c>
      <c r="C61" s="2">
        <f t="shared" si="32"/>
        <v>-1200</v>
      </c>
      <c r="D61" s="2">
        <f t="shared" si="32"/>
        <v>-1200</v>
      </c>
      <c r="E61" s="2">
        <f t="shared" si="32"/>
        <v>-1323</v>
      </c>
      <c r="F61" s="2">
        <f t="shared" si="32"/>
        <v>-1323</v>
      </c>
      <c r="G61" s="2">
        <f t="shared" si="32"/>
        <v>-1458.6075000000001</v>
      </c>
      <c r="H61" s="2">
        <f t="shared" si="32"/>
        <v>-1458.6075000000001</v>
      </c>
      <c r="I61" s="2">
        <f t="shared" si="32"/>
        <v>-1608.1147687499999</v>
      </c>
      <c r="J61" s="2">
        <f t="shared" si="32"/>
        <v>-1608.1147687499999</v>
      </c>
      <c r="K61" s="2">
        <f t="shared" si="32"/>
        <v>-1772.946532546875</v>
      </c>
      <c r="L61" s="2">
        <f t="shared" si="32"/>
        <v>-1772.946532546875</v>
      </c>
      <c r="M61" s="2">
        <f t="shared" si="32"/>
        <v>-1954.6735521329299</v>
      </c>
      <c r="N61" s="2">
        <f t="shared" si="32"/>
        <v>-1954.6735521329299</v>
      </c>
      <c r="O61" s="2">
        <f t="shared" si="32"/>
        <v>-2155.0275912265552</v>
      </c>
      <c r="P61" s="2">
        <f t="shared" si="32"/>
        <v>-2155.0275912265552</v>
      </c>
      <c r="Q61" s="2">
        <f t="shared" si="32"/>
        <v>-2375.9179193272766</v>
      </c>
      <c r="R61" s="2">
        <f t="shared" si="32"/>
        <v>-2375.9179193272766</v>
      </c>
      <c r="S61" s="2">
        <f t="shared" si="32"/>
        <v>-2619.4495060583231</v>
      </c>
      <c r="T61" s="2">
        <f t="shared" si="32"/>
        <v>-2619.4495060583231</v>
      </c>
      <c r="U61" s="2">
        <f t="shared" si="32"/>
        <v>-2887.9430804293015</v>
      </c>
      <c r="V61" s="2">
        <f t="shared" si="32"/>
        <v>-2887.9430804293015</v>
      </c>
    </row>
    <row r="62" spans="1:22" x14ac:dyDescent="0.45">
      <c r="A62" t="s">
        <v>39</v>
      </c>
      <c r="C62" s="2">
        <f t="shared" ref="C62:V62" si="33">C37</f>
        <v>-840</v>
      </c>
      <c r="D62" s="2">
        <f t="shared" si="33"/>
        <v>-840</v>
      </c>
      <c r="E62" s="2">
        <f t="shared" si="33"/>
        <v>-864.6</v>
      </c>
      <c r="F62" s="2">
        <f t="shared" si="33"/>
        <v>-864.6</v>
      </c>
      <c r="G62" s="2">
        <f t="shared" si="33"/>
        <v>-891.72150000000011</v>
      </c>
      <c r="H62" s="2">
        <f t="shared" si="33"/>
        <v>-891.72150000000011</v>
      </c>
      <c r="I62" s="2">
        <f t="shared" si="33"/>
        <v>-921.62295374999997</v>
      </c>
      <c r="J62" s="2">
        <f t="shared" si="33"/>
        <v>-921.62295374999997</v>
      </c>
      <c r="K62" s="2">
        <f t="shared" si="33"/>
        <v>-954.58930650937509</v>
      </c>
      <c r="L62" s="2">
        <f t="shared" si="33"/>
        <v>-954.58930650937509</v>
      </c>
      <c r="M62" s="2">
        <f t="shared" si="33"/>
        <v>-990.93471042658609</v>
      </c>
      <c r="N62" s="2">
        <f t="shared" si="33"/>
        <v>-990.93471042658609</v>
      </c>
      <c r="O62" s="2">
        <f t="shared" si="33"/>
        <v>-1031.0055182453111</v>
      </c>
      <c r="P62" s="2">
        <f t="shared" si="33"/>
        <v>-1031.0055182453111</v>
      </c>
      <c r="Q62" s="2">
        <f t="shared" si="33"/>
        <v>-1075.1835838654554</v>
      </c>
      <c r="R62" s="2">
        <f t="shared" si="33"/>
        <v>-1075.1835838654554</v>
      </c>
      <c r="S62" s="2">
        <f t="shared" si="33"/>
        <v>-1123.8899012116647</v>
      </c>
      <c r="T62" s="2">
        <f t="shared" si="33"/>
        <v>-1123.8899012116647</v>
      </c>
      <c r="U62" s="2">
        <f t="shared" si="33"/>
        <v>-1177.5886160858604</v>
      </c>
      <c r="V62" s="2">
        <f t="shared" si="33"/>
        <v>-1177.5886160858604</v>
      </c>
    </row>
    <row r="63" spans="1:22" x14ac:dyDescent="0.45">
      <c r="A63" s="3" t="s">
        <v>45</v>
      </c>
      <c r="B63" s="6">
        <f>B61-B62</f>
        <v>-50000</v>
      </c>
      <c r="C63" s="6">
        <f t="shared" ref="C63:V63" si="34">C61-C62</f>
        <v>-360</v>
      </c>
      <c r="D63" s="6">
        <f t="shared" si="34"/>
        <v>-360</v>
      </c>
      <c r="E63" s="6">
        <f t="shared" si="34"/>
        <v>-458.4</v>
      </c>
      <c r="F63" s="6">
        <f t="shared" si="34"/>
        <v>-458.4</v>
      </c>
      <c r="G63" s="6">
        <f t="shared" si="34"/>
        <v>-566.88599999999997</v>
      </c>
      <c r="H63" s="6">
        <f t="shared" si="34"/>
        <v>-566.88599999999997</v>
      </c>
      <c r="I63" s="6">
        <f t="shared" si="34"/>
        <v>-686.49181499999997</v>
      </c>
      <c r="J63" s="6">
        <f t="shared" si="34"/>
        <v>-686.49181499999997</v>
      </c>
      <c r="K63" s="6">
        <f t="shared" si="34"/>
        <v>-818.35722603749991</v>
      </c>
      <c r="L63" s="6">
        <f t="shared" si="34"/>
        <v>-818.35722603749991</v>
      </c>
      <c r="M63" s="6">
        <f t="shared" si="34"/>
        <v>-963.73884170634381</v>
      </c>
      <c r="N63" s="6">
        <f t="shared" si="34"/>
        <v>-963.73884170634381</v>
      </c>
      <c r="O63" s="6">
        <f t="shared" si="34"/>
        <v>-1124.022072981244</v>
      </c>
      <c r="P63" s="6">
        <f t="shared" si="34"/>
        <v>-1124.022072981244</v>
      </c>
      <c r="Q63" s="6">
        <f t="shared" si="34"/>
        <v>-1300.7343354618213</v>
      </c>
      <c r="R63" s="6">
        <f t="shared" si="34"/>
        <v>-1300.7343354618213</v>
      </c>
      <c r="S63" s="6">
        <f t="shared" si="34"/>
        <v>-1495.5596048466584</v>
      </c>
      <c r="T63" s="6">
        <f t="shared" si="34"/>
        <v>-1495.5596048466584</v>
      </c>
      <c r="U63" s="6">
        <f t="shared" si="34"/>
        <v>-1710.3544643434411</v>
      </c>
      <c r="V63" s="6">
        <f t="shared" si="34"/>
        <v>-1710.3544643434411</v>
      </c>
    </row>
    <row r="64" spans="1:22" x14ac:dyDescent="0.45">
      <c r="A64" t="s">
        <v>43</v>
      </c>
      <c r="B64" s="2">
        <f>B11</f>
        <v>35000</v>
      </c>
    </row>
    <row r="65" spans="1:22" x14ac:dyDescent="0.45">
      <c r="A65" t="s">
        <v>44</v>
      </c>
      <c r="C65" s="2">
        <f>-PMT($B$13,10,$B$11)</f>
        <v>5757.4056309321031</v>
      </c>
      <c r="D65" s="2">
        <f t="shared" ref="D65:L65" si="35">-PMT($B$13,10,$B$11)</f>
        <v>5757.4056309321031</v>
      </c>
      <c r="E65" s="2">
        <f t="shared" si="35"/>
        <v>5757.4056309321031</v>
      </c>
      <c r="F65" s="2">
        <f t="shared" si="35"/>
        <v>5757.4056309321031</v>
      </c>
      <c r="G65" s="2">
        <f t="shared" si="35"/>
        <v>5757.4056309321031</v>
      </c>
      <c r="H65" s="2">
        <f t="shared" si="35"/>
        <v>5757.4056309321031</v>
      </c>
      <c r="I65" s="2">
        <f t="shared" si="35"/>
        <v>5757.4056309321031</v>
      </c>
      <c r="J65" s="2">
        <f t="shared" si="35"/>
        <v>5757.4056309321031</v>
      </c>
      <c r="K65" s="2">
        <f t="shared" si="35"/>
        <v>5757.4056309321031</v>
      </c>
      <c r="L65" s="2">
        <f t="shared" si="35"/>
        <v>5757.4056309321031</v>
      </c>
      <c r="M65" s="2"/>
      <c r="N65" s="2"/>
      <c r="O65" s="2"/>
      <c r="P65" s="2"/>
      <c r="Q65" s="2"/>
      <c r="R65" s="2"/>
      <c r="S65" s="2"/>
      <c r="T65" s="2"/>
      <c r="U65" s="2"/>
    </row>
    <row r="66" spans="1:22" x14ac:dyDescent="0.45">
      <c r="A66" s="3" t="s">
        <v>47</v>
      </c>
      <c r="B66" s="6">
        <f>B63+B64-B65</f>
        <v>-15000</v>
      </c>
      <c r="C66" s="6">
        <f t="shared" ref="C66:V66" si="36">C63+C64-C65</f>
        <v>-6117.4056309321031</v>
      </c>
      <c r="D66" s="6">
        <f t="shared" si="36"/>
        <v>-6117.4056309321031</v>
      </c>
      <c r="E66" s="6">
        <f t="shared" si="36"/>
        <v>-6215.8056309321028</v>
      </c>
      <c r="F66" s="6">
        <f t="shared" si="36"/>
        <v>-6215.8056309321028</v>
      </c>
      <c r="G66" s="6">
        <f t="shared" si="36"/>
        <v>-6324.2916309321026</v>
      </c>
      <c r="H66" s="6">
        <f t="shared" si="36"/>
        <v>-6324.2916309321026</v>
      </c>
      <c r="I66" s="6">
        <f t="shared" si="36"/>
        <v>-6443.8974459321034</v>
      </c>
      <c r="J66" s="6">
        <f t="shared" si="36"/>
        <v>-6443.8974459321034</v>
      </c>
      <c r="K66" s="6">
        <f t="shared" si="36"/>
        <v>-6575.7628569696026</v>
      </c>
      <c r="L66" s="6">
        <f t="shared" si="36"/>
        <v>-6575.7628569696026</v>
      </c>
      <c r="M66" s="6">
        <f t="shared" si="36"/>
        <v>-963.73884170634381</v>
      </c>
      <c r="N66" s="6">
        <f t="shared" si="36"/>
        <v>-963.73884170634381</v>
      </c>
      <c r="O66" s="6">
        <f t="shared" si="36"/>
        <v>-1124.022072981244</v>
      </c>
      <c r="P66" s="6">
        <f t="shared" si="36"/>
        <v>-1124.022072981244</v>
      </c>
      <c r="Q66" s="6">
        <f t="shared" si="36"/>
        <v>-1300.7343354618213</v>
      </c>
      <c r="R66" s="6">
        <f t="shared" si="36"/>
        <v>-1300.7343354618213</v>
      </c>
      <c r="S66" s="6">
        <f t="shared" si="36"/>
        <v>-1495.5596048466584</v>
      </c>
      <c r="T66" s="6">
        <f t="shared" si="36"/>
        <v>-1495.5596048466584</v>
      </c>
      <c r="U66" s="6">
        <f t="shared" si="36"/>
        <v>-1710.3544643434411</v>
      </c>
      <c r="V66" s="6">
        <f t="shared" si="36"/>
        <v>-1710.3544643434411</v>
      </c>
    </row>
    <row r="67" spans="1:22" ht="18.75" customHeight="1" x14ac:dyDescent="0.45">
      <c r="A67" s="1"/>
      <c r="B67" s="50" t="s">
        <v>76</v>
      </c>
      <c r="C67" s="50" t="s">
        <v>73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45">
      <c r="A68" s="21" t="s">
        <v>48</v>
      </c>
      <c r="B68" s="23"/>
      <c r="C68" s="28">
        <f>'TH3_Đất thuê 1'!B67</f>
        <v>0</v>
      </c>
    </row>
    <row r="69" spans="1:22" x14ac:dyDescent="0.45">
      <c r="A69" s="21" t="s">
        <v>49</v>
      </c>
      <c r="B69" s="23"/>
      <c r="C69" s="28">
        <f>'TH3_Đất thuê 1'!B68</f>
        <v>0</v>
      </c>
    </row>
    <row r="70" spans="1:22" x14ac:dyDescent="0.45">
      <c r="A70" s="21" t="s">
        <v>50</v>
      </c>
      <c r="B70" s="24"/>
      <c r="C70" s="29">
        <f>'TH3_Đất thuê 1'!B69</f>
        <v>0</v>
      </c>
    </row>
    <row r="71" spans="1:22" x14ac:dyDescent="0.45">
      <c r="A71" s="21" t="s">
        <v>51</v>
      </c>
      <c r="B71" s="24"/>
      <c r="C71" s="29">
        <f>'TH3_Đất thuê 1'!B70</f>
        <v>0</v>
      </c>
    </row>
    <row r="72" spans="1:22" x14ac:dyDescent="0.45">
      <c r="A72" s="21" t="s">
        <v>82</v>
      </c>
      <c r="B72" s="24"/>
      <c r="C72" s="29">
        <f>'TH3_Đất thuê 1'!B71</f>
        <v>0</v>
      </c>
    </row>
    <row r="73" spans="1:22" x14ac:dyDescent="0.45">
      <c r="A73" s="21" t="s">
        <v>83</v>
      </c>
      <c r="B73" s="24"/>
      <c r="C73" s="29">
        <f>'TH3_Đất thuê 1'!B72</f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11C2-8313-48FA-989E-60F3645CCFB0}">
  <dimension ref="A1:V72"/>
  <sheetViews>
    <sheetView topLeftCell="A43" zoomScale="89" workbookViewId="0">
      <selection activeCell="B67" sqref="B67:B72"/>
    </sheetView>
  </sheetViews>
  <sheetFormatPr defaultRowHeight="14.25" x14ac:dyDescent="0.45"/>
  <cols>
    <col min="1" max="1" width="25.06640625" customWidth="1"/>
    <col min="2" max="2" width="19.86328125" bestFit="1" customWidth="1"/>
    <col min="3" max="3" width="16.3984375" customWidth="1"/>
    <col min="4" max="12" width="13.33203125" bestFit="1" customWidth="1"/>
    <col min="13" max="21" width="13.33203125" customWidth="1"/>
    <col min="22" max="22" width="13.33203125" bestFit="1" customWidth="1"/>
  </cols>
  <sheetData>
    <row r="1" spans="1:22" ht="26.65" x14ac:dyDescent="0.85">
      <c r="A1" s="19" t="s">
        <v>63</v>
      </c>
    </row>
    <row r="2" spans="1:22" ht="19.5" x14ac:dyDescent="0.45">
      <c r="A2" s="41" t="s">
        <v>78</v>
      </c>
    </row>
    <row r="3" spans="1:22" ht="13.15" customHeight="1" x14ac:dyDescent="0.6">
      <c r="A3" s="20"/>
    </row>
    <row r="5" spans="1:22" ht="19.5" x14ac:dyDescent="0.6">
      <c r="A5" s="53" t="s">
        <v>88</v>
      </c>
      <c r="B5" s="4"/>
      <c r="C5" s="4"/>
      <c r="D5" s="4"/>
      <c r="E5" s="4"/>
      <c r="F5" s="4"/>
      <c r="G5" s="4"/>
    </row>
    <row r="6" spans="1:22" x14ac:dyDescent="0.45">
      <c r="A6" s="1" t="s">
        <v>4</v>
      </c>
      <c r="C6" s="1" t="s">
        <v>40</v>
      </c>
      <c r="F6" s="1" t="s">
        <v>41</v>
      </c>
    </row>
    <row r="7" spans="1:22" x14ac:dyDescent="0.45">
      <c r="A7" s="30"/>
      <c r="B7" s="31"/>
      <c r="C7" t="s">
        <v>13</v>
      </c>
      <c r="D7" s="11">
        <v>1200</v>
      </c>
      <c r="F7" t="s">
        <v>6</v>
      </c>
      <c r="G7" s="12">
        <v>0.05</v>
      </c>
    </row>
    <row r="8" spans="1:22" x14ac:dyDescent="0.45">
      <c r="A8" t="s">
        <v>0</v>
      </c>
      <c r="B8" s="11">
        <v>30000</v>
      </c>
      <c r="C8" s="32" t="s">
        <v>75</v>
      </c>
      <c r="D8" s="28">
        <f>-PMT(B13,20,10000)</f>
        <v>1194.7023039037176</v>
      </c>
      <c r="F8" t="s">
        <v>7</v>
      </c>
      <c r="G8" s="12">
        <v>0.2</v>
      </c>
    </row>
    <row r="9" spans="1:22" ht="15.75" x14ac:dyDescent="0.55000000000000004">
      <c r="A9" t="s">
        <v>1</v>
      </c>
      <c r="B9" s="11">
        <v>20000</v>
      </c>
      <c r="C9" t="s">
        <v>14</v>
      </c>
      <c r="D9" s="12">
        <v>0.2</v>
      </c>
      <c r="E9" s="7" t="s">
        <v>22</v>
      </c>
      <c r="F9" t="s">
        <v>61</v>
      </c>
      <c r="G9" s="12">
        <v>0.1</v>
      </c>
    </row>
    <row r="10" spans="1:22" ht="15.75" x14ac:dyDescent="0.55000000000000004">
      <c r="A10" s="1" t="s">
        <v>57</v>
      </c>
      <c r="C10" t="s">
        <v>89</v>
      </c>
      <c r="D10" s="11">
        <v>9000</v>
      </c>
      <c r="E10" s="12">
        <v>0.03</v>
      </c>
      <c r="F10" t="s">
        <v>62</v>
      </c>
      <c r="G10" s="27">
        <f>G9+G7+G9*G7</f>
        <v>0.15500000000000003</v>
      </c>
    </row>
    <row r="11" spans="1:22" x14ac:dyDescent="0.45">
      <c r="A11" t="s">
        <v>3</v>
      </c>
      <c r="B11" s="11">
        <f>70%*(B8+B9)</f>
        <v>35000</v>
      </c>
      <c r="C11" s="1" t="s">
        <v>20</v>
      </c>
      <c r="D11" s="11"/>
      <c r="F11" t="s">
        <v>42</v>
      </c>
      <c r="G11" s="15">
        <f>0.7*B13+0.3*G10</f>
        <v>0.11824999999999999</v>
      </c>
    </row>
    <row r="12" spans="1:22" x14ac:dyDescent="0.45">
      <c r="A12" t="s">
        <v>53</v>
      </c>
      <c r="B12" s="12">
        <v>0.05</v>
      </c>
      <c r="C12" t="s">
        <v>21</v>
      </c>
      <c r="D12" s="12">
        <v>0.1</v>
      </c>
      <c r="E12" s="7" t="s">
        <v>22</v>
      </c>
      <c r="F12" t="s">
        <v>58</v>
      </c>
      <c r="G12" s="12">
        <v>0</v>
      </c>
    </row>
    <row r="13" spans="1:22" x14ac:dyDescent="0.45">
      <c r="A13" t="s">
        <v>54</v>
      </c>
      <c r="B13" s="27">
        <f>B12+G7+B12*G7</f>
        <v>0.10250000000000001</v>
      </c>
      <c r="C13" t="s">
        <v>55</v>
      </c>
      <c r="D13" s="12">
        <v>0.1</v>
      </c>
      <c r="E13" s="7" t="s">
        <v>56</v>
      </c>
      <c r="F13" t="s">
        <v>30</v>
      </c>
      <c r="G13" s="18">
        <v>20</v>
      </c>
    </row>
    <row r="14" spans="1:22" x14ac:dyDescent="0.45">
      <c r="A14" s="4" t="s">
        <v>18</v>
      </c>
      <c r="B14" s="13">
        <v>10</v>
      </c>
      <c r="C14" s="4" t="s">
        <v>23</v>
      </c>
      <c r="D14" s="14">
        <v>0.05</v>
      </c>
      <c r="E14" s="10" t="s">
        <v>22</v>
      </c>
      <c r="F14" s="4" t="s">
        <v>2</v>
      </c>
      <c r="G14" s="16">
        <v>20</v>
      </c>
    </row>
    <row r="16" spans="1:22" x14ac:dyDescent="0.45">
      <c r="A16" s="3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45">
      <c r="A17" s="5" t="s">
        <v>9</v>
      </c>
      <c r="B17" s="5">
        <v>0</v>
      </c>
      <c r="C17" s="5">
        <v>1</v>
      </c>
      <c r="D17" s="5">
        <v>2</v>
      </c>
      <c r="E17" s="5">
        <v>3</v>
      </c>
      <c r="F17" s="5">
        <v>4</v>
      </c>
      <c r="G17" s="5">
        <v>5</v>
      </c>
      <c r="H17" s="5">
        <v>6</v>
      </c>
      <c r="I17" s="5">
        <v>7</v>
      </c>
      <c r="J17" s="5">
        <v>8</v>
      </c>
      <c r="K17" s="5">
        <v>9</v>
      </c>
      <c r="L17" s="5">
        <v>10</v>
      </c>
      <c r="M17" s="5">
        <v>11</v>
      </c>
      <c r="N17" s="5">
        <v>12</v>
      </c>
      <c r="O17" s="5">
        <v>13</v>
      </c>
      <c r="P17" s="5">
        <v>14</v>
      </c>
      <c r="Q17" s="5">
        <v>15</v>
      </c>
      <c r="R17" s="5">
        <v>16</v>
      </c>
      <c r="S17" s="5">
        <v>17</v>
      </c>
      <c r="T17" s="5">
        <v>18</v>
      </c>
      <c r="U17" s="5">
        <v>19</v>
      </c>
      <c r="V17" s="5">
        <v>20</v>
      </c>
    </row>
    <row r="18" spans="1:22" x14ac:dyDescent="0.45">
      <c r="A18" s="46" t="s">
        <v>10</v>
      </c>
      <c r="B18" s="47"/>
      <c r="C18" s="47">
        <f t="shared" ref="C18:V18" si="0">(1+$G$7)^C17</f>
        <v>1.05</v>
      </c>
      <c r="D18" s="47">
        <f t="shared" si="0"/>
        <v>1.1025</v>
      </c>
      <c r="E18" s="47">
        <f t="shared" si="0"/>
        <v>1.1576250000000001</v>
      </c>
      <c r="F18" s="47">
        <f t="shared" si="0"/>
        <v>1.21550625</v>
      </c>
      <c r="G18" s="47">
        <f t="shared" si="0"/>
        <v>1.2762815625000001</v>
      </c>
      <c r="H18" s="47">
        <f t="shared" si="0"/>
        <v>1.340095640625</v>
      </c>
      <c r="I18" s="47">
        <f t="shared" si="0"/>
        <v>1.4071004226562502</v>
      </c>
      <c r="J18" s="47">
        <f t="shared" si="0"/>
        <v>1.4774554437890626</v>
      </c>
      <c r="K18" s="47">
        <f t="shared" si="0"/>
        <v>1.5513282159785158</v>
      </c>
      <c r="L18" s="47">
        <f t="shared" si="0"/>
        <v>1.6288946267774416</v>
      </c>
      <c r="M18" s="47">
        <f t="shared" si="0"/>
        <v>1.7103393581163138</v>
      </c>
      <c r="N18" s="47">
        <f t="shared" si="0"/>
        <v>1.7958563260221292</v>
      </c>
      <c r="O18" s="47">
        <f t="shared" si="0"/>
        <v>1.885649142323236</v>
      </c>
      <c r="P18" s="47">
        <f t="shared" si="0"/>
        <v>1.9799315994393973</v>
      </c>
      <c r="Q18" s="47">
        <f t="shared" si="0"/>
        <v>2.0789281794113679</v>
      </c>
      <c r="R18" s="47">
        <f t="shared" si="0"/>
        <v>2.182874588381936</v>
      </c>
      <c r="S18" s="47">
        <f t="shared" si="0"/>
        <v>2.2920183178010332</v>
      </c>
      <c r="T18" s="47">
        <f t="shared" si="0"/>
        <v>2.4066192336910848</v>
      </c>
      <c r="U18" s="47">
        <f t="shared" si="0"/>
        <v>2.526950195375639</v>
      </c>
      <c r="V18" s="47">
        <f t="shared" si="0"/>
        <v>2.6532977051444209</v>
      </c>
    </row>
    <row r="19" spans="1:22" x14ac:dyDescent="0.45">
      <c r="A19" s="48" t="s">
        <v>90</v>
      </c>
      <c r="B19" s="6"/>
      <c r="C19" s="6">
        <f>(1+$E$10)^C17</f>
        <v>1.03</v>
      </c>
      <c r="D19" s="6">
        <f t="shared" ref="D19:V19" si="1">(1+$E$10)^D17</f>
        <v>1.0609</v>
      </c>
      <c r="E19" s="6">
        <f t="shared" si="1"/>
        <v>1.092727</v>
      </c>
      <c r="F19" s="6">
        <f t="shared" si="1"/>
        <v>1.1255088099999999</v>
      </c>
      <c r="G19" s="6">
        <f t="shared" si="1"/>
        <v>1.1592740742999998</v>
      </c>
      <c r="H19" s="6">
        <f t="shared" si="1"/>
        <v>1.1940522965289999</v>
      </c>
      <c r="I19" s="6">
        <f t="shared" si="1"/>
        <v>1.22987386542487</v>
      </c>
      <c r="J19" s="6">
        <f t="shared" si="1"/>
        <v>1.2667700813876159</v>
      </c>
      <c r="K19" s="6">
        <f t="shared" si="1"/>
        <v>1.3047731838292445</v>
      </c>
      <c r="L19" s="6">
        <f t="shared" si="1"/>
        <v>1.3439163793441218</v>
      </c>
      <c r="M19" s="6">
        <f t="shared" si="1"/>
        <v>1.3842338707244455</v>
      </c>
      <c r="N19" s="6">
        <f t="shared" si="1"/>
        <v>1.4257608868461786</v>
      </c>
      <c r="O19" s="6">
        <f t="shared" si="1"/>
        <v>1.4685337134515639</v>
      </c>
      <c r="P19" s="6">
        <f t="shared" si="1"/>
        <v>1.512589724855111</v>
      </c>
      <c r="Q19" s="6">
        <f t="shared" si="1"/>
        <v>1.5579674166007644</v>
      </c>
      <c r="R19" s="6">
        <f t="shared" si="1"/>
        <v>1.6047064390987871</v>
      </c>
      <c r="S19" s="6">
        <f t="shared" si="1"/>
        <v>1.6528476322717507</v>
      </c>
      <c r="T19" s="6">
        <f t="shared" si="1"/>
        <v>1.7024330612399032</v>
      </c>
      <c r="U19" s="6">
        <f t="shared" si="1"/>
        <v>1.7535060530771003</v>
      </c>
      <c r="V19" s="6">
        <f t="shared" si="1"/>
        <v>1.8061112346694133</v>
      </c>
    </row>
    <row r="21" spans="1:22" x14ac:dyDescent="0.45">
      <c r="A21" s="1" t="s">
        <v>11</v>
      </c>
    </row>
    <row r="22" spans="1:22" x14ac:dyDescent="0.45">
      <c r="A22" s="5" t="s">
        <v>9</v>
      </c>
      <c r="B22" s="5">
        <v>0</v>
      </c>
      <c r="C22" s="5">
        <v>1</v>
      </c>
      <c r="D22" s="5">
        <v>2</v>
      </c>
      <c r="E22" s="5">
        <v>3</v>
      </c>
      <c r="F22" s="5">
        <v>4</v>
      </c>
      <c r="G22" s="5">
        <v>5</v>
      </c>
      <c r="H22" s="5">
        <v>6</v>
      </c>
      <c r="I22" s="5">
        <v>7</v>
      </c>
      <c r="J22" s="5">
        <v>8</v>
      </c>
      <c r="K22" s="5">
        <v>9</v>
      </c>
      <c r="L22" s="5">
        <v>10</v>
      </c>
      <c r="M22" s="5">
        <v>11</v>
      </c>
      <c r="N22" s="5">
        <v>12</v>
      </c>
      <c r="O22" s="5">
        <v>13</v>
      </c>
      <c r="P22" s="5">
        <v>14</v>
      </c>
      <c r="Q22" s="5">
        <v>15</v>
      </c>
      <c r="R22" s="5">
        <v>16</v>
      </c>
      <c r="S22" s="5">
        <v>17</v>
      </c>
      <c r="T22" s="5">
        <v>18</v>
      </c>
      <c r="U22" s="5">
        <v>19</v>
      </c>
      <c r="V22" s="5">
        <v>20</v>
      </c>
    </row>
    <row r="23" spans="1:22" x14ac:dyDescent="0.45">
      <c r="A23" t="s">
        <v>12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2" x14ac:dyDescent="0.45">
      <c r="A24" t="s">
        <v>13</v>
      </c>
      <c r="C24" s="2">
        <f>$D$7</f>
        <v>1200</v>
      </c>
      <c r="D24" s="2">
        <f t="shared" ref="D24" si="2">$D$7</f>
        <v>1200</v>
      </c>
      <c r="E24" s="2">
        <f>$D$7*$D$18</f>
        <v>1323</v>
      </c>
      <c r="F24" s="2">
        <f t="shared" ref="F24" si="3">$D$7*$D$18</f>
        <v>1323</v>
      </c>
      <c r="G24" s="2">
        <f>$D$7*$F$18</f>
        <v>1458.6075000000001</v>
      </c>
      <c r="H24" s="2">
        <f t="shared" ref="H24" si="4">$D$7*$F$18</f>
        <v>1458.6075000000001</v>
      </c>
      <c r="I24" s="2">
        <f>$D$7*$H$18</f>
        <v>1608.1147687499999</v>
      </c>
      <c r="J24" s="2">
        <f t="shared" ref="J24" si="5">$D$7*$H$18</f>
        <v>1608.1147687499999</v>
      </c>
      <c r="K24" s="2">
        <f>$D$7*$J$18</f>
        <v>1772.946532546875</v>
      </c>
      <c r="L24" s="2">
        <f t="shared" ref="L24" si="6">$D$7*$J$18</f>
        <v>1772.946532546875</v>
      </c>
      <c r="M24" s="2">
        <f>$D$7*$L$18</f>
        <v>1954.6735521329299</v>
      </c>
      <c r="N24" s="2">
        <f t="shared" ref="N24" si="7">$D$7*$L$18</f>
        <v>1954.6735521329299</v>
      </c>
      <c r="O24" s="2">
        <f>$D$7*$N$18</f>
        <v>2155.0275912265552</v>
      </c>
      <c r="P24" s="2">
        <f t="shared" ref="P24" si="8">$D$7*$N$18</f>
        <v>2155.0275912265552</v>
      </c>
      <c r="Q24" s="2">
        <f>$D$7*$P$18</f>
        <v>2375.9179193272766</v>
      </c>
      <c r="R24" s="2">
        <f t="shared" ref="R24" si="9">$D$7*$P$18</f>
        <v>2375.9179193272766</v>
      </c>
      <c r="S24" s="2">
        <f>$D$7*$R$18</f>
        <v>2619.4495060583231</v>
      </c>
      <c r="T24" s="2">
        <f t="shared" ref="T24" si="10">$D$7*$R$18</f>
        <v>2619.4495060583231</v>
      </c>
      <c r="U24" s="2">
        <f>$D$7*$T$18</f>
        <v>2887.9430804293015</v>
      </c>
      <c r="V24" s="2">
        <f t="shared" ref="V24" si="11">$D$7*$T$18</f>
        <v>2887.9430804293015</v>
      </c>
    </row>
    <row r="25" spans="1:22" x14ac:dyDescent="0.45">
      <c r="A25" t="s">
        <v>70</v>
      </c>
      <c r="C25" s="2">
        <f>$D$8</f>
        <v>1194.7023039037176</v>
      </c>
      <c r="D25" s="2">
        <f t="shared" ref="D25:V25" si="12">$D$8</f>
        <v>1194.7023039037176</v>
      </c>
      <c r="E25" s="2">
        <f t="shared" si="12"/>
        <v>1194.7023039037176</v>
      </c>
      <c r="F25" s="2">
        <f t="shared" si="12"/>
        <v>1194.7023039037176</v>
      </c>
      <c r="G25" s="2">
        <f t="shared" si="12"/>
        <v>1194.7023039037176</v>
      </c>
      <c r="H25" s="2">
        <f t="shared" si="12"/>
        <v>1194.7023039037176</v>
      </c>
      <c r="I25" s="2">
        <f t="shared" si="12"/>
        <v>1194.7023039037176</v>
      </c>
      <c r="J25" s="2">
        <f t="shared" si="12"/>
        <v>1194.7023039037176</v>
      </c>
      <c r="K25" s="2">
        <f t="shared" si="12"/>
        <v>1194.7023039037176</v>
      </c>
      <c r="L25" s="2">
        <f t="shared" si="12"/>
        <v>1194.7023039037176</v>
      </c>
      <c r="M25" s="2">
        <f t="shared" si="12"/>
        <v>1194.7023039037176</v>
      </c>
      <c r="N25" s="2">
        <f t="shared" si="12"/>
        <v>1194.7023039037176</v>
      </c>
      <c r="O25" s="2">
        <f t="shared" si="12"/>
        <v>1194.7023039037176</v>
      </c>
      <c r="P25" s="2">
        <f t="shared" si="12"/>
        <v>1194.7023039037176</v>
      </c>
      <c r="Q25" s="2">
        <f t="shared" si="12"/>
        <v>1194.7023039037176</v>
      </c>
      <c r="R25" s="2">
        <f t="shared" si="12"/>
        <v>1194.7023039037176</v>
      </c>
      <c r="S25" s="2">
        <f t="shared" si="12"/>
        <v>1194.7023039037176</v>
      </c>
      <c r="T25" s="2">
        <f t="shared" si="12"/>
        <v>1194.7023039037176</v>
      </c>
      <c r="U25" s="2">
        <f t="shared" si="12"/>
        <v>1194.7023039037176</v>
      </c>
      <c r="V25" s="2">
        <f t="shared" si="12"/>
        <v>1194.7023039037176</v>
      </c>
    </row>
    <row r="26" spans="1:22" x14ac:dyDescent="0.45">
      <c r="A26" s="4" t="s">
        <v>14</v>
      </c>
      <c r="B26" s="4"/>
      <c r="C26" s="6">
        <f t="shared" ref="C26:V26" si="13">C23*$D$9</f>
        <v>0</v>
      </c>
      <c r="D26" s="6">
        <f t="shared" si="13"/>
        <v>0</v>
      </c>
      <c r="E26" s="6">
        <f t="shared" si="13"/>
        <v>0</v>
      </c>
      <c r="F26" s="6">
        <f t="shared" si="13"/>
        <v>0</v>
      </c>
      <c r="G26" s="6">
        <f t="shared" si="13"/>
        <v>0</v>
      </c>
      <c r="H26" s="6">
        <f t="shared" si="13"/>
        <v>0</v>
      </c>
      <c r="I26" s="6">
        <f t="shared" si="13"/>
        <v>0</v>
      </c>
      <c r="J26" s="6">
        <f t="shared" si="13"/>
        <v>0</v>
      </c>
      <c r="K26" s="6">
        <f t="shared" si="13"/>
        <v>0</v>
      </c>
      <c r="L26" s="6">
        <f t="shared" si="13"/>
        <v>0</v>
      </c>
      <c r="M26" s="6">
        <f t="shared" si="13"/>
        <v>0</v>
      </c>
      <c r="N26" s="6">
        <f t="shared" si="13"/>
        <v>0</v>
      </c>
      <c r="O26" s="6">
        <f t="shared" si="13"/>
        <v>0</v>
      </c>
      <c r="P26" s="6">
        <f t="shared" si="13"/>
        <v>0</v>
      </c>
      <c r="Q26" s="6">
        <f t="shared" si="13"/>
        <v>0</v>
      </c>
      <c r="R26" s="6">
        <f t="shared" si="13"/>
        <v>0</v>
      </c>
      <c r="S26" s="6">
        <f t="shared" si="13"/>
        <v>0</v>
      </c>
      <c r="T26" s="6">
        <f t="shared" si="13"/>
        <v>0</v>
      </c>
      <c r="U26" s="6">
        <f t="shared" si="13"/>
        <v>0</v>
      </c>
      <c r="V26" s="6">
        <f t="shared" si="13"/>
        <v>0</v>
      </c>
    </row>
    <row r="28" spans="1:22" x14ac:dyDescent="0.45">
      <c r="A28" s="1" t="s">
        <v>15</v>
      </c>
    </row>
    <row r="29" spans="1:22" x14ac:dyDescent="0.45">
      <c r="A29" s="5" t="s">
        <v>9</v>
      </c>
      <c r="B29" s="5">
        <v>0</v>
      </c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  <c r="O29" s="5">
        <v>13</v>
      </c>
      <c r="P29" s="5">
        <v>14</v>
      </c>
      <c r="Q29" s="5">
        <v>15</v>
      </c>
      <c r="R29" s="5">
        <v>16</v>
      </c>
      <c r="S29" s="5">
        <v>17</v>
      </c>
      <c r="T29" s="5">
        <v>18</v>
      </c>
      <c r="U29" s="5">
        <v>19</v>
      </c>
      <c r="V29" s="5">
        <v>20</v>
      </c>
    </row>
    <row r="30" spans="1:22" x14ac:dyDescent="0.45">
      <c r="A30" t="s">
        <v>5</v>
      </c>
      <c r="C30" s="2">
        <f>C23</f>
        <v>0</v>
      </c>
      <c r="D30" s="2">
        <f t="shared" ref="D30:V30" si="14">D23</f>
        <v>0</v>
      </c>
      <c r="E30" s="2">
        <f t="shared" si="14"/>
        <v>0</v>
      </c>
      <c r="F30" s="2">
        <f t="shared" si="14"/>
        <v>0</v>
      </c>
      <c r="G30" s="2">
        <f t="shared" si="14"/>
        <v>0</v>
      </c>
      <c r="H30" s="2">
        <f t="shared" si="14"/>
        <v>0</v>
      </c>
      <c r="I30" s="2">
        <f t="shared" si="14"/>
        <v>0</v>
      </c>
      <c r="J30" s="2">
        <f t="shared" si="14"/>
        <v>0</v>
      </c>
      <c r="K30" s="2">
        <f t="shared" si="14"/>
        <v>0</v>
      </c>
      <c r="L30" s="2">
        <f t="shared" si="14"/>
        <v>0</v>
      </c>
      <c r="M30" s="2">
        <f t="shared" si="14"/>
        <v>0</v>
      </c>
      <c r="N30" s="2">
        <f t="shared" si="14"/>
        <v>0</v>
      </c>
      <c r="O30" s="2">
        <f t="shared" si="14"/>
        <v>0</v>
      </c>
      <c r="P30" s="2">
        <f t="shared" si="14"/>
        <v>0</v>
      </c>
      <c r="Q30" s="2">
        <f t="shared" si="14"/>
        <v>0</v>
      </c>
      <c r="R30" s="2">
        <f t="shared" si="14"/>
        <v>0</v>
      </c>
      <c r="S30" s="2">
        <f t="shared" si="14"/>
        <v>0</v>
      </c>
      <c r="T30" s="2">
        <f t="shared" si="14"/>
        <v>0</v>
      </c>
      <c r="U30" s="2">
        <f t="shared" si="14"/>
        <v>0</v>
      </c>
      <c r="V30" s="2">
        <f t="shared" si="14"/>
        <v>0</v>
      </c>
    </row>
    <row r="31" spans="1:22" x14ac:dyDescent="0.45">
      <c r="A31" t="s">
        <v>91</v>
      </c>
      <c r="C31" s="2">
        <f>SUM(C24:C26)</f>
        <v>2394.7023039037176</v>
      </c>
      <c r="D31" s="2">
        <f t="shared" ref="D31:V31" si="15">SUM(D24:D26)</f>
        <v>2394.7023039037176</v>
      </c>
      <c r="E31" s="2">
        <f t="shared" si="15"/>
        <v>2517.7023039037176</v>
      </c>
      <c r="F31" s="2">
        <f t="shared" si="15"/>
        <v>2517.7023039037176</v>
      </c>
      <c r="G31" s="2">
        <f t="shared" si="15"/>
        <v>2653.3098039037177</v>
      </c>
      <c r="H31" s="2">
        <f t="shared" si="15"/>
        <v>2653.3098039037177</v>
      </c>
      <c r="I31" s="2">
        <f t="shared" si="15"/>
        <v>2802.8170726537173</v>
      </c>
      <c r="J31" s="2">
        <f t="shared" si="15"/>
        <v>2802.8170726537173</v>
      </c>
      <c r="K31" s="2">
        <f t="shared" si="15"/>
        <v>2967.6488364505926</v>
      </c>
      <c r="L31" s="2">
        <f t="shared" si="15"/>
        <v>2967.6488364505926</v>
      </c>
      <c r="M31" s="2">
        <f t="shared" si="15"/>
        <v>3149.3758560366477</v>
      </c>
      <c r="N31" s="2">
        <f t="shared" si="15"/>
        <v>3149.3758560366477</v>
      </c>
      <c r="O31" s="2">
        <f t="shared" si="15"/>
        <v>3349.7298951302728</v>
      </c>
      <c r="P31" s="2">
        <f t="shared" si="15"/>
        <v>3349.7298951302728</v>
      </c>
      <c r="Q31" s="2">
        <f t="shared" si="15"/>
        <v>3570.6202232309943</v>
      </c>
      <c r="R31" s="2">
        <f t="shared" si="15"/>
        <v>3570.6202232309943</v>
      </c>
      <c r="S31" s="2">
        <f t="shared" si="15"/>
        <v>3814.1518099620407</v>
      </c>
      <c r="T31" s="2">
        <f t="shared" si="15"/>
        <v>3814.1518099620407</v>
      </c>
      <c r="U31" s="2">
        <f t="shared" si="15"/>
        <v>4082.6453843330191</v>
      </c>
      <c r="V31" s="2">
        <f t="shared" si="15"/>
        <v>4082.6453843330191</v>
      </c>
    </row>
    <row r="32" spans="1:22" x14ac:dyDescent="0.45">
      <c r="A32" t="s">
        <v>71</v>
      </c>
      <c r="C32" s="2">
        <f>($B$8+$B$9)/$G$13</f>
        <v>2500</v>
      </c>
      <c r="D32" s="2">
        <f t="shared" ref="D32:V32" si="16">($B$8+$B$9)/$G$13</f>
        <v>2500</v>
      </c>
      <c r="E32" s="2">
        <f t="shared" si="16"/>
        <v>2500</v>
      </c>
      <c r="F32" s="2">
        <f t="shared" si="16"/>
        <v>2500</v>
      </c>
      <c r="G32" s="2">
        <f t="shared" si="16"/>
        <v>2500</v>
      </c>
      <c r="H32" s="2">
        <f t="shared" si="16"/>
        <v>2500</v>
      </c>
      <c r="I32" s="2">
        <f t="shared" si="16"/>
        <v>2500</v>
      </c>
      <c r="J32" s="2">
        <f t="shared" si="16"/>
        <v>2500</v>
      </c>
      <c r="K32" s="2">
        <f t="shared" si="16"/>
        <v>2500</v>
      </c>
      <c r="L32" s="2">
        <f t="shared" si="16"/>
        <v>2500</v>
      </c>
      <c r="M32" s="2">
        <f t="shared" si="16"/>
        <v>2500</v>
      </c>
      <c r="N32" s="2">
        <f t="shared" si="16"/>
        <v>2500</v>
      </c>
      <c r="O32" s="2">
        <f t="shared" si="16"/>
        <v>2500</v>
      </c>
      <c r="P32" s="2">
        <f t="shared" si="16"/>
        <v>2500</v>
      </c>
      <c r="Q32" s="2">
        <f t="shared" si="16"/>
        <v>2500</v>
      </c>
      <c r="R32" s="2">
        <f t="shared" si="16"/>
        <v>2500</v>
      </c>
      <c r="S32" s="2">
        <f t="shared" si="16"/>
        <v>2500</v>
      </c>
      <c r="T32" s="2">
        <f t="shared" si="16"/>
        <v>2500</v>
      </c>
      <c r="U32" s="2">
        <f t="shared" si="16"/>
        <v>2500</v>
      </c>
      <c r="V32" s="2">
        <f t="shared" si="16"/>
        <v>2500</v>
      </c>
    </row>
    <row r="33" spans="1:22" x14ac:dyDescent="0.45">
      <c r="A33" t="s">
        <v>16</v>
      </c>
      <c r="C33" s="2">
        <f>C30-SUM(C31:C32)</f>
        <v>-4894.7023039037176</v>
      </c>
      <c r="D33" s="2">
        <f>D30-SUM(D31:D32)</f>
        <v>-4894.7023039037176</v>
      </c>
      <c r="E33" s="2">
        <f>E30-SUM(E31:E32)</f>
        <v>-5017.7023039037176</v>
      </c>
      <c r="F33" s="2">
        <f>F30-SUM(F31:F32)</f>
        <v>-5017.7023039037176</v>
      </c>
      <c r="G33" s="2">
        <f>G30-SUM(G31:G32)</f>
        <v>-5153.3098039037177</v>
      </c>
      <c r="H33" s="2">
        <f>H30-SUM(H31:H32)</f>
        <v>-5153.3098039037177</v>
      </c>
      <c r="I33" s="2">
        <f>I30-SUM(I31:I32)</f>
        <v>-5302.8170726537173</v>
      </c>
      <c r="J33" s="2">
        <f>J30-SUM(J31:J32)</f>
        <v>-5302.8170726537173</v>
      </c>
      <c r="K33" s="2">
        <f>K30-SUM(K31:K32)</f>
        <v>-5467.6488364505931</v>
      </c>
      <c r="L33" s="2">
        <f>L30-SUM(L31:L32)</f>
        <v>-5467.6488364505931</v>
      </c>
      <c r="M33" s="2">
        <f>M30-SUM(M31:M32)</f>
        <v>-5649.3758560366477</v>
      </c>
      <c r="N33" s="2">
        <f>N30-SUM(N31:N32)</f>
        <v>-5649.3758560366477</v>
      </c>
      <c r="O33" s="2">
        <f>O30-SUM(O31:O32)</f>
        <v>-5849.7298951302728</v>
      </c>
      <c r="P33" s="2">
        <f>P30-SUM(P31:P32)</f>
        <v>-5849.7298951302728</v>
      </c>
      <c r="Q33" s="2">
        <f>Q30-SUM(Q31:Q32)</f>
        <v>-6070.6202232309943</v>
      </c>
      <c r="R33" s="2">
        <f>R30-SUM(R31:R32)</f>
        <v>-6070.6202232309943</v>
      </c>
      <c r="S33" s="2">
        <f>S30-SUM(S31:S32)</f>
        <v>-6314.1518099620407</v>
      </c>
      <c r="T33" s="2">
        <f>T30-SUM(T31:T32)</f>
        <v>-6314.1518099620407</v>
      </c>
      <c r="U33" s="2">
        <f>U30-SUM(U31:U32)</f>
        <v>-6582.6453843330191</v>
      </c>
      <c r="V33" s="2">
        <f>V30-SUM(V31:V32)</f>
        <v>-6582.6453843330191</v>
      </c>
    </row>
    <row r="34" spans="1:22" x14ac:dyDescent="0.45">
      <c r="A34" t="s">
        <v>17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45">
      <c r="A35" t="s">
        <v>19</v>
      </c>
      <c r="C35" s="2">
        <f>C33-C34</f>
        <v>-4894.7023039037176</v>
      </c>
      <c r="D35" s="2">
        <f t="shared" ref="D35:V35" si="17">D33-D34</f>
        <v>-4894.7023039037176</v>
      </c>
      <c r="E35" s="2">
        <f t="shared" si="17"/>
        <v>-5017.7023039037176</v>
      </c>
      <c r="F35" s="2">
        <f t="shared" si="17"/>
        <v>-5017.7023039037176</v>
      </c>
      <c r="G35" s="2">
        <f t="shared" si="17"/>
        <v>-5153.3098039037177</v>
      </c>
      <c r="H35" s="2">
        <f t="shared" si="17"/>
        <v>-5153.3098039037177</v>
      </c>
      <c r="I35" s="2">
        <f t="shared" si="17"/>
        <v>-5302.8170726537173</v>
      </c>
      <c r="J35" s="2">
        <f t="shared" si="17"/>
        <v>-5302.8170726537173</v>
      </c>
      <c r="K35" s="2">
        <f t="shared" si="17"/>
        <v>-5467.6488364505931</v>
      </c>
      <c r="L35" s="2">
        <f t="shared" si="17"/>
        <v>-5467.6488364505931</v>
      </c>
      <c r="M35" s="2">
        <f t="shared" si="17"/>
        <v>-5649.3758560366477</v>
      </c>
      <c r="N35" s="2">
        <f t="shared" si="17"/>
        <v>-5649.3758560366477</v>
      </c>
      <c r="O35" s="2">
        <f t="shared" si="17"/>
        <v>-5849.7298951302728</v>
      </c>
      <c r="P35" s="2">
        <f t="shared" si="17"/>
        <v>-5849.7298951302728</v>
      </c>
      <c r="Q35" s="2">
        <f t="shared" si="17"/>
        <v>-6070.6202232309943</v>
      </c>
      <c r="R35" s="2">
        <f t="shared" si="17"/>
        <v>-6070.6202232309943</v>
      </c>
      <c r="S35" s="2">
        <f t="shared" si="17"/>
        <v>-6314.1518099620407</v>
      </c>
      <c r="T35" s="2">
        <f t="shared" si="17"/>
        <v>-6314.1518099620407</v>
      </c>
      <c r="U35" s="2">
        <f t="shared" si="17"/>
        <v>-6582.6453843330191</v>
      </c>
      <c r="V35" s="2">
        <f t="shared" si="17"/>
        <v>-6582.6453843330191</v>
      </c>
    </row>
    <row r="36" spans="1:22" x14ac:dyDescent="0.45">
      <c r="A36" s="4" t="s">
        <v>7</v>
      </c>
      <c r="B36" s="4"/>
      <c r="C36" s="6">
        <f>C35*$G$8</f>
        <v>-978.94046078074359</v>
      </c>
      <c r="D36" s="6">
        <f t="shared" ref="D36:V36" si="18">D35*$G$8</f>
        <v>-978.94046078074359</v>
      </c>
      <c r="E36" s="6">
        <f t="shared" si="18"/>
        <v>-1003.5404607807436</v>
      </c>
      <c r="F36" s="6">
        <f t="shared" si="18"/>
        <v>-1003.5404607807436</v>
      </c>
      <c r="G36" s="6">
        <f t="shared" si="18"/>
        <v>-1030.6619607807436</v>
      </c>
      <c r="H36" s="6">
        <f t="shared" si="18"/>
        <v>-1030.6619607807436</v>
      </c>
      <c r="I36" s="6">
        <f t="shared" si="18"/>
        <v>-1060.5634145307436</v>
      </c>
      <c r="J36" s="6">
        <f t="shared" si="18"/>
        <v>-1060.5634145307436</v>
      </c>
      <c r="K36" s="6">
        <f t="shared" si="18"/>
        <v>-1093.5297672901186</v>
      </c>
      <c r="L36" s="6">
        <f t="shared" si="18"/>
        <v>-1093.5297672901186</v>
      </c>
      <c r="M36" s="6">
        <f t="shared" si="18"/>
        <v>-1129.8751712073297</v>
      </c>
      <c r="N36" s="6">
        <f t="shared" si="18"/>
        <v>-1129.8751712073297</v>
      </c>
      <c r="O36" s="6">
        <f t="shared" si="18"/>
        <v>-1169.9459790260546</v>
      </c>
      <c r="P36" s="6">
        <f t="shared" si="18"/>
        <v>-1169.9459790260546</v>
      </c>
      <c r="Q36" s="6">
        <f t="shared" si="18"/>
        <v>-1214.1240446461989</v>
      </c>
      <c r="R36" s="6">
        <f t="shared" si="18"/>
        <v>-1214.1240446461989</v>
      </c>
      <c r="S36" s="6">
        <f t="shared" si="18"/>
        <v>-1262.8303619924081</v>
      </c>
      <c r="T36" s="6">
        <f t="shared" si="18"/>
        <v>-1262.8303619924081</v>
      </c>
      <c r="U36" s="6">
        <f t="shared" si="18"/>
        <v>-1316.5290768666039</v>
      </c>
      <c r="V36" s="6">
        <f t="shared" si="18"/>
        <v>-1316.5290768666039</v>
      </c>
    </row>
    <row r="38" spans="1:22" x14ac:dyDescent="0.45">
      <c r="A38" s="1" t="s">
        <v>24</v>
      </c>
    </row>
    <row r="39" spans="1:22" x14ac:dyDescent="0.45">
      <c r="A39" s="5" t="s">
        <v>9</v>
      </c>
      <c r="B39" s="5">
        <v>0</v>
      </c>
      <c r="C39" s="5">
        <v>1</v>
      </c>
      <c r="D39" s="5">
        <v>2</v>
      </c>
      <c r="E39" s="5">
        <v>3</v>
      </c>
      <c r="F39" s="5">
        <v>4</v>
      </c>
      <c r="G39" s="5">
        <v>5</v>
      </c>
      <c r="H39" s="5">
        <v>6</v>
      </c>
      <c r="I39" s="5">
        <v>7</v>
      </c>
      <c r="J39" s="5">
        <v>8</v>
      </c>
      <c r="K39" s="5">
        <v>9</v>
      </c>
      <c r="L39" s="5">
        <v>10</v>
      </c>
      <c r="M39" s="5">
        <v>11</v>
      </c>
      <c r="N39" s="5">
        <v>12</v>
      </c>
      <c r="O39" s="5">
        <v>13</v>
      </c>
      <c r="P39" s="5">
        <v>14</v>
      </c>
      <c r="Q39" s="5">
        <v>15</v>
      </c>
      <c r="R39" s="5">
        <v>16</v>
      </c>
      <c r="S39" s="5">
        <v>17</v>
      </c>
      <c r="T39" s="5">
        <v>18</v>
      </c>
      <c r="U39" s="5">
        <v>19</v>
      </c>
      <c r="V39" s="5">
        <v>20</v>
      </c>
    </row>
    <row r="40" spans="1:22" x14ac:dyDescent="0.45">
      <c r="A40" t="s">
        <v>21</v>
      </c>
      <c r="C40" s="2">
        <f>C23*$D$12</f>
        <v>0</v>
      </c>
      <c r="D40" s="2">
        <f>D23*$D$12</f>
        <v>0</v>
      </c>
      <c r="E40" s="2">
        <f>E23*$D$12</f>
        <v>0</v>
      </c>
      <c r="F40" s="2">
        <f>F23*$D$12</f>
        <v>0</v>
      </c>
      <c r="G40" s="2">
        <f>G23*$D$12</f>
        <v>0</v>
      </c>
      <c r="H40" s="2">
        <f>H23*$D$12</f>
        <v>0</v>
      </c>
      <c r="I40" s="2">
        <f>I23*$D$12</f>
        <v>0</v>
      </c>
      <c r="J40" s="2">
        <f>J23*$D$12</f>
        <v>0</v>
      </c>
      <c r="K40" s="2">
        <f>K23*$D$12</f>
        <v>0</v>
      </c>
      <c r="L40" s="2">
        <f>L23*$D$12</f>
        <v>0</v>
      </c>
      <c r="M40" s="2">
        <f>M23*$D$12</f>
        <v>0</v>
      </c>
      <c r="N40" s="2">
        <f>N23*$D$12</f>
        <v>0</v>
      </c>
      <c r="O40" s="2">
        <f>O23*$D$12</f>
        <v>0</v>
      </c>
      <c r="P40" s="2">
        <f>P23*$D$12</f>
        <v>0</v>
      </c>
      <c r="Q40" s="2">
        <f>Q23*$D$12</f>
        <v>0</v>
      </c>
      <c r="R40" s="2">
        <f>R23*$D$12</f>
        <v>0</v>
      </c>
      <c r="S40" s="2">
        <f>S23*$D$12</f>
        <v>0</v>
      </c>
      <c r="T40" s="2">
        <f>T23*$D$12</f>
        <v>0</v>
      </c>
      <c r="U40" s="2">
        <f>U23*$D$12</f>
        <v>0</v>
      </c>
      <c r="V40" s="2"/>
    </row>
    <row r="41" spans="1:22" x14ac:dyDescent="0.45">
      <c r="A41" t="s">
        <v>55</v>
      </c>
      <c r="C41" s="2">
        <f>$D$13*C26</f>
        <v>0</v>
      </c>
      <c r="D41" s="2">
        <f>$D$13*D26</f>
        <v>0</v>
      </c>
      <c r="E41" s="2">
        <f>$D$13*E26</f>
        <v>0</v>
      </c>
      <c r="F41" s="2">
        <f>$D$13*F26</f>
        <v>0</v>
      </c>
      <c r="G41" s="2">
        <f>$D$13*G26</f>
        <v>0</v>
      </c>
      <c r="H41" s="2">
        <f>$D$13*H26</f>
        <v>0</v>
      </c>
      <c r="I41" s="2">
        <f>$D$13*I26</f>
        <v>0</v>
      </c>
      <c r="J41" s="2">
        <f>$D$13*J26</f>
        <v>0</v>
      </c>
      <c r="K41" s="2">
        <f>$D$13*K26</f>
        <v>0</v>
      </c>
      <c r="L41" s="2">
        <f>$D$13*L26</f>
        <v>0</v>
      </c>
      <c r="M41" s="2">
        <f>$D$13*M26</f>
        <v>0</v>
      </c>
      <c r="N41" s="2">
        <f>$D$13*N26</f>
        <v>0</v>
      </c>
      <c r="O41" s="2">
        <f>$D$13*O26</f>
        <v>0</v>
      </c>
      <c r="P41" s="2">
        <f>$D$13*P26</f>
        <v>0</v>
      </c>
      <c r="Q41" s="2">
        <f>$D$13*Q26</f>
        <v>0</v>
      </c>
      <c r="R41" s="2">
        <f>$D$13*R26</f>
        <v>0</v>
      </c>
      <c r="S41" s="2">
        <f>$D$13*S26</f>
        <v>0</v>
      </c>
      <c r="T41" s="2">
        <f>$D$13*T26</f>
        <v>0</v>
      </c>
      <c r="U41" s="2">
        <f>$D$13*U26</f>
        <v>0</v>
      </c>
      <c r="V41" s="2"/>
    </row>
    <row r="42" spans="1:22" x14ac:dyDescent="0.45">
      <c r="A42" t="s">
        <v>23</v>
      </c>
      <c r="C42" s="2">
        <f>C30*$D$14</f>
        <v>0</v>
      </c>
      <c r="D42" s="2">
        <f>D30*$D$14</f>
        <v>0</v>
      </c>
      <c r="E42" s="2">
        <f>E30*$D$14</f>
        <v>0</v>
      </c>
      <c r="F42" s="2">
        <f>F30*$D$14</f>
        <v>0</v>
      </c>
      <c r="G42" s="2">
        <f>G30*$D$14</f>
        <v>0</v>
      </c>
      <c r="H42" s="2">
        <f>H30*$D$14</f>
        <v>0</v>
      </c>
      <c r="I42" s="2">
        <f>I30*$D$14</f>
        <v>0</v>
      </c>
      <c r="J42" s="2">
        <f>J30*$D$14</f>
        <v>0</v>
      </c>
      <c r="K42" s="2">
        <f>K30*$D$14</f>
        <v>0</v>
      </c>
      <c r="L42" s="2">
        <f>L30*$D$14</f>
        <v>0</v>
      </c>
      <c r="M42" s="2">
        <f>M30*$D$14</f>
        <v>0</v>
      </c>
      <c r="N42" s="2">
        <f>N30*$D$14</f>
        <v>0</v>
      </c>
      <c r="O42" s="2">
        <f>O30*$D$14</f>
        <v>0</v>
      </c>
      <c r="P42" s="2">
        <f>P30*$D$14</f>
        <v>0</v>
      </c>
      <c r="Q42" s="2">
        <f>Q30*$D$14</f>
        <v>0</v>
      </c>
      <c r="R42" s="2">
        <f>R30*$D$14</f>
        <v>0</v>
      </c>
      <c r="S42" s="2">
        <f>S30*$D$14</f>
        <v>0</v>
      </c>
      <c r="T42" s="2">
        <f>T30*$D$14</f>
        <v>0</v>
      </c>
      <c r="U42" s="2">
        <f>U30*$D$14</f>
        <v>0</v>
      </c>
      <c r="V42" s="2"/>
    </row>
    <row r="43" spans="1:22" ht="14.65" x14ac:dyDescent="0.45">
      <c r="A43" s="8" t="s">
        <v>25</v>
      </c>
      <c r="C43" s="2">
        <f>B40-C40</f>
        <v>0</v>
      </c>
      <c r="D43" s="2">
        <f t="shared" ref="D43:V44" si="19">C40-D40</f>
        <v>0</v>
      </c>
      <c r="E43" s="2">
        <f t="shared" si="19"/>
        <v>0</v>
      </c>
      <c r="F43" s="2">
        <f t="shared" si="19"/>
        <v>0</v>
      </c>
      <c r="G43" s="2">
        <f t="shared" si="19"/>
        <v>0</v>
      </c>
      <c r="H43" s="2">
        <f t="shared" si="19"/>
        <v>0</v>
      </c>
      <c r="I43" s="2">
        <f t="shared" si="19"/>
        <v>0</v>
      </c>
      <c r="J43" s="2">
        <f t="shared" si="19"/>
        <v>0</v>
      </c>
      <c r="K43" s="2">
        <f t="shared" si="19"/>
        <v>0</v>
      </c>
      <c r="L43" s="2">
        <f t="shared" si="19"/>
        <v>0</v>
      </c>
      <c r="M43" s="2">
        <f t="shared" si="19"/>
        <v>0</v>
      </c>
      <c r="N43" s="2">
        <f t="shared" si="19"/>
        <v>0</v>
      </c>
      <c r="O43" s="2">
        <f t="shared" si="19"/>
        <v>0</v>
      </c>
      <c r="P43" s="2">
        <f t="shared" si="19"/>
        <v>0</v>
      </c>
      <c r="Q43" s="2">
        <f t="shared" si="19"/>
        <v>0</v>
      </c>
      <c r="R43" s="2">
        <f t="shared" si="19"/>
        <v>0</v>
      </c>
      <c r="S43" s="2">
        <f t="shared" si="19"/>
        <v>0</v>
      </c>
      <c r="T43" s="2">
        <f t="shared" si="19"/>
        <v>0</v>
      </c>
      <c r="U43" s="2">
        <f t="shared" si="19"/>
        <v>0</v>
      </c>
      <c r="V43" s="2">
        <f t="shared" si="19"/>
        <v>0</v>
      </c>
    </row>
    <row r="44" spans="1:22" ht="14.65" x14ac:dyDescent="0.45">
      <c r="A44" s="8" t="s">
        <v>59</v>
      </c>
      <c r="C44" s="2">
        <f>B41-C41</f>
        <v>0</v>
      </c>
      <c r="D44" s="2">
        <f t="shared" si="19"/>
        <v>0</v>
      </c>
      <c r="E44" s="2">
        <f t="shared" si="19"/>
        <v>0</v>
      </c>
      <c r="F44" s="2">
        <f t="shared" si="19"/>
        <v>0</v>
      </c>
      <c r="G44" s="2">
        <f t="shared" si="19"/>
        <v>0</v>
      </c>
      <c r="H44" s="2">
        <f t="shared" si="19"/>
        <v>0</v>
      </c>
      <c r="I44" s="2">
        <f t="shared" si="19"/>
        <v>0</v>
      </c>
      <c r="J44" s="2">
        <f t="shared" si="19"/>
        <v>0</v>
      </c>
      <c r="K44" s="2">
        <f t="shared" si="19"/>
        <v>0</v>
      </c>
      <c r="L44" s="2">
        <f t="shared" si="19"/>
        <v>0</v>
      </c>
      <c r="M44" s="2">
        <f t="shared" si="19"/>
        <v>0</v>
      </c>
      <c r="N44" s="2">
        <f t="shared" si="19"/>
        <v>0</v>
      </c>
      <c r="O44" s="2">
        <f t="shared" si="19"/>
        <v>0</v>
      </c>
      <c r="P44" s="2">
        <f t="shared" si="19"/>
        <v>0</v>
      </c>
      <c r="Q44" s="2">
        <f t="shared" si="19"/>
        <v>0</v>
      </c>
      <c r="R44" s="2">
        <f t="shared" si="19"/>
        <v>0</v>
      </c>
      <c r="S44" s="2">
        <f t="shared" si="19"/>
        <v>0</v>
      </c>
      <c r="T44" s="2">
        <f t="shared" si="19"/>
        <v>0</v>
      </c>
      <c r="U44" s="2">
        <f t="shared" si="19"/>
        <v>0</v>
      </c>
      <c r="V44" s="2">
        <f t="shared" si="19"/>
        <v>0</v>
      </c>
    </row>
    <row r="45" spans="1:22" ht="14.65" x14ac:dyDescent="0.45">
      <c r="A45" s="9" t="s">
        <v>26</v>
      </c>
      <c r="B45" s="4"/>
      <c r="C45" s="6">
        <f>C42-B42</f>
        <v>0</v>
      </c>
      <c r="D45" s="6">
        <f t="shared" ref="D45:V45" si="20">D42-C42</f>
        <v>0</v>
      </c>
      <c r="E45" s="6">
        <f t="shared" si="20"/>
        <v>0</v>
      </c>
      <c r="F45" s="6">
        <f t="shared" si="20"/>
        <v>0</v>
      </c>
      <c r="G45" s="6">
        <f t="shared" si="20"/>
        <v>0</v>
      </c>
      <c r="H45" s="6">
        <f t="shared" si="20"/>
        <v>0</v>
      </c>
      <c r="I45" s="6">
        <f t="shared" si="20"/>
        <v>0</v>
      </c>
      <c r="J45" s="6">
        <f t="shared" si="20"/>
        <v>0</v>
      </c>
      <c r="K45" s="6">
        <f t="shared" si="20"/>
        <v>0</v>
      </c>
      <c r="L45" s="6">
        <f t="shared" si="20"/>
        <v>0</v>
      </c>
      <c r="M45" s="6">
        <f t="shared" si="20"/>
        <v>0</v>
      </c>
      <c r="N45" s="6">
        <f t="shared" si="20"/>
        <v>0</v>
      </c>
      <c r="O45" s="6">
        <f t="shared" si="20"/>
        <v>0</v>
      </c>
      <c r="P45" s="6">
        <f t="shared" si="20"/>
        <v>0</v>
      </c>
      <c r="Q45" s="6">
        <f t="shared" si="20"/>
        <v>0</v>
      </c>
      <c r="R45" s="6">
        <f t="shared" si="20"/>
        <v>0</v>
      </c>
      <c r="S45" s="6">
        <f t="shared" si="20"/>
        <v>0</v>
      </c>
      <c r="T45" s="6">
        <f t="shared" si="20"/>
        <v>0</v>
      </c>
      <c r="U45" s="6">
        <f t="shared" si="20"/>
        <v>0</v>
      </c>
      <c r="V45" s="6">
        <f t="shared" si="20"/>
        <v>0</v>
      </c>
    </row>
    <row r="47" spans="1:22" x14ac:dyDescent="0.45">
      <c r="A47" s="1" t="s">
        <v>27</v>
      </c>
    </row>
    <row r="48" spans="1:22" x14ac:dyDescent="0.45">
      <c r="A48" s="5" t="s">
        <v>9</v>
      </c>
      <c r="B48" s="5">
        <v>0</v>
      </c>
      <c r="C48" s="5">
        <v>1</v>
      </c>
      <c r="D48" s="5">
        <v>2</v>
      </c>
      <c r="E48" s="5">
        <v>3</v>
      </c>
      <c r="F48" s="5">
        <v>4</v>
      </c>
      <c r="G48" s="5">
        <v>5</v>
      </c>
      <c r="H48" s="5">
        <v>6</v>
      </c>
      <c r="I48" s="5">
        <v>7</v>
      </c>
      <c r="J48" s="5">
        <v>8</v>
      </c>
      <c r="K48" s="5">
        <v>9</v>
      </c>
      <c r="L48" s="5">
        <v>10</v>
      </c>
      <c r="M48" s="5">
        <v>11</v>
      </c>
      <c r="N48" s="5">
        <v>12</v>
      </c>
      <c r="O48" s="5">
        <v>13</v>
      </c>
      <c r="P48" s="5">
        <v>14</v>
      </c>
      <c r="Q48" s="5">
        <v>15</v>
      </c>
      <c r="R48" s="5">
        <v>16</v>
      </c>
      <c r="S48" s="5">
        <v>17</v>
      </c>
      <c r="T48" s="5">
        <v>18</v>
      </c>
      <c r="U48" s="5">
        <v>19</v>
      </c>
      <c r="V48" s="5">
        <v>20</v>
      </c>
    </row>
    <row r="49" spans="1:22" x14ac:dyDescent="0.45">
      <c r="A49" s="1" t="s">
        <v>28</v>
      </c>
    </row>
    <row r="50" spans="1:22" x14ac:dyDescent="0.45">
      <c r="A50" t="s">
        <v>29</v>
      </c>
      <c r="C50" s="2">
        <f>C23</f>
        <v>0</v>
      </c>
      <c r="D50" s="2">
        <f>D23</f>
        <v>0</v>
      </c>
      <c r="E50" s="2">
        <f>E23</f>
        <v>0</v>
      </c>
      <c r="F50" s="2">
        <f>F23</f>
        <v>0</v>
      </c>
      <c r="G50" s="2">
        <f>G23</f>
        <v>0</v>
      </c>
      <c r="H50" s="2">
        <f>H23</f>
        <v>0</v>
      </c>
      <c r="I50" s="2">
        <f>I23</f>
        <v>0</v>
      </c>
      <c r="J50" s="2">
        <f>J23</f>
        <v>0</v>
      </c>
      <c r="K50" s="2">
        <f>K23</f>
        <v>0</v>
      </c>
      <c r="L50" s="2">
        <f>L23</f>
        <v>0</v>
      </c>
      <c r="M50" s="2">
        <f>M23</f>
        <v>0</v>
      </c>
      <c r="N50" s="2">
        <f>N23</f>
        <v>0</v>
      </c>
      <c r="O50" s="2">
        <f>O23</f>
        <v>0</v>
      </c>
      <c r="P50" s="2">
        <f>P23</f>
        <v>0</v>
      </c>
      <c r="Q50" s="2">
        <f>Q23</f>
        <v>0</v>
      </c>
      <c r="R50" s="2">
        <f>R23</f>
        <v>0</v>
      </c>
      <c r="S50" s="2">
        <f>S23</f>
        <v>0</v>
      </c>
      <c r="T50" s="2">
        <f>T23</f>
        <v>0</v>
      </c>
      <c r="U50" s="2">
        <f>U23</f>
        <v>0</v>
      </c>
      <c r="V50" s="2">
        <f>V23</f>
        <v>0</v>
      </c>
    </row>
    <row r="51" spans="1:22" ht="14.65" x14ac:dyDescent="0.45">
      <c r="A51" s="8" t="s">
        <v>37</v>
      </c>
      <c r="C51" s="2">
        <f>C43</f>
        <v>0</v>
      </c>
      <c r="D51" s="2">
        <f t="shared" ref="D51:V51" si="21">D43</f>
        <v>0</v>
      </c>
      <c r="E51" s="2">
        <f t="shared" si="21"/>
        <v>0</v>
      </c>
      <c r="F51" s="2">
        <f t="shared" si="21"/>
        <v>0</v>
      </c>
      <c r="G51" s="2">
        <f t="shared" si="21"/>
        <v>0</v>
      </c>
      <c r="H51" s="2">
        <f t="shared" si="21"/>
        <v>0</v>
      </c>
      <c r="I51" s="2">
        <f t="shared" si="21"/>
        <v>0</v>
      </c>
      <c r="J51" s="2">
        <f t="shared" si="21"/>
        <v>0</v>
      </c>
      <c r="K51" s="2">
        <f t="shared" si="21"/>
        <v>0</v>
      </c>
      <c r="L51" s="2">
        <f t="shared" si="21"/>
        <v>0</v>
      </c>
      <c r="M51" s="2">
        <f t="shared" si="21"/>
        <v>0</v>
      </c>
      <c r="N51" s="2">
        <f t="shared" si="21"/>
        <v>0</v>
      </c>
      <c r="O51" s="2">
        <f t="shared" si="21"/>
        <v>0</v>
      </c>
      <c r="P51" s="2">
        <f t="shared" si="21"/>
        <v>0</v>
      </c>
      <c r="Q51" s="2">
        <f t="shared" si="21"/>
        <v>0</v>
      </c>
      <c r="R51" s="2">
        <f t="shared" si="21"/>
        <v>0</v>
      </c>
      <c r="S51" s="2">
        <f t="shared" si="21"/>
        <v>0</v>
      </c>
      <c r="T51" s="2">
        <f t="shared" si="21"/>
        <v>0</v>
      </c>
      <c r="U51" s="2">
        <f t="shared" si="21"/>
        <v>0</v>
      </c>
      <c r="V51" s="2">
        <f t="shared" si="21"/>
        <v>0</v>
      </c>
    </row>
    <row r="52" spans="1:22" x14ac:dyDescent="0.45">
      <c r="A52" s="1" t="s">
        <v>31</v>
      </c>
    </row>
    <row r="53" spans="1:22" x14ac:dyDescent="0.45">
      <c r="A53" t="s">
        <v>33</v>
      </c>
      <c r="B53">
        <f>B8</f>
        <v>30000</v>
      </c>
    </row>
    <row r="54" spans="1:22" x14ac:dyDescent="0.45">
      <c r="A54" t="s">
        <v>34</v>
      </c>
      <c r="B54">
        <f>B9</f>
        <v>20000</v>
      </c>
    </row>
    <row r="55" spans="1:22" x14ac:dyDescent="0.45">
      <c r="A55" t="s">
        <v>35</v>
      </c>
      <c r="C55" s="2">
        <f>C24</f>
        <v>1200</v>
      </c>
      <c r="D55" s="2">
        <f>D24</f>
        <v>1200</v>
      </c>
      <c r="E55" s="2">
        <f>E24</f>
        <v>1323</v>
      </c>
      <c r="F55" s="2">
        <f>F24</f>
        <v>1323</v>
      </c>
      <c r="G55" s="2">
        <f>G24</f>
        <v>1458.6075000000001</v>
      </c>
      <c r="H55" s="2">
        <f>H24</f>
        <v>1458.6075000000001</v>
      </c>
      <c r="I55" s="2">
        <f>I24</f>
        <v>1608.1147687499999</v>
      </c>
      <c r="J55" s="2">
        <f>J24</f>
        <v>1608.1147687499999</v>
      </c>
      <c r="K55" s="2">
        <f>K24</f>
        <v>1772.946532546875</v>
      </c>
      <c r="L55" s="2">
        <f>L24</f>
        <v>1772.946532546875</v>
      </c>
      <c r="M55" s="2">
        <f>M24</f>
        <v>1954.6735521329299</v>
      </c>
      <c r="N55" s="2">
        <f>N24</f>
        <v>1954.6735521329299</v>
      </c>
      <c r="O55" s="2">
        <f>O24</f>
        <v>2155.0275912265552</v>
      </c>
      <c r="P55" s="2">
        <f>P24</f>
        <v>2155.0275912265552</v>
      </c>
      <c r="Q55" s="2">
        <f>Q24</f>
        <v>2375.9179193272766</v>
      </c>
      <c r="R55" s="2">
        <f>R24</f>
        <v>2375.9179193272766</v>
      </c>
      <c r="S55" s="2">
        <f>S24</f>
        <v>2619.4495060583231</v>
      </c>
      <c r="T55" s="2">
        <f>T24</f>
        <v>2619.4495060583231</v>
      </c>
      <c r="U55" s="2">
        <f>U24</f>
        <v>2887.9430804293015</v>
      </c>
      <c r="V55" s="2">
        <f>V24</f>
        <v>2887.9430804293015</v>
      </c>
    </row>
    <row r="56" spans="1:22" s="34" customFormat="1" x14ac:dyDescent="0.45">
      <c r="A56" s="33" t="s">
        <v>77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 x14ac:dyDescent="0.45">
      <c r="A57" t="s">
        <v>36</v>
      </c>
      <c r="C57" s="2">
        <f>C26</f>
        <v>0</v>
      </c>
      <c r="D57" s="2">
        <f>D26</f>
        <v>0</v>
      </c>
      <c r="E57" s="2">
        <f>E26</f>
        <v>0</v>
      </c>
      <c r="F57" s="2">
        <f>F26</f>
        <v>0</v>
      </c>
      <c r="G57" s="2">
        <f>G26</f>
        <v>0</v>
      </c>
      <c r="H57" s="2">
        <f>H26</f>
        <v>0</v>
      </c>
      <c r="I57" s="2">
        <f>I26</f>
        <v>0</v>
      </c>
      <c r="J57" s="2">
        <f>J26</f>
        <v>0</v>
      </c>
      <c r="K57" s="2">
        <f>K26</f>
        <v>0</v>
      </c>
      <c r="L57" s="2">
        <f>L26</f>
        <v>0</v>
      </c>
      <c r="M57" s="2">
        <f>M26</f>
        <v>0</v>
      </c>
      <c r="N57" s="2">
        <f>N26</f>
        <v>0</v>
      </c>
      <c r="O57" s="2">
        <f>O26</f>
        <v>0</v>
      </c>
      <c r="P57" s="2">
        <f>P26</f>
        <v>0</v>
      </c>
      <c r="Q57" s="2">
        <f>Q26</f>
        <v>0</v>
      </c>
      <c r="R57" s="2">
        <f>R26</f>
        <v>0</v>
      </c>
      <c r="S57" s="2">
        <f>S26</f>
        <v>0</v>
      </c>
      <c r="T57" s="2">
        <f>T26</f>
        <v>0</v>
      </c>
      <c r="U57" s="2">
        <f>U26</f>
        <v>0</v>
      </c>
      <c r="V57" s="2">
        <f>V26</f>
        <v>0</v>
      </c>
    </row>
    <row r="58" spans="1:22" ht="14.65" x14ac:dyDescent="0.45">
      <c r="A58" s="8" t="s">
        <v>60</v>
      </c>
      <c r="C58" s="2">
        <f t="shared" ref="C58:V58" si="22">C44</f>
        <v>0</v>
      </c>
      <c r="D58" s="2">
        <f t="shared" si="22"/>
        <v>0</v>
      </c>
      <c r="E58" s="2">
        <f t="shared" si="22"/>
        <v>0</v>
      </c>
      <c r="F58" s="2">
        <f t="shared" si="22"/>
        <v>0</v>
      </c>
      <c r="G58" s="2">
        <f t="shared" si="22"/>
        <v>0</v>
      </c>
      <c r="H58" s="2">
        <f t="shared" si="22"/>
        <v>0</v>
      </c>
      <c r="I58" s="2">
        <f t="shared" si="22"/>
        <v>0</v>
      </c>
      <c r="J58" s="2">
        <f t="shared" si="22"/>
        <v>0</v>
      </c>
      <c r="K58" s="2">
        <f t="shared" si="22"/>
        <v>0</v>
      </c>
      <c r="L58" s="2">
        <f t="shared" si="22"/>
        <v>0</v>
      </c>
      <c r="M58" s="2">
        <f t="shared" si="22"/>
        <v>0</v>
      </c>
      <c r="N58" s="2">
        <f t="shared" si="22"/>
        <v>0</v>
      </c>
      <c r="O58" s="2">
        <f t="shared" si="22"/>
        <v>0</v>
      </c>
      <c r="P58" s="2">
        <f t="shared" si="22"/>
        <v>0</v>
      </c>
      <c r="Q58" s="2">
        <f t="shared" si="22"/>
        <v>0</v>
      </c>
      <c r="R58" s="2">
        <f t="shared" si="22"/>
        <v>0</v>
      </c>
      <c r="S58" s="2">
        <f t="shared" si="22"/>
        <v>0</v>
      </c>
      <c r="T58" s="2">
        <f t="shared" si="22"/>
        <v>0</v>
      </c>
      <c r="U58" s="2">
        <f t="shared" si="22"/>
        <v>0</v>
      </c>
      <c r="V58" s="2">
        <f t="shared" si="22"/>
        <v>0</v>
      </c>
    </row>
    <row r="59" spans="1:22" ht="14.65" x14ac:dyDescent="0.45">
      <c r="A59" s="8" t="s">
        <v>38</v>
      </c>
      <c r="C59" s="2">
        <f t="shared" ref="C59:V59" si="23">C45</f>
        <v>0</v>
      </c>
      <c r="D59" s="2">
        <f t="shared" si="23"/>
        <v>0</v>
      </c>
      <c r="E59" s="2">
        <f t="shared" si="23"/>
        <v>0</v>
      </c>
      <c r="F59" s="2">
        <f t="shared" si="23"/>
        <v>0</v>
      </c>
      <c r="G59" s="2">
        <f t="shared" si="23"/>
        <v>0</v>
      </c>
      <c r="H59" s="2">
        <f t="shared" si="23"/>
        <v>0</v>
      </c>
      <c r="I59" s="2">
        <f t="shared" si="23"/>
        <v>0</v>
      </c>
      <c r="J59" s="2">
        <f t="shared" si="23"/>
        <v>0</v>
      </c>
      <c r="K59" s="2">
        <f t="shared" si="23"/>
        <v>0</v>
      </c>
      <c r="L59" s="2">
        <f t="shared" si="23"/>
        <v>0</v>
      </c>
      <c r="M59" s="2">
        <f t="shared" si="23"/>
        <v>0</v>
      </c>
      <c r="N59" s="2">
        <f t="shared" si="23"/>
        <v>0</v>
      </c>
      <c r="O59" s="2">
        <f t="shared" si="23"/>
        <v>0</v>
      </c>
      <c r="P59" s="2">
        <f t="shared" si="23"/>
        <v>0</v>
      </c>
      <c r="Q59" s="2">
        <f t="shared" si="23"/>
        <v>0</v>
      </c>
      <c r="R59" s="2">
        <f t="shared" si="23"/>
        <v>0</v>
      </c>
      <c r="S59" s="2">
        <f t="shared" si="23"/>
        <v>0</v>
      </c>
      <c r="T59" s="2">
        <f t="shared" si="23"/>
        <v>0</v>
      </c>
      <c r="U59" s="2">
        <f t="shared" si="23"/>
        <v>0</v>
      </c>
      <c r="V59" s="2">
        <f t="shared" si="23"/>
        <v>0</v>
      </c>
    </row>
    <row r="60" spans="1:22" x14ac:dyDescent="0.45">
      <c r="A60" s="1" t="s">
        <v>46</v>
      </c>
      <c r="B60" s="2">
        <f t="shared" ref="B60:V60" si="24">SUM(B50:B51)-SUM(B53:B59)</f>
        <v>-50000</v>
      </c>
      <c r="C60" s="2">
        <f t="shared" si="24"/>
        <v>-1200</v>
      </c>
      <c r="D60" s="2">
        <f t="shared" si="24"/>
        <v>-1200</v>
      </c>
      <c r="E60" s="2">
        <f t="shared" si="24"/>
        <v>-1323</v>
      </c>
      <c r="F60" s="2">
        <f t="shared" si="24"/>
        <v>-1323</v>
      </c>
      <c r="G60" s="2">
        <f t="shared" si="24"/>
        <v>-1458.6075000000001</v>
      </c>
      <c r="H60" s="2">
        <f t="shared" si="24"/>
        <v>-1458.6075000000001</v>
      </c>
      <c r="I60" s="2">
        <f t="shared" si="24"/>
        <v>-1608.1147687499999</v>
      </c>
      <c r="J60" s="2">
        <f t="shared" si="24"/>
        <v>-1608.1147687499999</v>
      </c>
      <c r="K60" s="2">
        <f t="shared" si="24"/>
        <v>-1772.946532546875</v>
      </c>
      <c r="L60" s="2">
        <f t="shared" si="24"/>
        <v>-1772.946532546875</v>
      </c>
      <c r="M60" s="2">
        <f t="shared" si="24"/>
        <v>-1954.6735521329299</v>
      </c>
      <c r="N60" s="2">
        <f t="shared" si="24"/>
        <v>-1954.6735521329299</v>
      </c>
      <c r="O60" s="2">
        <f t="shared" si="24"/>
        <v>-2155.0275912265552</v>
      </c>
      <c r="P60" s="2">
        <f t="shared" si="24"/>
        <v>-2155.0275912265552</v>
      </c>
      <c r="Q60" s="2">
        <f t="shared" si="24"/>
        <v>-2375.9179193272766</v>
      </c>
      <c r="R60" s="2">
        <f t="shared" si="24"/>
        <v>-2375.9179193272766</v>
      </c>
      <c r="S60" s="2">
        <f t="shared" si="24"/>
        <v>-2619.4495060583231</v>
      </c>
      <c r="T60" s="2">
        <f t="shared" si="24"/>
        <v>-2619.4495060583231</v>
      </c>
      <c r="U60" s="2">
        <f t="shared" si="24"/>
        <v>-2887.9430804293015</v>
      </c>
      <c r="V60" s="2">
        <f t="shared" si="24"/>
        <v>-2887.9430804293015</v>
      </c>
    </row>
    <row r="61" spans="1:22" x14ac:dyDescent="0.45">
      <c r="A61" t="s">
        <v>39</v>
      </c>
      <c r="C61" s="2">
        <f t="shared" ref="C61:V61" si="25">C36</f>
        <v>-978.94046078074359</v>
      </c>
      <c r="D61" s="2">
        <f t="shared" si="25"/>
        <v>-978.94046078074359</v>
      </c>
      <c r="E61" s="2">
        <f t="shared" si="25"/>
        <v>-1003.5404607807436</v>
      </c>
      <c r="F61" s="2">
        <f t="shared" si="25"/>
        <v>-1003.5404607807436</v>
      </c>
      <c r="G61" s="2">
        <f t="shared" si="25"/>
        <v>-1030.6619607807436</v>
      </c>
      <c r="H61" s="2">
        <f t="shared" si="25"/>
        <v>-1030.6619607807436</v>
      </c>
      <c r="I61" s="2">
        <f t="shared" si="25"/>
        <v>-1060.5634145307436</v>
      </c>
      <c r="J61" s="2">
        <f t="shared" si="25"/>
        <v>-1060.5634145307436</v>
      </c>
      <c r="K61" s="2">
        <f t="shared" si="25"/>
        <v>-1093.5297672901186</v>
      </c>
      <c r="L61" s="2">
        <f t="shared" si="25"/>
        <v>-1093.5297672901186</v>
      </c>
      <c r="M61" s="2">
        <f t="shared" si="25"/>
        <v>-1129.8751712073297</v>
      </c>
      <c r="N61" s="2">
        <f t="shared" si="25"/>
        <v>-1129.8751712073297</v>
      </c>
      <c r="O61" s="2">
        <f t="shared" si="25"/>
        <v>-1169.9459790260546</v>
      </c>
      <c r="P61" s="2">
        <f t="shared" si="25"/>
        <v>-1169.9459790260546</v>
      </c>
      <c r="Q61" s="2">
        <f t="shared" si="25"/>
        <v>-1214.1240446461989</v>
      </c>
      <c r="R61" s="2">
        <f t="shared" si="25"/>
        <v>-1214.1240446461989</v>
      </c>
      <c r="S61" s="2">
        <f t="shared" si="25"/>
        <v>-1262.8303619924081</v>
      </c>
      <c r="T61" s="2">
        <f t="shared" si="25"/>
        <v>-1262.8303619924081</v>
      </c>
      <c r="U61" s="2">
        <f t="shared" si="25"/>
        <v>-1316.5290768666039</v>
      </c>
      <c r="V61" s="2">
        <f t="shared" si="25"/>
        <v>-1316.5290768666039</v>
      </c>
    </row>
    <row r="62" spans="1:22" x14ac:dyDescent="0.45">
      <c r="A62" s="3" t="s">
        <v>45</v>
      </c>
      <c r="B62" s="6">
        <f>B60-B61</f>
        <v>-50000</v>
      </c>
      <c r="C62" s="6">
        <f t="shared" ref="C62:V62" si="26">C60-C61</f>
        <v>-221.05953921925641</v>
      </c>
      <c r="D62" s="6">
        <f t="shared" si="26"/>
        <v>-221.05953921925641</v>
      </c>
      <c r="E62" s="6">
        <f t="shared" si="26"/>
        <v>-319.45953921925638</v>
      </c>
      <c r="F62" s="6">
        <f t="shared" si="26"/>
        <v>-319.45953921925638</v>
      </c>
      <c r="G62" s="6">
        <f t="shared" si="26"/>
        <v>-427.94553921925649</v>
      </c>
      <c r="H62" s="6">
        <f t="shared" si="26"/>
        <v>-427.94553921925649</v>
      </c>
      <c r="I62" s="6">
        <f t="shared" si="26"/>
        <v>-547.55135421925638</v>
      </c>
      <c r="J62" s="6">
        <f t="shared" si="26"/>
        <v>-547.55135421925638</v>
      </c>
      <c r="K62" s="6">
        <f t="shared" si="26"/>
        <v>-679.41676525675643</v>
      </c>
      <c r="L62" s="6">
        <f t="shared" si="26"/>
        <v>-679.41676525675643</v>
      </c>
      <c r="M62" s="6">
        <f t="shared" si="26"/>
        <v>-824.79838092560021</v>
      </c>
      <c r="N62" s="6">
        <f t="shared" si="26"/>
        <v>-824.79838092560021</v>
      </c>
      <c r="O62" s="6">
        <f t="shared" si="26"/>
        <v>-985.08161220050056</v>
      </c>
      <c r="P62" s="6">
        <f t="shared" si="26"/>
        <v>-985.08161220050056</v>
      </c>
      <c r="Q62" s="6">
        <f t="shared" si="26"/>
        <v>-1161.7938746810778</v>
      </c>
      <c r="R62" s="6">
        <f t="shared" si="26"/>
        <v>-1161.7938746810778</v>
      </c>
      <c r="S62" s="6">
        <f t="shared" si="26"/>
        <v>-1356.619144065915</v>
      </c>
      <c r="T62" s="6">
        <f t="shared" si="26"/>
        <v>-1356.619144065915</v>
      </c>
      <c r="U62" s="6">
        <f t="shared" si="26"/>
        <v>-1571.4140035626976</v>
      </c>
      <c r="V62" s="6">
        <f t="shared" si="26"/>
        <v>-1571.4140035626976</v>
      </c>
    </row>
    <row r="63" spans="1:22" x14ac:dyDescent="0.45">
      <c r="A63" t="s">
        <v>43</v>
      </c>
      <c r="B63" s="2">
        <f>B11</f>
        <v>35000</v>
      </c>
    </row>
    <row r="64" spans="1:22" x14ac:dyDescent="0.45">
      <c r="A64" t="s">
        <v>44</v>
      </c>
      <c r="C64" s="2">
        <f>-PMT($B$13,10,$B$11)</f>
        <v>5757.4056309321031</v>
      </c>
      <c r="D64" s="2">
        <f t="shared" ref="D64:L64" si="27">-PMT($B$13,10,$B$11)</f>
        <v>5757.4056309321031</v>
      </c>
      <c r="E64" s="2">
        <f t="shared" si="27"/>
        <v>5757.4056309321031</v>
      </c>
      <c r="F64" s="2">
        <f t="shared" si="27"/>
        <v>5757.4056309321031</v>
      </c>
      <c r="G64" s="2">
        <f t="shared" si="27"/>
        <v>5757.4056309321031</v>
      </c>
      <c r="H64" s="2">
        <f t="shared" si="27"/>
        <v>5757.4056309321031</v>
      </c>
      <c r="I64" s="2">
        <f t="shared" si="27"/>
        <v>5757.4056309321031</v>
      </c>
      <c r="J64" s="2">
        <f t="shared" si="27"/>
        <v>5757.4056309321031</v>
      </c>
      <c r="K64" s="2">
        <f t="shared" si="27"/>
        <v>5757.4056309321031</v>
      </c>
      <c r="L64" s="2">
        <f t="shared" si="27"/>
        <v>5757.4056309321031</v>
      </c>
      <c r="M64" s="2"/>
      <c r="N64" s="2"/>
      <c r="O64" s="2"/>
      <c r="P64" s="2"/>
      <c r="Q64" s="2"/>
      <c r="R64" s="2"/>
      <c r="S64" s="2"/>
      <c r="T64" s="2"/>
      <c r="U64" s="2"/>
    </row>
    <row r="65" spans="1:22" x14ac:dyDescent="0.45">
      <c r="A65" s="3" t="s">
        <v>47</v>
      </c>
      <c r="B65" s="6">
        <f>B62+B63-B64</f>
        <v>-15000</v>
      </c>
      <c r="C65" s="6">
        <f t="shared" ref="C65:V65" si="28">C62+C63-C64</f>
        <v>-5978.4651701513594</v>
      </c>
      <c r="D65" s="6">
        <f t="shared" si="28"/>
        <v>-5978.4651701513594</v>
      </c>
      <c r="E65" s="6">
        <f t="shared" si="28"/>
        <v>-6076.8651701513591</v>
      </c>
      <c r="F65" s="6">
        <f t="shared" si="28"/>
        <v>-6076.8651701513591</v>
      </c>
      <c r="G65" s="6">
        <f t="shared" si="28"/>
        <v>-6185.3511701513598</v>
      </c>
      <c r="H65" s="6">
        <f t="shared" si="28"/>
        <v>-6185.3511701513598</v>
      </c>
      <c r="I65" s="6">
        <f t="shared" si="28"/>
        <v>-6304.9569851513597</v>
      </c>
      <c r="J65" s="6">
        <f t="shared" si="28"/>
        <v>-6304.9569851513597</v>
      </c>
      <c r="K65" s="6">
        <f t="shared" si="28"/>
        <v>-6436.8223961888598</v>
      </c>
      <c r="L65" s="6">
        <f t="shared" si="28"/>
        <v>-6436.8223961888598</v>
      </c>
      <c r="M65" s="6">
        <f t="shared" si="28"/>
        <v>-824.79838092560021</v>
      </c>
      <c r="N65" s="6">
        <f t="shared" si="28"/>
        <v>-824.79838092560021</v>
      </c>
      <c r="O65" s="6">
        <f t="shared" si="28"/>
        <v>-985.08161220050056</v>
      </c>
      <c r="P65" s="6">
        <f t="shared" si="28"/>
        <v>-985.08161220050056</v>
      </c>
      <c r="Q65" s="6">
        <f t="shared" si="28"/>
        <v>-1161.7938746810778</v>
      </c>
      <c r="R65" s="6">
        <f t="shared" si="28"/>
        <v>-1161.7938746810778</v>
      </c>
      <c r="S65" s="6">
        <f t="shared" si="28"/>
        <v>-1356.619144065915</v>
      </c>
      <c r="T65" s="6">
        <f t="shared" si="28"/>
        <v>-1356.619144065915</v>
      </c>
      <c r="U65" s="6">
        <f t="shared" si="28"/>
        <v>-1571.4140035626976</v>
      </c>
      <c r="V65" s="6">
        <f t="shared" si="28"/>
        <v>-1571.4140035626976</v>
      </c>
    </row>
    <row r="66" spans="1:22" ht="16.899999999999999" customHeight="1" x14ac:dyDescent="0.45">
      <c r="A66" s="1"/>
      <c r="B66" s="50" t="s">
        <v>79</v>
      </c>
      <c r="C66" s="50" t="s">
        <v>76</v>
      </c>
      <c r="D66" s="50" t="s">
        <v>73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45">
      <c r="A67" s="21" t="s">
        <v>48</v>
      </c>
      <c r="B67" s="23"/>
      <c r="C67" s="37">
        <f>'TH4_Đất thuê 2'!B68</f>
        <v>0</v>
      </c>
      <c r="D67" s="28">
        <f>'TH3_Đất thuê 1'!B67</f>
        <v>0</v>
      </c>
    </row>
    <row r="68" spans="1:22" x14ac:dyDescent="0.45">
      <c r="A68" s="21" t="s">
        <v>49</v>
      </c>
      <c r="B68" s="23"/>
      <c r="C68" s="37">
        <f>'TH4_Đất thuê 2'!B69</f>
        <v>0</v>
      </c>
      <c r="D68" s="28">
        <f>'TH3_Đất thuê 1'!B68</f>
        <v>0</v>
      </c>
    </row>
    <row r="69" spans="1:22" x14ac:dyDescent="0.45">
      <c r="A69" s="21" t="s">
        <v>50</v>
      </c>
      <c r="B69" s="24"/>
      <c r="C69" s="38">
        <f>'TH4_Đất thuê 2'!B70</f>
        <v>0</v>
      </c>
      <c r="D69" s="29">
        <f>'TH3_Đất thuê 1'!B69</f>
        <v>0</v>
      </c>
    </row>
    <row r="70" spans="1:22" x14ac:dyDescent="0.45">
      <c r="A70" s="21" t="s">
        <v>51</v>
      </c>
      <c r="B70" s="24"/>
      <c r="C70" s="38">
        <f>'TH4_Đất thuê 2'!B71</f>
        <v>0</v>
      </c>
      <c r="D70" s="29">
        <f>'TH3_Đất thuê 1'!B70</f>
        <v>0</v>
      </c>
    </row>
    <row r="71" spans="1:22" x14ac:dyDescent="0.45">
      <c r="A71" s="21" t="s">
        <v>82</v>
      </c>
      <c r="B71" s="24"/>
      <c r="C71" s="38">
        <f>'TH4_Đất thuê 2'!B72</f>
        <v>0</v>
      </c>
      <c r="D71" s="29">
        <f>'TH3_Đất thuê 1'!B71</f>
        <v>0</v>
      </c>
    </row>
    <row r="72" spans="1:22" x14ac:dyDescent="0.45">
      <c r="A72" s="21" t="s">
        <v>83</v>
      </c>
      <c r="B72" s="24"/>
      <c r="C72" s="38">
        <f>'TH4_Đất thuê 2'!B73</f>
        <v>0</v>
      </c>
      <c r="D72" s="29">
        <f>'TH3_Đất thuê 1'!B72</f>
        <v>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2594-B128-4BB1-8B46-13F3FA93F334}">
  <dimension ref="A1:W75"/>
  <sheetViews>
    <sheetView tabSelected="1" topLeftCell="A48" zoomScale="89" workbookViewId="0">
      <selection activeCell="A67" sqref="A67"/>
    </sheetView>
  </sheetViews>
  <sheetFormatPr defaultRowHeight="14.25" x14ac:dyDescent="0.45"/>
  <cols>
    <col min="1" max="1" width="25.06640625" customWidth="1"/>
    <col min="2" max="2" width="19.86328125" bestFit="1" customWidth="1"/>
    <col min="3" max="3" width="16.796875" customWidth="1"/>
    <col min="4" max="12" width="13.33203125" bestFit="1" customWidth="1"/>
    <col min="13" max="21" width="13.33203125" customWidth="1"/>
    <col min="22" max="22" width="13.33203125" bestFit="1" customWidth="1"/>
  </cols>
  <sheetData>
    <row r="1" spans="1:22" ht="26.65" x14ac:dyDescent="0.85">
      <c r="A1" s="19" t="s">
        <v>63</v>
      </c>
    </row>
    <row r="2" spans="1:22" ht="19.5" x14ac:dyDescent="0.45">
      <c r="A2" s="41" t="s">
        <v>81</v>
      </c>
    </row>
    <row r="3" spans="1:22" ht="13.15" customHeight="1" x14ac:dyDescent="0.6">
      <c r="A3" s="20"/>
    </row>
    <row r="5" spans="1:22" ht="19.5" x14ac:dyDescent="0.6">
      <c r="A5" s="53" t="s">
        <v>88</v>
      </c>
      <c r="B5" s="4"/>
      <c r="C5" s="4"/>
      <c r="D5" s="4"/>
      <c r="E5" s="4"/>
      <c r="F5" s="4"/>
      <c r="G5" s="4"/>
    </row>
    <row r="6" spans="1:22" x14ac:dyDescent="0.45">
      <c r="A6" s="1" t="s">
        <v>4</v>
      </c>
      <c r="C6" s="1" t="s">
        <v>40</v>
      </c>
      <c r="F6" s="1" t="s">
        <v>41</v>
      </c>
    </row>
    <row r="7" spans="1:22" x14ac:dyDescent="0.45">
      <c r="A7" s="30"/>
      <c r="B7" s="31"/>
      <c r="C7" t="s">
        <v>13</v>
      </c>
      <c r="D7" s="11">
        <v>1200</v>
      </c>
      <c r="F7" t="s">
        <v>6</v>
      </c>
      <c r="G7" s="12">
        <v>0.05</v>
      </c>
    </row>
    <row r="8" spans="1:22" x14ac:dyDescent="0.45">
      <c r="A8" t="s">
        <v>0</v>
      </c>
      <c r="B8" s="11">
        <v>30000</v>
      </c>
      <c r="C8" s="32" t="s">
        <v>75</v>
      </c>
      <c r="D8" s="28">
        <f>10000/20</f>
        <v>500</v>
      </c>
      <c r="F8" t="s">
        <v>7</v>
      </c>
      <c r="G8" s="12">
        <v>0.2</v>
      </c>
    </row>
    <row r="9" spans="1:22" ht="15.75" x14ac:dyDescent="0.55000000000000004">
      <c r="A9" t="s">
        <v>1</v>
      </c>
      <c r="B9" s="11">
        <v>20000</v>
      </c>
      <c r="C9" t="s">
        <v>14</v>
      </c>
      <c r="D9" s="12">
        <v>0.2</v>
      </c>
      <c r="E9" s="7" t="s">
        <v>22</v>
      </c>
      <c r="F9" t="s">
        <v>61</v>
      </c>
      <c r="G9" s="12">
        <v>0.1</v>
      </c>
    </row>
    <row r="10" spans="1:22" ht="15.75" x14ac:dyDescent="0.55000000000000004">
      <c r="A10" s="1" t="s">
        <v>57</v>
      </c>
      <c r="C10" t="s">
        <v>89</v>
      </c>
      <c r="D10" s="11">
        <v>9000</v>
      </c>
      <c r="E10" s="12">
        <v>0.03</v>
      </c>
      <c r="F10" t="s">
        <v>62</v>
      </c>
      <c r="G10" s="27">
        <f>G9+G7+G9*G7</f>
        <v>0.15500000000000003</v>
      </c>
    </row>
    <row r="11" spans="1:22" x14ac:dyDescent="0.45">
      <c r="A11" t="s">
        <v>3</v>
      </c>
      <c r="B11" s="11">
        <f>70%*(B8+B9)</f>
        <v>35000</v>
      </c>
      <c r="C11" s="1" t="s">
        <v>20</v>
      </c>
      <c r="D11" s="11"/>
      <c r="F11" t="s">
        <v>42</v>
      </c>
      <c r="G11" s="15">
        <f>0.7*B13+0.3*G10</f>
        <v>0.11824999999999999</v>
      </c>
    </row>
    <row r="12" spans="1:22" x14ac:dyDescent="0.45">
      <c r="A12" t="s">
        <v>53</v>
      </c>
      <c r="B12" s="12">
        <v>0.05</v>
      </c>
      <c r="C12" t="s">
        <v>21</v>
      </c>
      <c r="D12" s="12">
        <v>0.1</v>
      </c>
      <c r="E12" s="7" t="s">
        <v>22</v>
      </c>
      <c r="F12" t="s">
        <v>58</v>
      </c>
      <c r="G12" s="12">
        <v>0</v>
      </c>
    </row>
    <row r="13" spans="1:22" x14ac:dyDescent="0.45">
      <c r="A13" t="s">
        <v>54</v>
      </c>
      <c r="B13" s="27">
        <f>B12+G7+B12*G7</f>
        <v>0.10250000000000001</v>
      </c>
      <c r="C13" t="s">
        <v>55</v>
      </c>
      <c r="D13" s="12">
        <v>0.1</v>
      </c>
      <c r="E13" s="7" t="s">
        <v>56</v>
      </c>
      <c r="F13" t="s">
        <v>30</v>
      </c>
      <c r="G13" s="18">
        <v>20</v>
      </c>
    </row>
    <row r="14" spans="1:22" x14ac:dyDescent="0.45">
      <c r="A14" s="4" t="s">
        <v>18</v>
      </c>
      <c r="B14" s="13">
        <v>10</v>
      </c>
      <c r="C14" s="4" t="s">
        <v>23</v>
      </c>
      <c r="D14" s="14">
        <v>0.05</v>
      </c>
      <c r="E14" s="10" t="s">
        <v>22</v>
      </c>
      <c r="F14" s="4" t="s">
        <v>2</v>
      </c>
      <c r="G14" s="16">
        <v>20</v>
      </c>
    </row>
    <row r="16" spans="1:22" x14ac:dyDescent="0.45">
      <c r="A16" s="3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45">
      <c r="A17" s="5" t="s">
        <v>9</v>
      </c>
      <c r="B17" s="5">
        <v>0</v>
      </c>
      <c r="C17" s="5">
        <v>1</v>
      </c>
      <c r="D17" s="5">
        <v>2</v>
      </c>
      <c r="E17" s="5">
        <v>3</v>
      </c>
      <c r="F17" s="5">
        <v>4</v>
      </c>
      <c r="G17" s="5">
        <v>5</v>
      </c>
      <c r="H17" s="5">
        <v>6</v>
      </c>
      <c r="I17" s="5">
        <v>7</v>
      </c>
      <c r="J17" s="5">
        <v>8</v>
      </c>
      <c r="K17" s="5">
        <v>9</v>
      </c>
      <c r="L17" s="5">
        <v>10</v>
      </c>
      <c r="M17" s="5">
        <v>11</v>
      </c>
      <c r="N17" s="5">
        <v>12</v>
      </c>
      <c r="O17" s="5">
        <v>13</v>
      </c>
      <c r="P17" s="5">
        <v>14</v>
      </c>
      <c r="Q17" s="5">
        <v>15</v>
      </c>
      <c r="R17" s="5">
        <v>16</v>
      </c>
      <c r="S17" s="5">
        <v>17</v>
      </c>
      <c r="T17" s="5">
        <v>18</v>
      </c>
      <c r="U17" s="5">
        <v>19</v>
      </c>
      <c r="V17" s="5">
        <v>20</v>
      </c>
    </row>
    <row r="18" spans="1:22" x14ac:dyDescent="0.45">
      <c r="A18" s="46" t="s">
        <v>10</v>
      </c>
      <c r="B18" s="47"/>
      <c r="C18" s="47">
        <f t="shared" ref="C18:V18" si="0">(1+$G$7)^C17</f>
        <v>1.05</v>
      </c>
      <c r="D18" s="47">
        <f t="shared" si="0"/>
        <v>1.1025</v>
      </c>
      <c r="E18" s="47">
        <f t="shared" si="0"/>
        <v>1.1576250000000001</v>
      </c>
      <c r="F18" s="47">
        <f t="shared" si="0"/>
        <v>1.21550625</v>
      </c>
      <c r="G18" s="47">
        <f t="shared" si="0"/>
        <v>1.2762815625000001</v>
      </c>
      <c r="H18" s="47">
        <f t="shared" si="0"/>
        <v>1.340095640625</v>
      </c>
      <c r="I18" s="47">
        <f t="shared" si="0"/>
        <v>1.4071004226562502</v>
      </c>
      <c r="J18" s="47">
        <f t="shared" si="0"/>
        <v>1.4774554437890626</v>
      </c>
      <c r="K18" s="47">
        <f t="shared" si="0"/>
        <v>1.5513282159785158</v>
      </c>
      <c r="L18" s="47">
        <f t="shared" si="0"/>
        <v>1.6288946267774416</v>
      </c>
      <c r="M18" s="47">
        <f t="shared" si="0"/>
        <v>1.7103393581163138</v>
      </c>
      <c r="N18" s="47">
        <f t="shared" si="0"/>
        <v>1.7958563260221292</v>
      </c>
      <c r="O18" s="47">
        <f t="shared" si="0"/>
        <v>1.885649142323236</v>
      </c>
      <c r="P18" s="47">
        <f t="shared" si="0"/>
        <v>1.9799315994393973</v>
      </c>
      <c r="Q18" s="47">
        <f t="shared" si="0"/>
        <v>2.0789281794113679</v>
      </c>
      <c r="R18" s="47">
        <f t="shared" si="0"/>
        <v>2.182874588381936</v>
      </c>
      <c r="S18" s="47">
        <f t="shared" si="0"/>
        <v>2.2920183178010332</v>
      </c>
      <c r="T18" s="47">
        <f t="shared" si="0"/>
        <v>2.4066192336910848</v>
      </c>
      <c r="U18" s="47">
        <f t="shared" si="0"/>
        <v>2.526950195375639</v>
      </c>
      <c r="V18" s="47">
        <f t="shared" si="0"/>
        <v>2.6532977051444209</v>
      </c>
    </row>
    <row r="19" spans="1:22" s="45" customFormat="1" x14ac:dyDescent="0.45">
      <c r="A19" s="48" t="s">
        <v>90</v>
      </c>
      <c r="B19" s="6"/>
      <c r="C19" s="6">
        <f>(1+$E$10)^C17</f>
        <v>1.03</v>
      </c>
      <c r="D19" s="6">
        <f t="shared" ref="D19:V19" si="1">(1+$E$10)^D17</f>
        <v>1.0609</v>
      </c>
      <c r="E19" s="6">
        <f t="shared" si="1"/>
        <v>1.092727</v>
      </c>
      <c r="F19" s="6">
        <f t="shared" si="1"/>
        <v>1.1255088099999999</v>
      </c>
      <c r="G19" s="6">
        <f t="shared" si="1"/>
        <v>1.1592740742999998</v>
      </c>
      <c r="H19" s="6">
        <f t="shared" si="1"/>
        <v>1.1940522965289999</v>
      </c>
      <c r="I19" s="6">
        <f t="shared" si="1"/>
        <v>1.22987386542487</v>
      </c>
      <c r="J19" s="6">
        <f t="shared" si="1"/>
        <v>1.2667700813876159</v>
      </c>
      <c r="K19" s="6">
        <f t="shared" si="1"/>
        <v>1.3047731838292445</v>
      </c>
      <c r="L19" s="6">
        <f t="shared" si="1"/>
        <v>1.3439163793441218</v>
      </c>
      <c r="M19" s="6">
        <f t="shared" si="1"/>
        <v>1.3842338707244455</v>
      </c>
      <c r="N19" s="6">
        <f t="shared" si="1"/>
        <v>1.4257608868461786</v>
      </c>
      <c r="O19" s="6">
        <f t="shared" si="1"/>
        <v>1.4685337134515639</v>
      </c>
      <c r="P19" s="6">
        <f t="shared" si="1"/>
        <v>1.512589724855111</v>
      </c>
      <c r="Q19" s="6">
        <f t="shared" si="1"/>
        <v>1.5579674166007644</v>
      </c>
      <c r="R19" s="6">
        <f t="shared" si="1"/>
        <v>1.6047064390987871</v>
      </c>
      <c r="S19" s="6">
        <f t="shared" si="1"/>
        <v>1.6528476322717507</v>
      </c>
      <c r="T19" s="6">
        <f t="shared" si="1"/>
        <v>1.7024330612399032</v>
      </c>
      <c r="U19" s="6">
        <f t="shared" si="1"/>
        <v>1.7535060530771003</v>
      </c>
      <c r="V19" s="6">
        <f t="shared" si="1"/>
        <v>1.8061112346694133</v>
      </c>
    </row>
    <row r="21" spans="1:22" x14ac:dyDescent="0.45">
      <c r="A21" s="1" t="s">
        <v>11</v>
      </c>
    </row>
    <row r="22" spans="1:22" x14ac:dyDescent="0.45">
      <c r="A22" s="5" t="s">
        <v>9</v>
      </c>
      <c r="B22" s="5">
        <v>0</v>
      </c>
      <c r="C22" s="5">
        <v>1</v>
      </c>
      <c r="D22" s="5">
        <v>2</v>
      </c>
      <c r="E22" s="5">
        <v>3</v>
      </c>
      <c r="F22" s="5">
        <v>4</v>
      </c>
      <c r="G22" s="5">
        <v>5</v>
      </c>
      <c r="H22" s="5">
        <v>6</v>
      </c>
      <c r="I22" s="5">
        <v>7</v>
      </c>
      <c r="J22" s="5">
        <v>8</v>
      </c>
      <c r="K22" s="5">
        <v>9</v>
      </c>
      <c r="L22" s="5">
        <v>10</v>
      </c>
      <c r="M22" s="5">
        <v>11</v>
      </c>
      <c r="N22" s="5">
        <v>12</v>
      </c>
      <c r="O22" s="5">
        <v>13</v>
      </c>
      <c r="P22" s="5">
        <v>14</v>
      </c>
      <c r="Q22" s="5">
        <v>15</v>
      </c>
      <c r="R22" s="5">
        <v>16</v>
      </c>
      <c r="S22" s="5">
        <v>17</v>
      </c>
      <c r="T22" s="5">
        <v>18</v>
      </c>
      <c r="U22" s="5">
        <v>19</v>
      </c>
      <c r="V22" s="5">
        <v>20</v>
      </c>
    </row>
    <row r="23" spans="1:22" x14ac:dyDescent="0.45">
      <c r="A23" t="s">
        <v>12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2" x14ac:dyDescent="0.45">
      <c r="A24" t="s">
        <v>13</v>
      </c>
      <c r="C24" s="2">
        <f>$D$7</f>
        <v>1200</v>
      </c>
      <c r="D24" s="2">
        <f t="shared" ref="D24" si="2">$D$7</f>
        <v>1200</v>
      </c>
      <c r="E24" s="2">
        <f>$D$7*$D$18</f>
        <v>1323</v>
      </c>
      <c r="F24" s="2">
        <f t="shared" ref="F24" si="3">$D$7*$D$18</f>
        <v>1323</v>
      </c>
      <c r="G24" s="2">
        <f>$D$7*$F$18</f>
        <v>1458.6075000000001</v>
      </c>
      <c r="H24" s="2">
        <f t="shared" ref="H24" si="4">$D$7*$F$18</f>
        <v>1458.6075000000001</v>
      </c>
      <c r="I24" s="2">
        <f>$D$7*$H$18</f>
        <v>1608.1147687499999</v>
      </c>
      <c r="J24" s="2">
        <f t="shared" ref="J24" si="5">$D$7*$H$18</f>
        <v>1608.1147687499999</v>
      </c>
      <c r="K24" s="2">
        <f>$D$7*$J$18</f>
        <v>1772.946532546875</v>
      </c>
      <c r="L24" s="2">
        <f t="shared" ref="L24" si="6">$D$7*$J$18</f>
        <v>1772.946532546875</v>
      </c>
      <c r="M24" s="2">
        <f>$D$7*$L$18</f>
        <v>1954.6735521329299</v>
      </c>
      <c r="N24" s="2">
        <f t="shared" ref="N24" si="7">$D$7*$L$18</f>
        <v>1954.6735521329299</v>
      </c>
      <c r="O24" s="2">
        <f>$D$7*$N$18</f>
        <v>2155.0275912265552</v>
      </c>
      <c r="P24" s="2">
        <f t="shared" ref="P24" si="8">$D$7*$N$18</f>
        <v>2155.0275912265552</v>
      </c>
      <c r="Q24" s="2">
        <f>$D$7*$P$18</f>
        <v>2375.9179193272766</v>
      </c>
      <c r="R24" s="2">
        <f t="shared" ref="R24" si="9">$D$7*$P$18</f>
        <v>2375.9179193272766</v>
      </c>
      <c r="S24" s="2">
        <f>$D$7*$R$18</f>
        <v>2619.4495060583231</v>
      </c>
      <c r="T24" s="2">
        <f t="shared" ref="T24" si="10">$D$7*$R$18</f>
        <v>2619.4495060583231</v>
      </c>
      <c r="U24" s="2">
        <f>$D$7*$T$18</f>
        <v>2887.9430804293015</v>
      </c>
      <c r="V24" s="2">
        <f t="shared" ref="V24" si="11">$D$7*$T$18</f>
        <v>2887.9430804293015</v>
      </c>
    </row>
    <row r="25" spans="1:22" x14ac:dyDescent="0.45">
      <c r="A25" t="s">
        <v>70</v>
      </c>
      <c r="C25" s="2">
        <f>$D$8</f>
        <v>500</v>
      </c>
      <c r="D25" s="2">
        <f t="shared" ref="D25" si="12">$D$8</f>
        <v>500</v>
      </c>
      <c r="E25" s="2">
        <f>$D$8*$D$18</f>
        <v>551.25</v>
      </c>
      <c r="F25" s="2">
        <f t="shared" ref="F25" si="13">$D$8*$D$18</f>
        <v>551.25</v>
      </c>
      <c r="G25" s="2">
        <f>$D$8*$F$18</f>
        <v>607.75312499999995</v>
      </c>
      <c r="H25" s="2">
        <f t="shared" ref="H25" si="14">$D$8*$F$18</f>
        <v>607.75312499999995</v>
      </c>
      <c r="I25" s="2">
        <f>$D$8*$H$18</f>
        <v>670.04782031249999</v>
      </c>
      <c r="J25" s="2">
        <f t="shared" ref="J25" si="15">$D$8*$H$18</f>
        <v>670.04782031249999</v>
      </c>
      <c r="K25" s="2">
        <f>$D$8*$J$18</f>
        <v>738.72772189453133</v>
      </c>
      <c r="L25" s="2">
        <f t="shared" ref="L25" si="16">$D$8*$J$18</f>
        <v>738.72772189453133</v>
      </c>
      <c r="M25" s="2">
        <f>$D$8*$L$18</f>
        <v>814.44731338872077</v>
      </c>
      <c r="N25" s="2">
        <f t="shared" ref="N25" si="17">$D$8*$L$18</f>
        <v>814.44731338872077</v>
      </c>
      <c r="O25" s="2">
        <f>$D$8*$N$18</f>
        <v>897.92816301106461</v>
      </c>
      <c r="P25" s="2">
        <f t="shared" ref="P25" si="18">$D$8*$N$18</f>
        <v>897.92816301106461</v>
      </c>
      <c r="Q25" s="2">
        <f>$D$8*$P$18</f>
        <v>989.96579971969868</v>
      </c>
      <c r="R25" s="2">
        <f t="shared" ref="R25" si="19">$D$8*$P$18</f>
        <v>989.96579971969868</v>
      </c>
      <c r="S25" s="2">
        <f>$D$8*$R$18</f>
        <v>1091.437294190968</v>
      </c>
      <c r="T25" s="2">
        <f t="shared" ref="T25" si="20">$D$8*$R$18</f>
        <v>1091.437294190968</v>
      </c>
      <c r="U25" s="2">
        <f>$D$8*$T$18</f>
        <v>1203.3096168455425</v>
      </c>
      <c r="V25" s="2">
        <f t="shared" ref="V25" si="21">$D$8*$T$18</f>
        <v>1203.3096168455425</v>
      </c>
    </row>
    <row r="26" spans="1:22" x14ac:dyDescent="0.45">
      <c r="A26" s="4" t="s">
        <v>14</v>
      </c>
      <c r="B26" s="4"/>
      <c r="C26" s="6">
        <f t="shared" ref="C26:V26" si="22">C23*$D$9</f>
        <v>0</v>
      </c>
      <c r="D26" s="6">
        <f t="shared" si="22"/>
        <v>0</v>
      </c>
      <c r="E26" s="6">
        <f t="shared" si="22"/>
        <v>0</v>
      </c>
      <c r="F26" s="6">
        <f t="shared" si="22"/>
        <v>0</v>
      </c>
      <c r="G26" s="6">
        <f t="shared" si="22"/>
        <v>0</v>
      </c>
      <c r="H26" s="6">
        <f t="shared" si="22"/>
        <v>0</v>
      </c>
      <c r="I26" s="6">
        <f t="shared" si="22"/>
        <v>0</v>
      </c>
      <c r="J26" s="6">
        <f t="shared" si="22"/>
        <v>0</v>
      </c>
      <c r="K26" s="6">
        <f t="shared" si="22"/>
        <v>0</v>
      </c>
      <c r="L26" s="6">
        <f t="shared" si="22"/>
        <v>0</v>
      </c>
      <c r="M26" s="6">
        <f t="shared" si="22"/>
        <v>0</v>
      </c>
      <c r="N26" s="6">
        <f t="shared" si="22"/>
        <v>0</v>
      </c>
      <c r="O26" s="6">
        <f t="shared" si="22"/>
        <v>0</v>
      </c>
      <c r="P26" s="6">
        <f t="shared" si="22"/>
        <v>0</v>
      </c>
      <c r="Q26" s="6">
        <f t="shared" si="22"/>
        <v>0</v>
      </c>
      <c r="R26" s="6">
        <f t="shared" si="22"/>
        <v>0</v>
      </c>
      <c r="S26" s="6">
        <f t="shared" si="22"/>
        <v>0</v>
      </c>
      <c r="T26" s="6">
        <f t="shared" si="22"/>
        <v>0</v>
      </c>
      <c r="U26" s="6">
        <f t="shared" si="22"/>
        <v>0</v>
      </c>
      <c r="V26" s="6">
        <f t="shared" si="22"/>
        <v>0</v>
      </c>
    </row>
    <row r="28" spans="1:22" x14ac:dyDescent="0.45">
      <c r="A28" s="1" t="s">
        <v>15</v>
      </c>
    </row>
    <row r="29" spans="1:22" x14ac:dyDescent="0.45">
      <c r="A29" s="5" t="s">
        <v>9</v>
      </c>
      <c r="B29" s="5">
        <v>0</v>
      </c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  <c r="O29" s="5">
        <v>13</v>
      </c>
      <c r="P29" s="5">
        <v>14</v>
      </c>
      <c r="Q29" s="5">
        <v>15</v>
      </c>
      <c r="R29" s="5">
        <v>16</v>
      </c>
      <c r="S29" s="5">
        <v>17</v>
      </c>
      <c r="T29" s="5">
        <v>18</v>
      </c>
      <c r="U29" s="5">
        <v>19</v>
      </c>
      <c r="V29" s="5">
        <v>20</v>
      </c>
    </row>
    <row r="30" spans="1:22" x14ac:dyDescent="0.45">
      <c r="A30" t="s">
        <v>5</v>
      </c>
      <c r="C30" s="2">
        <f>C23</f>
        <v>0</v>
      </c>
      <c r="D30" s="2">
        <f t="shared" ref="D30:V30" si="23">D23</f>
        <v>0</v>
      </c>
      <c r="E30" s="2">
        <f t="shared" si="23"/>
        <v>0</v>
      </c>
      <c r="F30" s="2">
        <f t="shared" si="23"/>
        <v>0</v>
      </c>
      <c r="G30" s="2">
        <f t="shared" si="23"/>
        <v>0</v>
      </c>
      <c r="H30" s="2">
        <f t="shared" si="23"/>
        <v>0</v>
      </c>
      <c r="I30" s="2">
        <f t="shared" si="23"/>
        <v>0</v>
      </c>
      <c r="J30" s="2">
        <f t="shared" si="23"/>
        <v>0</v>
      </c>
      <c r="K30" s="2">
        <f t="shared" si="23"/>
        <v>0</v>
      </c>
      <c r="L30" s="2">
        <f t="shared" si="23"/>
        <v>0</v>
      </c>
      <c r="M30" s="2">
        <f t="shared" si="23"/>
        <v>0</v>
      </c>
      <c r="N30" s="2">
        <f t="shared" si="23"/>
        <v>0</v>
      </c>
      <c r="O30" s="2">
        <f t="shared" si="23"/>
        <v>0</v>
      </c>
      <c r="P30" s="2">
        <f t="shared" si="23"/>
        <v>0</v>
      </c>
      <c r="Q30" s="2">
        <f t="shared" si="23"/>
        <v>0</v>
      </c>
      <c r="R30" s="2">
        <f t="shared" si="23"/>
        <v>0</v>
      </c>
      <c r="S30" s="2">
        <f t="shared" si="23"/>
        <v>0</v>
      </c>
      <c r="T30" s="2">
        <f t="shared" si="23"/>
        <v>0</v>
      </c>
      <c r="U30" s="2">
        <f t="shared" si="23"/>
        <v>0</v>
      </c>
      <c r="V30" s="2">
        <f t="shared" si="23"/>
        <v>0</v>
      </c>
    </row>
    <row r="31" spans="1:22" x14ac:dyDescent="0.45">
      <c r="A31" t="s">
        <v>91</v>
      </c>
      <c r="C31" s="2">
        <f>SUM(C24:C26)</f>
        <v>1700</v>
      </c>
      <c r="D31" s="2">
        <f t="shared" ref="D31:V31" si="24">SUM(D24:D26)</f>
        <v>1700</v>
      </c>
      <c r="E31" s="2">
        <f t="shared" si="24"/>
        <v>1874.25</v>
      </c>
      <c r="F31" s="2">
        <f t="shared" si="24"/>
        <v>1874.25</v>
      </c>
      <c r="G31" s="2">
        <f t="shared" si="24"/>
        <v>2066.3606250000003</v>
      </c>
      <c r="H31" s="2">
        <f t="shared" si="24"/>
        <v>2066.3606250000003</v>
      </c>
      <c r="I31" s="2">
        <f t="shared" si="24"/>
        <v>2278.1625890625</v>
      </c>
      <c r="J31" s="2">
        <f t="shared" si="24"/>
        <v>2278.1625890625</v>
      </c>
      <c r="K31" s="2">
        <f t="shared" si="24"/>
        <v>2511.6742544414064</v>
      </c>
      <c r="L31" s="2">
        <f t="shared" si="24"/>
        <v>2511.6742544414064</v>
      </c>
      <c r="M31" s="2">
        <f t="shared" si="24"/>
        <v>2769.1208655216506</v>
      </c>
      <c r="N31" s="2">
        <f t="shared" si="24"/>
        <v>2769.1208655216506</v>
      </c>
      <c r="O31" s="2">
        <f t="shared" si="24"/>
        <v>3052.9557542376197</v>
      </c>
      <c r="P31" s="2">
        <f t="shared" si="24"/>
        <v>3052.9557542376197</v>
      </c>
      <c r="Q31" s="2">
        <f t="shared" si="24"/>
        <v>3365.8837190469753</v>
      </c>
      <c r="R31" s="2">
        <f t="shared" si="24"/>
        <v>3365.8837190469753</v>
      </c>
      <c r="S31" s="2">
        <f t="shared" si="24"/>
        <v>3710.8868002492909</v>
      </c>
      <c r="T31" s="2">
        <f t="shared" si="24"/>
        <v>3710.8868002492909</v>
      </c>
      <c r="U31" s="2">
        <f t="shared" si="24"/>
        <v>4091.2526972748437</v>
      </c>
      <c r="V31" s="2">
        <f t="shared" si="24"/>
        <v>4091.2526972748437</v>
      </c>
    </row>
    <row r="32" spans="1:22" x14ac:dyDescent="0.45">
      <c r="A32" t="s">
        <v>71</v>
      </c>
      <c r="C32" s="2">
        <f>($B$8+$B$9)/$G$13</f>
        <v>2500</v>
      </c>
      <c r="D32" s="2">
        <f t="shared" ref="D32:V32" si="25">($B$8+$B$9)/$G$13</f>
        <v>2500</v>
      </c>
      <c r="E32" s="2">
        <f t="shared" si="25"/>
        <v>2500</v>
      </c>
      <c r="F32" s="2">
        <f t="shared" si="25"/>
        <v>2500</v>
      </c>
      <c r="G32" s="2">
        <f t="shared" si="25"/>
        <v>2500</v>
      </c>
      <c r="H32" s="2">
        <f t="shared" si="25"/>
        <v>2500</v>
      </c>
      <c r="I32" s="2">
        <f t="shared" si="25"/>
        <v>2500</v>
      </c>
      <c r="J32" s="2">
        <f t="shared" si="25"/>
        <v>2500</v>
      </c>
      <c r="K32" s="2">
        <f t="shared" si="25"/>
        <v>2500</v>
      </c>
      <c r="L32" s="2">
        <f t="shared" si="25"/>
        <v>2500</v>
      </c>
      <c r="M32" s="2">
        <f t="shared" si="25"/>
        <v>2500</v>
      </c>
      <c r="N32" s="2">
        <f t="shared" si="25"/>
        <v>2500</v>
      </c>
      <c r="O32" s="2">
        <f t="shared" si="25"/>
        <v>2500</v>
      </c>
      <c r="P32" s="2">
        <f t="shared" si="25"/>
        <v>2500</v>
      </c>
      <c r="Q32" s="2">
        <f t="shared" si="25"/>
        <v>2500</v>
      </c>
      <c r="R32" s="2">
        <f t="shared" si="25"/>
        <v>2500</v>
      </c>
      <c r="S32" s="2">
        <f t="shared" si="25"/>
        <v>2500</v>
      </c>
      <c r="T32" s="2">
        <f t="shared" si="25"/>
        <v>2500</v>
      </c>
      <c r="U32" s="2">
        <f t="shared" si="25"/>
        <v>2500</v>
      </c>
      <c r="V32" s="2">
        <f t="shared" si="25"/>
        <v>2500</v>
      </c>
    </row>
    <row r="33" spans="1:22" x14ac:dyDescent="0.45">
      <c r="A33" t="s">
        <v>16</v>
      </c>
      <c r="C33" s="2">
        <f>C30-SUM(C31:C32)</f>
        <v>-4200</v>
      </c>
      <c r="D33" s="2">
        <f>D30-SUM(D31:D32)</f>
        <v>-4200</v>
      </c>
      <c r="E33" s="2">
        <f>E30-SUM(E31:E32)</f>
        <v>-4374.25</v>
      </c>
      <c r="F33" s="2">
        <f>F30-SUM(F31:F32)</f>
        <v>-4374.25</v>
      </c>
      <c r="G33" s="2">
        <f>G30-SUM(G31:G32)</f>
        <v>-4566.3606250000003</v>
      </c>
      <c r="H33" s="2">
        <f>H30-SUM(H31:H32)</f>
        <v>-4566.3606250000003</v>
      </c>
      <c r="I33" s="2">
        <f>I30-SUM(I31:I32)</f>
        <v>-4778.1625890625</v>
      </c>
      <c r="J33" s="2">
        <f>J30-SUM(J31:J32)</f>
        <v>-4778.1625890625</v>
      </c>
      <c r="K33" s="2">
        <f>K30-SUM(K31:K32)</f>
        <v>-5011.6742544414064</v>
      </c>
      <c r="L33" s="2">
        <f>L30-SUM(L31:L32)</f>
        <v>-5011.6742544414064</v>
      </c>
      <c r="M33" s="2">
        <f>M30-SUM(M31:M32)</f>
        <v>-5269.1208655216506</v>
      </c>
      <c r="N33" s="2">
        <f>N30-SUM(N31:N32)</f>
        <v>-5269.1208655216506</v>
      </c>
      <c r="O33" s="2">
        <f>O30-SUM(O31:O32)</f>
        <v>-5552.9557542376197</v>
      </c>
      <c r="P33" s="2">
        <f>P30-SUM(P31:P32)</f>
        <v>-5552.9557542376197</v>
      </c>
      <c r="Q33" s="2">
        <f>Q30-SUM(Q31:Q32)</f>
        <v>-5865.8837190469749</v>
      </c>
      <c r="R33" s="2">
        <f>R30-SUM(R31:R32)</f>
        <v>-5865.8837190469749</v>
      </c>
      <c r="S33" s="2">
        <f>S30-SUM(S31:S32)</f>
        <v>-6210.8868002492909</v>
      </c>
      <c r="T33" s="2">
        <f>T30-SUM(T31:T32)</f>
        <v>-6210.8868002492909</v>
      </c>
      <c r="U33" s="2">
        <f>U30-SUM(U31:U32)</f>
        <v>-6591.2526972748437</v>
      </c>
      <c r="V33" s="2">
        <f>V30-SUM(V31:V32)</f>
        <v>-6591.2526972748437</v>
      </c>
    </row>
    <row r="34" spans="1:22" x14ac:dyDescent="0.45">
      <c r="A34" t="s">
        <v>17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45">
      <c r="A35" t="s">
        <v>19</v>
      </c>
      <c r="C35" s="2">
        <f>C33-C34</f>
        <v>-4200</v>
      </c>
      <c r="D35" s="2">
        <f t="shared" ref="D35:V35" si="26">D33-D34</f>
        <v>-4200</v>
      </c>
      <c r="E35" s="2">
        <f t="shared" si="26"/>
        <v>-4374.25</v>
      </c>
      <c r="F35" s="2">
        <f t="shared" si="26"/>
        <v>-4374.25</v>
      </c>
      <c r="G35" s="2">
        <f t="shared" si="26"/>
        <v>-4566.3606250000003</v>
      </c>
      <c r="H35" s="2">
        <f t="shared" si="26"/>
        <v>-4566.3606250000003</v>
      </c>
      <c r="I35" s="2">
        <f t="shared" si="26"/>
        <v>-4778.1625890625</v>
      </c>
      <c r="J35" s="2">
        <f t="shared" si="26"/>
        <v>-4778.1625890625</v>
      </c>
      <c r="K35" s="2">
        <f t="shared" si="26"/>
        <v>-5011.6742544414064</v>
      </c>
      <c r="L35" s="2">
        <f t="shared" si="26"/>
        <v>-5011.6742544414064</v>
      </c>
      <c r="M35" s="2">
        <f t="shared" si="26"/>
        <v>-5269.1208655216506</v>
      </c>
      <c r="N35" s="2">
        <f t="shared" si="26"/>
        <v>-5269.1208655216506</v>
      </c>
      <c r="O35" s="2">
        <f t="shared" si="26"/>
        <v>-5552.9557542376197</v>
      </c>
      <c r="P35" s="2">
        <f t="shared" si="26"/>
        <v>-5552.9557542376197</v>
      </c>
      <c r="Q35" s="2">
        <f t="shared" si="26"/>
        <v>-5865.8837190469749</v>
      </c>
      <c r="R35" s="2">
        <f t="shared" si="26"/>
        <v>-5865.8837190469749</v>
      </c>
      <c r="S35" s="2">
        <f t="shared" si="26"/>
        <v>-6210.8868002492909</v>
      </c>
      <c r="T35" s="2">
        <f t="shared" si="26"/>
        <v>-6210.8868002492909</v>
      </c>
      <c r="U35" s="2">
        <f t="shared" si="26"/>
        <v>-6591.2526972748437</v>
      </c>
      <c r="V35" s="2">
        <f t="shared" si="26"/>
        <v>-6591.2526972748437</v>
      </c>
    </row>
    <row r="36" spans="1:22" x14ac:dyDescent="0.45">
      <c r="A36" s="4" t="s">
        <v>7</v>
      </c>
      <c r="B36" s="4"/>
      <c r="C36" s="6">
        <f>C35*$G$8</f>
        <v>-840</v>
      </c>
      <c r="D36" s="6">
        <f t="shared" ref="D36:V36" si="27">D35*$G$8</f>
        <v>-840</v>
      </c>
      <c r="E36" s="6">
        <f t="shared" si="27"/>
        <v>-874.85</v>
      </c>
      <c r="F36" s="6">
        <f t="shared" si="27"/>
        <v>-874.85</v>
      </c>
      <c r="G36" s="6">
        <f t="shared" si="27"/>
        <v>-913.27212500000007</v>
      </c>
      <c r="H36" s="6">
        <f t="shared" si="27"/>
        <v>-913.27212500000007</v>
      </c>
      <c r="I36" s="6">
        <f t="shared" si="27"/>
        <v>-955.63251781250005</v>
      </c>
      <c r="J36" s="6">
        <f t="shared" si="27"/>
        <v>-955.63251781250005</v>
      </c>
      <c r="K36" s="6">
        <f t="shared" si="27"/>
        <v>-1002.3348508882814</v>
      </c>
      <c r="L36" s="6">
        <f t="shared" si="27"/>
        <v>-1002.3348508882814</v>
      </c>
      <c r="M36" s="6">
        <f t="shared" si="27"/>
        <v>-1053.8241731043302</v>
      </c>
      <c r="N36" s="6">
        <f t="shared" si="27"/>
        <v>-1053.8241731043302</v>
      </c>
      <c r="O36" s="6">
        <f t="shared" si="27"/>
        <v>-1110.591150847524</v>
      </c>
      <c r="P36" s="6">
        <f t="shared" si="27"/>
        <v>-1110.591150847524</v>
      </c>
      <c r="Q36" s="6">
        <f t="shared" si="27"/>
        <v>-1173.176743809395</v>
      </c>
      <c r="R36" s="6">
        <f t="shared" si="27"/>
        <v>-1173.176743809395</v>
      </c>
      <c r="S36" s="6">
        <f t="shared" si="27"/>
        <v>-1242.1773600498582</v>
      </c>
      <c r="T36" s="6">
        <f t="shared" si="27"/>
        <v>-1242.1773600498582</v>
      </c>
      <c r="U36" s="6">
        <f t="shared" si="27"/>
        <v>-1318.2505394549689</v>
      </c>
      <c r="V36" s="6">
        <f t="shared" si="27"/>
        <v>-1318.2505394549689</v>
      </c>
    </row>
    <row r="38" spans="1:22" x14ac:dyDescent="0.45">
      <c r="A38" s="1" t="s">
        <v>24</v>
      </c>
    </row>
    <row r="39" spans="1:22" x14ac:dyDescent="0.45">
      <c r="A39" s="5" t="s">
        <v>9</v>
      </c>
      <c r="B39" s="5">
        <v>0</v>
      </c>
      <c r="C39" s="5">
        <v>1</v>
      </c>
      <c r="D39" s="5">
        <v>2</v>
      </c>
      <c r="E39" s="5">
        <v>3</v>
      </c>
      <c r="F39" s="5">
        <v>4</v>
      </c>
      <c r="G39" s="5">
        <v>5</v>
      </c>
      <c r="H39" s="5">
        <v>6</v>
      </c>
      <c r="I39" s="5">
        <v>7</v>
      </c>
      <c r="J39" s="5">
        <v>8</v>
      </c>
      <c r="K39" s="5">
        <v>9</v>
      </c>
      <c r="L39" s="5">
        <v>10</v>
      </c>
      <c r="M39" s="5">
        <v>11</v>
      </c>
      <c r="N39" s="5">
        <v>12</v>
      </c>
      <c r="O39" s="5">
        <v>13</v>
      </c>
      <c r="P39" s="5">
        <v>14</v>
      </c>
      <c r="Q39" s="5">
        <v>15</v>
      </c>
      <c r="R39" s="5">
        <v>16</v>
      </c>
      <c r="S39" s="5">
        <v>17</v>
      </c>
      <c r="T39" s="5">
        <v>18</v>
      </c>
      <c r="U39" s="5">
        <v>19</v>
      </c>
      <c r="V39" s="5">
        <v>20</v>
      </c>
    </row>
    <row r="40" spans="1:22" x14ac:dyDescent="0.45">
      <c r="A40" t="s">
        <v>21</v>
      </c>
      <c r="C40" s="2">
        <f>C23*$D$12</f>
        <v>0</v>
      </c>
      <c r="D40" s="2">
        <f>D23*$D$12</f>
        <v>0</v>
      </c>
      <c r="E40" s="2">
        <f>E23*$D$12</f>
        <v>0</v>
      </c>
      <c r="F40" s="2">
        <f>F23*$D$12</f>
        <v>0</v>
      </c>
      <c r="G40" s="2">
        <f>G23*$D$12</f>
        <v>0</v>
      </c>
      <c r="H40" s="2">
        <f>H23*$D$12</f>
        <v>0</v>
      </c>
      <c r="I40" s="2">
        <f>I23*$D$12</f>
        <v>0</v>
      </c>
      <c r="J40" s="2">
        <f>J23*$D$12</f>
        <v>0</v>
      </c>
      <c r="K40" s="2">
        <f>K23*$D$12</f>
        <v>0</v>
      </c>
      <c r="L40" s="2">
        <f>L23*$D$12</f>
        <v>0</v>
      </c>
      <c r="M40" s="2">
        <f>M23*$D$12</f>
        <v>0</v>
      </c>
      <c r="N40" s="2">
        <f>N23*$D$12</f>
        <v>0</v>
      </c>
      <c r="O40" s="2">
        <f>O23*$D$12</f>
        <v>0</v>
      </c>
      <c r="P40" s="2">
        <f>P23*$D$12</f>
        <v>0</v>
      </c>
      <c r="Q40" s="2">
        <f>Q23*$D$12</f>
        <v>0</v>
      </c>
      <c r="R40" s="2">
        <f>R23*$D$12</f>
        <v>0</v>
      </c>
      <c r="S40" s="2">
        <f>S23*$D$12</f>
        <v>0</v>
      </c>
      <c r="T40" s="2">
        <f>T23*$D$12</f>
        <v>0</v>
      </c>
      <c r="U40" s="2">
        <f>U23*$D$12</f>
        <v>0</v>
      </c>
      <c r="V40" s="2"/>
    </row>
    <row r="41" spans="1:22" x14ac:dyDescent="0.45">
      <c r="A41" t="s">
        <v>55</v>
      </c>
      <c r="C41" s="2">
        <f>$D$13*C26</f>
        <v>0</v>
      </c>
      <c r="D41" s="2">
        <f>$D$13*D26</f>
        <v>0</v>
      </c>
      <c r="E41" s="2">
        <f>$D$13*E26</f>
        <v>0</v>
      </c>
      <c r="F41" s="2">
        <f>$D$13*F26</f>
        <v>0</v>
      </c>
      <c r="G41" s="2">
        <f>$D$13*G26</f>
        <v>0</v>
      </c>
      <c r="H41" s="2">
        <f>$D$13*H26</f>
        <v>0</v>
      </c>
      <c r="I41" s="2">
        <f>$D$13*I26</f>
        <v>0</v>
      </c>
      <c r="J41" s="2">
        <f>$D$13*J26</f>
        <v>0</v>
      </c>
      <c r="K41" s="2">
        <f>$D$13*K26</f>
        <v>0</v>
      </c>
      <c r="L41" s="2">
        <f>$D$13*L26</f>
        <v>0</v>
      </c>
      <c r="M41" s="2">
        <f>$D$13*M26</f>
        <v>0</v>
      </c>
      <c r="N41" s="2">
        <f>$D$13*N26</f>
        <v>0</v>
      </c>
      <c r="O41" s="2">
        <f>$D$13*O26</f>
        <v>0</v>
      </c>
      <c r="P41" s="2">
        <f>$D$13*P26</f>
        <v>0</v>
      </c>
      <c r="Q41" s="2">
        <f>$D$13*Q26</f>
        <v>0</v>
      </c>
      <c r="R41" s="2">
        <f>$D$13*R26</f>
        <v>0</v>
      </c>
      <c r="S41" s="2">
        <f>$D$13*S26</f>
        <v>0</v>
      </c>
      <c r="T41" s="2">
        <f>$D$13*T26</f>
        <v>0</v>
      </c>
      <c r="U41" s="2">
        <f>$D$13*U26</f>
        <v>0</v>
      </c>
      <c r="V41" s="2"/>
    </row>
    <row r="42" spans="1:22" x14ac:dyDescent="0.45">
      <c r="A42" t="s">
        <v>23</v>
      </c>
      <c r="C42" s="2">
        <f>C30*$D$14</f>
        <v>0</v>
      </c>
      <c r="D42" s="2">
        <f>D30*$D$14</f>
        <v>0</v>
      </c>
      <c r="E42" s="2">
        <f>E30*$D$14</f>
        <v>0</v>
      </c>
      <c r="F42" s="2">
        <f>F30*$D$14</f>
        <v>0</v>
      </c>
      <c r="G42" s="2">
        <f>G30*$D$14</f>
        <v>0</v>
      </c>
      <c r="H42" s="2">
        <f>H30*$D$14</f>
        <v>0</v>
      </c>
      <c r="I42" s="2">
        <f>I30*$D$14</f>
        <v>0</v>
      </c>
      <c r="J42" s="2">
        <f>J30*$D$14</f>
        <v>0</v>
      </c>
      <c r="K42" s="2">
        <f>K30*$D$14</f>
        <v>0</v>
      </c>
      <c r="L42" s="2">
        <f>L30*$D$14</f>
        <v>0</v>
      </c>
      <c r="M42" s="2">
        <f>M30*$D$14</f>
        <v>0</v>
      </c>
      <c r="N42" s="2">
        <f>N30*$D$14</f>
        <v>0</v>
      </c>
      <c r="O42" s="2">
        <f>O30*$D$14</f>
        <v>0</v>
      </c>
      <c r="P42" s="2">
        <f>P30*$D$14</f>
        <v>0</v>
      </c>
      <c r="Q42" s="2">
        <f>Q30*$D$14</f>
        <v>0</v>
      </c>
      <c r="R42" s="2">
        <f>R30*$D$14</f>
        <v>0</v>
      </c>
      <c r="S42" s="2">
        <f>S30*$D$14</f>
        <v>0</v>
      </c>
      <c r="T42" s="2">
        <f>T30*$D$14</f>
        <v>0</v>
      </c>
      <c r="U42" s="2">
        <f>U30*$D$14</f>
        <v>0</v>
      </c>
      <c r="V42" s="2"/>
    </row>
    <row r="43" spans="1:22" ht="14.65" x14ac:dyDescent="0.45">
      <c r="A43" s="8" t="s">
        <v>25</v>
      </c>
      <c r="C43" s="2">
        <f>B40-C40</f>
        <v>0</v>
      </c>
      <c r="D43" s="2">
        <f t="shared" ref="D43:V44" si="28">C40-D40</f>
        <v>0</v>
      </c>
      <c r="E43" s="2">
        <f t="shared" si="28"/>
        <v>0</v>
      </c>
      <c r="F43" s="2">
        <f t="shared" si="28"/>
        <v>0</v>
      </c>
      <c r="G43" s="2">
        <f t="shared" si="28"/>
        <v>0</v>
      </c>
      <c r="H43" s="2">
        <f t="shared" si="28"/>
        <v>0</v>
      </c>
      <c r="I43" s="2">
        <f t="shared" si="28"/>
        <v>0</v>
      </c>
      <c r="J43" s="2">
        <f t="shared" si="28"/>
        <v>0</v>
      </c>
      <c r="K43" s="2">
        <f t="shared" si="28"/>
        <v>0</v>
      </c>
      <c r="L43" s="2">
        <f t="shared" si="28"/>
        <v>0</v>
      </c>
      <c r="M43" s="2">
        <f t="shared" si="28"/>
        <v>0</v>
      </c>
      <c r="N43" s="2">
        <f t="shared" si="28"/>
        <v>0</v>
      </c>
      <c r="O43" s="2">
        <f t="shared" si="28"/>
        <v>0</v>
      </c>
      <c r="P43" s="2">
        <f t="shared" si="28"/>
        <v>0</v>
      </c>
      <c r="Q43" s="2">
        <f t="shared" si="28"/>
        <v>0</v>
      </c>
      <c r="R43" s="2">
        <f t="shared" si="28"/>
        <v>0</v>
      </c>
      <c r="S43" s="2">
        <f t="shared" si="28"/>
        <v>0</v>
      </c>
      <c r="T43" s="2">
        <f t="shared" si="28"/>
        <v>0</v>
      </c>
      <c r="U43" s="2">
        <f t="shared" si="28"/>
        <v>0</v>
      </c>
      <c r="V43" s="2">
        <f t="shared" si="28"/>
        <v>0</v>
      </c>
    </row>
    <row r="44" spans="1:22" ht="14.65" x14ac:dyDescent="0.45">
      <c r="A44" s="8" t="s">
        <v>59</v>
      </c>
      <c r="C44" s="2">
        <f>B41-C41</f>
        <v>0</v>
      </c>
      <c r="D44" s="2">
        <f t="shared" si="28"/>
        <v>0</v>
      </c>
      <c r="E44" s="2">
        <f t="shared" si="28"/>
        <v>0</v>
      </c>
      <c r="F44" s="2">
        <f t="shared" si="28"/>
        <v>0</v>
      </c>
      <c r="G44" s="2">
        <f t="shared" si="28"/>
        <v>0</v>
      </c>
      <c r="H44" s="2">
        <f t="shared" si="28"/>
        <v>0</v>
      </c>
      <c r="I44" s="2">
        <f t="shared" si="28"/>
        <v>0</v>
      </c>
      <c r="J44" s="2">
        <f t="shared" si="28"/>
        <v>0</v>
      </c>
      <c r="K44" s="2">
        <f t="shared" si="28"/>
        <v>0</v>
      </c>
      <c r="L44" s="2">
        <f t="shared" si="28"/>
        <v>0</v>
      </c>
      <c r="M44" s="2">
        <f t="shared" si="28"/>
        <v>0</v>
      </c>
      <c r="N44" s="2">
        <f t="shared" si="28"/>
        <v>0</v>
      </c>
      <c r="O44" s="2">
        <f t="shared" si="28"/>
        <v>0</v>
      </c>
      <c r="P44" s="2">
        <f t="shared" si="28"/>
        <v>0</v>
      </c>
      <c r="Q44" s="2">
        <f t="shared" si="28"/>
        <v>0</v>
      </c>
      <c r="R44" s="2">
        <f t="shared" si="28"/>
        <v>0</v>
      </c>
      <c r="S44" s="2">
        <f t="shared" si="28"/>
        <v>0</v>
      </c>
      <c r="T44" s="2">
        <f t="shared" si="28"/>
        <v>0</v>
      </c>
      <c r="U44" s="2">
        <f t="shared" si="28"/>
        <v>0</v>
      </c>
      <c r="V44" s="2">
        <f t="shared" si="28"/>
        <v>0</v>
      </c>
    </row>
    <row r="45" spans="1:22" ht="14.65" x14ac:dyDescent="0.45">
      <c r="A45" s="9" t="s">
        <v>26</v>
      </c>
      <c r="B45" s="4"/>
      <c r="C45" s="6">
        <f>C42-B42</f>
        <v>0</v>
      </c>
      <c r="D45" s="6">
        <f t="shared" ref="D45:V45" si="29">D42-C42</f>
        <v>0</v>
      </c>
      <c r="E45" s="6">
        <f t="shared" si="29"/>
        <v>0</v>
      </c>
      <c r="F45" s="6">
        <f t="shared" si="29"/>
        <v>0</v>
      </c>
      <c r="G45" s="6">
        <f t="shared" si="29"/>
        <v>0</v>
      </c>
      <c r="H45" s="6">
        <f t="shared" si="29"/>
        <v>0</v>
      </c>
      <c r="I45" s="6">
        <f t="shared" si="29"/>
        <v>0</v>
      </c>
      <c r="J45" s="6">
        <f t="shared" si="29"/>
        <v>0</v>
      </c>
      <c r="K45" s="6">
        <f t="shared" si="29"/>
        <v>0</v>
      </c>
      <c r="L45" s="6">
        <f t="shared" si="29"/>
        <v>0</v>
      </c>
      <c r="M45" s="6">
        <f t="shared" si="29"/>
        <v>0</v>
      </c>
      <c r="N45" s="6">
        <f t="shared" si="29"/>
        <v>0</v>
      </c>
      <c r="O45" s="6">
        <f t="shared" si="29"/>
        <v>0</v>
      </c>
      <c r="P45" s="6">
        <f t="shared" si="29"/>
        <v>0</v>
      </c>
      <c r="Q45" s="6">
        <f t="shared" si="29"/>
        <v>0</v>
      </c>
      <c r="R45" s="6">
        <f t="shared" si="29"/>
        <v>0</v>
      </c>
      <c r="S45" s="6">
        <f t="shared" si="29"/>
        <v>0</v>
      </c>
      <c r="T45" s="6">
        <f t="shared" si="29"/>
        <v>0</v>
      </c>
      <c r="U45" s="6">
        <f t="shared" si="29"/>
        <v>0</v>
      </c>
      <c r="V45" s="6">
        <f t="shared" si="29"/>
        <v>0</v>
      </c>
    </row>
    <row r="47" spans="1:22" x14ac:dyDescent="0.45">
      <c r="A47" s="1" t="s">
        <v>27</v>
      </c>
    </row>
    <row r="48" spans="1:22" x14ac:dyDescent="0.45">
      <c r="A48" s="5" t="s">
        <v>9</v>
      </c>
      <c r="B48" s="5">
        <v>0</v>
      </c>
      <c r="C48" s="5">
        <v>1</v>
      </c>
      <c r="D48" s="5">
        <v>2</v>
      </c>
      <c r="E48" s="5">
        <v>3</v>
      </c>
      <c r="F48" s="5">
        <v>4</v>
      </c>
      <c r="G48" s="5">
        <v>5</v>
      </c>
      <c r="H48" s="5">
        <v>6</v>
      </c>
      <c r="I48" s="5">
        <v>7</v>
      </c>
      <c r="J48" s="5">
        <v>8</v>
      </c>
      <c r="K48" s="5">
        <v>9</v>
      </c>
      <c r="L48" s="5">
        <v>10</v>
      </c>
      <c r="M48" s="5">
        <v>11</v>
      </c>
      <c r="N48" s="5">
        <v>12</v>
      </c>
      <c r="O48" s="5">
        <v>13</v>
      </c>
      <c r="P48" s="5">
        <v>14</v>
      </c>
      <c r="Q48" s="5">
        <v>15</v>
      </c>
      <c r="R48" s="5">
        <v>16</v>
      </c>
      <c r="S48" s="5">
        <v>17</v>
      </c>
      <c r="T48" s="5">
        <v>18</v>
      </c>
      <c r="U48" s="5">
        <v>19</v>
      </c>
      <c r="V48" s="5">
        <v>20</v>
      </c>
    </row>
    <row r="49" spans="1:22" x14ac:dyDescent="0.45">
      <c r="A49" s="1" t="s">
        <v>28</v>
      </c>
    </row>
    <row r="50" spans="1:22" x14ac:dyDescent="0.45">
      <c r="A50" t="s">
        <v>29</v>
      </c>
      <c r="C50" s="2">
        <f>C23</f>
        <v>0</v>
      </c>
      <c r="D50" s="2">
        <f>D23</f>
        <v>0</v>
      </c>
      <c r="E50" s="2">
        <f>E23</f>
        <v>0</v>
      </c>
      <c r="F50" s="2">
        <f>F23</f>
        <v>0</v>
      </c>
      <c r="G50" s="2">
        <f>G23</f>
        <v>0</v>
      </c>
      <c r="H50" s="2">
        <f>H23</f>
        <v>0</v>
      </c>
      <c r="I50" s="2">
        <f>I23</f>
        <v>0</v>
      </c>
      <c r="J50" s="2">
        <f>J23</f>
        <v>0</v>
      </c>
      <c r="K50" s="2">
        <f>K23</f>
        <v>0</v>
      </c>
      <c r="L50" s="2">
        <f>L23</f>
        <v>0</v>
      </c>
      <c r="M50" s="2">
        <f>M23</f>
        <v>0</v>
      </c>
      <c r="N50" s="2">
        <f>N23</f>
        <v>0</v>
      </c>
      <c r="O50" s="2">
        <f>O23</f>
        <v>0</v>
      </c>
      <c r="P50" s="2">
        <f>P23</f>
        <v>0</v>
      </c>
      <c r="Q50" s="2">
        <f>Q23</f>
        <v>0</v>
      </c>
      <c r="R50" s="2">
        <f>R23</f>
        <v>0</v>
      </c>
      <c r="S50" s="2">
        <f>S23</f>
        <v>0</v>
      </c>
      <c r="T50" s="2">
        <f>T23</f>
        <v>0</v>
      </c>
      <c r="U50" s="2">
        <f>U23</f>
        <v>0</v>
      </c>
      <c r="V50" s="2">
        <f>V23</f>
        <v>0</v>
      </c>
    </row>
    <row r="51" spans="1:22" ht="14.65" x14ac:dyDescent="0.45">
      <c r="A51" s="8" t="s">
        <v>37</v>
      </c>
      <c r="C51" s="2">
        <f>C43</f>
        <v>0</v>
      </c>
      <c r="D51" s="2">
        <f t="shared" ref="D51:V51" si="30">D43</f>
        <v>0</v>
      </c>
      <c r="E51" s="2">
        <f t="shared" si="30"/>
        <v>0</v>
      </c>
      <c r="F51" s="2">
        <f t="shared" si="30"/>
        <v>0</v>
      </c>
      <c r="G51" s="2">
        <f t="shared" si="30"/>
        <v>0</v>
      </c>
      <c r="H51" s="2">
        <f t="shared" si="30"/>
        <v>0</v>
      </c>
      <c r="I51" s="2">
        <f t="shared" si="30"/>
        <v>0</v>
      </c>
      <c r="J51" s="2">
        <f t="shared" si="30"/>
        <v>0</v>
      </c>
      <c r="K51" s="2">
        <f t="shared" si="30"/>
        <v>0</v>
      </c>
      <c r="L51" s="2">
        <f t="shared" si="30"/>
        <v>0</v>
      </c>
      <c r="M51" s="2">
        <f t="shared" si="30"/>
        <v>0</v>
      </c>
      <c r="N51" s="2">
        <f t="shared" si="30"/>
        <v>0</v>
      </c>
      <c r="O51" s="2">
        <f t="shared" si="30"/>
        <v>0</v>
      </c>
      <c r="P51" s="2">
        <f t="shared" si="30"/>
        <v>0</v>
      </c>
      <c r="Q51" s="2">
        <f t="shared" si="30"/>
        <v>0</v>
      </c>
      <c r="R51" s="2">
        <f t="shared" si="30"/>
        <v>0</v>
      </c>
      <c r="S51" s="2">
        <f t="shared" si="30"/>
        <v>0</v>
      </c>
      <c r="T51" s="2">
        <f t="shared" si="30"/>
        <v>0</v>
      </c>
      <c r="U51" s="2">
        <f t="shared" si="30"/>
        <v>0</v>
      </c>
      <c r="V51" s="2">
        <f t="shared" si="30"/>
        <v>0</v>
      </c>
    </row>
    <row r="52" spans="1:22" x14ac:dyDescent="0.45">
      <c r="A52" s="1" t="s">
        <v>31</v>
      </c>
    </row>
    <row r="53" spans="1:22" x14ac:dyDescent="0.45">
      <c r="A53" t="s">
        <v>33</v>
      </c>
      <c r="B53">
        <f>B8</f>
        <v>30000</v>
      </c>
    </row>
    <row r="54" spans="1:22" x14ac:dyDescent="0.45">
      <c r="A54" t="s">
        <v>34</v>
      </c>
      <c r="B54">
        <f>B9</f>
        <v>20000</v>
      </c>
    </row>
    <row r="55" spans="1:22" x14ac:dyDescent="0.45">
      <c r="A55" t="s">
        <v>35</v>
      </c>
      <c r="C55" s="2">
        <f>C24</f>
        <v>1200</v>
      </c>
      <c r="D55" s="2">
        <f>D24</f>
        <v>1200</v>
      </c>
      <c r="E55" s="2">
        <f>E24</f>
        <v>1323</v>
      </c>
      <c r="F55" s="2">
        <f>F24</f>
        <v>1323</v>
      </c>
      <c r="G55" s="2">
        <f>G24</f>
        <v>1458.6075000000001</v>
      </c>
      <c r="H55" s="2">
        <f>H24</f>
        <v>1458.6075000000001</v>
      </c>
      <c r="I55" s="2">
        <f>I24</f>
        <v>1608.1147687499999</v>
      </c>
      <c r="J55" s="2">
        <f>J24</f>
        <v>1608.1147687499999</v>
      </c>
      <c r="K55" s="2">
        <f>K24</f>
        <v>1772.946532546875</v>
      </c>
      <c r="L55" s="2">
        <f>L24</f>
        <v>1772.946532546875</v>
      </c>
      <c r="M55" s="2">
        <f>M24</f>
        <v>1954.6735521329299</v>
      </c>
      <c r="N55" s="2">
        <f>N24</f>
        <v>1954.6735521329299</v>
      </c>
      <c r="O55" s="2">
        <f>O24</f>
        <v>2155.0275912265552</v>
      </c>
      <c r="P55" s="2">
        <f>P24</f>
        <v>2155.0275912265552</v>
      </c>
      <c r="Q55" s="2">
        <f>Q24</f>
        <v>2375.9179193272766</v>
      </c>
      <c r="R55" s="2">
        <f>R24</f>
        <v>2375.9179193272766</v>
      </c>
      <c r="S55" s="2">
        <f>S24</f>
        <v>2619.4495060583231</v>
      </c>
      <c r="T55" s="2">
        <f>T24</f>
        <v>2619.4495060583231</v>
      </c>
      <c r="U55" s="2">
        <f>U24</f>
        <v>2887.9430804293015</v>
      </c>
      <c r="V55" s="2">
        <f>V24</f>
        <v>2887.9430804293015</v>
      </c>
    </row>
    <row r="56" spans="1:22" s="34" customFormat="1" x14ac:dyDescent="0.45">
      <c r="A56" s="33" t="s">
        <v>77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 x14ac:dyDescent="0.45">
      <c r="A57" t="s">
        <v>36</v>
      </c>
      <c r="C57" s="2">
        <f>C26</f>
        <v>0</v>
      </c>
      <c r="D57" s="2">
        <f>D26</f>
        <v>0</v>
      </c>
      <c r="E57" s="2">
        <f>E26</f>
        <v>0</v>
      </c>
      <c r="F57" s="2">
        <f>F26</f>
        <v>0</v>
      </c>
      <c r="G57" s="2">
        <f>G26</f>
        <v>0</v>
      </c>
      <c r="H57" s="2">
        <f>H26</f>
        <v>0</v>
      </c>
      <c r="I57" s="2">
        <f>I26</f>
        <v>0</v>
      </c>
      <c r="J57" s="2">
        <f>J26</f>
        <v>0</v>
      </c>
      <c r="K57" s="2">
        <f>K26</f>
        <v>0</v>
      </c>
      <c r="L57" s="2">
        <f>L26</f>
        <v>0</v>
      </c>
      <c r="M57" s="2">
        <f>M26</f>
        <v>0</v>
      </c>
      <c r="N57" s="2">
        <f>N26</f>
        <v>0</v>
      </c>
      <c r="O57" s="2">
        <f>O26</f>
        <v>0</v>
      </c>
      <c r="P57" s="2">
        <f>P26</f>
        <v>0</v>
      </c>
      <c r="Q57" s="2">
        <f>Q26</f>
        <v>0</v>
      </c>
      <c r="R57" s="2">
        <f>R26</f>
        <v>0</v>
      </c>
      <c r="S57" s="2">
        <f>S26</f>
        <v>0</v>
      </c>
      <c r="T57" s="2">
        <f>T26</f>
        <v>0</v>
      </c>
      <c r="U57" s="2">
        <f>U26</f>
        <v>0</v>
      </c>
      <c r="V57" s="2">
        <f>V26</f>
        <v>0</v>
      </c>
    </row>
    <row r="58" spans="1:22" ht="14.65" x14ac:dyDescent="0.45">
      <c r="A58" s="8" t="s">
        <v>60</v>
      </c>
      <c r="C58" s="2">
        <f t="shared" ref="C58:V58" si="31">C44</f>
        <v>0</v>
      </c>
      <c r="D58" s="2">
        <f t="shared" si="31"/>
        <v>0</v>
      </c>
      <c r="E58" s="2">
        <f t="shared" si="31"/>
        <v>0</v>
      </c>
      <c r="F58" s="2">
        <f t="shared" si="31"/>
        <v>0</v>
      </c>
      <c r="G58" s="2">
        <f t="shared" si="31"/>
        <v>0</v>
      </c>
      <c r="H58" s="2">
        <f t="shared" si="31"/>
        <v>0</v>
      </c>
      <c r="I58" s="2">
        <f t="shared" si="31"/>
        <v>0</v>
      </c>
      <c r="J58" s="2">
        <f t="shared" si="31"/>
        <v>0</v>
      </c>
      <c r="K58" s="2">
        <f t="shared" si="31"/>
        <v>0</v>
      </c>
      <c r="L58" s="2">
        <f t="shared" si="31"/>
        <v>0</v>
      </c>
      <c r="M58" s="2">
        <f t="shared" si="31"/>
        <v>0</v>
      </c>
      <c r="N58" s="2">
        <f t="shared" si="31"/>
        <v>0</v>
      </c>
      <c r="O58" s="2">
        <f t="shared" si="31"/>
        <v>0</v>
      </c>
      <c r="P58" s="2">
        <f t="shared" si="31"/>
        <v>0</v>
      </c>
      <c r="Q58" s="2">
        <f t="shared" si="31"/>
        <v>0</v>
      </c>
      <c r="R58" s="2">
        <f t="shared" si="31"/>
        <v>0</v>
      </c>
      <c r="S58" s="2">
        <f t="shared" si="31"/>
        <v>0</v>
      </c>
      <c r="T58" s="2">
        <f t="shared" si="31"/>
        <v>0</v>
      </c>
      <c r="U58" s="2">
        <f t="shared" si="31"/>
        <v>0</v>
      </c>
      <c r="V58" s="2">
        <f t="shared" si="31"/>
        <v>0</v>
      </c>
    </row>
    <row r="59" spans="1:22" ht="14.65" x14ac:dyDescent="0.45">
      <c r="A59" s="8" t="s">
        <v>38</v>
      </c>
      <c r="C59" s="2">
        <f t="shared" ref="C59:V59" si="32">C45</f>
        <v>0</v>
      </c>
      <c r="D59" s="2">
        <f t="shared" si="32"/>
        <v>0</v>
      </c>
      <c r="E59" s="2">
        <f t="shared" si="32"/>
        <v>0</v>
      </c>
      <c r="F59" s="2">
        <f t="shared" si="32"/>
        <v>0</v>
      </c>
      <c r="G59" s="2">
        <f t="shared" si="32"/>
        <v>0</v>
      </c>
      <c r="H59" s="2">
        <f t="shared" si="32"/>
        <v>0</v>
      </c>
      <c r="I59" s="2">
        <f t="shared" si="32"/>
        <v>0</v>
      </c>
      <c r="J59" s="2">
        <f t="shared" si="32"/>
        <v>0</v>
      </c>
      <c r="K59" s="2">
        <f t="shared" si="32"/>
        <v>0</v>
      </c>
      <c r="L59" s="2">
        <f t="shared" si="32"/>
        <v>0</v>
      </c>
      <c r="M59" s="2">
        <f t="shared" si="32"/>
        <v>0</v>
      </c>
      <c r="N59" s="2">
        <f t="shared" si="32"/>
        <v>0</v>
      </c>
      <c r="O59" s="2">
        <f t="shared" si="32"/>
        <v>0</v>
      </c>
      <c r="P59" s="2">
        <f t="shared" si="32"/>
        <v>0</v>
      </c>
      <c r="Q59" s="2">
        <f t="shared" si="32"/>
        <v>0</v>
      </c>
      <c r="R59" s="2">
        <f t="shared" si="32"/>
        <v>0</v>
      </c>
      <c r="S59" s="2">
        <f t="shared" si="32"/>
        <v>0</v>
      </c>
      <c r="T59" s="2">
        <f t="shared" si="32"/>
        <v>0</v>
      </c>
      <c r="U59" s="2">
        <f t="shared" si="32"/>
        <v>0</v>
      </c>
      <c r="V59" s="2">
        <f t="shared" si="32"/>
        <v>0</v>
      </c>
    </row>
    <row r="60" spans="1:22" x14ac:dyDescent="0.45">
      <c r="A60" s="1" t="s">
        <v>46</v>
      </c>
      <c r="B60" s="2">
        <f t="shared" ref="B60:V60" si="33">SUM(B50:B51)-SUM(B53:B59)</f>
        <v>-50000</v>
      </c>
      <c r="C60" s="2">
        <f t="shared" si="33"/>
        <v>-1200</v>
      </c>
      <c r="D60" s="2">
        <f t="shared" si="33"/>
        <v>-1200</v>
      </c>
      <c r="E60" s="2">
        <f t="shared" si="33"/>
        <v>-1323</v>
      </c>
      <c r="F60" s="2">
        <f t="shared" si="33"/>
        <v>-1323</v>
      </c>
      <c r="G60" s="2">
        <f t="shared" si="33"/>
        <v>-1458.6075000000001</v>
      </c>
      <c r="H60" s="2">
        <f t="shared" si="33"/>
        <v>-1458.6075000000001</v>
      </c>
      <c r="I60" s="2">
        <f t="shared" si="33"/>
        <v>-1608.1147687499999</v>
      </c>
      <c r="J60" s="2">
        <f t="shared" si="33"/>
        <v>-1608.1147687499999</v>
      </c>
      <c r="K60" s="2">
        <f t="shared" si="33"/>
        <v>-1772.946532546875</v>
      </c>
      <c r="L60" s="2">
        <f t="shared" si="33"/>
        <v>-1772.946532546875</v>
      </c>
      <c r="M60" s="2">
        <f t="shared" si="33"/>
        <v>-1954.6735521329299</v>
      </c>
      <c r="N60" s="2">
        <f t="shared" si="33"/>
        <v>-1954.6735521329299</v>
      </c>
      <c r="O60" s="2">
        <f t="shared" si="33"/>
        <v>-2155.0275912265552</v>
      </c>
      <c r="P60" s="2">
        <f t="shared" si="33"/>
        <v>-2155.0275912265552</v>
      </c>
      <c r="Q60" s="2">
        <f t="shared" si="33"/>
        <v>-2375.9179193272766</v>
      </c>
      <c r="R60" s="2">
        <f t="shared" si="33"/>
        <v>-2375.9179193272766</v>
      </c>
      <c r="S60" s="2">
        <f t="shared" si="33"/>
        <v>-2619.4495060583231</v>
      </c>
      <c r="T60" s="2">
        <f t="shared" si="33"/>
        <v>-2619.4495060583231</v>
      </c>
      <c r="U60" s="2">
        <f t="shared" si="33"/>
        <v>-2887.9430804293015</v>
      </c>
      <c r="V60" s="2">
        <f t="shared" si="33"/>
        <v>-2887.9430804293015</v>
      </c>
    </row>
    <row r="61" spans="1:22" x14ac:dyDescent="0.45">
      <c r="A61" t="s">
        <v>39</v>
      </c>
      <c r="C61" s="2">
        <f t="shared" ref="C61:V61" si="34">C36</f>
        <v>-840</v>
      </c>
      <c r="D61" s="2">
        <f t="shared" si="34"/>
        <v>-840</v>
      </c>
      <c r="E61" s="2">
        <f t="shared" si="34"/>
        <v>-874.85</v>
      </c>
      <c r="F61" s="2">
        <f t="shared" si="34"/>
        <v>-874.85</v>
      </c>
      <c r="G61" s="2">
        <f t="shared" si="34"/>
        <v>-913.27212500000007</v>
      </c>
      <c r="H61" s="2">
        <f t="shared" si="34"/>
        <v>-913.27212500000007</v>
      </c>
      <c r="I61" s="2">
        <f t="shared" si="34"/>
        <v>-955.63251781250005</v>
      </c>
      <c r="J61" s="2">
        <f t="shared" si="34"/>
        <v>-955.63251781250005</v>
      </c>
      <c r="K61" s="2">
        <f t="shared" si="34"/>
        <v>-1002.3348508882814</v>
      </c>
      <c r="L61" s="2">
        <f t="shared" si="34"/>
        <v>-1002.3348508882814</v>
      </c>
      <c r="M61" s="2">
        <f t="shared" si="34"/>
        <v>-1053.8241731043302</v>
      </c>
      <c r="N61" s="2">
        <f t="shared" si="34"/>
        <v>-1053.8241731043302</v>
      </c>
      <c r="O61" s="2">
        <f t="shared" si="34"/>
        <v>-1110.591150847524</v>
      </c>
      <c r="P61" s="2">
        <f t="shared" si="34"/>
        <v>-1110.591150847524</v>
      </c>
      <c r="Q61" s="2">
        <f t="shared" si="34"/>
        <v>-1173.176743809395</v>
      </c>
      <c r="R61" s="2">
        <f t="shared" si="34"/>
        <v>-1173.176743809395</v>
      </c>
      <c r="S61" s="2">
        <f t="shared" si="34"/>
        <v>-1242.1773600498582</v>
      </c>
      <c r="T61" s="2">
        <f t="shared" si="34"/>
        <v>-1242.1773600498582</v>
      </c>
      <c r="U61" s="2">
        <f t="shared" si="34"/>
        <v>-1318.2505394549689</v>
      </c>
      <c r="V61" s="2">
        <f t="shared" si="34"/>
        <v>-1318.2505394549689</v>
      </c>
    </row>
    <row r="62" spans="1:22" x14ac:dyDescent="0.45">
      <c r="A62" s="3" t="s">
        <v>45</v>
      </c>
      <c r="B62" s="6">
        <f>B60-B61</f>
        <v>-50000</v>
      </c>
      <c r="C62" s="6">
        <f t="shared" ref="C62:V62" si="35">C60-C61</f>
        <v>-360</v>
      </c>
      <c r="D62" s="6">
        <f t="shared" si="35"/>
        <v>-360</v>
      </c>
      <c r="E62" s="6">
        <f t="shared" si="35"/>
        <v>-448.15</v>
      </c>
      <c r="F62" s="6">
        <f t="shared" si="35"/>
        <v>-448.15</v>
      </c>
      <c r="G62" s="6">
        <f t="shared" si="35"/>
        <v>-545.335375</v>
      </c>
      <c r="H62" s="6">
        <f t="shared" si="35"/>
        <v>-545.335375</v>
      </c>
      <c r="I62" s="6">
        <f t="shared" si="35"/>
        <v>-652.48225093749988</v>
      </c>
      <c r="J62" s="6">
        <f t="shared" si="35"/>
        <v>-652.48225093749988</v>
      </c>
      <c r="K62" s="6">
        <f t="shared" si="35"/>
        <v>-770.61168165859362</v>
      </c>
      <c r="L62" s="6">
        <f t="shared" si="35"/>
        <v>-770.61168165859362</v>
      </c>
      <c r="M62" s="6">
        <f t="shared" si="35"/>
        <v>-900.84937902859974</v>
      </c>
      <c r="N62" s="6">
        <f t="shared" si="35"/>
        <v>-900.84937902859974</v>
      </c>
      <c r="O62" s="6">
        <f t="shared" si="35"/>
        <v>-1044.4364403790312</v>
      </c>
      <c r="P62" s="6">
        <f t="shared" si="35"/>
        <v>-1044.4364403790312</v>
      </c>
      <c r="Q62" s="6">
        <f t="shared" si="35"/>
        <v>-1202.7411755178816</v>
      </c>
      <c r="R62" s="6">
        <f t="shared" si="35"/>
        <v>-1202.7411755178816</v>
      </c>
      <c r="S62" s="6">
        <f t="shared" si="35"/>
        <v>-1377.2721460084649</v>
      </c>
      <c r="T62" s="6">
        <f t="shared" si="35"/>
        <v>-1377.2721460084649</v>
      </c>
      <c r="U62" s="6">
        <f t="shared" si="35"/>
        <v>-1569.6925409743326</v>
      </c>
      <c r="V62" s="6">
        <f t="shared" si="35"/>
        <v>-1569.6925409743326</v>
      </c>
    </row>
    <row r="63" spans="1:22" x14ac:dyDescent="0.45">
      <c r="A63" t="s">
        <v>43</v>
      </c>
      <c r="B63" s="2">
        <f>B11</f>
        <v>35000</v>
      </c>
    </row>
    <row r="64" spans="1:22" x14ac:dyDescent="0.45">
      <c r="A64" t="s">
        <v>44</v>
      </c>
      <c r="C64" s="2">
        <f>-PMT($B$13,10,$B$11)</f>
        <v>5757.4056309321031</v>
      </c>
      <c r="D64" s="2">
        <f t="shared" ref="D64:L64" si="36">-PMT($B$13,10,$B$11)</f>
        <v>5757.4056309321031</v>
      </c>
      <c r="E64" s="2">
        <f t="shared" si="36"/>
        <v>5757.4056309321031</v>
      </c>
      <c r="F64" s="2">
        <f t="shared" si="36"/>
        <v>5757.4056309321031</v>
      </c>
      <c r="G64" s="2">
        <f t="shared" si="36"/>
        <v>5757.4056309321031</v>
      </c>
      <c r="H64" s="2">
        <f t="shared" si="36"/>
        <v>5757.4056309321031</v>
      </c>
      <c r="I64" s="2">
        <f t="shared" si="36"/>
        <v>5757.4056309321031</v>
      </c>
      <c r="J64" s="2">
        <f t="shared" si="36"/>
        <v>5757.4056309321031</v>
      </c>
      <c r="K64" s="2">
        <f t="shared" si="36"/>
        <v>5757.4056309321031</v>
      </c>
      <c r="L64" s="2">
        <f t="shared" si="36"/>
        <v>5757.4056309321031</v>
      </c>
      <c r="M64" s="2"/>
      <c r="N64" s="2"/>
      <c r="O64" s="2"/>
      <c r="P64" s="2"/>
      <c r="Q64" s="2"/>
      <c r="R64" s="2"/>
      <c r="S64" s="2"/>
      <c r="T64" s="2"/>
      <c r="U64" s="2"/>
    </row>
    <row r="65" spans="1:23" x14ac:dyDescent="0.45">
      <c r="A65" s="3" t="s">
        <v>47</v>
      </c>
      <c r="B65" s="6">
        <f>B62+B63-B64</f>
        <v>-15000</v>
      </c>
      <c r="C65" s="6">
        <f t="shared" ref="C65:V65" si="37">C62+C63-C64</f>
        <v>-6117.4056309321031</v>
      </c>
      <c r="D65" s="6">
        <f t="shared" si="37"/>
        <v>-6117.4056309321031</v>
      </c>
      <c r="E65" s="6">
        <f t="shared" si="37"/>
        <v>-6205.5556309321028</v>
      </c>
      <c r="F65" s="6">
        <f t="shared" si="37"/>
        <v>-6205.5556309321028</v>
      </c>
      <c r="G65" s="6">
        <f t="shared" si="37"/>
        <v>-6302.7410059321028</v>
      </c>
      <c r="H65" s="6">
        <f t="shared" si="37"/>
        <v>-6302.7410059321028</v>
      </c>
      <c r="I65" s="6">
        <f t="shared" si="37"/>
        <v>-6409.887881869603</v>
      </c>
      <c r="J65" s="6">
        <f t="shared" si="37"/>
        <v>-6409.887881869603</v>
      </c>
      <c r="K65" s="6">
        <f t="shared" si="37"/>
        <v>-6528.0173125906967</v>
      </c>
      <c r="L65" s="6">
        <f t="shared" si="37"/>
        <v>-6528.0173125906967</v>
      </c>
      <c r="M65" s="6">
        <f t="shared" si="37"/>
        <v>-900.84937902859974</v>
      </c>
      <c r="N65" s="6">
        <f t="shared" si="37"/>
        <v>-900.84937902859974</v>
      </c>
      <c r="O65" s="6">
        <f t="shared" si="37"/>
        <v>-1044.4364403790312</v>
      </c>
      <c r="P65" s="6">
        <f t="shared" si="37"/>
        <v>-1044.4364403790312</v>
      </c>
      <c r="Q65" s="6">
        <f t="shared" si="37"/>
        <v>-1202.7411755178816</v>
      </c>
      <c r="R65" s="6">
        <f t="shared" si="37"/>
        <v>-1202.7411755178816</v>
      </c>
      <c r="S65" s="6">
        <f t="shared" si="37"/>
        <v>-1377.2721460084649</v>
      </c>
      <c r="T65" s="6">
        <f t="shared" si="37"/>
        <v>-1377.2721460084649</v>
      </c>
      <c r="U65" s="6">
        <f t="shared" si="37"/>
        <v>-1569.6925409743326</v>
      </c>
      <c r="V65" s="6">
        <f t="shared" si="37"/>
        <v>-1569.6925409743326</v>
      </c>
    </row>
    <row r="66" spans="1:23" ht="19.899999999999999" customHeight="1" x14ac:dyDescent="0.45">
      <c r="A66" s="1"/>
      <c r="B66" s="50" t="s">
        <v>80</v>
      </c>
      <c r="C66" s="50" t="s">
        <v>79</v>
      </c>
      <c r="D66" s="50" t="s">
        <v>76</v>
      </c>
      <c r="E66" s="50" t="s">
        <v>73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5">
      <c r="A67" s="21" t="s">
        <v>48</v>
      </c>
      <c r="B67" s="23"/>
      <c r="C67" s="39">
        <f>'TH5_Đất thuê 3'!B67</f>
        <v>0</v>
      </c>
      <c r="D67" s="37">
        <f>'TH4_Đất thuê 2'!B68</f>
        <v>0</v>
      </c>
      <c r="E67" s="28">
        <f>'TH3_Đất thuê 1'!B67</f>
        <v>0</v>
      </c>
    </row>
    <row r="68" spans="1:23" x14ac:dyDescent="0.45">
      <c r="A68" s="21" t="s">
        <v>49</v>
      </c>
      <c r="B68" s="23"/>
      <c r="C68" s="39">
        <f>'TH5_Đất thuê 3'!B68</f>
        <v>0</v>
      </c>
      <c r="D68" s="37">
        <f>'TH4_Đất thuê 2'!B69</f>
        <v>0</v>
      </c>
      <c r="E68" s="28">
        <f>'TH3_Đất thuê 1'!B68</f>
        <v>0</v>
      </c>
    </row>
    <row r="69" spans="1:23" x14ac:dyDescent="0.45">
      <c r="A69" s="21" t="s">
        <v>50</v>
      </c>
      <c r="B69" s="24"/>
      <c r="C69" s="40">
        <f>'TH5_Đất thuê 3'!B69</f>
        <v>0</v>
      </c>
      <c r="D69" s="38">
        <f>'TH4_Đất thuê 2'!B70</f>
        <v>0</v>
      </c>
      <c r="E69" s="29">
        <f>'TH3_Đất thuê 1'!B69</f>
        <v>0</v>
      </c>
    </row>
    <row r="70" spans="1:23" x14ac:dyDescent="0.45">
      <c r="A70" s="21" t="s">
        <v>51</v>
      </c>
      <c r="B70" s="24"/>
      <c r="C70" s="40">
        <f>'TH5_Đất thuê 3'!B70</f>
        <v>0</v>
      </c>
      <c r="D70" s="38">
        <f>'TH4_Đất thuê 2'!B71</f>
        <v>0</v>
      </c>
      <c r="E70" s="29">
        <f>'TH3_Đất thuê 1'!B70</f>
        <v>0</v>
      </c>
    </row>
    <row r="71" spans="1:23" x14ac:dyDescent="0.45">
      <c r="A71" s="21" t="s">
        <v>82</v>
      </c>
      <c r="B71" s="24"/>
      <c r="C71" s="40">
        <f>'TH5_Đất thuê 3'!B71</f>
        <v>0</v>
      </c>
      <c r="D71" s="38">
        <f>'TH4_Đất thuê 2'!B72</f>
        <v>0</v>
      </c>
      <c r="E71" s="29">
        <f>'TH3_Đất thuê 1'!B71</f>
        <v>0</v>
      </c>
    </row>
    <row r="72" spans="1:23" x14ac:dyDescent="0.45">
      <c r="A72" s="21" t="s">
        <v>83</v>
      </c>
      <c r="B72" s="24"/>
      <c r="C72" s="40">
        <f>'TH5_Đất thuê 3'!B72</f>
        <v>0</v>
      </c>
      <c r="D72" s="38">
        <f>'TH4_Đất thuê 2'!B73</f>
        <v>0</v>
      </c>
      <c r="E72" s="29">
        <f>'TH3_Đất thuê 1'!B72</f>
        <v>0</v>
      </c>
    </row>
    <row r="74" spans="1:23" ht="19.5" x14ac:dyDescent="0.6">
      <c r="A74" s="51" t="s">
        <v>92</v>
      </c>
    </row>
    <row r="75" spans="1:23" ht="19.5" x14ac:dyDescent="0.6">
      <c r="A75" s="52" t="s">
        <v>94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TH1_Đất sẵn có 1</vt:lpstr>
      <vt:lpstr>TH2_Đất sẵn có 2</vt:lpstr>
      <vt:lpstr>TH3_Đất thuê 1</vt:lpstr>
      <vt:lpstr>TH4_Đất thuê 2</vt:lpstr>
      <vt:lpstr>TH5_Đất thuê 3</vt:lpstr>
      <vt:lpstr>TH6_Đất thuê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Phung Thanh</dc:creator>
  <cp:lastModifiedBy>Binh Phung Thanh</cp:lastModifiedBy>
  <dcterms:created xsi:type="dcterms:W3CDTF">2026-03-29T07:53:52Z</dcterms:created>
  <dcterms:modified xsi:type="dcterms:W3CDTF">2026-03-30T09:41:27Z</dcterms:modified>
</cp:coreProperties>
</file>