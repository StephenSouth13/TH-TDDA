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Teaching\Thực hành TĐDA\Dự án năng lượng mặt trời GIC\"/>
    </mc:Choice>
  </mc:AlternateContent>
  <xr:revisionPtr revIDLastSave="0" documentId="13_ncr:1_{621D2AFC-43C7-4A0D-BA4A-0663882D53FA}" xr6:coauthVersionLast="47" xr6:coauthVersionMax="47" xr10:uidLastSave="{00000000-0000-0000-0000-000000000000}"/>
  <bookViews>
    <workbookView xWindow="-98" yWindow="-98" windowWidth="20715" windowHeight="13155" xr2:uid="{D3F0E171-B272-4A2D-BD0D-A04C57CDDC15}"/>
  </bookViews>
  <sheets>
    <sheet name="Kết quả phân tích" sheetId="1" r:id="rId1"/>
    <sheet name="Hình 1 NCF lũy kế TIPV" sheetId="2" r:id="rId2"/>
    <sheet name="Hình 2 NCF lũy kế EP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D152" i="1" l="1"/>
  <c r="C152" i="1"/>
  <c r="D147" i="1"/>
  <c r="C147" i="1"/>
  <c r="D142" i="1"/>
  <c r="B142" i="1"/>
  <c r="D137" i="1"/>
  <c r="B137" i="1"/>
  <c r="B17" i="1"/>
  <c r="D140" i="1"/>
  <c r="B140" i="1"/>
  <c r="D135" i="1"/>
  <c r="B135" i="1"/>
  <c r="D132" i="1"/>
  <c r="B132" i="1"/>
  <c r="D130" i="1"/>
  <c r="C58" i="1"/>
  <c r="D58" i="1" s="1"/>
  <c r="E58" i="1" s="1"/>
  <c r="B130" i="1" l="1"/>
  <c r="A124" i="1"/>
  <c r="E15" i="1"/>
  <c r="C85" i="1" s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A91" i="1"/>
  <c r="A98" i="1" s="1"/>
  <c r="B79" i="1"/>
  <c r="B82" i="1" s="1"/>
  <c r="B84" i="1" s="1"/>
  <c r="B91" i="1" s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67" i="1"/>
  <c r="A66" i="1"/>
  <c r="A65" i="1"/>
  <c r="I59" i="1"/>
  <c r="I67" i="1" s="1"/>
  <c r="H59" i="1"/>
  <c r="H67" i="1" s="1"/>
  <c r="G59" i="1"/>
  <c r="G67" i="1" s="1"/>
  <c r="F59" i="1"/>
  <c r="F67" i="1" s="1"/>
  <c r="E59" i="1"/>
  <c r="E67" i="1" s="1"/>
  <c r="D59" i="1"/>
  <c r="D67" i="1" s="1"/>
  <c r="C59" i="1"/>
  <c r="C67" i="1" s="1"/>
  <c r="B56" i="1"/>
  <c r="B63" i="1" s="1"/>
  <c r="B75" i="1" s="1"/>
  <c r="B90" i="1" s="1"/>
  <c r="B97" i="1" s="1"/>
  <c r="B123" i="1" s="1"/>
  <c r="A56" i="1"/>
  <c r="A63" i="1" s="1"/>
  <c r="A75" i="1" s="1"/>
  <c r="A90" i="1" s="1"/>
  <c r="A97" i="1" s="1"/>
  <c r="A123" i="1" s="1"/>
  <c r="D52" i="1"/>
  <c r="E52" i="1" s="1"/>
  <c r="F52" i="1" s="1"/>
  <c r="G52" i="1" s="1"/>
  <c r="C52" i="1"/>
  <c r="C50" i="1"/>
  <c r="C56" i="1" s="1"/>
  <c r="C63" i="1" s="1"/>
  <c r="C75" i="1" s="1"/>
  <c r="C90" i="1" s="1"/>
  <c r="C97" i="1" s="1"/>
  <c r="C123" i="1" s="1"/>
  <c r="B47" i="1"/>
  <c r="C42" i="1" s="1"/>
  <c r="L44" i="1" s="1"/>
  <c r="L93" i="1" s="1"/>
  <c r="B86" i="1" l="1"/>
  <c r="B87" i="1" s="1"/>
  <c r="B92" i="1"/>
  <c r="B94" i="1" s="1"/>
  <c r="B100" i="1"/>
  <c r="D50" i="1"/>
  <c r="E50" i="1" s="1"/>
  <c r="F50" i="1" s="1"/>
  <c r="G50" i="1" s="1"/>
  <c r="H50" i="1" s="1"/>
  <c r="I50" i="1" s="1"/>
  <c r="J50" i="1" s="1"/>
  <c r="K50" i="1" s="1"/>
  <c r="L50" i="1" s="1"/>
  <c r="L125" i="1"/>
  <c r="B98" i="1"/>
  <c r="C81" i="1"/>
  <c r="C66" i="1"/>
  <c r="D81" i="1"/>
  <c r="D66" i="1"/>
  <c r="H52" i="1"/>
  <c r="I44" i="1"/>
  <c r="C43" i="1"/>
  <c r="F44" i="1"/>
  <c r="J44" i="1"/>
  <c r="E44" i="1"/>
  <c r="C44" i="1"/>
  <c r="G44" i="1"/>
  <c r="K44" i="1"/>
  <c r="D44" i="1"/>
  <c r="H44" i="1"/>
  <c r="C51" i="1"/>
  <c r="D56" i="1" l="1"/>
  <c r="D63" i="1" s="1"/>
  <c r="D75" i="1" s="1"/>
  <c r="D85" i="1" s="1"/>
  <c r="I56" i="1"/>
  <c r="I63" i="1" s="1"/>
  <c r="I75" i="1" s="1"/>
  <c r="M50" i="1"/>
  <c r="L56" i="1"/>
  <c r="L63" i="1" s="1"/>
  <c r="L75" i="1" s="1"/>
  <c r="L90" i="1" s="1"/>
  <c r="L97" i="1" s="1"/>
  <c r="L123" i="1" s="1"/>
  <c r="J56" i="1"/>
  <c r="J63" i="1" s="1"/>
  <c r="J75" i="1" s="1"/>
  <c r="J90" i="1" s="1"/>
  <c r="J97" i="1" s="1"/>
  <c r="J123" i="1" s="1"/>
  <c r="F56" i="1"/>
  <c r="F63" i="1" s="1"/>
  <c r="F75" i="1" s="1"/>
  <c r="F85" i="1" s="1"/>
  <c r="G56" i="1"/>
  <c r="G63" i="1" s="1"/>
  <c r="G75" i="1" s="1"/>
  <c r="G90" i="1" s="1"/>
  <c r="G97" i="1" s="1"/>
  <c r="G123" i="1" s="1"/>
  <c r="K56" i="1"/>
  <c r="K63" i="1" s="1"/>
  <c r="K75" i="1" s="1"/>
  <c r="K90" i="1" s="1"/>
  <c r="K97" i="1" s="1"/>
  <c r="K123" i="1" s="1"/>
  <c r="E56" i="1"/>
  <c r="E63" i="1" s="1"/>
  <c r="E75" i="1" s="1"/>
  <c r="E90" i="1" s="1"/>
  <c r="E97" i="1" s="1"/>
  <c r="E123" i="1" s="1"/>
  <c r="H56" i="1"/>
  <c r="H63" i="1" s="1"/>
  <c r="H75" i="1" s="1"/>
  <c r="H85" i="1" s="1"/>
  <c r="K93" i="1"/>
  <c r="K125" i="1"/>
  <c r="C93" i="1"/>
  <c r="C125" i="1"/>
  <c r="I90" i="1"/>
  <c r="I97" i="1" s="1"/>
  <c r="I123" i="1" s="1"/>
  <c r="I85" i="1"/>
  <c r="D90" i="1"/>
  <c r="D97" i="1" s="1"/>
  <c r="D123" i="1" s="1"/>
  <c r="J93" i="1"/>
  <c r="J125" i="1"/>
  <c r="C47" i="1"/>
  <c r="G93" i="1"/>
  <c r="G125" i="1"/>
  <c r="F93" i="1"/>
  <c r="F125" i="1"/>
  <c r="H90" i="1"/>
  <c r="H97" i="1" s="1"/>
  <c r="H123" i="1" s="1"/>
  <c r="H93" i="1"/>
  <c r="H125" i="1"/>
  <c r="D93" i="1"/>
  <c r="D125" i="1"/>
  <c r="E93" i="1"/>
  <c r="E125" i="1"/>
  <c r="I93" i="1"/>
  <c r="I125" i="1"/>
  <c r="B108" i="1"/>
  <c r="B109" i="1" s="1"/>
  <c r="D51" i="1"/>
  <c r="C53" i="1"/>
  <c r="C46" i="1"/>
  <c r="C45" i="1" s="1"/>
  <c r="C69" i="1"/>
  <c r="F58" i="1"/>
  <c r="E81" i="1"/>
  <c r="E66" i="1"/>
  <c r="I52" i="1"/>
  <c r="E85" i="1" l="1"/>
  <c r="F90" i="1"/>
  <c r="F97" i="1" s="1"/>
  <c r="F123" i="1" s="1"/>
  <c r="K85" i="1"/>
  <c r="G85" i="1"/>
  <c r="L85" i="1"/>
  <c r="J85" i="1"/>
  <c r="N50" i="1"/>
  <c r="M56" i="1"/>
  <c r="M63" i="1" s="1"/>
  <c r="M75" i="1" s="1"/>
  <c r="D42" i="1"/>
  <c r="D43" i="1" s="1"/>
  <c r="D46" i="1" s="1"/>
  <c r="D45" i="1" s="1"/>
  <c r="C100" i="1"/>
  <c r="C77" i="1"/>
  <c r="C64" i="1"/>
  <c r="C57" i="1"/>
  <c r="D53" i="1"/>
  <c r="E51" i="1"/>
  <c r="G58" i="1"/>
  <c r="F81" i="1"/>
  <c r="F66" i="1"/>
  <c r="J52" i="1"/>
  <c r="M85" i="1" l="1"/>
  <c r="M90" i="1"/>
  <c r="M97" i="1" s="1"/>
  <c r="M123" i="1" s="1"/>
  <c r="N56" i="1"/>
  <c r="N63" i="1" s="1"/>
  <c r="N75" i="1" s="1"/>
  <c r="O50" i="1"/>
  <c r="D69" i="1"/>
  <c r="D47" i="1"/>
  <c r="E42" i="1" s="1"/>
  <c r="E43" i="1" s="1"/>
  <c r="D57" i="1"/>
  <c r="D77" i="1"/>
  <c r="D64" i="1"/>
  <c r="C65" i="1"/>
  <c r="C68" i="1" s="1"/>
  <c r="C70" i="1" s="1"/>
  <c r="C71" i="1" s="1"/>
  <c r="C83" i="1" s="1"/>
  <c r="C80" i="1"/>
  <c r="C82" i="1" s="1"/>
  <c r="C60" i="1"/>
  <c r="F51" i="1"/>
  <c r="E53" i="1"/>
  <c r="H58" i="1"/>
  <c r="G81" i="1"/>
  <c r="G66" i="1"/>
  <c r="K52" i="1"/>
  <c r="P50" i="1" l="1"/>
  <c r="O56" i="1"/>
  <c r="O63" i="1" s="1"/>
  <c r="O75" i="1" s="1"/>
  <c r="N85" i="1"/>
  <c r="N90" i="1"/>
  <c r="N97" i="1" s="1"/>
  <c r="N123" i="1" s="1"/>
  <c r="D100" i="1"/>
  <c r="E77" i="1"/>
  <c r="E64" i="1"/>
  <c r="E57" i="1"/>
  <c r="G51" i="1"/>
  <c r="F53" i="1"/>
  <c r="C72" i="1"/>
  <c r="C84" i="1"/>
  <c r="D60" i="1"/>
  <c r="D80" i="1"/>
  <c r="D82" i="1" s="1"/>
  <c r="D65" i="1"/>
  <c r="D68" i="1" s="1"/>
  <c r="D70" i="1" s="1"/>
  <c r="E46" i="1"/>
  <c r="E45" i="1" s="1"/>
  <c r="E69" i="1"/>
  <c r="I58" i="1"/>
  <c r="H81" i="1"/>
  <c r="H66" i="1"/>
  <c r="L52" i="1"/>
  <c r="E47" i="1"/>
  <c r="O90" i="1" l="1"/>
  <c r="O97" i="1" s="1"/>
  <c r="O123" i="1" s="1"/>
  <c r="O85" i="1"/>
  <c r="P56" i="1"/>
  <c r="P63" i="1" s="1"/>
  <c r="P75" i="1" s="1"/>
  <c r="Q50" i="1"/>
  <c r="F42" i="1"/>
  <c r="F43" i="1" s="1"/>
  <c r="E100" i="1"/>
  <c r="C91" i="1"/>
  <c r="C98" i="1" s="1"/>
  <c r="C124" i="1"/>
  <c r="C126" i="1" s="1"/>
  <c r="C86" i="1"/>
  <c r="C87" i="1" s="1"/>
  <c r="D71" i="1"/>
  <c r="D83" i="1" s="1"/>
  <c r="D84" i="1" s="1"/>
  <c r="H51" i="1"/>
  <c r="G53" i="1"/>
  <c r="E80" i="1"/>
  <c r="E82" i="1" s="1"/>
  <c r="E65" i="1"/>
  <c r="E68" i="1" s="1"/>
  <c r="E70" i="1" s="1"/>
  <c r="E71" i="1" s="1"/>
  <c r="E83" i="1" s="1"/>
  <c r="E60" i="1"/>
  <c r="F77" i="1"/>
  <c r="F64" i="1"/>
  <c r="F57" i="1"/>
  <c r="J58" i="1"/>
  <c r="I66" i="1"/>
  <c r="I81" i="1"/>
  <c r="M52" i="1"/>
  <c r="Q56" i="1" l="1"/>
  <c r="Q63" i="1" s="1"/>
  <c r="Q75" i="1" s="1"/>
  <c r="R50" i="1"/>
  <c r="P90" i="1"/>
  <c r="P97" i="1" s="1"/>
  <c r="P123" i="1" s="1"/>
  <c r="P85" i="1"/>
  <c r="E84" i="1"/>
  <c r="E124" i="1" s="1"/>
  <c r="E126" i="1" s="1"/>
  <c r="C94" i="1"/>
  <c r="D91" i="1"/>
  <c r="D94" i="1" s="1"/>
  <c r="D124" i="1"/>
  <c r="D126" i="1" s="1"/>
  <c r="D86" i="1"/>
  <c r="D87" i="1" s="1"/>
  <c r="G57" i="1"/>
  <c r="G77" i="1"/>
  <c r="G64" i="1"/>
  <c r="I51" i="1"/>
  <c r="H53" i="1"/>
  <c r="D72" i="1"/>
  <c r="F80" i="1"/>
  <c r="F82" i="1" s="1"/>
  <c r="F60" i="1"/>
  <c r="F65" i="1"/>
  <c r="F68" i="1" s="1"/>
  <c r="F46" i="1"/>
  <c r="F45" i="1" s="1"/>
  <c r="F69" i="1"/>
  <c r="K58" i="1"/>
  <c r="J81" i="1"/>
  <c r="J66" i="1"/>
  <c r="E72" i="1"/>
  <c r="F47" i="1"/>
  <c r="N52" i="1"/>
  <c r="S50" i="1" l="1"/>
  <c r="R56" i="1"/>
  <c r="R63" i="1" s="1"/>
  <c r="R75" i="1" s="1"/>
  <c r="Q85" i="1"/>
  <c r="Q90" i="1"/>
  <c r="Q97" i="1" s="1"/>
  <c r="Q123" i="1" s="1"/>
  <c r="E91" i="1"/>
  <c r="E94" i="1" s="1"/>
  <c r="E86" i="1"/>
  <c r="E87" i="1" s="1"/>
  <c r="G42" i="1"/>
  <c r="G43" i="1" s="1"/>
  <c r="G69" i="1" s="1"/>
  <c r="F100" i="1"/>
  <c r="F70" i="1"/>
  <c r="F71" i="1" s="1"/>
  <c r="F83" i="1" s="1"/>
  <c r="F84" i="1" s="1"/>
  <c r="D98" i="1"/>
  <c r="H57" i="1"/>
  <c r="H77" i="1"/>
  <c r="H64" i="1"/>
  <c r="G65" i="1"/>
  <c r="G68" i="1" s="1"/>
  <c r="G60" i="1"/>
  <c r="G80" i="1"/>
  <c r="G82" i="1" s="1"/>
  <c r="J51" i="1"/>
  <c r="I53" i="1"/>
  <c r="L58" i="1"/>
  <c r="K81" i="1"/>
  <c r="K66" i="1"/>
  <c r="O52" i="1"/>
  <c r="R90" i="1" l="1"/>
  <c r="R97" i="1" s="1"/>
  <c r="R123" i="1" s="1"/>
  <c r="R85" i="1"/>
  <c r="T50" i="1"/>
  <c r="S56" i="1"/>
  <c r="S63" i="1" s="1"/>
  <c r="S75" i="1" s="1"/>
  <c r="G46" i="1"/>
  <c r="G45" i="1" s="1"/>
  <c r="E98" i="1"/>
  <c r="G47" i="1"/>
  <c r="H42" i="1" s="1"/>
  <c r="H43" i="1" s="1"/>
  <c r="F91" i="1"/>
  <c r="F98" i="1" s="1"/>
  <c r="F86" i="1"/>
  <c r="F87" i="1" s="1"/>
  <c r="F124" i="1"/>
  <c r="F126" i="1" s="1"/>
  <c r="F72" i="1"/>
  <c r="G70" i="1"/>
  <c r="G71" i="1" s="1"/>
  <c r="G83" i="1" s="1"/>
  <c r="G84" i="1" s="1"/>
  <c r="H80" i="1"/>
  <c r="H82" i="1" s="1"/>
  <c r="H60" i="1"/>
  <c r="H65" i="1"/>
  <c r="H68" i="1" s="1"/>
  <c r="J53" i="1"/>
  <c r="K51" i="1"/>
  <c r="I77" i="1"/>
  <c r="I64" i="1"/>
  <c r="I57" i="1"/>
  <c r="M58" i="1"/>
  <c r="L81" i="1"/>
  <c r="L66" i="1"/>
  <c r="P52" i="1"/>
  <c r="S85" i="1" l="1"/>
  <c r="S90" i="1"/>
  <c r="S97" i="1" s="1"/>
  <c r="S123" i="1" s="1"/>
  <c r="U50" i="1"/>
  <c r="T56" i="1"/>
  <c r="T63" i="1" s="1"/>
  <c r="T75" i="1" s="1"/>
  <c r="G100" i="1"/>
  <c r="F94" i="1"/>
  <c r="G91" i="1"/>
  <c r="G98" i="1" s="1"/>
  <c r="G124" i="1"/>
  <c r="G126" i="1" s="1"/>
  <c r="G86" i="1"/>
  <c r="G87" i="1" s="1"/>
  <c r="I65" i="1"/>
  <c r="I68" i="1" s="1"/>
  <c r="I80" i="1"/>
  <c r="I82" i="1" s="1"/>
  <c r="I60" i="1"/>
  <c r="J77" i="1"/>
  <c r="J64" i="1"/>
  <c r="J57" i="1"/>
  <c r="G72" i="1"/>
  <c r="K53" i="1"/>
  <c r="L51" i="1"/>
  <c r="H46" i="1"/>
  <c r="H45" i="1" s="1"/>
  <c r="H69" i="1"/>
  <c r="H70" i="1" s="1"/>
  <c r="N58" i="1"/>
  <c r="M81" i="1"/>
  <c r="M66" i="1"/>
  <c r="H47" i="1"/>
  <c r="Q52" i="1"/>
  <c r="T85" i="1" l="1"/>
  <c r="T90" i="1"/>
  <c r="T97" i="1" s="1"/>
  <c r="T123" i="1" s="1"/>
  <c r="V50" i="1"/>
  <c r="U56" i="1"/>
  <c r="U63" i="1" s="1"/>
  <c r="U75" i="1" s="1"/>
  <c r="I42" i="1"/>
  <c r="I43" i="1" s="1"/>
  <c r="I46" i="1" s="1"/>
  <c r="I45" i="1" s="1"/>
  <c r="H100" i="1"/>
  <c r="G94" i="1"/>
  <c r="L53" i="1"/>
  <c r="M51" i="1"/>
  <c r="J65" i="1"/>
  <c r="J68" i="1" s="1"/>
  <c r="J60" i="1"/>
  <c r="J80" i="1"/>
  <c r="J82" i="1" s="1"/>
  <c r="K57" i="1"/>
  <c r="K64" i="1"/>
  <c r="K77" i="1"/>
  <c r="H71" i="1"/>
  <c r="H83" i="1" s="1"/>
  <c r="H84" i="1" s="1"/>
  <c r="O58" i="1"/>
  <c r="N81" i="1"/>
  <c r="N66" i="1"/>
  <c r="R52" i="1"/>
  <c r="W50" i="1" l="1"/>
  <c r="V56" i="1"/>
  <c r="V63" i="1" s="1"/>
  <c r="V75" i="1" s="1"/>
  <c r="U90" i="1"/>
  <c r="U97" i="1" s="1"/>
  <c r="U123" i="1" s="1"/>
  <c r="U85" i="1"/>
  <c r="I47" i="1"/>
  <c r="I100" i="1" s="1"/>
  <c r="I69" i="1"/>
  <c r="I70" i="1" s="1"/>
  <c r="I71" i="1" s="1"/>
  <c r="I83" i="1" s="1"/>
  <c r="I84" i="1" s="1"/>
  <c r="H72" i="1"/>
  <c r="H91" i="1"/>
  <c r="H98" i="1" s="1"/>
  <c r="H124" i="1"/>
  <c r="H126" i="1" s="1"/>
  <c r="H86" i="1"/>
  <c r="H87" i="1" s="1"/>
  <c r="N51" i="1"/>
  <c r="M53" i="1"/>
  <c r="L77" i="1"/>
  <c r="L57" i="1"/>
  <c r="L64" i="1"/>
  <c r="K60" i="1"/>
  <c r="K80" i="1"/>
  <c r="K82" i="1" s="1"/>
  <c r="K65" i="1"/>
  <c r="K68" i="1" s="1"/>
  <c r="P58" i="1"/>
  <c r="O81" i="1"/>
  <c r="O66" i="1"/>
  <c r="S52" i="1"/>
  <c r="V90" i="1" l="1"/>
  <c r="V97" i="1" s="1"/>
  <c r="V123" i="1" s="1"/>
  <c r="V85" i="1"/>
  <c r="X50" i="1"/>
  <c r="W56" i="1"/>
  <c r="W63" i="1" s="1"/>
  <c r="W75" i="1" s="1"/>
  <c r="J42" i="1"/>
  <c r="J43" i="1" s="1"/>
  <c r="J46" i="1" s="1"/>
  <c r="J45" i="1" s="1"/>
  <c r="H94" i="1"/>
  <c r="I72" i="1"/>
  <c r="I91" i="1"/>
  <c r="I98" i="1" s="1"/>
  <c r="I124" i="1"/>
  <c r="I126" i="1" s="1"/>
  <c r="I86" i="1"/>
  <c r="I87" i="1" s="1"/>
  <c r="M77" i="1"/>
  <c r="M57" i="1"/>
  <c r="M64" i="1"/>
  <c r="N53" i="1"/>
  <c r="O51" i="1"/>
  <c r="L60" i="1"/>
  <c r="L80" i="1"/>
  <c r="L82" i="1" s="1"/>
  <c r="L65" i="1"/>
  <c r="L68" i="1" s="1"/>
  <c r="Q58" i="1"/>
  <c r="P81" i="1"/>
  <c r="P66" i="1"/>
  <c r="T52" i="1"/>
  <c r="J47" i="1" l="1"/>
  <c r="J100" i="1" s="1"/>
  <c r="J69" i="1"/>
  <c r="J70" i="1" s="1"/>
  <c r="J71" i="1" s="1"/>
  <c r="J83" i="1" s="1"/>
  <c r="J84" i="1" s="1"/>
  <c r="W90" i="1"/>
  <c r="W97" i="1" s="1"/>
  <c r="W123" i="1" s="1"/>
  <c r="W85" i="1"/>
  <c r="X56" i="1"/>
  <c r="X63" i="1" s="1"/>
  <c r="X75" i="1" s="1"/>
  <c r="Y50" i="1"/>
  <c r="I94" i="1"/>
  <c r="B116" i="1"/>
  <c r="P51" i="1"/>
  <c r="O53" i="1"/>
  <c r="M80" i="1"/>
  <c r="M82" i="1" s="1"/>
  <c r="M65" i="1"/>
  <c r="M68" i="1" s="1"/>
  <c r="M70" i="1" s="1"/>
  <c r="M60" i="1"/>
  <c r="N77" i="1"/>
  <c r="N64" i="1"/>
  <c r="N57" i="1"/>
  <c r="R58" i="1"/>
  <c r="Q81" i="1"/>
  <c r="Q66" i="1"/>
  <c r="U52" i="1"/>
  <c r="K42" i="1" l="1"/>
  <c r="K43" i="1" s="1"/>
  <c r="K47" i="1" s="1"/>
  <c r="Z50" i="1"/>
  <c r="Y56" i="1"/>
  <c r="Y63" i="1" s="1"/>
  <c r="Y75" i="1" s="1"/>
  <c r="X90" i="1"/>
  <c r="X97" i="1" s="1"/>
  <c r="X123" i="1" s="1"/>
  <c r="X85" i="1"/>
  <c r="J72" i="1"/>
  <c r="J91" i="1"/>
  <c r="J94" i="1" s="1"/>
  <c r="J86" i="1"/>
  <c r="J87" i="1" s="1"/>
  <c r="J124" i="1"/>
  <c r="J126" i="1" s="1"/>
  <c r="M71" i="1"/>
  <c r="M83" i="1" s="1"/>
  <c r="M84" i="1" s="1"/>
  <c r="O77" i="1"/>
  <c r="O64" i="1"/>
  <c r="O57" i="1"/>
  <c r="N65" i="1"/>
  <c r="N68" i="1" s="1"/>
  <c r="N70" i="1" s="1"/>
  <c r="N71" i="1" s="1"/>
  <c r="N83" i="1" s="1"/>
  <c r="N80" i="1"/>
  <c r="N82" i="1" s="1"/>
  <c r="N60" i="1"/>
  <c r="Q51" i="1"/>
  <c r="P53" i="1"/>
  <c r="S58" i="1"/>
  <c r="R81" i="1"/>
  <c r="R66" i="1"/>
  <c r="V52" i="1"/>
  <c r="K69" i="1" l="1"/>
  <c r="K70" i="1" s="1"/>
  <c r="K71" i="1" s="1"/>
  <c r="K83" i="1" s="1"/>
  <c r="K84" i="1" s="1"/>
  <c r="J98" i="1"/>
  <c r="K46" i="1"/>
  <c r="K45" i="1" s="1"/>
  <c r="Y85" i="1"/>
  <c r="Y90" i="1"/>
  <c r="Y97" i="1" s="1"/>
  <c r="Y123" i="1" s="1"/>
  <c r="Z56" i="1"/>
  <c r="Z63" i="1" s="1"/>
  <c r="Z75" i="1" s="1"/>
  <c r="AA50" i="1"/>
  <c r="AA56" i="1" s="1"/>
  <c r="AA63" i="1" s="1"/>
  <c r="AA75" i="1" s="1"/>
  <c r="L42" i="1"/>
  <c r="L43" i="1" s="1"/>
  <c r="K100" i="1"/>
  <c r="N72" i="1"/>
  <c r="M91" i="1"/>
  <c r="M94" i="1" s="1"/>
  <c r="M124" i="1"/>
  <c r="M86" i="1"/>
  <c r="M72" i="1"/>
  <c r="P57" i="1"/>
  <c r="P77" i="1"/>
  <c r="P64" i="1"/>
  <c r="N84" i="1"/>
  <c r="Q53" i="1"/>
  <c r="R51" i="1"/>
  <c r="O80" i="1"/>
  <c r="O82" i="1" s="1"/>
  <c r="O65" i="1"/>
  <c r="O68" i="1" s="1"/>
  <c r="O70" i="1" s="1"/>
  <c r="O71" i="1" s="1"/>
  <c r="O83" i="1" s="1"/>
  <c r="O60" i="1"/>
  <c r="T58" i="1"/>
  <c r="S81" i="1"/>
  <c r="S66" i="1"/>
  <c r="W52" i="1"/>
  <c r="AA90" i="1" l="1"/>
  <c r="AA97" i="1" s="1"/>
  <c r="AA123" i="1" s="1"/>
  <c r="AA85" i="1"/>
  <c r="Z85" i="1"/>
  <c r="Z90" i="1"/>
  <c r="Z97" i="1" s="1"/>
  <c r="Z123" i="1" s="1"/>
  <c r="M98" i="1"/>
  <c r="O84" i="1"/>
  <c r="O124" i="1" s="1"/>
  <c r="O72" i="1"/>
  <c r="K91" i="1"/>
  <c r="K94" i="1" s="1"/>
  <c r="K124" i="1"/>
  <c r="K126" i="1" s="1"/>
  <c r="K86" i="1"/>
  <c r="K87" i="1" s="1"/>
  <c r="N91" i="1"/>
  <c r="N98" i="1" s="1"/>
  <c r="N86" i="1"/>
  <c r="N124" i="1"/>
  <c r="S51" i="1"/>
  <c r="R53" i="1"/>
  <c r="Q57" i="1"/>
  <c r="Q64" i="1"/>
  <c r="Q77" i="1"/>
  <c r="P80" i="1"/>
  <c r="P82" i="1" s="1"/>
  <c r="P65" i="1"/>
  <c r="P68" i="1" s="1"/>
  <c r="P70" i="1" s="1"/>
  <c r="P71" i="1" s="1"/>
  <c r="P83" i="1" s="1"/>
  <c r="P60" i="1"/>
  <c r="L46" i="1"/>
  <c r="L45" i="1" s="1"/>
  <c r="L69" i="1"/>
  <c r="L70" i="1" s="1"/>
  <c r="U58" i="1"/>
  <c r="T81" i="1"/>
  <c r="T66" i="1"/>
  <c r="K72" i="1"/>
  <c r="X52" i="1"/>
  <c r="L47" i="1"/>
  <c r="L100" i="1" s="1"/>
  <c r="O91" i="1" l="1"/>
  <c r="O98" i="1" s="1"/>
  <c r="N94" i="1"/>
  <c r="K98" i="1"/>
  <c r="O86" i="1"/>
  <c r="P72" i="1"/>
  <c r="Q65" i="1"/>
  <c r="Q68" i="1" s="1"/>
  <c r="Q70" i="1" s="1"/>
  <c r="Q60" i="1"/>
  <c r="Q80" i="1"/>
  <c r="Q82" i="1" s="1"/>
  <c r="R77" i="1"/>
  <c r="R57" i="1"/>
  <c r="R64" i="1"/>
  <c r="P84" i="1"/>
  <c r="T51" i="1"/>
  <c r="S53" i="1"/>
  <c r="V58" i="1"/>
  <c r="U81" i="1"/>
  <c r="U66" i="1"/>
  <c r="L71" i="1"/>
  <c r="L83" i="1" s="1"/>
  <c r="L84" i="1" s="1"/>
  <c r="Y52" i="1"/>
  <c r="O94" i="1" l="1"/>
  <c r="L91" i="1"/>
  <c r="L98" i="1" s="1"/>
  <c r="L124" i="1"/>
  <c r="L126" i="1" s="1"/>
  <c r="B126" i="1" s="1"/>
  <c r="L86" i="1"/>
  <c r="L87" i="1" s="1"/>
  <c r="M87" i="1" s="1"/>
  <c r="N87" i="1" s="1"/>
  <c r="O87" i="1" s="1"/>
  <c r="P91" i="1"/>
  <c r="P98" i="1" s="1"/>
  <c r="P124" i="1"/>
  <c r="P86" i="1"/>
  <c r="T53" i="1"/>
  <c r="U51" i="1"/>
  <c r="R80" i="1"/>
  <c r="R82" i="1" s="1"/>
  <c r="R65" i="1"/>
  <c r="R68" i="1" s="1"/>
  <c r="R70" i="1" s="1"/>
  <c r="R60" i="1"/>
  <c r="S57" i="1"/>
  <c r="S77" i="1"/>
  <c r="S64" i="1"/>
  <c r="Q71" i="1"/>
  <c r="Q83" i="1" s="1"/>
  <c r="Q84" i="1" s="1"/>
  <c r="L72" i="1"/>
  <c r="W58" i="1"/>
  <c r="V81" i="1"/>
  <c r="V66" i="1"/>
  <c r="Z52" i="1"/>
  <c r="L94" i="1" l="1"/>
  <c r="P94" i="1"/>
  <c r="P87" i="1"/>
  <c r="Q91" i="1"/>
  <c r="Q94" i="1" s="1"/>
  <c r="Q124" i="1"/>
  <c r="Q86" i="1"/>
  <c r="Q72" i="1"/>
  <c r="R71" i="1"/>
  <c r="R83" i="1" s="1"/>
  <c r="R84" i="1" s="1"/>
  <c r="V51" i="1"/>
  <c r="U53" i="1"/>
  <c r="S65" i="1"/>
  <c r="S68" i="1" s="1"/>
  <c r="S70" i="1" s="1"/>
  <c r="S71" i="1" s="1"/>
  <c r="S83" i="1" s="1"/>
  <c r="S60" i="1"/>
  <c r="S80" i="1"/>
  <c r="S82" i="1" s="1"/>
  <c r="T77" i="1"/>
  <c r="T57" i="1"/>
  <c r="T64" i="1"/>
  <c r="X58" i="1"/>
  <c r="Y58" i="1" s="1"/>
  <c r="W81" i="1"/>
  <c r="W66" i="1"/>
  <c r="AA52" i="1"/>
  <c r="Q87" i="1" l="1"/>
  <c r="Q98" i="1"/>
  <c r="S84" i="1"/>
  <c r="R91" i="1"/>
  <c r="R94" i="1" s="1"/>
  <c r="R86" i="1"/>
  <c r="R124" i="1"/>
  <c r="S72" i="1"/>
  <c r="U57" i="1"/>
  <c r="U77" i="1"/>
  <c r="U64" i="1"/>
  <c r="V53" i="1"/>
  <c r="W51" i="1"/>
  <c r="T80" i="1"/>
  <c r="T82" i="1" s="1"/>
  <c r="T65" i="1"/>
  <c r="T68" i="1" s="1"/>
  <c r="T70" i="1" s="1"/>
  <c r="T60" i="1"/>
  <c r="R72" i="1"/>
  <c r="X81" i="1"/>
  <c r="X66" i="1"/>
  <c r="R87" i="1" l="1"/>
  <c r="R98" i="1"/>
  <c r="S91" i="1"/>
  <c r="S124" i="1"/>
  <c r="S86" i="1"/>
  <c r="X51" i="1"/>
  <c r="W53" i="1"/>
  <c r="V77" i="1"/>
  <c r="V57" i="1"/>
  <c r="V64" i="1"/>
  <c r="T71" i="1"/>
  <c r="T83" i="1" s="1"/>
  <c r="T84" i="1" s="1"/>
  <c r="U65" i="1"/>
  <c r="U68" i="1" s="1"/>
  <c r="U70" i="1" s="1"/>
  <c r="U60" i="1"/>
  <c r="U80" i="1"/>
  <c r="U82" i="1" s="1"/>
  <c r="Z58" i="1"/>
  <c r="Y81" i="1"/>
  <c r="Y66" i="1"/>
  <c r="S87" i="1" l="1"/>
  <c r="S94" i="1"/>
  <c r="S98" i="1"/>
  <c r="T91" i="1"/>
  <c r="T94" i="1" s="1"/>
  <c r="T124" i="1"/>
  <c r="T86" i="1"/>
  <c r="U71" i="1"/>
  <c r="U83" i="1" s="1"/>
  <c r="U84" i="1" s="1"/>
  <c r="T72" i="1"/>
  <c r="Y51" i="1"/>
  <c r="X53" i="1"/>
  <c r="W64" i="1"/>
  <c r="W57" i="1"/>
  <c r="W77" i="1"/>
  <c r="V60" i="1"/>
  <c r="V65" i="1"/>
  <c r="V68" i="1" s="1"/>
  <c r="V70" i="1" s="1"/>
  <c r="V80" i="1"/>
  <c r="V82" i="1" s="1"/>
  <c r="AA58" i="1"/>
  <c r="Z81" i="1"/>
  <c r="Z66" i="1"/>
  <c r="T87" i="1" l="1"/>
  <c r="T98" i="1"/>
  <c r="U91" i="1"/>
  <c r="U94" i="1" s="1"/>
  <c r="U124" i="1"/>
  <c r="U86" i="1"/>
  <c r="V71" i="1"/>
  <c r="V83" i="1" s="1"/>
  <c r="V84" i="1" s="1"/>
  <c r="Z51" i="1"/>
  <c r="Y53" i="1"/>
  <c r="W65" i="1"/>
  <c r="W68" i="1" s="1"/>
  <c r="W70" i="1" s="1"/>
  <c r="W80" i="1"/>
  <c r="W82" i="1" s="1"/>
  <c r="W60" i="1"/>
  <c r="U72" i="1"/>
  <c r="X77" i="1"/>
  <c r="X64" i="1"/>
  <c r="X57" i="1"/>
  <c r="AA81" i="1"/>
  <c r="AA66" i="1"/>
  <c r="U87" i="1" l="1"/>
  <c r="V72" i="1"/>
  <c r="U98" i="1"/>
  <c r="V91" i="1"/>
  <c r="V98" i="1" s="1"/>
  <c r="V86" i="1"/>
  <c r="V124" i="1"/>
  <c r="Y77" i="1"/>
  <c r="Y57" i="1"/>
  <c r="Y64" i="1"/>
  <c r="AA51" i="1"/>
  <c r="AA53" i="1" s="1"/>
  <c r="Z53" i="1"/>
  <c r="W71" i="1"/>
  <c r="W83" i="1" s="1"/>
  <c r="W84" i="1" s="1"/>
  <c r="X60" i="1"/>
  <c r="X80" i="1"/>
  <c r="X82" i="1" s="1"/>
  <c r="X65" i="1"/>
  <c r="X68" i="1" s="1"/>
  <c r="X70" i="1" s="1"/>
  <c r="V87" i="1" l="1"/>
  <c r="V94" i="1"/>
  <c r="W91" i="1"/>
  <c r="W98" i="1" s="1"/>
  <c r="W124" i="1"/>
  <c r="W86" i="1"/>
  <c r="X71" i="1"/>
  <c r="X83" i="1" s="1"/>
  <c r="X84" i="1" s="1"/>
  <c r="W72" i="1"/>
  <c r="Z57" i="1"/>
  <c r="Z77" i="1"/>
  <c r="Z64" i="1"/>
  <c r="Y60" i="1"/>
  <c r="Y80" i="1"/>
  <c r="Y82" i="1" s="1"/>
  <c r="Y65" i="1"/>
  <c r="Y68" i="1" s="1"/>
  <c r="Y70" i="1" s="1"/>
  <c r="Y71" i="1" s="1"/>
  <c r="Y83" i="1" s="1"/>
  <c r="AA77" i="1"/>
  <c r="AA57" i="1"/>
  <c r="AA64" i="1"/>
  <c r="W87" i="1" l="1"/>
  <c r="W94" i="1"/>
  <c r="X72" i="1"/>
  <c r="Y72" i="1"/>
  <c r="X91" i="1"/>
  <c r="X98" i="1" s="1"/>
  <c r="X124" i="1"/>
  <c r="X86" i="1"/>
  <c r="AA60" i="1"/>
  <c r="AA80" i="1"/>
  <c r="AA82" i="1" s="1"/>
  <c r="AA65" i="1"/>
  <c r="AA68" i="1" s="1"/>
  <c r="AA70" i="1" s="1"/>
  <c r="Y84" i="1"/>
  <c r="Z80" i="1"/>
  <c r="Z82" i="1" s="1"/>
  <c r="Z65" i="1"/>
  <c r="Z68" i="1" s="1"/>
  <c r="Z70" i="1" s="1"/>
  <c r="Z60" i="1"/>
  <c r="X87" i="1" l="1"/>
  <c r="X94" i="1"/>
  <c r="Y91" i="1"/>
  <c r="Y94" i="1" s="1"/>
  <c r="Y124" i="1"/>
  <c r="Y86" i="1"/>
  <c r="Z71" i="1"/>
  <c r="Z83" i="1" s="1"/>
  <c r="Z84" i="1" s="1"/>
  <c r="AA71" i="1"/>
  <c r="AA83" i="1" s="1"/>
  <c r="AA84" i="1" s="1"/>
  <c r="Y87" i="1" l="1"/>
  <c r="Y98" i="1"/>
  <c r="AA72" i="1"/>
  <c r="AA91" i="1"/>
  <c r="AA94" i="1" s="1"/>
  <c r="AA124" i="1"/>
  <c r="AA86" i="1"/>
  <c r="B114" i="1"/>
  <c r="B115" i="1"/>
  <c r="Z91" i="1"/>
  <c r="Z94" i="1" s="1"/>
  <c r="Z86" i="1"/>
  <c r="Z124" i="1"/>
  <c r="Z72" i="1"/>
  <c r="AA98" i="1" l="1"/>
  <c r="Z87" i="1"/>
  <c r="AA87" i="1" s="1"/>
  <c r="Z98" i="1"/>
  <c r="C114" i="1"/>
  <c r="C115" i="1"/>
  <c r="Z99" i="1" l="1"/>
  <c r="Z102" i="1" s="1"/>
  <c r="B99" i="1"/>
  <c r="B101" i="1" s="1"/>
  <c r="L99" i="1"/>
  <c r="L101" i="1" s="1"/>
  <c r="X99" i="1"/>
  <c r="X101" i="1" s="1"/>
  <c r="X103" i="1" s="1"/>
  <c r="O99" i="1"/>
  <c r="O101" i="1" s="1"/>
  <c r="H99" i="1"/>
  <c r="H101" i="1" s="1"/>
  <c r="J99" i="1"/>
  <c r="J101" i="1" s="1"/>
  <c r="W99" i="1"/>
  <c r="W101" i="1" s="1"/>
  <c r="K99" i="1"/>
  <c r="K101" i="1" s="1"/>
  <c r="C99" i="1"/>
  <c r="C101" i="1" s="1"/>
  <c r="R99" i="1"/>
  <c r="R102" i="1" s="1"/>
  <c r="M99" i="1"/>
  <c r="M102" i="1" s="1"/>
  <c r="Q99" i="1"/>
  <c r="Q102" i="1" s="1"/>
  <c r="N99" i="1"/>
  <c r="N102" i="1" s="1"/>
  <c r="F99" i="1"/>
  <c r="F101" i="1" s="1"/>
  <c r="Y99" i="1"/>
  <c r="Y102" i="1" s="1"/>
  <c r="P99" i="1"/>
  <c r="P102" i="1" s="1"/>
  <c r="I99" i="1"/>
  <c r="I101" i="1" s="1"/>
  <c r="E99" i="1"/>
  <c r="E102" i="1" s="1"/>
  <c r="T99" i="1"/>
  <c r="T101" i="1" s="1"/>
  <c r="U99" i="1"/>
  <c r="U101" i="1" s="1"/>
  <c r="G99" i="1"/>
  <c r="G101" i="1" s="1"/>
  <c r="D99" i="1"/>
  <c r="D102" i="1" s="1"/>
  <c r="S99" i="1"/>
  <c r="S101" i="1" s="1"/>
  <c r="V99" i="1"/>
  <c r="V101" i="1" s="1"/>
  <c r="Z101" i="1" l="1"/>
  <c r="Z104" i="1" s="1"/>
  <c r="Z105" i="1" s="1"/>
  <c r="X102" i="1"/>
  <c r="X104" i="1"/>
  <c r="X105" i="1" s="1"/>
  <c r="L102" i="1"/>
  <c r="O102" i="1"/>
  <c r="J102" i="1"/>
  <c r="R101" i="1"/>
  <c r="R103" i="1" s="1"/>
  <c r="B102" i="1"/>
  <c r="H102" i="1"/>
  <c r="D101" i="1"/>
  <c r="D104" i="1" s="1"/>
  <c r="D105" i="1" s="1"/>
  <c r="Y101" i="1"/>
  <c r="Y103" i="1" s="1"/>
  <c r="W102" i="1"/>
  <c r="E101" i="1"/>
  <c r="E104" i="1" s="1"/>
  <c r="E105" i="1" s="1"/>
  <c r="M101" i="1"/>
  <c r="M103" i="1" s="1"/>
  <c r="Q101" i="1"/>
  <c r="Q103" i="1" s="1"/>
  <c r="F102" i="1"/>
  <c r="C102" i="1"/>
  <c r="N101" i="1"/>
  <c r="N104" i="1" s="1"/>
  <c r="N105" i="1" s="1"/>
  <c r="K102" i="1"/>
  <c r="I102" i="1"/>
  <c r="P101" i="1"/>
  <c r="P104" i="1" s="1"/>
  <c r="P105" i="1" s="1"/>
  <c r="U102" i="1"/>
  <c r="V102" i="1"/>
  <c r="T102" i="1"/>
  <c r="G102" i="1"/>
  <c r="S102" i="1"/>
  <c r="V103" i="1"/>
  <c r="V104" i="1"/>
  <c r="V105" i="1" s="1"/>
  <c r="W104" i="1"/>
  <c r="W105" i="1" s="1"/>
  <c r="W103" i="1"/>
  <c r="H104" i="1"/>
  <c r="H105" i="1" s="1"/>
  <c r="H103" i="1"/>
  <c r="T104" i="1"/>
  <c r="T105" i="1" s="1"/>
  <c r="T103" i="1"/>
  <c r="B104" i="1"/>
  <c r="B105" i="1" s="1"/>
  <c r="C107" i="1" s="1"/>
  <c r="B103" i="1"/>
  <c r="J103" i="1"/>
  <c r="J104" i="1"/>
  <c r="J105" i="1" s="1"/>
  <c r="F103" i="1"/>
  <c r="F104" i="1"/>
  <c r="F105" i="1" s="1"/>
  <c r="L104" i="1"/>
  <c r="L105" i="1" s="1"/>
  <c r="L103" i="1"/>
  <c r="O104" i="1"/>
  <c r="O105" i="1" s="1"/>
  <c r="O103" i="1"/>
  <c r="U103" i="1"/>
  <c r="U104" i="1"/>
  <c r="U105" i="1" s="1"/>
  <c r="I103" i="1"/>
  <c r="I104" i="1"/>
  <c r="I105" i="1" s="1"/>
  <c r="C104" i="1"/>
  <c r="C105" i="1" s="1"/>
  <c r="C103" i="1"/>
  <c r="S104" i="1"/>
  <c r="S105" i="1" s="1"/>
  <c r="S103" i="1"/>
  <c r="G104" i="1"/>
  <c r="G105" i="1" s="1"/>
  <c r="G103" i="1"/>
  <c r="K104" i="1"/>
  <c r="K105" i="1" s="1"/>
  <c r="K103" i="1"/>
  <c r="Z103" i="1" l="1"/>
  <c r="Z106" i="1" s="1"/>
  <c r="X106" i="1"/>
  <c r="R104" i="1"/>
  <c r="R105" i="1" s="1"/>
  <c r="R106" i="1" s="1"/>
  <c r="Q104" i="1"/>
  <c r="Q105" i="1" s="1"/>
  <c r="Q106" i="1" s="1"/>
  <c r="D103" i="1"/>
  <c r="D106" i="1" s="1"/>
  <c r="E103" i="1"/>
  <c r="E106" i="1" s="1"/>
  <c r="Y104" i="1"/>
  <c r="Y105" i="1" s="1"/>
  <c r="Y106" i="1" s="1"/>
  <c r="N103" i="1"/>
  <c r="N106" i="1" s="1"/>
  <c r="M104" i="1"/>
  <c r="M105" i="1" s="1"/>
  <c r="M106" i="1" s="1"/>
  <c r="P103" i="1"/>
  <c r="P106" i="1" s="1"/>
  <c r="J106" i="1"/>
  <c r="G106" i="1"/>
  <c r="O106" i="1"/>
  <c r="V106" i="1"/>
  <c r="I106" i="1"/>
  <c r="W106" i="1"/>
  <c r="T106" i="1"/>
  <c r="H106" i="1"/>
  <c r="K106" i="1"/>
  <c r="S106" i="1"/>
  <c r="U106" i="1"/>
  <c r="L106" i="1"/>
  <c r="F106" i="1"/>
  <c r="C106" i="1"/>
  <c r="D107" i="1"/>
  <c r="C108" i="1"/>
  <c r="B106" i="1"/>
  <c r="B113" i="1" s="1"/>
  <c r="A131" i="1" s="1"/>
  <c r="A136" i="1" s="1"/>
  <c r="A141" i="1" s="1"/>
  <c r="A146" i="1" s="1"/>
  <c r="A151" i="1" s="1"/>
  <c r="C109" i="1" l="1"/>
  <c r="E107" i="1"/>
  <c r="D108" i="1"/>
  <c r="F107" i="1" l="1"/>
  <c r="E108" i="1"/>
  <c r="D109" i="1"/>
  <c r="E109" i="1" l="1"/>
  <c r="G107" i="1"/>
  <c r="F108" i="1"/>
  <c r="F109" i="1" l="1"/>
  <c r="H107" i="1"/>
  <c r="G108" i="1"/>
  <c r="G109" i="1" l="1"/>
  <c r="I107" i="1"/>
  <c r="H108" i="1"/>
  <c r="C116" i="1"/>
  <c r="H109" i="1" l="1"/>
  <c r="J107" i="1"/>
  <c r="I108" i="1"/>
  <c r="I109" i="1" l="1"/>
  <c r="K107" i="1"/>
  <c r="J108" i="1"/>
  <c r="J109" i="1" l="1"/>
  <c r="L107" i="1"/>
  <c r="K108" i="1"/>
  <c r="K109" i="1" l="1"/>
  <c r="M107" i="1"/>
  <c r="L108" i="1"/>
  <c r="L109" i="1" l="1"/>
  <c r="N107" i="1"/>
  <c r="M108" i="1"/>
  <c r="M109" i="1" l="1"/>
  <c r="O107" i="1"/>
  <c r="N108" i="1"/>
  <c r="N109" i="1" l="1"/>
  <c r="P107" i="1"/>
  <c r="O108" i="1"/>
  <c r="O109" i="1" l="1"/>
  <c r="Q107" i="1"/>
  <c r="P108" i="1"/>
  <c r="P109" i="1" l="1"/>
  <c r="R107" i="1"/>
  <c r="Q108" i="1"/>
  <c r="Q109" i="1" l="1"/>
  <c r="S107" i="1"/>
  <c r="R108" i="1"/>
  <c r="R109" i="1" l="1"/>
  <c r="T107" i="1"/>
  <c r="S108" i="1"/>
  <c r="S109" i="1" l="1"/>
  <c r="U107" i="1"/>
  <c r="T108" i="1"/>
  <c r="T109" i="1" l="1"/>
  <c r="V107" i="1"/>
  <c r="U108" i="1"/>
  <c r="U109" i="1" l="1"/>
  <c r="W107" i="1"/>
  <c r="V108" i="1"/>
  <c r="V109" i="1" l="1"/>
  <c r="X107" i="1"/>
  <c r="W108" i="1"/>
  <c r="W109" i="1" l="1"/>
  <c r="Y107" i="1"/>
  <c r="X108" i="1"/>
  <c r="X109" i="1" l="1"/>
  <c r="Z107" i="1"/>
  <c r="Y108" i="1"/>
  <c r="Y109" i="1" l="1"/>
  <c r="AA107" i="1"/>
  <c r="AA108" i="1" s="1"/>
  <c r="Z108" i="1"/>
  <c r="Z109" i="1" l="1"/>
  <c r="AA109" i="1" s="1"/>
  <c r="C113" i="1"/>
</calcChain>
</file>

<file path=xl/sharedStrings.xml><?xml version="1.0" encoding="utf-8"?>
<sst xmlns="http://schemas.openxmlformats.org/spreadsheetml/2006/main" count="144" uniqueCount="134">
  <si>
    <t>TỔNG CHI PHÍ ĐẦU TƯ</t>
  </si>
  <si>
    <t>triệu đồng</t>
  </si>
  <si>
    <t>Vòng đời dự án</t>
  </si>
  <si>
    <t>năm</t>
  </si>
  <si>
    <t>Khấu hao: Đường thẳng</t>
  </si>
  <si>
    <t>ĐẦU TƯ</t>
  </si>
  <si>
    <t>DOANH THU</t>
  </si>
  <si>
    <t>Số giờ nắng trung bình</t>
  </si>
  <si>
    <t>giờ/năm</t>
  </si>
  <si>
    <t>Tỷ lệ suy giảm công suất năm đầu</t>
  </si>
  <si>
    <t>Tỷ lệ suy giảm công suất năm tiếp theo</t>
  </si>
  <si>
    <t>KWh</t>
  </si>
  <si>
    <t>MWp</t>
  </si>
  <si>
    <t>Công suất thiết kế</t>
  </si>
  <si>
    <t>Sản lượng điện tối đa/năm</t>
  </si>
  <si>
    <t>Sản lương</t>
  </si>
  <si>
    <t>Giá bán</t>
  </si>
  <si>
    <t>Năm 1</t>
  </si>
  <si>
    <t>Năm 2</t>
  </si>
  <si>
    <t>Từ năm 3 trở đi tăng</t>
  </si>
  <si>
    <t xml:space="preserve">so với năm trước </t>
  </si>
  <si>
    <t>CHI PHÍ</t>
  </si>
  <si>
    <t>Chi phí bảo dưỡng hàng năm</t>
  </si>
  <si>
    <t>Chi phí bảo hiểm tài sản</t>
  </si>
  <si>
    <t>Thuế TNDN của dự án</t>
  </si>
  <si>
    <t>/năm</t>
  </si>
  <si>
    <t>Cơ cấu vốn</t>
  </si>
  <si>
    <t>Lãi vay</t>
  </si>
  <si>
    <t>Vốn chủ sở hữu</t>
  </si>
  <si>
    <t>Vốn vay</t>
  </si>
  <si>
    <t>Suất sinh lợi kỳ vọng</t>
  </si>
  <si>
    <t>Giả định khác:</t>
  </si>
  <si>
    <t>YÊU CẦU:</t>
  </si>
  <si>
    <t xml:space="preserve">   10) Phân tích độ nhạy theo các biến sau đây: </t>
  </si>
  <si>
    <t xml:space="preserve">         - Chi phí đầu tư tăng/giảm 10%?</t>
  </si>
  <si>
    <t xml:space="preserve">   1) Lập lịch vay và trả nợ?</t>
  </si>
  <si>
    <t xml:space="preserve">   2) Lập bảng sản lượng, giá bán và doanh thu điện?</t>
  </si>
  <si>
    <t xml:space="preserve">   3) Lập bảng chi phí hoạt động?</t>
  </si>
  <si>
    <t xml:space="preserve">   4) Lập báo cáo thu nhập dự trù?</t>
  </si>
  <si>
    <t xml:space="preserve">   5) Lập báo cáo ngân lưu theo quan điểm tổng đầu tư(TIPV)?</t>
  </si>
  <si>
    <t xml:space="preserve">   6) Lập báo cáo ngân lưu theo quan điểm chủ đầu tư (EPV)?</t>
  </si>
  <si>
    <t xml:space="preserve">   7) Lập bảng tính suất chiết khấu của dự án?</t>
  </si>
  <si>
    <t xml:space="preserve">   8) Tính các tiêu chí NPV, IRR, MIRR và thời gian hoàn vốn của dự án?</t>
  </si>
  <si>
    <t xml:space="preserve">   9) Phân tích khả năng trả nợ của dự án?</t>
  </si>
  <si>
    <t xml:space="preserve">         - Giá bán điện tăng/giảm 10%?</t>
  </si>
  <si>
    <t xml:space="preserve">         - Số giờ nắng tăng/giảm 10%?</t>
  </si>
  <si>
    <t xml:space="preserve">   -  VAT và vốn lưu động = 0</t>
  </si>
  <si>
    <t>Số năm trả nợ</t>
  </si>
  <si>
    <t>năm, từ năm 1</t>
  </si>
  <si>
    <t xml:space="preserve">         - Tỷ lệ suy giảm công suất năm đầu là 5%, 8% và chi phí bảo dưỡng 4% và 5%?</t>
  </si>
  <si>
    <t>BÀI LÀM</t>
  </si>
  <si>
    <r>
      <rPr>
        <b/>
        <sz val="11"/>
        <color theme="1"/>
        <rFont val="Calibri"/>
        <family val="2"/>
        <scheme val="minor"/>
      </rPr>
      <t>LƯU Ý:</t>
    </r>
    <r>
      <rPr>
        <sz val="11"/>
        <color theme="1"/>
        <rFont val="Calibri"/>
        <family val="2"/>
        <scheme val="minor"/>
      </rPr>
      <t xml:space="preserve"> SINH VIÊN LÀM BÀI TRÊN CÙNG MỘT BẢNG TÍNH EXCEL (SPREADSHEET).</t>
    </r>
  </si>
  <si>
    <t xml:space="preserve">              ĐỊNH DẠNG CÁC BẢNG RÕ RÀNG, DỄ NHÌN.</t>
  </si>
  <si>
    <t>DỰ ÁN ĐIỆN NĂNG LƯỢNG MẶT TRỜI MÁI NHÀ GIC</t>
  </si>
  <si>
    <t>Năm</t>
  </si>
  <si>
    <t>Nợ đầu kỳ</t>
  </si>
  <si>
    <t>Lãi phát sinh</t>
  </si>
  <si>
    <t xml:space="preserve">Trả nợ </t>
  </si>
  <si>
    <t xml:space="preserve">   * Trả gốc</t>
  </si>
  <si>
    <t xml:space="preserve">   * Trả lãi</t>
  </si>
  <si>
    <t>Nợ cuối kỳ</t>
  </si>
  <si>
    <t>2. SẢN LƯỢNG, GIÁ BÁN, DOANH THU</t>
  </si>
  <si>
    <t>1. LỊCH VAY VÀ TRẢ NỢ</t>
  </si>
  <si>
    <t>Sản lượng</t>
  </si>
  <si>
    <t>Doanh thu</t>
  </si>
  <si>
    <t>3. CHI PHÍ HOẠT ĐỘNG</t>
  </si>
  <si>
    <t>Chi phí bảo dưỡng</t>
  </si>
  <si>
    <t>Chi phí bảo hiểm</t>
  </si>
  <si>
    <t>Khấu hao</t>
  </si>
  <si>
    <t xml:space="preserve">Trượt giá </t>
  </si>
  <si>
    <t>/doanh thu điện</t>
  </si>
  <si>
    <t>/giá trị đầu tư hệ thống</t>
  </si>
  <si>
    <t>Tổng chi phí</t>
  </si>
  <si>
    <t>4. BÁO CÁO THU NHẬP</t>
  </si>
  <si>
    <t>EBIT</t>
  </si>
  <si>
    <t>Trả lãi</t>
  </si>
  <si>
    <t>EBT</t>
  </si>
  <si>
    <t>Thu nhập sau thuế</t>
  </si>
  <si>
    <t>5. BÁO CÁO NGÂN LƯU TIPV</t>
  </si>
  <si>
    <t>Ngân lưu vào</t>
  </si>
  <si>
    <t>Ngân lưu ra</t>
  </si>
  <si>
    <t xml:space="preserve">   Đầu tư ban đầu</t>
  </si>
  <si>
    <t xml:space="preserve">   Doanh thu</t>
  </si>
  <si>
    <t xml:space="preserve">   Chi chi phí bảo dưỡng</t>
  </si>
  <si>
    <t xml:space="preserve">   Chi phí bảo hiểm</t>
  </si>
  <si>
    <t>Ngân lưu ròng trước thuế</t>
  </si>
  <si>
    <t>Thuế TNDN</t>
  </si>
  <si>
    <t>Ngân lưu ròng sau thuế (TIPV)</t>
  </si>
  <si>
    <t>6. BÁO CÁO NGÂN LƯU EPV</t>
  </si>
  <si>
    <t>Vay</t>
  </si>
  <si>
    <t>Trả nợ</t>
  </si>
  <si>
    <t>Ngân lưu ròng sau thuế (EPV)</t>
  </si>
  <si>
    <t>7. BẢNG TÍNH SUẤT CHIẾT KHẤU</t>
  </si>
  <si>
    <t>Giá trị dự án</t>
  </si>
  <si>
    <t>WACC</t>
  </si>
  <si>
    <t>Giá trị nợ</t>
  </si>
  <si>
    <t>Giá trị vốn chủ sở hữu</t>
  </si>
  <si>
    <t>D/E</t>
  </si>
  <si>
    <t>%D</t>
  </si>
  <si>
    <t>%E</t>
  </si>
  <si>
    <t>PV(NCF_EPV)</t>
  </si>
  <si>
    <t>8. CÁC TIÊU CHÍ ĐÁNH GIÁ HIỆU QUẢ TÀI CHÍNH</t>
  </si>
  <si>
    <t>NPV</t>
  </si>
  <si>
    <t>IRR</t>
  </si>
  <si>
    <t>MIRR</t>
  </si>
  <si>
    <t>TIPV</t>
  </si>
  <si>
    <t>EPV</t>
  </si>
  <si>
    <t>PV(NCF_EPV) tích lũy</t>
  </si>
  <si>
    <t>PP</t>
  </si>
  <si>
    <t>Thừa số chiết khấu TIPV</t>
  </si>
  <si>
    <t>PV(NCF_TIPV)</t>
  </si>
  <si>
    <t>tháng</t>
  </si>
  <si>
    <t>9. KHẢ NĂNG TRẢ NỢ</t>
  </si>
  <si>
    <t>DSCR</t>
  </si>
  <si>
    <t>10. PHÂN TÍCH ĐỘ NHẠY</t>
  </si>
  <si>
    <t>PV(NCF_TIPV) tích lũy =&gt; tính thời gian hoàn vốn</t>
  </si>
  <si>
    <t>Nhận xét: Dự án có khả năng trả nợ cao.</t>
  </si>
  <si>
    <t>Nhận xét:</t>
  </si>
  <si>
    <t xml:space="preserve">   1) NPV của 2 quan điểm bằng nhau, chứng tỏ ngân lưu đã được lập đúng.</t>
  </si>
  <si>
    <t xml:space="preserve">   2) NPV &gt; 0 và IRR &gt; suất chiết khấu, nên dự án khả thi về mặt tài chính.</t>
  </si>
  <si>
    <r>
      <t>r</t>
    </r>
    <r>
      <rPr>
        <vertAlign val="subscript"/>
        <sz val="11"/>
        <color theme="1"/>
        <rFont val="Calibri"/>
        <family val="2"/>
        <scheme val="minor"/>
      </rPr>
      <t>e</t>
    </r>
  </si>
  <si>
    <r>
      <t>Thừa số chiết khấu theo r</t>
    </r>
    <r>
      <rPr>
        <vertAlign val="subscript"/>
        <sz val="11"/>
        <color theme="1"/>
        <rFont val="Calibri"/>
        <family val="2"/>
        <scheme val="minor"/>
      </rPr>
      <t>e</t>
    </r>
  </si>
  <si>
    <t xml:space="preserve">   3) Thời gian hoàn vốn của chủ đầu tư khoảng 4 năm.</t>
  </si>
  <si>
    <t>Nhận xét: Giá bán điện là một biến rủi ro quan trọng.</t>
  </si>
  <si>
    <t>Nhận xét: Số giờ nắng trung bình hàng năm là một biến rủi ro quan trọng.</t>
  </si>
  <si>
    <t>Nhận xét: Suy giảm công suất năm đầu không phải là một biến rủi ro quan trọng.</t>
  </si>
  <si>
    <t>Nhận xét: Chi phí bảo dưỡng không phải là một biến rủi ro quan trọng.</t>
  </si>
  <si>
    <t xml:space="preserve">   -  Giá trị thanh lý = 0</t>
  </si>
  <si>
    <t xml:space="preserve">   1) VAT giá điện và VAT đầu tư là 5%</t>
  </si>
  <si>
    <t xml:space="preserve">   2) Chi phí thuê "mái nhà" để làm dự án (biết đâu điều này có thể xảy ra trong tương lai).</t>
  </si>
  <si>
    <r>
      <rPr>
        <b/>
        <sz val="11"/>
        <color rgb="FFFF0000"/>
        <rFont val="Calibri"/>
        <family val="2"/>
        <scheme val="minor"/>
      </rPr>
      <t>Lưu ý:</t>
    </r>
    <r>
      <rPr>
        <sz val="11"/>
        <color rgb="FFFF0000"/>
        <rFont val="Calibri"/>
        <family val="2"/>
        <scheme val="minor"/>
      </rPr>
      <t xml:space="preserve"> Bạn có thể phát triển tình huống này với các giả định sau đây: </t>
    </r>
  </si>
  <si>
    <t>tăng giảm 10%</t>
  </si>
  <si>
    <t>Nếu x tăng/giảm 1%, NPV tăng/giảm hơn 1% thì x là một biến rủi ro.</t>
  </si>
  <si>
    <t>Nhận xét: Chi phí đầu tư là một biến rủi ro quan trọng.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</si>
</sst>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_(* #,##0_);_(* \(#,##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0" fontId="0" fillId="0" borderId="0" xfId="2" applyNumberFormat="1" applyFont="1"/>
    <xf numFmtId="0" fontId="0" fillId="0" borderId="0" xfId="0" quotePrefix="1"/>
    <xf numFmtId="165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0" borderId="1" xfId="0" quotePrefix="1" applyBorder="1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2" fontId="0" fillId="0" borderId="0" xfId="0" applyNumberFormat="1"/>
    <xf numFmtId="1" fontId="0" fillId="0" borderId="0" xfId="0" applyNumberFormat="1"/>
    <xf numFmtId="0" fontId="2" fillId="0" borderId="2" xfId="0" applyFont="1" applyBorder="1"/>
    <xf numFmtId="0" fontId="0" fillId="0" borderId="2" xfId="0" applyBorder="1"/>
    <xf numFmtId="6" fontId="0" fillId="0" borderId="2" xfId="0" applyNumberFormat="1" applyBorder="1"/>
    <xf numFmtId="0" fontId="0" fillId="0" borderId="3" xfId="0" applyBorder="1"/>
    <xf numFmtId="164" fontId="0" fillId="0" borderId="2" xfId="0" applyNumberFormat="1" applyBorder="1"/>
    <xf numFmtId="167" fontId="0" fillId="0" borderId="0" xfId="0" applyNumberFormat="1"/>
    <xf numFmtId="164" fontId="0" fillId="0" borderId="2" xfId="1" applyNumberFormat="1" applyFont="1" applyBorder="1"/>
    <xf numFmtId="10" fontId="0" fillId="0" borderId="2" xfId="0" applyNumberFormat="1" applyBorder="1"/>
    <xf numFmtId="0" fontId="0" fillId="0" borderId="4" xfId="0" applyBorder="1"/>
    <xf numFmtId="164" fontId="0" fillId="0" borderId="4" xfId="0" applyNumberFormat="1" applyBorder="1"/>
    <xf numFmtId="0" fontId="2" fillId="0" borderId="4" xfId="0" applyFont="1" applyBorder="1"/>
    <xf numFmtId="9" fontId="0" fillId="0" borderId="0" xfId="2" applyFont="1"/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" fontId="0" fillId="0" borderId="6" xfId="1" applyNumberFormat="1" applyFont="1" applyBorder="1" applyAlignment="1">
      <alignment horizontal="center"/>
    </xf>
    <xf numFmtId="9" fontId="0" fillId="0" borderId="6" xfId="2" applyFont="1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43" fontId="0" fillId="0" borderId="0" xfId="0" applyNumberFormat="1"/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/>
    <xf numFmtId="2" fontId="0" fillId="0" borderId="2" xfId="0" applyNumberFormat="1" applyBorder="1"/>
    <xf numFmtId="164" fontId="2" fillId="2" borderId="2" xfId="0" applyNumberFormat="1" applyFont="1" applyFill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10" fontId="0" fillId="0" borderId="0" xfId="0" applyNumberFormat="1"/>
    <xf numFmtId="0" fontId="7" fillId="0" borderId="0" xfId="0" applyFont="1"/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165" fontId="0" fillId="0" borderId="2" xfId="2" applyNumberFormat="1" applyFont="1" applyBorder="1"/>
    <xf numFmtId="165" fontId="0" fillId="0" borderId="0" xfId="2" applyNumberFormat="1" applyFont="1" applyBorder="1"/>
    <xf numFmtId="0" fontId="6" fillId="0" borderId="0" xfId="0" applyFont="1"/>
    <xf numFmtId="0" fontId="0" fillId="3" borderId="3" xfId="0" applyFill="1" applyBorder="1"/>
    <xf numFmtId="0" fontId="0" fillId="3" borderId="5" xfId="0" applyFill="1" applyBorder="1"/>
    <xf numFmtId="0" fontId="2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Dòng</a:t>
            </a:r>
            <a:r>
              <a:rPr lang="en-US" baseline="0"/>
              <a:t> tiền tích lũy của dự án theo TIPV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'Kết quả phân tích'!$B$87:$AA$87</c:f>
              <c:numCache>
                <c:formatCode>_(* #,##0_);_(* \(#,##0\);_(* "-"??_);_(@_)</c:formatCode>
                <c:ptCount val="26"/>
                <c:pt idx="0">
                  <c:v>-15000</c:v>
                </c:pt>
                <c:pt idx="1">
                  <c:v>-11833.930880487185</c:v>
                </c:pt>
                <c:pt idx="2">
                  <c:v>-9047.9693911884478</c:v>
                </c:pt>
                <c:pt idx="3">
                  <c:v>-6556.7463143830655</c:v>
                </c:pt>
                <c:pt idx="4">
                  <c:v>-4329.784974858203</c:v>
                </c:pt>
                <c:pt idx="5">
                  <c:v>-2339.7559913474424</c:v>
                </c:pt>
                <c:pt idx="6">
                  <c:v>-562.15169523662098</c:v>
                </c:pt>
                <c:pt idx="7">
                  <c:v>1025.0056942294393</c:v>
                </c:pt>
                <c:pt idx="8">
                  <c:v>2275.5754118303448</c:v>
                </c:pt>
                <c:pt idx="9">
                  <c:v>3391.6420515602294</c:v>
                </c:pt>
                <c:pt idx="10">
                  <c:v>4386.980852708647</c:v>
                </c:pt>
                <c:pt idx="11">
                  <c:v>5273.9641971078336</c:v>
                </c:pt>
                <c:pt idx="12">
                  <c:v>6071.7981871115035</c:v>
                </c:pt>
                <c:pt idx="13">
                  <c:v>6789.4429261288151</c:v>
                </c:pt>
                <c:pt idx="14">
                  <c:v>7434.9579829208933</c:v>
                </c:pt>
                <c:pt idx="15">
                  <c:v>8015.592898333909</c:v>
                </c:pt>
                <c:pt idx="16">
                  <c:v>8537.8685959400536</c:v>
                </c:pt>
                <c:pt idx="17">
                  <c:v>9007.6506107474834</c:v>
                </c:pt>
                <c:pt idx="18">
                  <c:v>9430.2149582679249</c:v>
                </c:pt>
                <c:pt idx="19">
                  <c:v>9810.3073835912546</c:v>
                </c:pt>
                <c:pt idx="20">
                  <c:v>10152.196655782094</c:v>
                </c:pt>
                <c:pt idx="21">
                  <c:v>10459.722506049566</c:v>
                </c:pt>
                <c:pt idx="22">
                  <c:v>10736.338747997288</c:v>
                </c:pt>
                <c:pt idx="23">
                  <c:v>10985.152064160882</c:v>
                </c:pt>
                <c:pt idx="24">
                  <c:v>11208.956894377487</c:v>
                </c:pt>
                <c:pt idx="25">
                  <c:v>11410.266817759506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5-49B0-94DB-73A30825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9081007"/>
        <c:axId val="1773370111"/>
      </c:barChart>
      <c:catAx>
        <c:axId val="177908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70111"/>
        <c:crosses val="autoZero"/>
        <c:auto val="1"/>
        <c:lblAlgn val="ctr"/>
        <c:lblOffset val="100"/>
        <c:noMultiLvlLbl val="0"/>
      </c:catAx>
      <c:valAx>
        <c:axId val="17733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8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Dòng</a:t>
            </a:r>
            <a:r>
              <a:rPr lang="en-US" baseline="0"/>
              <a:t> tiền tích lũy của dự án theo EPV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'Kết quả phân tích'!$B$109:$AA$109</c:f>
              <c:numCache>
                <c:formatCode>_(* #,##0_);_(* \(#,##0\);_(* "-"??_);_(@_)</c:formatCode>
                <c:ptCount val="26"/>
                <c:pt idx="0">
                  <c:v>-6000</c:v>
                </c:pt>
                <c:pt idx="1">
                  <c:v>-4204.3259350071421</c:v>
                </c:pt>
                <c:pt idx="2">
                  <c:v>-2645.8038388178002</c:v>
                </c:pt>
                <c:pt idx="3">
                  <c:v>-1253.5152597246022</c:v>
                </c:pt>
                <c:pt idx="4">
                  <c:v>-9.7066039012897818</c:v>
                </c:pt>
                <c:pt idx="5">
                  <c:v>1101.453789192816</c:v>
                </c:pt>
                <c:pt idx="6">
                  <c:v>2094.0850896874308</c:v>
                </c:pt>
                <c:pt idx="7">
                  <c:v>2980.7802057822778</c:v>
                </c:pt>
                <c:pt idx="8">
                  <c:v>3613.562007763262</c:v>
                </c:pt>
                <c:pt idx="9">
                  <c:v>4179.7506284486954</c:v>
                </c:pt>
                <c:pt idx="10">
                  <c:v>4686.1181851270558</c:v>
                </c:pt>
                <c:pt idx="11">
                  <c:v>5535.3229408622656</c:v>
                </c:pt>
                <c:pt idx="12">
                  <c:v>6299.1754110089814</c:v>
                </c:pt>
                <c:pt idx="13">
                  <c:v>6986.2540682916169</c:v>
                </c:pt>
                <c:pt idx="14">
                  <c:v>7604.2752065553041</c:v>
                </c:pt>
                <c:pt idx="15">
                  <c:v>8160.1795926163959</c:v>
                </c:pt>
                <c:pt idx="16">
                  <c:v>8660.2104094436127</c:v>
                </c:pt>
                <c:pt idx="17">
                  <c:v>9109.9833658947482</c:v>
                </c:pt>
                <c:pt idx="18">
                  <c:v>9514.5497602745363</c:v>
                </c:pt>
                <c:pt idx="19">
                  <c:v>9878.4532058596851</c:v>
                </c:pt>
                <c:pt idx="20">
                  <c:v>10205.780655368866</c:v>
                </c:pt>
                <c:pt idx="21">
                  <c:v>10500.208297339468</c:v>
                </c:pt>
                <c:pt idx="22">
                  <c:v>10765.042839790458</c:v>
                </c:pt>
                <c:pt idx="23">
                  <c:v>11003.258644755202</c:v>
                </c:pt>
                <c:pt idx="24">
                  <c:v>11217.531130677911</c:v>
                </c:pt>
                <c:pt idx="25">
                  <c:v>11410.266817759499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4-4A5F-9258-1F01F4CE0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205551"/>
        <c:axId val="1773373023"/>
      </c:barChart>
      <c:catAx>
        <c:axId val="191920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73023"/>
        <c:crosses val="autoZero"/>
        <c:auto val="1"/>
        <c:lblAlgn val="ctr"/>
        <c:lblOffset val="100"/>
        <c:noMultiLvlLbl val="0"/>
      </c:catAx>
      <c:valAx>
        <c:axId val="17733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20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586740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B69B05-B44E-44A9-AE08-1BF2C33BE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339090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19C06-DE8E-44AE-BD03-BE1A3B06E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D3EA-4866-4731-A5BA-83DB5DCE1E1F}">
  <dimension ref="A1:AA157"/>
  <sheetViews>
    <sheetView tabSelected="1" topLeftCell="A137" zoomScale="104" workbookViewId="0">
      <selection activeCell="C163" sqref="C163"/>
    </sheetView>
  </sheetViews>
  <sheetFormatPr defaultRowHeight="14.25" x14ac:dyDescent="0.45"/>
  <cols>
    <col min="1" max="1" width="31.265625" bestFit="1" customWidth="1"/>
    <col min="2" max="2" width="19.59765625" bestFit="1" customWidth="1"/>
    <col min="3" max="3" width="14.265625" customWidth="1"/>
    <col min="4" max="4" width="16.19921875" customWidth="1"/>
    <col min="5" max="27" width="14.265625" customWidth="1"/>
  </cols>
  <sheetData>
    <row r="1" spans="1:7" ht="16.899999999999999" x14ac:dyDescent="0.5">
      <c r="A1" s="13"/>
    </row>
    <row r="2" spans="1:7" ht="19.899999999999999" thickBot="1" x14ac:dyDescent="0.65">
      <c r="A2" s="14" t="s">
        <v>53</v>
      </c>
      <c r="B2" s="9"/>
      <c r="C2" s="9"/>
      <c r="D2" s="9"/>
      <c r="E2" s="9"/>
      <c r="F2" s="9"/>
      <c r="G2" s="9"/>
    </row>
    <row r="3" spans="1:7" x14ac:dyDescent="0.45">
      <c r="A3" s="1" t="s">
        <v>5</v>
      </c>
      <c r="D3" s="1" t="s">
        <v>21</v>
      </c>
    </row>
    <row r="4" spans="1:7" x14ac:dyDescent="0.45">
      <c r="A4" t="s">
        <v>0</v>
      </c>
      <c r="B4" s="3">
        <v>15000</v>
      </c>
      <c r="C4" t="s">
        <v>1</v>
      </c>
      <c r="D4" t="s">
        <v>22</v>
      </c>
      <c r="E4" s="2">
        <v>0.03</v>
      </c>
      <c r="F4" t="s">
        <v>70</v>
      </c>
    </row>
    <row r="5" spans="1:7" x14ac:dyDescent="0.45">
      <c r="A5" t="s">
        <v>2</v>
      </c>
      <c r="B5">
        <v>25</v>
      </c>
      <c r="C5" t="s">
        <v>3</v>
      </c>
      <c r="D5" t="s">
        <v>23</v>
      </c>
      <c r="E5" s="44">
        <v>1E-3</v>
      </c>
      <c r="F5" t="s">
        <v>71</v>
      </c>
    </row>
    <row r="6" spans="1:7" x14ac:dyDescent="0.45">
      <c r="A6" t="s">
        <v>4</v>
      </c>
      <c r="B6">
        <v>7</v>
      </c>
      <c r="C6" t="s">
        <v>3</v>
      </c>
      <c r="D6" t="s">
        <v>69</v>
      </c>
      <c r="E6" s="2">
        <v>0.02</v>
      </c>
      <c r="F6" t="s">
        <v>25</v>
      </c>
    </row>
    <row r="7" spans="1:7" x14ac:dyDescent="0.45">
      <c r="D7" t="s">
        <v>24</v>
      </c>
      <c r="E7" s="2">
        <v>0.2</v>
      </c>
      <c r="F7" s="7" t="s">
        <v>25</v>
      </c>
    </row>
    <row r="8" spans="1:7" x14ac:dyDescent="0.45">
      <c r="A8" s="1" t="s">
        <v>6</v>
      </c>
    </row>
    <row r="9" spans="1:7" x14ac:dyDescent="0.45">
      <c r="A9" s="1" t="s">
        <v>15</v>
      </c>
      <c r="D9" t="s">
        <v>26</v>
      </c>
    </row>
    <row r="10" spans="1:7" x14ac:dyDescent="0.45">
      <c r="A10" t="s">
        <v>7</v>
      </c>
      <c r="B10" s="3">
        <v>1400</v>
      </c>
      <c r="C10" t="s">
        <v>8</v>
      </c>
      <c r="D10" t="s">
        <v>29</v>
      </c>
      <c r="E10" s="2">
        <v>0.6</v>
      </c>
    </row>
    <row r="11" spans="1:7" x14ac:dyDescent="0.45">
      <c r="A11" t="s">
        <v>13</v>
      </c>
      <c r="B11">
        <v>1</v>
      </c>
      <c r="C11" t="s">
        <v>12</v>
      </c>
      <c r="D11" t="s">
        <v>27</v>
      </c>
      <c r="E11" s="2">
        <v>0.11</v>
      </c>
      <c r="F11" s="7" t="s">
        <v>25</v>
      </c>
    </row>
    <row r="12" spans="1:7" x14ac:dyDescent="0.45">
      <c r="A12" t="s">
        <v>14</v>
      </c>
      <c r="B12" s="3">
        <f>B10*B11*1000</f>
        <v>1400000</v>
      </c>
      <c r="C12" t="s">
        <v>11</v>
      </c>
      <c r="D12" t="s">
        <v>47</v>
      </c>
      <c r="E12" s="16">
        <v>10</v>
      </c>
      <c r="F12" t="s">
        <v>48</v>
      </c>
    </row>
    <row r="13" spans="1:7" x14ac:dyDescent="0.45">
      <c r="A13" t="s">
        <v>9</v>
      </c>
      <c r="B13" s="2">
        <v>0.03</v>
      </c>
      <c r="D13" t="s">
        <v>28</v>
      </c>
      <c r="E13" s="2">
        <v>0.4</v>
      </c>
    </row>
    <row r="14" spans="1:7" x14ac:dyDescent="0.45">
      <c r="A14" t="s">
        <v>10</v>
      </c>
      <c r="B14" s="5">
        <v>7.0000000000000001E-3</v>
      </c>
      <c r="D14" t="s">
        <v>30</v>
      </c>
      <c r="E14" s="2">
        <v>0.15</v>
      </c>
      <c r="F14" s="7" t="s">
        <v>25</v>
      </c>
    </row>
    <row r="15" spans="1:7" x14ac:dyDescent="0.45">
      <c r="A15" s="1" t="s">
        <v>16</v>
      </c>
      <c r="B15" s="3"/>
      <c r="C15" s="4"/>
      <c r="D15" s="42" t="s">
        <v>94</v>
      </c>
      <c r="E15" s="43">
        <f>E10*E11+E13*E14</f>
        <v>0.126</v>
      </c>
    </row>
    <row r="16" spans="1:7" x14ac:dyDescent="0.45">
      <c r="A16" t="s">
        <v>17</v>
      </c>
      <c r="B16" s="3">
        <v>2800</v>
      </c>
      <c r="D16" t="s">
        <v>31</v>
      </c>
    </row>
    <row r="17" spans="1:7" x14ac:dyDescent="0.45">
      <c r="A17" t="s">
        <v>18</v>
      </c>
      <c r="B17" s="3">
        <f>B16</f>
        <v>2800</v>
      </c>
      <c r="C17" s="6"/>
      <c r="D17" s="7" t="s">
        <v>46</v>
      </c>
    </row>
    <row r="18" spans="1:7" ht="14.65" thickBot="1" x14ac:dyDescent="0.5">
      <c r="A18" s="9" t="s">
        <v>19</v>
      </c>
      <c r="B18" s="10">
        <v>0.02</v>
      </c>
      <c r="C18" s="9" t="s">
        <v>20</v>
      </c>
      <c r="D18" s="11" t="s">
        <v>127</v>
      </c>
      <c r="E18" s="9"/>
      <c r="F18" s="9"/>
      <c r="G18" s="9"/>
    </row>
    <row r="20" spans="1:7" x14ac:dyDescent="0.45">
      <c r="A20" s="12" t="s">
        <v>32</v>
      </c>
    </row>
    <row r="21" spans="1:7" x14ac:dyDescent="0.45">
      <c r="A21" t="s">
        <v>35</v>
      </c>
    </row>
    <row r="22" spans="1:7" x14ac:dyDescent="0.45">
      <c r="A22" t="s">
        <v>36</v>
      </c>
    </row>
    <row r="23" spans="1:7" x14ac:dyDescent="0.45">
      <c r="A23" t="s">
        <v>37</v>
      </c>
    </row>
    <row r="24" spans="1:7" x14ac:dyDescent="0.45">
      <c r="A24" t="s">
        <v>38</v>
      </c>
    </row>
    <row r="25" spans="1:7" x14ac:dyDescent="0.45">
      <c r="A25" t="s">
        <v>39</v>
      </c>
    </row>
    <row r="26" spans="1:7" x14ac:dyDescent="0.45">
      <c r="A26" t="s">
        <v>40</v>
      </c>
    </row>
    <row r="27" spans="1:7" x14ac:dyDescent="0.45">
      <c r="A27" t="s">
        <v>41</v>
      </c>
    </row>
    <row r="28" spans="1:7" x14ac:dyDescent="0.45">
      <c r="A28" t="s">
        <v>42</v>
      </c>
    </row>
    <row r="29" spans="1:7" x14ac:dyDescent="0.45">
      <c r="A29" t="s">
        <v>43</v>
      </c>
    </row>
    <row r="30" spans="1:7" x14ac:dyDescent="0.45">
      <c r="A30" t="s">
        <v>33</v>
      </c>
    </row>
    <row r="31" spans="1:7" x14ac:dyDescent="0.45">
      <c r="A31" s="7" t="s">
        <v>34</v>
      </c>
    </row>
    <row r="32" spans="1:7" x14ac:dyDescent="0.45">
      <c r="A32" s="7" t="s">
        <v>44</v>
      </c>
    </row>
    <row r="33" spans="1:12" x14ac:dyDescent="0.45">
      <c r="A33" s="7" t="s">
        <v>45</v>
      </c>
    </row>
    <row r="34" spans="1:12" x14ac:dyDescent="0.45">
      <c r="A34" s="7" t="s">
        <v>49</v>
      </c>
    </row>
    <row r="35" spans="1:12" x14ac:dyDescent="0.45">
      <c r="A35" t="s">
        <v>51</v>
      </c>
    </row>
    <row r="36" spans="1:12" x14ac:dyDescent="0.45">
      <c r="A36" t="s">
        <v>52</v>
      </c>
    </row>
    <row r="38" spans="1:12" x14ac:dyDescent="0.45">
      <c r="A38" s="12" t="s">
        <v>50</v>
      </c>
    </row>
    <row r="40" spans="1:12" x14ac:dyDescent="0.45">
      <c r="A40" s="17" t="s">
        <v>62</v>
      </c>
      <c r="B40" s="18"/>
      <c r="C40" s="19"/>
      <c r="D40" s="18"/>
      <c r="E40" s="18"/>
      <c r="F40" s="18"/>
      <c r="G40" s="18"/>
      <c r="H40" s="18"/>
      <c r="I40" s="18"/>
      <c r="J40" s="18"/>
      <c r="K40" s="18"/>
      <c r="L40" s="18"/>
    </row>
    <row r="41" spans="1:12" x14ac:dyDescent="0.45">
      <c r="A41" s="52" t="s">
        <v>54</v>
      </c>
      <c r="B41" s="52">
        <v>0</v>
      </c>
      <c r="C41" s="52">
        <v>1</v>
      </c>
      <c r="D41" s="52">
        <v>2</v>
      </c>
      <c r="E41" s="52">
        <v>3</v>
      </c>
      <c r="F41" s="52">
        <v>4</v>
      </c>
      <c r="G41" s="52">
        <v>5</v>
      </c>
      <c r="H41" s="52">
        <v>6</v>
      </c>
      <c r="I41" s="52">
        <v>7</v>
      </c>
      <c r="J41" s="52">
        <v>8</v>
      </c>
      <c r="K41" s="52">
        <v>9</v>
      </c>
      <c r="L41" s="52">
        <v>10</v>
      </c>
    </row>
    <row r="42" spans="1:12" x14ac:dyDescent="0.45">
      <c r="A42" t="s">
        <v>55</v>
      </c>
      <c r="C42" s="4">
        <f>B47</f>
        <v>9000</v>
      </c>
      <c r="D42" s="4">
        <f t="shared" ref="D42:L42" si="0">C47</f>
        <v>8461.7871561225875</v>
      </c>
      <c r="E42" s="4">
        <f t="shared" si="0"/>
        <v>7864.37089941866</v>
      </c>
      <c r="F42" s="4">
        <f t="shared" si="0"/>
        <v>7201.2388544773003</v>
      </c>
      <c r="G42" s="4">
        <f t="shared" si="0"/>
        <v>6465.1622845923903</v>
      </c>
      <c r="H42" s="4">
        <f t="shared" si="0"/>
        <v>5648.1172920201407</v>
      </c>
      <c r="I42" s="4">
        <f t="shared" si="0"/>
        <v>4741.1973502649435</v>
      </c>
      <c r="J42" s="4">
        <f t="shared" si="0"/>
        <v>3734.516214916674</v>
      </c>
      <c r="K42" s="4">
        <f t="shared" si="0"/>
        <v>2617.1001546800949</v>
      </c>
      <c r="L42" s="4">
        <f t="shared" si="0"/>
        <v>1376.7683278174923</v>
      </c>
    </row>
    <row r="43" spans="1:12" x14ac:dyDescent="0.45">
      <c r="A43" t="s">
        <v>56</v>
      </c>
      <c r="C43" s="4">
        <f>C42*$E$11</f>
        <v>990</v>
      </c>
      <c r="D43" s="4">
        <f t="shared" ref="D43:L43" si="1">D42*$E$11</f>
        <v>930.79658717348468</v>
      </c>
      <c r="E43" s="4">
        <f t="shared" si="1"/>
        <v>865.08079893605259</v>
      </c>
      <c r="F43" s="4">
        <f t="shared" si="1"/>
        <v>792.13627399250299</v>
      </c>
      <c r="G43" s="4">
        <f t="shared" si="1"/>
        <v>711.16785130516291</v>
      </c>
      <c r="H43" s="4">
        <f t="shared" si="1"/>
        <v>621.29290212221542</v>
      </c>
      <c r="I43" s="4">
        <f t="shared" si="1"/>
        <v>521.53170852914377</v>
      </c>
      <c r="J43" s="4">
        <f t="shared" si="1"/>
        <v>410.79678364083412</v>
      </c>
      <c r="K43" s="4">
        <f t="shared" si="1"/>
        <v>287.88101701481042</v>
      </c>
      <c r="L43" s="4">
        <f t="shared" si="1"/>
        <v>151.44451605992415</v>
      </c>
    </row>
    <row r="44" spans="1:12" x14ac:dyDescent="0.45">
      <c r="A44" t="s">
        <v>57</v>
      </c>
      <c r="C44" s="16">
        <f>-PMT($E$11,10,$C$42)</f>
        <v>1528.212843877413</v>
      </c>
      <c r="D44" s="16">
        <f t="shared" ref="D44:L44" si="2">-PMT($E$11,10,$C$42)</f>
        <v>1528.212843877413</v>
      </c>
      <c r="E44" s="16">
        <f t="shared" si="2"/>
        <v>1528.212843877413</v>
      </c>
      <c r="F44" s="16">
        <f t="shared" si="2"/>
        <v>1528.212843877413</v>
      </c>
      <c r="G44" s="16">
        <f t="shared" si="2"/>
        <v>1528.212843877413</v>
      </c>
      <c r="H44" s="16">
        <f t="shared" si="2"/>
        <v>1528.212843877413</v>
      </c>
      <c r="I44" s="16">
        <f t="shared" si="2"/>
        <v>1528.212843877413</v>
      </c>
      <c r="J44" s="16">
        <f t="shared" si="2"/>
        <v>1528.212843877413</v>
      </c>
      <c r="K44" s="16">
        <f t="shared" si="2"/>
        <v>1528.212843877413</v>
      </c>
      <c r="L44" s="16">
        <f t="shared" si="2"/>
        <v>1528.212843877413</v>
      </c>
    </row>
    <row r="45" spans="1:12" x14ac:dyDescent="0.45">
      <c r="A45" t="s">
        <v>58</v>
      </c>
      <c r="C45" s="16">
        <f>C44-C46</f>
        <v>538.21284387741298</v>
      </c>
      <c r="D45" s="16">
        <f t="shared" ref="D45:L45" si="3">D44-D46</f>
        <v>597.4162567039283</v>
      </c>
      <c r="E45" s="16">
        <f t="shared" si="3"/>
        <v>663.13204494136039</v>
      </c>
      <c r="F45" s="16">
        <f t="shared" si="3"/>
        <v>736.07656988490999</v>
      </c>
      <c r="G45" s="16">
        <f t="shared" si="3"/>
        <v>817.04499257225007</v>
      </c>
      <c r="H45" s="16">
        <f t="shared" si="3"/>
        <v>906.91994175519756</v>
      </c>
      <c r="I45" s="16">
        <f t="shared" si="3"/>
        <v>1006.6811353482692</v>
      </c>
      <c r="J45" s="16">
        <f t="shared" si="3"/>
        <v>1117.4160602365789</v>
      </c>
      <c r="K45" s="16">
        <f t="shared" si="3"/>
        <v>1240.3318268626026</v>
      </c>
      <c r="L45" s="16">
        <f t="shared" si="3"/>
        <v>1376.7683278174889</v>
      </c>
    </row>
    <row r="46" spans="1:12" x14ac:dyDescent="0.45">
      <c r="A46" t="s">
        <v>59</v>
      </c>
      <c r="C46" s="4">
        <f>C43</f>
        <v>990</v>
      </c>
      <c r="D46" s="4">
        <f t="shared" ref="D46:L46" si="4">D43</f>
        <v>930.79658717348468</v>
      </c>
      <c r="E46" s="4">
        <f t="shared" si="4"/>
        <v>865.08079893605259</v>
      </c>
      <c r="F46" s="4">
        <f t="shared" si="4"/>
        <v>792.13627399250299</v>
      </c>
      <c r="G46" s="4">
        <f t="shared" si="4"/>
        <v>711.16785130516291</v>
      </c>
      <c r="H46" s="4">
        <f t="shared" si="4"/>
        <v>621.29290212221542</v>
      </c>
      <c r="I46" s="4">
        <f t="shared" si="4"/>
        <v>521.53170852914377</v>
      </c>
      <c r="J46" s="4">
        <f t="shared" si="4"/>
        <v>410.79678364083412</v>
      </c>
      <c r="K46" s="4">
        <f t="shared" si="4"/>
        <v>287.88101701481042</v>
      </c>
      <c r="L46" s="4">
        <f t="shared" si="4"/>
        <v>151.44451605992415</v>
      </c>
    </row>
    <row r="47" spans="1:12" x14ac:dyDescent="0.45">
      <c r="A47" s="18" t="s">
        <v>60</v>
      </c>
      <c r="B47" s="21">
        <f>E10*B4</f>
        <v>9000</v>
      </c>
      <c r="C47" s="21">
        <f>C42+C43-C44</f>
        <v>8461.7871561225875</v>
      </c>
      <c r="D47" s="21">
        <f t="shared" ref="D47:L47" si="5">D42+D43-D44</f>
        <v>7864.37089941866</v>
      </c>
      <c r="E47" s="21">
        <f t="shared" si="5"/>
        <v>7201.2388544773003</v>
      </c>
      <c r="F47" s="21">
        <f t="shared" si="5"/>
        <v>6465.1622845923903</v>
      </c>
      <c r="G47" s="21">
        <f t="shared" si="5"/>
        <v>5648.1172920201407</v>
      </c>
      <c r="H47" s="21">
        <f t="shared" si="5"/>
        <v>4741.1973502649435</v>
      </c>
      <c r="I47" s="21">
        <f t="shared" si="5"/>
        <v>3734.516214916674</v>
      </c>
      <c r="J47" s="21">
        <f t="shared" si="5"/>
        <v>2617.1001546800949</v>
      </c>
      <c r="K47" s="21">
        <f t="shared" si="5"/>
        <v>1376.7683278174923</v>
      </c>
      <c r="L47" s="21">
        <f t="shared" si="5"/>
        <v>3.4106051316484809E-12</v>
      </c>
    </row>
    <row r="49" spans="1:27" x14ac:dyDescent="0.45">
      <c r="A49" s="17" t="s">
        <v>61</v>
      </c>
      <c r="B49" s="18"/>
      <c r="C49" s="18"/>
      <c r="D49" s="18"/>
      <c r="E49" s="18"/>
      <c r="F49" s="24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45">
      <c r="A50" s="52" t="s">
        <v>54</v>
      </c>
      <c r="B50" s="52">
        <v>0</v>
      </c>
      <c r="C50" s="52">
        <f>B50+1</f>
        <v>1</v>
      </c>
      <c r="D50" s="52">
        <f t="shared" ref="D50:AA50" si="6">C50+1</f>
        <v>2</v>
      </c>
      <c r="E50" s="52">
        <f t="shared" si="6"/>
        <v>3</v>
      </c>
      <c r="F50" s="52">
        <f t="shared" si="6"/>
        <v>4</v>
      </c>
      <c r="G50" s="52">
        <f t="shared" si="6"/>
        <v>5</v>
      </c>
      <c r="H50" s="52">
        <f t="shared" si="6"/>
        <v>6</v>
      </c>
      <c r="I50" s="52">
        <f t="shared" si="6"/>
        <v>7</v>
      </c>
      <c r="J50" s="52">
        <f t="shared" si="6"/>
        <v>8</v>
      </c>
      <c r="K50" s="52">
        <f t="shared" si="6"/>
        <v>9</v>
      </c>
      <c r="L50" s="52">
        <f t="shared" si="6"/>
        <v>10</v>
      </c>
      <c r="M50" s="52">
        <f t="shared" si="6"/>
        <v>11</v>
      </c>
      <c r="N50" s="52">
        <f t="shared" si="6"/>
        <v>12</v>
      </c>
      <c r="O50" s="52">
        <f t="shared" si="6"/>
        <v>13</v>
      </c>
      <c r="P50" s="52">
        <f t="shared" si="6"/>
        <v>14</v>
      </c>
      <c r="Q50" s="52">
        <f t="shared" si="6"/>
        <v>15</v>
      </c>
      <c r="R50" s="52">
        <f t="shared" si="6"/>
        <v>16</v>
      </c>
      <c r="S50" s="52">
        <f t="shared" si="6"/>
        <v>17</v>
      </c>
      <c r="T50" s="52">
        <f t="shared" si="6"/>
        <v>18</v>
      </c>
      <c r="U50" s="52">
        <f t="shared" si="6"/>
        <v>19</v>
      </c>
      <c r="V50" s="52">
        <f t="shared" si="6"/>
        <v>20</v>
      </c>
      <c r="W50" s="52">
        <f t="shared" si="6"/>
        <v>21</v>
      </c>
      <c r="X50" s="52">
        <f t="shared" si="6"/>
        <v>22</v>
      </c>
      <c r="Y50" s="52">
        <f t="shared" si="6"/>
        <v>23</v>
      </c>
      <c r="Z50" s="52">
        <f t="shared" si="6"/>
        <v>24</v>
      </c>
      <c r="AA50" s="52">
        <f t="shared" si="6"/>
        <v>25</v>
      </c>
    </row>
    <row r="51" spans="1:27" x14ac:dyDescent="0.45">
      <c r="A51" t="s">
        <v>63</v>
      </c>
      <c r="C51" s="4">
        <f>B12*(1-$B$13)</f>
        <v>1358000</v>
      </c>
      <c r="D51" s="22">
        <f>C51*(1-$B$14)</f>
        <v>1348494</v>
      </c>
      <c r="E51" s="22">
        <f t="shared" ref="E51:AA51" si="7">D51*(1-$B$14)</f>
        <v>1339054.5419999999</v>
      </c>
      <c r="F51" s="22">
        <f t="shared" si="7"/>
        <v>1329681.1602059999</v>
      </c>
      <c r="G51" s="22">
        <f t="shared" si="7"/>
        <v>1320373.3920845578</v>
      </c>
      <c r="H51" s="22">
        <f t="shared" si="7"/>
        <v>1311130.778339966</v>
      </c>
      <c r="I51" s="22">
        <f t="shared" si="7"/>
        <v>1301952.8628915863</v>
      </c>
      <c r="J51" s="22">
        <f t="shared" si="7"/>
        <v>1292839.1928513451</v>
      </c>
      <c r="K51" s="22">
        <f t="shared" si="7"/>
        <v>1283789.3185013856</v>
      </c>
      <c r="L51" s="22">
        <f t="shared" si="7"/>
        <v>1274802.7932718759</v>
      </c>
      <c r="M51" s="22">
        <f t="shared" si="7"/>
        <v>1265879.1737189728</v>
      </c>
      <c r="N51" s="22">
        <f t="shared" si="7"/>
        <v>1257018.0195029401</v>
      </c>
      <c r="O51" s="22">
        <f t="shared" si="7"/>
        <v>1248218.8933664195</v>
      </c>
      <c r="P51" s="22">
        <f t="shared" si="7"/>
        <v>1239481.3611128544</v>
      </c>
      <c r="Q51" s="22">
        <f t="shared" si="7"/>
        <v>1230804.9915850644</v>
      </c>
      <c r="R51" s="22">
        <f t="shared" si="7"/>
        <v>1222189.356643969</v>
      </c>
      <c r="S51" s="22">
        <f t="shared" si="7"/>
        <v>1213634.0311474612</v>
      </c>
      <c r="T51" s="22">
        <f t="shared" si="7"/>
        <v>1205138.5929294289</v>
      </c>
      <c r="U51" s="22">
        <f t="shared" si="7"/>
        <v>1196702.6227789228</v>
      </c>
      <c r="V51" s="22">
        <f t="shared" si="7"/>
        <v>1188325.7044194704</v>
      </c>
      <c r="W51" s="22">
        <f t="shared" si="7"/>
        <v>1180007.424488534</v>
      </c>
      <c r="X51" s="22">
        <f t="shared" si="7"/>
        <v>1171747.3725171143</v>
      </c>
      <c r="Y51" s="22">
        <f t="shared" si="7"/>
        <v>1163545.1409094944</v>
      </c>
      <c r="Z51" s="22">
        <f t="shared" si="7"/>
        <v>1155400.3249231279</v>
      </c>
      <c r="AA51" s="22">
        <f t="shared" si="7"/>
        <v>1147312.5226486661</v>
      </c>
    </row>
    <row r="52" spans="1:27" x14ac:dyDescent="0.45">
      <c r="A52" t="s">
        <v>16</v>
      </c>
      <c r="C52" s="4">
        <f>B16</f>
        <v>2800</v>
      </c>
      <c r="D52" s="4">
        <f>B17</f>
        <v>2800</v>
      </c>
      <c r="E52" s="4">
        <f>D52*(1+$B$18)</f>
        <v>2856</v>
      </c>
      <c r="F52" s="4">
        <f t="shared" ref="F52:AA52" si="8">E52*(1+$B$18)</f>
        <v>2913.12</v>
      </c>
      <c r="G52" s="4">
        <f t="shared" si="8"/>
        <v>2971.3824</v>
      </c>
      <c r="H52" s="4">
        <f t="shared" si="8"/>
        <v>3030.8100479999998</v>
      </c>
      <c r="I52" s="4">
        <f t="shared" si="8"/>
        <v>3091.4262489600001</v>
      </c>
      <c r="J52" s="4">
        <f t="shared" si="8"/>
        <v>3153.2547739392003</v>
      </c>
      <c r="K52" s="4">
        <f t="shared" si="8"/>
        <v>3216.3198694179841</v>
      </c>
      <c r="L52" s="4">
        <f t="shared" si="8"/>
        <v>3280.6462668063441</v>
      </c>
      <c r="M52" s="4">
        <f t="shared" si="8"/>
        <v>3346.259192142471</v>
      </c>
      <c r="N52" s="4">
        <f t="shared" si="8"/>
        <v>3413.1843759853205</v>
      </c>
      <c r="O52" s="4">
        <f t="shared" si="8"/>
        <v>3481.4480635050268</v>
      </c>
      <c r="P52" s="4">
        <f t="shared" si="8"/>
        <v>3551.0770247751275</v>
      </c>
      <c r="Q52" s="4">
        <f t="shared" si="8"/>
        <v>3622.0985652706299</v>
      </c>
      <c r="R52" s="4">
        <f t="shared" si="8"/>
        <v>3694.5405365760425</v>
      </c>
      <c r="S52" s="4">
        <f t="shared" si="8"/>
        <v>3768.4313473075636</v>
      </c>
      <c r="T52" s="4">
        <f t="shared" si="8"/>
        <v>3843.7999742537149</v>
      </c>
      <c r="U52" s="4">
        <f t="shared" si="8"/>
        <v>3920.6759737387893</v>
      </c>
      <c r="V52" s="4">
        <f t="shared" si="8"/>
        <v>3999.0894932135652</v>
      </c>
      <c r="W52" s="4">
        <f t="shared" si="8"/>
        <v>4079.0712830778366</v>
      </c>
      <c r="X52" s="4">
        <f t="shared" si="8"/>
        <v>4160.6527087393933</v>
      </c>
      <c r="Y52" s="4">
        <f t="shared" si="8"/>
        <v>4243.8657629141817</v>
      </c>
      <c r="Z52" s="4">
        <f t="shared" si="8"/>
        <v>4328.7430781724652</v>
      </c>
      <c r="AA52" s="4">
        <f t="shared" si="8"/>
        <v>4415.3179397359145</v>
      </c>
    </row>
    <row r="53" spans="1:27" x14ac:dyDescent="0.45">
      <c r="A53" s="18" t="s">
        <v>64</v>
      </c>
      <c r="B53" s="18"/>
      <c r="C53" s="23">
        <f>C51*C52/1000000</f>
        <v>3802.4</v>
      </c>
      <c r="D53" s="23">
        <f t="shared" ref="D53:AA53" si="9">D51*D52/1000000</f>
        <v>3775.7831999999999</v>
      </c>
      <c r="E53" s="23">
        <f t="shared" si="9"/>
        <v>3824.3397719519999</v>
      </c>
      <c r="F53" s="23">
        <f t="shared" si="9"/>
        <v>3873.5207814193018</v>
      </c>
      <c r="G53" s="23">
        <f t="shared" si="9"/>
        <v>3923.3342586683543</v>
      </c>
      <c r="H53" s="23">
        <f t="shared" si="9"/>
        <v>3973.7883372348292</v>
      </c>
      <c r="I53" s="23">
        <f t="shared" si="9"/>
        <v>4024.8912552516699</v>
      </c>
      <c r="J53" s="23">
        <f t="shared" si="9"/>
        <v>4076.6513567942061</v>
      </c>
      <c r="K53" s="23">
        <f t="shared" si="9"/>
        <v>4129.0770932425794</v>
      </c>
      <c r="L53" s="23">
        <f t="shared" si="9"/>
        <v>4182.1770246616788</v>
      </c>
      <c r="M53" s="23">
        <f t="shared" si="9"/>
        <v>4235.9598211988286</v>
      </c>
      <c r="N53" s="23">
        <f t="shared" si="9"/>
        <v>4290.4342644994458</v>
      </c>
      <c r="O53" s="23">
        <f t="shared" si="9"/>
        <v>4345.6092491409081</v>
      </c>
      <c r="P53" s="23">
        <f t="shared" si="9"/>
        <v>4401.4937840848606</v>
      </c>
      <c r="Q53" s="23">
        <f t="shared" si="9"/>
        <v>4458.0969941481917</v>
      </c>
      <c r="R53" s="23">
        <f t="shared" si="9"/>
        <v>4515.428121492937</v>
      </c>
      <c r="S53" s="23">
        <f t="shared" si="9"/>
        <v>4573.4965271353367</v>
      </c>
      <c r="T53" s="23">
        <f t="shared" si="9"/>
        <v>4632.3116924742972</v>
      </c>
      <c r="U53" s="23">
        <f t="shared" si="9"/>
        <v>4691.8832208395161</v>
      </c>
      <c r="V53" s="23">
        <f t="shared" si="9"/>
        <v>4752.2208390595133</v>
      </c>
      <c r="W53" s="23">
        <f t="shared" si="9"/>
        <v>4813.3343990498179</v>
      </c>
      <c r="X53" s="23">
        <f t="shared" si="9"/>
        <v>4875.2338794215984</v>
      </c>
      <c r="Y53" s="23">
        <f t="shared" si="9"/>
        <v>4937.9293871109603</v>
      </c>
      <c r="Z53" s="23">
        <f t="shared" si="9"/>
        <v>5001.4311590292073</v>
      </c>
      <c r="AA53" s="23">
        <f t="shared" si="9"/>
        <v>5065.7495637343227</v>
      </c>
    </row>
    <row r="55" spans="1:27" x14ac:dyDescent="0.45">
      <c r="A55" s="17" t="s">
        <v>65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45">
      <c r="A56" s="52" t="str">
        <f>A50</f>
        <v>Năm</v>
      </c>
      <c r="B56" s="52">
        <f t="shared" ref="B56:AA56" si="10">B50</f>
        <v>0</v>
      </c>
      <c r="C56" s="52">
        <f t="shared" si="10"/>
        <v>1</v>
      </c>
      <c r="D56" s="52">
        <f t="shared" si="10"/>
        <v>2</v>
      </c>
      <c r="E56" s="52">
        <f t="shared" si="10"/>
        <v>3</v>
      </c>
      <c r="F56" s="52">
        <f t="shared" si="10"/>
        <v>4</v>
      </c>
      <c r="G56" s="52">
        <f t="shared" si="10"/>
        <v>5</v>
      </c>
      <c r="H56" s="52">
        <f t="shared" si="10"/>
        <v>6</v>
      </c>
      <c r="I56" s="52">
        <f t="shared" si="10"/>
        <v>7</v>
      </c>
      <c r="J56" s="52">
        <f t="shared" si="10"/>
        <v>8</v>
      </c>
      <c r="K56" s="52">
        <f t="shared" si="10"/>
        <v>9</v>
      </c>
      <c r="L56" s="52">
        <f t="shared" si="10"/>
        <v>10</v>
      </c>
      <c r="M56" s="52">
        <f t="shared" si="10"/>
        <v>11</v>
      </c>
      <c r="N56" s="52">
        <f t="shared" si="10"/>
        <v>12</v>
      </c>
      <c r="O56" s="52">
        <f t="shared" si="10"/>
        <v>13</v>
      </c>
      <c r="P56" s="52">
        <f t="shared" si="10"/>
        <v>14</v>
      </c>
      <c r="Q56" s="52">
        <f t="shared" si="10"/>
        <v>15</v>
      </c>
      <c r="R56" s="52">
        <f t="shared" si="10"/>
        <v>16</v>
      </c>
      <c r="S56" s="52">
        <f t="shared" si="10"/>
        <v>17</v>
      </c>
      <c r="T56" s="52">
        <f t="shared" si="10"/>
        <v>18</v>
      </c>
      <c r="U56" s="52">
        <f t="shared" si="10"/>
        <v>19</v>
      </c>
      <c r="V56" s="52">
        <f t="shared" si="10"/>
        <v>20</v>
      </c>
      <c r="W56" s="52">
        <f t="shared" si="10"/>
        <v>21</v>
      </c>
      <c r="X56" s="52">
        <f t="shared" si="10"/>
        <v>22</v>
      </c>
      <c r="Y56" s="52">
        <f t="shared" si="10"/>
        <v>23</v>
      </c>
      <c r="Z56" s="52">
        <f t="shared" si="10"/>
        <v>24</v>
      </c>
      <c r="AA56" s="52">
        <f t="shared" si="10"/>
        <v>25</v>
      </c>
    </row>
    <row r="57" spans="1:27" x14ac:dyDescent="0.45">
      <c r="A57" t="s">
        <v>66</v>
      </c>
      <c r="C57" s="4">
        <f>C53*$E$4</f>
        <v>114.072</v>
      </c>
      <c r="D57" s="4">
        <f t="shared" ref="D57:AA57" si="11">D53*$E$4</f>
        <v>113.27349599999999</v>
      </c>
      <c r="E57" s="4">
        <f t="shared" si="11"/>
        <v>114.73019315856</v>
      </c>
      <c r="F57" s="4">
        <f t="shared" si="11"/>
        <v>116.20562344257905</v>
      </c>
      <c r="G57" s="4">
        <f t="shared" si="11"/>
        <v>117.70002776005063</v>
      </c>
      <c r="H57" s="4">
        <f t="shared" si="11"/>
        <v>119.21365011704488</v>
      </c>
      <c r="I57" s="4">
        <f t="shared" si="11"/>
        <v>120.7467376575501</v>
      </c>
      <c r="J57" s="4">
        <f t="shared" si="11"/>
        <v>122.29954070382618</v>
      </c>
      <c r="K57" s="4">
        <f t="shared" si="11"/>
        <v>123.87231279727737</v>
      </c>
      <c r="L57" s="4">
        <f t="shared" si="11"/>
        <v>125.46531073985037</v>
      </c>
      <c r="M57" s="4">
        <f t="shared" si="11"/>
        <v>127.07879463596485</v>
      </c>
      <c r="N57" s="4">
        <f t="shared" si="11"/>
        <v>128.71302793498336</v>
      </c>
      <c r="O57" s="4">
        <f t="shared" si="11"/>
        <v>130.36827747422723</v>
      </c>
      <c r="P57" s="4">
        <f t="shared" si="11"/>
        <v>132.04481352254581</v>
      </c>
      <c r="Q57" s="4">
        <f t="shared" si="11"/>
        <v>133.74290982444575</v>
      </c>
      <c r="R57" s="4">
        <f t="shared" si="11"/>
        <v>135.46284364478811</v>
      </c>
      <c r="S57" s="4">
        <f t="shared" si="11"/>
        <v>137.20489581406011</v>
      </c>
      <c r="T57" s="4">
        <f t="shared" si="11"/>
        <v>138.9693507742289</v>
      </c>
      <c r="U57" s="4">
        <f t="shared" si="11"/>
        <v>140.75649662518546</v>
      </c>
      <c r="V57" s="4">
        <f t="shared" si="11"/>
        <v>142.5666251717854</v>
      </c>
      <c r="W57" s="4">
        <f t="shared" si="11"/>
        <v>144.40003197149454</v>
      </c>
      <c r="X57" s="4">
        <f t="shared" si="11"/>
        <v>146.25701638264795</v>
      </c>
      <c r="Y57" s="4">
        <f t="shared" si="11"/>
        <v>148.1378816133288</v>
      </c>
      <c r="Z57" s="4">
        <f t="shared" si="11"/>
        <v>150.0429347708762</v>
      </c>
      <c r="AA57" s="4">
        <f t="shared" si="11"/>
        <v>151.97248691202967</v>
      </c>
    </row>
    <row r="58" spans="1:27" x14ac:dyDescent="0.45">
      <c r="A58" t="s">
        <v>67</v>
      </c>
      <c r="C58" s="22">
        <f>$B$4*$E$5*(1+$E$6)</f>
        <v>15.3</v>
      </c>
      <c r="D58" s="22">
        <f>C58*(1+$E$6)</f>
        <v>15.606000000000002</v>
      </c>
      <c r="E58" s="22">
        <f>D58*(1+$E$6)</f>
        <v>15.918120000000002</v>
      </c>
      <c r="F58" s="22">
        <f t="shared" ref="F58:AA58" si="12">E58*(1+$E$6)</f>
        <v>16.236482400000003</v>
      </c>
      <c r="G58" s="22">
        <f t="shared" si="12"/>
        <v>16.561212048000005</v>
      </c>
      <c r="H58" s="22">
        <f t="shared" si="12"/>
        <v>16.892436288960006</v>
      </c>
      <c r="I58" s="22">
        <f t="shared" si="12"/>
        <v>17.230285014739206</v>
      </c>
      <c r="J58" s="22">
        <f t="shared" si="12"/>
        <v>17.574890715033991</v>
      </c>
      <c r="K58" s="22">
        <f t="shared" si="12"/>
        <v>17.92638852933467</v>
      </c>
      <c r="L58" s="22">
        <f t="shared" si="12"/>
        <v>18.284916299921363</v>
      </c>
      <c r="M58" s="22">
        <f t="shared" si="12"/>
        <v>18.65061462591979</v>
      </c>
      <c r="N58" s="22">
        <f t="shared" si="12"/>
        <v>19.023626918438186</v>
      </c>
      <c r="O58" s="22">
        <f t="shared" si="12"/>
        <v>19.40409945680695</v>
      </c>
      <c r="P58" s="22">
        <f t="shared" si="12"/>
        <v>19.79218144594309</v>
      </c>
      <c r="Q58" s="22">
        <f t="shared" si="12"/>
        <v>20.188025074861951</v>
      </c>
      <c r="R58" s="22">
        <f t="shared" si="12"/>
        <v>20.591785576359189</v>
      </c>
      <c r="S58" s="22">
        <f t="shared" si="12"/>
        <v>21.003621287886375</v>
      </c>
      <c r="T58" s="22">
        <f t="shared" si="12"/>
        <v>21.423693713644102</v>
      </c>
      <c r="U58" s="22">
        <f t="shared" si="12"/>
        <v>21.852167587916984</v>
      </c>
      <c r="V58" s="22">
        <f t="shared" si="12"/>
        <v>22.289210939675325</v>
      </c>
      <c r="W58" s="22">
        <f t="shared" si="12"/>
        <v>22.734995158468831</v>
      </c>
      <c r="X58" s="22">
        <f t="shared" si="12"/>
        <v>23.189695061638208</v>
      </c>
      <c r="Y58" s="22">
        <f>X58*(1+$E$6)</f>
        <v>23.653488962870973</v>
      </c>
      <c r="Z58" s="22">
        <f t="shared" si="12"/>
        <v>24.126558742128392</v>
      </c>
      <c r="AA58" s="22">
        <f t="shared" si="12"/>
        <v>24.609089916970959</v>
      </c>
    </row>
    <row r="59" spans="1:27" x14ac:dyDescent="0.45">
      <c r="A59" t="s">
        <v>68</v>
      </c>
      <c r="C59" s="4">
        <f>$B$4/$B$6</f>
        <v>2142.8571428571427</v>
      </c>
      <c r="D59" s="4">
        <f t="shared" ref="D59:I59" si="13">$B$4/$B$6</f>
        <v>2142.8571428571427</v>
      </c>
      <c r="E59" s="4">
        <f t="shared" si="13"/>
        <v>2142.8571428571427</v>
      </c>
      <c r="F59" s="4">
        <f t="shared" si="13"/>
        <v>2142.8571428571427</v>
      </c>
      <c r="G59" s="4">
        <f t="shared" si="13"/>
        <v>2142.8571428571427</v>
      </c>
      <c r="H59" s="4">
        <f t="shared" si="13"/>
        <v>2142.8571428571427</v>
      </c>
      <c r="I59" s="4">
        <f t="shared" si="13"/>
        <v>2142.8571428571427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4.65" thickBot="1" x14ac:dyDescent="0.5">
      <c r="A60" s="25" t="s">
        <v>72</v>
      </c>
      <c r="B60" s="25"/>
      <c r="C60" s="26">
        <f>SUM(C57:C58)</f>
        <v>129.37200000000001</v>
      </c>
      <c r="D60" s="26">
        <f t="shared" ref="D60:AA60" si="14">SUM(D57:D58)</f>
        <v>128.87949599999999</v>
      </c>
      <c r="E60" s="26">
        <f t="shared" si="14"/>
        <v>130.64831315856</v>
      </c>
      <c r="F60" s="26">
        <f t="shared" si="14"/>
        <v>132.44210584257905</v>
      </c>
      <c r="G60" s="26">
        <f t="shared" si="14"/>
        <v>134.26123980805065</v>
      </c>
      <c r="H60" s="26">
        <f t="shared" si="14"/>
        <v>136.10608640600489</v>
      </c>
      <c r="I60" s="26">
        <f t="shared" si="14"/>
        <v>137.97702267228931</v>
      </c>
      <c r="J60" s="26">
        <f t="shared" si="14"/>
        <v>139.87443141886018</v>
      </c>
      <c r="K60" s="26">
        <f t="shared" si="14"/>
        <v>141.79870132661205</v>
      </c>
      <c r="L60" s="26">
        <f t="shared" si="14"/>
        <v>143.75022703977174</v>
      </c>
      <c r="M60" s="26">
        <f t="shared" si="14"/>
        <v>145.72940926188465</v>
      </c>
      <c r="N60" s="26">
        <f t="shared" si="14"/>
        <v>147.73665485342156</v>
      </c>
      <c r="O60" s="26">
        <f t="shared" si="14"/>
        <v>149.77237693103419</v>
      </c>
      <c r="P60" s="26">
        <f t="shared" si="14"/>
        <v>151.83699496848891</v>
      </c>
      <c r="Q60" s="26">
        <f t="shared" si="14"/>
        <v>153.93093489930769</v>
      </c>
      <c r="R60" s="26">
        <f t="shared" si="14"/>
        <v>156.05462922114731</v>
      </c>
      <c r="S60" s="26">
        <f t="shared" si="14"/>
        <v>158.20851710194648</v>
      </c>
      <c r="T60" s="26">
        <f t="shared" si="14"/>
        <v>160.393044487873</v>
      </c>
      <c r="U60" s="26">
        <f t="shared" si="14"/>
        <v>162.60866421310246</v>
      </c>
      <c r="V60" s="26">
        <f t="shared" si="14"/>
        <v>164.85583611146072</v>
      </c>
      <c r="W60" s="26">
        <f t="shared" si="14"/>
        <v>167.13502712996336</v>
      </c>
      <c r="X60" s="26">
        <f t="shared" si="14"/>
        <v>169.44671144428617</v>
      </c>
      <c r="Y60" s="26">
        <f t="shared" si="14"/>
        <v>171.79137057619977</v>
      </c>
      <c r="Z60" s="26">
        <f t="shared" si="14"/>
        <v>174.1694935130046</v>
      </c>
      <c r="AA60" s="26">
        <f t="shared" si="14"/>
        <v>176.58157682900062</v>
      </c>
    </row>
    <row r="61" spans="1:27" ht="14.65" thickTop="1" x14ac:dyDescent="0.45"/>
    <row r="62" spans="1:27" ht="14.65" thickBot="1" x14ac:dyDescent="0.5">
      <c r="A62" s="27" t="s">
        <v>73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5" thickTop="1" thickBot="1" x14ac:dyDescent="0.5">
      <c r="A63" s="53" t="str">
        <f>A56</f>
        <v>Năm</v>
      </c>
      <c r="B63" s="53">
        <f t="shared" ref="B63:AA63" si="15">B56</f>
        <v>0</v>
      </c>
      <c r="C63" s="53">
        <f t="shared" si="15"/>
        <v>1</v>
      </c>
      <c r="D63" s="53">
        <f t="shared" si="15"/>
        <v>2</v>
      </c>
      <c r="E63" s="53">
        <f t="shared" si="15"/>
        <v>3</v>
      </c>
      <c r="F63" s="53">
        <f t="shared" si="15"/>
        <v>4</v>
      </c>
      <c r="G63" s="53">
        <f t="shared" si="15"/>
        <v>5</v>
      </c>
      <c r="H63" s="53">
        <f t="shared" si="15"/>
        <v>6</v>
      </c>
      <c r="I63" s="53">
        <f t="shared" si="15"/>
        <v>7</v>
      </c>
      <c r="J63" s="53">
        <f t="shared" si="15"/>
        <v>8</v>
      </c>
      <c r="K63" s="53">
        <f t="shared" si="15"/>
        <v>9</v>
      </c>
      <c r="L63" s="53">
        <f t="shared" si="15"/>
        <v>10</v>
      </c>
      <c r="M63" s="53">
        <f t="shared" si="15"/>
        <v>11</v>
      </c>
      <c r="N63" s="53">
        <f t="shared" si="15"/>
        <v>12</v>
      </c>
      <c r="O63" s="53">
        <f t="shared" si="15"/>
        <v>13</v>
      </c>
      <c r="P63" s="53">
        <f t="shared" si="15"/>
        <v>14</v>
      </c>
      <c r="Q63" s="53">
        <f t="shared" si="15"/>
        <v>15</v>
      </c>
      <c r="R63" s="53">
        <f t="shared" si="15"/>
        <v>16</v>
      </c>
      <c r="S63" s="53">
        <f t="shared" si="15"/>
        <v>17</v>
      </c>
      <c r="T63" s="53">
        <f t="shared" si="15"/>
        <v>18</v>
      </c>
      <c r="U63" s="53">
        <f t="shared" si="15"/>
        <v>19</v>
      </c>
      <c r="V63" s="53">
        <f t="shared" si="15"/>
        <v>20</v>
      </c>
      <c r="W63" s="53">
        <f t="shared" si="15"/>
        <v>21</v>
      </c>
      <c r="X63" s="53">
        <f t="shared" si="15"/>
        <v>22</v>
      </c>
      <c r="Y63" s="53">
        <f t="shared" si="15"/>
        <v>23</v>
      </c>
      <c r="Z63" s="53">
        <f t="shared" si="15"/>
        <v>24</v>
      </c>
      <c r="AA63" s="53">
        <f t="shared" si="15"/>
        <v>25</v>
      </c>
    </row>
    <row r="64" spans="1:27" ht="14.65" thickTop="1" x14ac:dyDescent="0.45">
      <c r="A64" t="s">
        <v>64</v>
      </c>
      <c r="C64" s="4">
        <f>C53</f>
        <v>3802.4</v>
      </c>
      <c r="D64" s="4">
        <f t="shared" ref="D64:AA64" si="16">D53</f>
        <v>3775.7831999999999</v>
      </c>
      <c r="E64" s="4">
        <f t="shared" si="16"/>
        <v>3824.3397719519999</v>
      </c>
      <c r="F64" s="4">
        <f t="shared" si="16"/>
        <v>3873.5207814193018</v>
      </c>
      <c r="G64" s="4">
        <f t="shared" si="16"/>
        <v>3923.3342586683543</v>
      </c>
      <c r="H64" s="4">
        <f t="shared" si="16"/>
        <v>3973.7883372348292</v>
      </c>
      <c r="I64" s="4">
        <f t="shared" si="16"/>
        <v>4024.8912552516699</v>
      </c>
      <c r="J64" s="4">
        <f t="shared" si="16"/>
        <v>4076.6513567942061</v>
      </c>
      <c r="K64" s="4">
        <f t="shared" si="16"/>
        <v>4129.0770932425794</v>
      </c>
      <c r="L64" s="4">
        <f t="shared" si="16"/>
        <v>4182.1770246616788</v>
      </c>
      <c r="M64" s="4">
        <f t="shared" si="16"/>
        <v>4235.9598211988286</v>
      </c>
      <c r="N64" s="4">
        <f t="shared" si="16"/>
        <v>4290.4342644994458</v>
      </c>
      <c r="O64" s="4">
        <f t="shared" si="16"/>
        <v>4345.6092491409081</v>
      </c>
      <c r="P64" s="4">
        <f t="shared" si="16"/>
        <v>4401.4937840848606</v>
      </c>
      <c r="Q64" s="4">
        <f t="shared" si="16"/>
        <v>4458.0969941481917</v>
      </c>
      <c r="R64" s="4">
        <f t="shared" si="16"/>
        <v>4515.428121492937</v>
      </c>
      <c r="S64" s="4">
        <f t="shared" si="16"/>
        <v>4573.4965271353367</v>
      </c>
      <c r="T64" s="4">
        <f t="shared" si="16"/>
        <v>4632.3116924742972</v>
      </c>
      <c r="U64" s="4">
        <f t="shared" si="16"/>
        <v>4691.8832208395161</v>
      </c>
      <c r="V64" s="4">
        <f t="shared" si="16"/>
        <v>4752.2208390595133</v>
      </c>
      <c r="W64" s="4">
        <f t="shared" si="16"/>
        <v>4813.3343990498179</v>
      </c>
      <c r="X64" s="4">
        <f t="shared" si="16"/>
        <v>4875.2338794215984</v>
      </c>
      <c r="Y64" s="4">
        <f t="shared" si="16"/>
        <v>4937.9293871109603</v>
      </c>
      <c r="Z64" s="4">
        <f t="shared" si="16"/>
        <v>5001.4311590292073</v>
      </c>
      <c r="AA64" s="4">
        <f t="shared" si="16"/>
        <v>5065.7495637343227</v>
      </c>
    </row>
    <row r="65" spans="1:27" x14ac:dyDescent="0.45">
      <c r="A65" t="str">
        <f>A57</f>
        <v>Chi phí bảo dưỡng</v>
      </c>
      <c r="C65" s="16">
        <f t="shared" ref="C65" si="17">C57</f>
        <v>114.072</v>
      </c>
      <c r="D65" s="16">
        <f t="shared" ref="D65:AA65" si="18">D57</f>
        <v>113.27349599999999</v>
      </c>
      <c r="E65" s="16">
        <f t="shared" si="18"/>
        <v>114.73019315856</v>
      </c>
      <c r="F65" s="16">
        <f t="shared" si="18"/>
        <v>116.20562344257905</v>
      </c>
      <c r="G65" s="16">
        <f t="shared" si="18"/>
        <v>117.70002776005063</v>
      </c>
      <c r="H65" s="16">
        <f t="shared" si="18"/>
        <v>119.21365011704488</v>
      </c>
      <c r="I65" s="16">
        <f t="shared" si="18"/>
        <v>120.7467376575501</v>
      </c>
      <c r="J65" s="16">
        <f t="shared" si="18"/>
        <v>122.29954070382618</v>
      </c>
      <c r="K65" s="16">
        <f t="shared" si="18"/>
        <v>123.87231279727737</v>
      </c>
      <c r="L65" s="16">
        <f t="shared" si="18"/>
        <v>125.46531073985037</v>
      </c>
      <c r="M65" s="16">
        <f t="shared" si="18"/>
        <v>127.07879463596485</v>
      </c>
      <c r="N65" s="16">
        <f t="shared" si="18"/>
        <v>128.71302793498336</v>
      </c>
      <c r="O65" s="16">
        <f t="shared" si="18"/>
        <v>130.36827747422723</v>
      </c>
      <c r="P65" s="16">
        <f t="shared" si="18"/>
        <v>132.04481352254581</v>
      </c>
      <c r="Q65" s="16">
        <f t="shared" si="18"/>
        <v>133.74290982444575</v>
      </c>
      <c r="R65" s="16">
        <f t="shared" si="18"/>
        <v>135.46284364478811</v>
      </c>
      <c r="S65" s="16">
        <f t="shared" si="18"/>
        <v>137.20489581406011</v>
      </c>
      <c r="T65" s="16">
        <f t="shared" si="18"/>
        <v>138.9693507742289</v>
      </c>
      <c r="U65" s="16">
        <f t="shared" si="18"/>
        <v>140.75649662518546</v>
      </c>
      <c r="V65" s="16">
        <f t="shared" si="18"/>
        <v>142.5666251717854</v>
      </c>
      <c r="W65" s="16">
        <f t="shared" si="18"/>
        <v>144.40003197149454</v>
      </c>
      <c r="X65" s="16">
        <f t="shared" si="18"/>
        <v>146.25701638264795</v>
      </c>
      <c r="Y65" s="16">
        <f t="shared" si="18"/>
        <v>148.1378816133288</v>
      </c>
      <c r="Z65" s="16">
        <f t="shared" si="18"/>
        <v>150.0429347708762</v>
      </c>
      <c r="AA65" s="16">
        <f t="shared" si="18"/>
        <v>151.97248691202967</v>
      </c>
    </row>
    <row r="66" spans="1:27" x14ac:dyDescent="0.45">
      <c r="A66" t="str">
        <f>A58</f>
        <v>Chi phí bảo hiểm</v>
      </c>
      <c r="C66">
        <f t="shared" ref="C66" si="19">C58</f>
        <v>15.3</v>
      </c>
      <c r="D66" s="56">
        <f t="shared" ref="D66:AA66" si="20">D58</f>
        <v>15.606000000000002</v>
      </c>
      <c r="E66" s="56">
        <f t="shared" si="20"/>
        <v>15.918120000000002</v>
      </c>
      <c r="F66" s="56">
        <f t="shared" si="20"/>
        <v>16.236482400000003</v>
      </c>
      <c r="G66" s="56">
        <f t="shared" si="20"/>
        <v>16.561212048000005</v>
      </c>
      <c r="H66" s="56">
        <f t="shared" si="20"/>
        <v>16.892436288960006</v>
      </c>
      <c r="I66" s="56">
        <f t="shared" si="20"/>
        <v>17.230285014739206</v>
      </c>
      <c r="J66" s="56">
        <f t="shared" si="20"/>
        <v>17.574890715033991</v>
      </c>
      <c r="K66" s="56">
        <f t="shared" si="20"/>
        <v>17.92638852933467</v>
      </c>
      <c r="L66" s="56">
        <f t="shared" si="20"/>
        <v>18.284916299921363</v>
      </c>
      <c r="M66" s="56">
        <f t="shared" si="20"/>
        <v>18.65061462591979</v>
      </c>
      <c r="N66" s="56">
        <f t="shared" si="20"/>
        <v>19.023626918438186</v>
      </c>
      <c r="O66" s="56">
        <f t="shared" si="20"/>
        <v>19.40409945680695</v>
      </c>
      <c r="P66" s="56">
        <f t="shared" si="20"/>
        <v>19.79218144594309</v>
      </c>
      <c r="Q66" s="56">
        <f t="shared" si="20"/>
        <v>20.188025074861951</v>
      </c>
      <c r="R66" s="56">
        <f t="shared" si="20"/>
        <v>20.591785576359189</v>
      </c>
      <c r="S66" s="56">
        <f t="shared" si="20"/>
        <v>21.003621287886375</v>
      </c>
      <c r="T66" s="56">
        <f t="shared" si="20"/>
        <v>21.423693713644102</v>
      </c>
      <c r="U66" s="56">
        <f t="shared" si="20"/>
        <v>21.852167587916984</v>
      </c>
      <c r="V66" s="56">
        <f t="shared" si="20"/>
        <v>22.289210939675325</v>
      </c>
      <c r="W66" s="56">
        <f t="shared" si="20"/>
        <v>22.734995158468831</v>
      </c>
      <c r="X66" s="56">
        <f t="shared" si="20"/>
        <v>23.189695061638208</v>
      </c>
      <c r="Y66" s="56">
        <f t="shared" si="20"/>
        <v>23.653488962870973</v>
      </c>
      <c r="Z66" s="56">
        <f t="shared" si="20"/>
        <v>24.126558742128392</v>
      </c>
      <c r="AA66" s="56">
        <f t="shared" si="20"/>
        <v>24.609089916970959</v>
      </c>
    </row>
    <row r="67" spans="1:27" x14ac:dyDescent="0.45">
      <c r="A67" t="str">
        <f>A59</f>
        <v>Khấu hao</v>
      </c>
      <c r="C67" s="16">
        <f t="shared" ref="C67" si="21">C59</f>
        <v>2142.8571428571427</v>
      </c>
      <c r="D67" s="16">
        <f t="shared" ref="D67:AA67" si="22">D59</f>
        <v>2142.8571428571427</v>
      </c>
      <c r="E67" s="16">
        <f t="shared" si="22"/>
        <v>2142.8571428571427</v>
      </c>
      <c r="F67" s="16">
        <f t="shared" si="22"/>
        <v>2142.8571428571427</v>
      </c>
      <c r="G67" s="16">
        <f t="shared" si="22"/>
        <v>2142.8571428571427</v>
      </c>
      <c r="H67" s="16">
        <f t="shared" si="22"/>
        <v>2142.8571428571427</v>
      </c>
      <c r="I67" s="16">
        <f t="shared" si="22"/>
        <v>2142.8571428571427</v>
      </c>
      <c r="J67" s="16">
        <f t="shared" si="22"/>
        <v>0</v>
      </c>
      <c r="K67" s="16">
        <f t="shared" si="22"/>
        <v>0</v>
      </c>
      <c r="L67" s="16">
        <f t="shared" si="22"/>
        <v>0</v>
      </c>
      <c r="M67" s="16">
        <f t="shared" si="22"/>
        <v>0</v>
      </c>
      <c r="N67" s="16">
        <f t="shared" si="22"/>
        <v>0</v>
      </c>
      <c r="O67" s="16">
        <f t="shared" si="22"/>
        <v>0</v>
      </c>
      <c r="P67" s="16">
        <f t="shared" si="22"/>
        <v>0</v>
      </c>
      <c r="Q67" s="16">
        <f t="shared" si="22"/>
        <v>0</v>
      </c>
      <c r="R67" s="16">
        <f t="shared" si="22"/>
        <v>0</v>
      </c>
      <c r="S67" s="16">
        <f t="shared" si="22"/>
        <v>0</v>
      </c>
      <c r="T67" s="16">
        <f t="shared" si="22"/>
        <v>0</v>
      </c>
      <c r="U67" s="16">
        <f t="shared" si="22"/>
        <v>0</v>
      </c>
      <c r="V67" s="16">
        <f t="shared" si="22"/>
        <v>0</v>
      </c>
      <c r="W67" s="16">
        <f t="shared" si="22"/>
        <v>0</v>
      </c>
      <c r="X67" s="16">
        <f t="shared" si="22"/>
        <v>0</v>
      </c>
      <c r="Y67" s="16">
        <f t="shared" si="22"/>
        <v>0</v>
      </c>
      <c r="Z67" s="16">
        <f t="shared" si="22"/>
        <v>0</v>
      </c>
      <c r="AA67" s="16">
        <f t="shared" si="22"/>
        <v>0</v>
      </c>
    </row>
    <row r="68" spans="1:27" x14ac:dyDescent="0.45">
      <c r="A68" t="s">
        <v>74</v>
      </c>
      <c r="C68" s="4">
        <f>C64-SUM(C65:C67)</f>
        <v>1530.1708571428576</v>
      </c>
      <c r="D68" s="4">
        <f t="shared" ref="D68:AA68" si="23">D64-SUM(D65:D67)</f>
        <v>1504.0465611428572</v>
      </c>
      <c r="E68" s="4">
        <f t="shared" si="23"/>
        <v>1550.8343159362971</v>
      </c>
      <c r="F68" s="4">
        <f t="shared" si="23"/>
        <v>1598.22153271958</v>
      </c>
      <c r="G68" s="4">
        <f t="shared" si="23"/>
        <v>1646.2158760031612</v>
      </c>
      <c r="H68" s="4">
        <f t="shared" si="23"/>
        <v>1694.8251079716815</v>
      </c>
      <c r="I68" s="4">
        <f t="shared" si="23"/>
        <v>1744.0570897222378</v>
      </c>
      <c r="J68" s="4">
        <f t="shared" si="23"/>
        <v>3936.7769253753459</v>
      </c>
      <c r="K68" s="4">
        <f t="shared" si="23"/>
        <v>3987.2783919159674</v>
      </c>
      <c r="L68" s="4">
        <f t="shared" si="23"/>
        <v>4038.4267976219071</v>
      </c>
      <c r="M68" s="4">
        <f t="shared" si="23"/>
        <v>4090.2304119369442</v>
      </c>
      <c r="N68" s="4">
        <f t="shared" si="23"/>
        <v>4142.6976096460239</v>
      </c>
      <c r="O68" s="4">
        <f t="shared" si="23"/>
        <v>4195.8368722098739</v>
      </c>
      <c r="P68" s="4">
        <f t="shared" si="23"/>
        <v>4249.6567891163713</v>
      </c>
      <c r="Q68" s="4">
        <f t="shared" si="23"/>
        <v>4304.1660592488843</v>
      </c>
      <c r="R68" s="4">
        <f t="shared" si="23"/>
        <v>4359.3734922717895</v>
      </c>
      <c r="S68" s="4">
        <f t="shared" si="23"/>
        <v>4415.2880100333905</v>
      </c>
      <c r="T68" s="4">
        <f t="shared" si="23"/>
        <v>4471.9186479864238</v>
      </c>
      <c r="U68" s="4">
        <f t="shared" si="23"/>
        <v>4529.2745566264139</v>
      </c>
      <c r="V68" s="4">
        <f t="shared" si="23"/>
        <v>4587.3650029480523</v>
      </c>
      <c r="W68" s="4">
        <f t="shared" si="23"/>
        <v>4646.1993719198545</v>
      </c>
      <c r="X68" s="4">
        <f t="shared" si="23"/>
        <v>4705.7871679773125</v>
      </c>
      <c r="Y68" s="4">
        <f t="shared" si="23"/>
        <v>4766.1380165347609</v>
      </c>
      <c r="Z68" s="4">
        <f t="shared" si="23"/>
        <v>4827.2616655162028</v>
      </c>
      <c r="AA68" s="4">
        <f t="shared" si="23"/>
        <v>4889.1679869053223</v>
      </c>
    </row>
    <row r="69" spans="1:27" x14ac:dyDescent="0.45">
      <c r="A69" t="s">
        <v>75</v>
      </c>
      <c r="C69" s="4">
        <f>C43</f>
        <v>990</v>
      </c>
      <c r="D69" s="4">
        <f t="shared" ref="D69:AA69" si="24">D43</f>
        <v>930.79658717348468</v>
      </c>
      <c r="E69" s="4">
        <f t="shared" si="24"/>
        <v>865.08079893605259</v>
      </c>
      <c r="F69" s="4">
        <f t="shared" si="24"/>
        <v>792.13627399250299</v>
      </c>
      <c r="G69" s="4">
        <f t="shared" si="24"/>
        <v>711.16785130516291</v>
      </c>
      <c r="H69" s="4">
        <f t="shared" si="24"/>
        <v>621.29290212221542</v>
      </c>
      <c r="I69" s="4">
        <f t="shared" si="24"/>
        <v>521.53170852914377</v>
      </c>
      <c r="J69" s="4">
        <f t="shared" si="24"/>
        <v>410.79678364083412</v>
      </c>
      <c r="K69" s="4">
        <f t="shared" si="24"/>
        <v>287.88101701481042</v>
      </c>
      <c r="L69" s="4">
        <f t="shared" si="24"/>
        <v>151.44451605992415</v>
      </c>
      <c r="M69" s="4">
        <f t="shared" si="24"/>
        <v>0</v>
      </c>
      <c r="N69" s="4">
        <f t="shared" si="24"/>
        <v>0</v>
      </c>
      <c r="O69" s="4">
        <f t="shared" si="24"/>
        <v>0</v>
      </c>
      <c r="P69" s="4">
        <f t="shared" si="24"/>
        <v>0</v>
      </c>
      <c r="Q69" s="4">
        <f t="shared" si="24"/>
        <v>0</v>
      </c>
      <c r="R69" s="4">
        <f t="shared" si="24"/>
        <v>0</v>
      </c>
      <c r="S69" s="4">
        <f t="shared" si="24"/>
        <v>0</v>
      </c>
      <c r="T69" s="4">
        <f t="shared" si="24"/>
        <v>0</v>
      </c>
      <c r="U69" s="4">
        <f t="shared" si="24"/>
        <v>0</v>
      </c>
      <c r="V69" s="4">
        <f t="shared" si="24"/>
        <v>0</v>
      </c>
      <c r="W69" s="4">
        <f t="shared" si="24"/>
        <v>0</v>
      </c>
      <c r="X69" s="4">
        <f t="shared" si="24"/>
        <v>0</v>
      </c>
      <c r="Y69" s="4">
        <f t="shared" si="24"/>
        <v>0</v>
      </c>
      <c r="Z69" s="4">
        <f t="shared" si="24"/>
        <v>0</v>
      </c>
      <c r="AA69" s="4">
        <f t="shared" si="24"/>
        <v>0</v>
      </c>
    </row>
    <row r="70" spans="1:27" x14ac:dyDescent="0.45">
      <c r="A70" t="s">
        <v>76</v>
      </c>
      <c r="C70" s="4">
        <f>C68-C69</f>
        <v>540.17085714285759</v>
      </c>
      <c r="D70" s="4">
        <f t="shared" ref="D70:AA70" si="25">D68-D69</f>
        <v>573.24997396937249</v>
      </c>
      <c r="E70" s="4">
        <f t="shared" si="25"/>
        <v>685.75351700024453</v>
      </c>
      <c r="F70" s="4">
        <f t="shared" si="25"/>
        <v>806.08525872707696</v>
      </c>
      <c r="G70" s="4">
        <f t="shared" si="25"/>
        <v>935.04802469799824</v>
      </c>
      <c r="H70" s="4">
        <f t="shared" si="25"/>
        <v>1073.5322058494662</v>
      </c>
      <c r="I70" s="4">
        <f t="shared" si="25"/>
        <v>1222.5253811930941</v>
      </c>
      <c r="J70" s="4">
        <f t="shared" si="25"/>
        <v>3525.9801417345116</v>
      </c>
      <c r="K70" s="4">
        <f t="shared" si="25"/>
        <v>3699.397374901157</v>
      </c>
      <c r="L70" s="4">
        <f t="shared" si="25"/>
        <v>3886.9822815619827</v>
      </c>
      <c r="M70" s="4">
        <f t="shared" si="25"/>
        <v>4090.2304119369442</v>
      </c>
      <c r="N70" s="4">
        <f t="shared" si="25"/>
        <v>4142.6976096460239</v>
      </c>
      <c r="O70" s="4">
        <f t="shared" si="25"/>
        <v>4195.8368722098739</v>
      </c>
      <c r="P70" s="4">
        <f t="shared" si="25"/>
        <v>4249.6567891163713</v>
      </c>
      <c r="Q70" s="4">
        <f t="shared" si="25"/>
        <v>4304.1660592488843</v>
      </c>
      <c r="R70" s="4">
        <f t="shared" si="25"/>
        <v>4359.3734922717895</v>
      </c>
      <c r="S70" s="4">
        <f t="shared" si="25"/>
        <v>4415.2880100333905</v>
      </c>
      <c r="T70" s="4">
        <f t="shared" si="25"/>
        <v>4471.9186479864238</v>
      </c>
      <c r="U70" s="4">
        <f t="shared" si="25"/>
        <v>4529.2745566264139</v>
      </c>
      <c r="V70" s="4">
        <f t="shared" si="25"/>
        <v>4587.3650029480523</v>
      </c>
      <c r="W70" s="4">
        <f t="shared" si="25"/>
        <v>4646.1993719198545</v>
      </c>
      <c r="X70" s="4">
        <f t="shared" si="25"/>
        <v>4705.7871679773125</v>
      </c>
      <c r="Y70" s="4">
        <f t="shared" si="25"/>
        <v>4766.1380165347609</v>
      </c>
      <c r="Z70" s="4">
        <f t="shared" si="25"/>
        <v>4827.2616655162028</v>
      </c>
      <c r="AA70" s="4">
        <f t="shared" si="25"/>
        <v>4889.1679869053223</v>
      </c>
    </row>
    <row r="71" spans="1:27" x14ac:dyDescent="0.45">
      <c r="A71" t="s">
        <v>24</v>
      </c>
      <c r="C71" s="4">
        <f>C70*$E$7</f>
        <v>108.03417142857153</v>
      </c>
      <c r="D71" s="4">
        <f t="shared" ref="D71:AA71" si="26">D70*$E$7</f>
        <v>114.6499947938745</v>
      </c>
      <c r="E71" s="4">
        <f t="shared" si="26"/>
        <v>137.15070340004891</v>
      </c>
      <c r="F71" s="4">
        <f t="shared" si="26"/>
        <v>161.2170517454154</v>
      </c>
      <c r="G71" s="4">
        <f t="shared" si="26"/>
        <v>187.00960493959965</v>
      </c>
      <c r="H71" s="4">
        <f t="shared" si="26"/>
        <v>214.70644116989325</v>
      </c>
      <c r="I71" s="4">
        <f t="shared" si="26"/>
        <v>244.50507623861881</v>
      </c>
      <c r="J71" s="4">
        <f t="shared" si="26"/>
        <v>705.19602834690238</v>
      </c>
      <c r="K71" s="4">
        <f t="shared" si="26"/>
        <v>739.87947498023141</v>
      </c>
      <c r="L71" s="4">
        <f t="shared" si="26"/>
        <v>777.39645631239659</v>
      </c>
      <c r="M71" s="4">
        <f t="shared" si="26"/>
        <v>818.04608238738888</v>
      </c>
      <c r="N71" s="4">
        <f t="shared" si="26"/>
        <v>828.53952192920485</v>
      </c>
      <c r="O71" s="4">
        <f t="shared" si="26"/>
        <v>839.16737444197486</v>
      </c>
      <c r="P71" s="4">
        <f t="shared" si="26"/>
        <v>849.93135782327431</v>
      </c>
      <c r="Q71" s="4">
        <f t="shared" si="26"/>
        <v>860.83321184977694</v>
      </c>
      <c r="R71" s="4">
        <f t="shared" si="26"/>
        <v>871.87469845435794</v>
      </c>
      <c r="S71" s="4">
        <f t="shared" si="26"/>
        <v>883.05760200667817</v>
      </c>
      <c r="T71" s="4">
        <f t="shared" si="26"/>
        <v>894.38372959728486</v>
      </c>
      <c r="U71" s="4">
        <f t="shared" si="26"/>
        <v>905.85491132528284</v>
      </c>
      <c r="V71" s="4">
        <f t="shared" si="26"/>
        <v>917.47300058961048</v>
      </c>
      <c r="W71" s="4">
        <f t="shared" si="26"/>
        <v>929.23987438397091</v>
      </c>
      <c r="X71" s="4">
        <f t="shared" si="26"/>
        <v>941.15743359546252</v>
      </c>
      <c r="Y71" s="4">
        <f t="shared" si="26"/>
        <v>953.22760330695223</v>
      </c>
      <c r="Z71" s="4">
        <f t="shared" si="26"/>
        <v>965.45233310324056</v>
      </c>
      <c r="AA71" s="4">
        <f t="shared" si="26"/>
        <v>977.83359738106446</v>
      </c>
    </row>
    <row r="72" spans="1:27" ht="14.65" thickBot="1" x14ac:dyDescent="0.5">
      <c r="A72" s="25" t="s">
        <v>77</v>
      </c>
      <c r="B72" s="25"/>
      <c r="C72" s="26">
        <f>C70-C71</f>
        <v>432.13668571428605</v>
      </c>
      <c r="D72" s="26">
        <f t="shared" ref="D72:AA72" si="27">D70-D71</f>
        <v>458.59997917549799</v>
      </c>
      <c r="E72" s="26">
        <f t="shared" si="27"/>
        <v>548.60281360019565</v>
      </c>
      <c r="F72" s="26">
        <f t="shared" si="27"/>
        <v>644.86820698166161</v>
      </c>
      <c r="G72" s="26">
        <f t="shared" si="27"/>
        <v>748.03841975839862</v>
      </c>
      <c r="H72" s="26">
        <f t="shared" si="27"/>
        <v>858.82576467957301</v>
      </c>
      <c r="I72" s="26">
        <f t="shared" si="27"/>
        <v>978.02030495447525</v>
      </c>
      <c r="J72" s="26">
        <f t="shared" si="27"/>
        <v>2820.7841133876091</v>
      </c>
      <c r="K72" s="26">
        <f t="shared" si="27"/>
        <v>2959.5178999209256</v>
      </c>
      <c r="L72" s="26">
        <f t="shared" si="27"/>
        <v>3109.5858252495864</v>
      </c>
      <c r="M72" s="26">
        <f t="shared" si="27"/>
        <v>3272.1843295495555</v>
      </c>
      <c r="N72" s="26">
        <f t="shared" si="27"/>
        <v>3314.158087716819</v>
      </c>
      <c r="O72" s="26">
        <f t="shared" si="27"/>
        <v>3356.669497767899</v>
      </c>
      <c r="P72" s="26">
        <f t="shared" si="27"/>
        <v>3399.7254312930972</v>
      </c>
      <c r="Q72" s="26">
        <f t="shared" si="27"/>
        <v>3443.3328473991073</v>
      </c>
      <c r="R72" s="26">
        <f t="shared" si="27"/>
        <v>3487.4987938174318</v>
      </c>
      <c r="S72" s="26">
        <f t="shared" si="27"/>
        <v>3532.2304080267122</v>
      </c>
      <c r="T72" s="26">
        <f t="shared" si="27"/>
        <v>3577.534918389139</v>
      </c>
      <c r="U72" s="26">
        <f t="shared" si="27"/>
        <v>3623.4196453011309</v>
      </c>
      <c r="V72" s="26">
        <f t="shared" si="27"/>
        <v>3669.8920023584419</v>
      </c>
      <c r="W72" s="26">
        <f t="shared" si="27"/>
        <v>3716.9594975358837</v>
      </c>
      <c r="X72" s="26">
        <f t="shared" si="27"/>
        <v>3764.6297343818501</v>
      </c>
      <c r="Y72" s="26">
        <f t="shared" si="27"/>
        <v>3812.9104132278089</v>
      </c>
      <c r="Z72" s="26">
        <f t="shared" si="27"/>
        <v>3861.8093324129622</v>
      </c>
      <c r="AA72" s="26">
        <f t="shared" si="27"/>
        <v>3911.3343895242579</v>
      </c>
    </row>
    <row r="73" spans="1:27" ht="14.65" thickTop="1" x14ac:dyDescent="0.45"/>
    <row r="74" spans="1:27" ht="14.65" thickBot="1" x14ac:dyDescent="0.5">
      <c r="A74" s="27" t="s">
        <v>78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ht="15" thickTop="1" thickBot="1" x14ac:dyDescent="0.5">
      <c r="A75" s="53" t="str">
        <f>A63</f>
        <v>Năm</v>
      </c>
      <c r="B75" s="53">
        <f t="shared" ref="B75:AA75" si="28">B63</f>
        <v>0</v>
      </c>
      <c r="C75" s="53">
        <f t="shared" si="28"/>
        <v>1</v>
      </c>
      <c r="D75" s="53">
        <f t="shared" si="28"/>
        <v>2</v>
      </c>
      <c r="E75" s="53">
        <f t="shared" si="28"/>
        <v>3</v>
      </c>
      <c r="F75" s="53">
        <f t="shared" si="28"/>
        <v>4</v>
      </c>
      <c r="G75" s="53">
        <f t="shared" si="28"/>
        <v>5</v>
      </c>
      <c r="H75" s="53">
        <f t="shared" si="28"/>
        <v>6</v>
      </c>
      <c r="I75" s="53">
        <f t="shared" si="28"/>
        <v>7</v>
      </c>
      <c r="J75" s="53">
        <f t="shared" si="28"/>
        <v>8</v>
      </c>
      <c r="K75" s="53">
        <f t="shared" si="28"/>
        <v>9</v>
      </c>
      <c r="L75" s="53">
        <f t="shared" si="28"/>
        <v>10</v>
      </c>
      <c r="M75" s="53">
        <f t="shared" si="28"/>
        <v>11</v>
      </c>
      <c r="N75" s="53">
        <f t="shared" si="28"/>
        <v>12</v>
      </c>
      <c r="O75" s="53">
        <f t="shared" si="28"/>
        <v>13</v>
      </c>
      <c r="P75" s="53">
        <f t="shared" si="28"/>
        <v>14</v>
      </c>
      <c r="Q75" s="53">
        <f t="shared" si="28"/>
        <v>15</v>
      </c>
      <c r="R75" s="53">
        <f t="shared" si="28"/>
        <v>16</v>
      </c>
      <c r="S75" s="53">
        <f t="shared" si="28"/>
        <v>17</v>
      </c>
      <c r="T75" s="53">
        <f t="shared" si="28"/>
        <v>18</v>
      </c>
      <c r="U75" s="53">
        <f t="shared" si="28"/>
        <v>19</v>
      </c>
      <c r="V75" s="53">
        <f t="shared" si="28"/>
        <v>20</v>
      </c>
      <c r="W75" s="53">
        <f t="shared" si="28"/>
        <v>21</v>
      </c>
      <c r="X75" s="53">
        <f t="shared" si="28"/>
        <v>22</v>
      </c>
      <c r="Y75" s="53">
        <f t="shared" si="28"/>
        <v>23</v>
      </c>
      <c r="Z75" s="53">
        <f t="shared" si="28"/>
        <v>24</v>
      </c>
      <c r="AA75" s="53">
        <f t="shared" si="28"/>
        <v>25</v>
      </c>
    </row>
    <row r="76" spans="1:27" ht="14.65" thickTop="1" x14ac:dyDescent="0.45">
      <c r="A76" t="s">
        <v>79</v>
      </c>
    </row>
    <row r="77" spans="1:27" x14ac:dyDescent="0.45">
      <c r="A77" t="s">
        <v>82</v>
      </c>
      <c r="C77" s="4">
        <f>C53</f>
        <v>3802.4</v>
      </c>
      <c r="D77" s="4">
        <f t="shared" ref="D77:AA77" si="29">D53</f>
        <v>3775.7831999999999</v>
      </c>
      <c r="E77" s="4">
        <f t="shared" si="29"/>
        <v>3824.3397719519999</v>
      </c>
      <c r="F77" s="4">
        <f t="shared" si="29"/>
        <v>3873.5207814193018</v>
      </c>
      <c r="G77" s="4">
        <f t="shared" si="29"/>
        <v>3923.3342586683543</v>
      </c>
      <c r="H77" s="4">
        <f t="shared" si="29"/>
        <v>3973.7883372348292</v>
      </c>
      <c r="I77" s="4">
        <f t="shared" si="29"/>
        <v>4024.8912552516699</v>
      </c>
      <c r="J77" s="4">
        <f t="shared" si="29"/>
        <v>4076.6513567942061</v>
      </c>
      <c r="K77" s="4">
        <f t="shared" si="29"/>
        <v>4129.0770932425794</v>
      </c>
      <c r="L77" s="4">
        <f t="shared" si="29"/>
        <v>4182.1770246616788</v>
      </c>
      <c r="M77" s="4">
        <f t="shared" si="29"/>
        <v>4235.9598211988286</v>
      </c>
      <c r="N77" s="4">
        <f t="shared" si="29"/>
        <v>4290.4342644994458</v>
      </c>
      <c r="O77" s="4">
        <f t="shared" si="29"/>
        <v>4345.6092491409081</v>
      </c>
      <c r="P77" s="4">
        <f t="shared" si="29"/>
        <v>4401.4937840848606</v>
      </c>
      <c r="Q77" s="4">
        <f t="shared" si="29"/>
        <v>4458.0969941481917</v>
      </c>
      <c r="R77" s="4">
        <f t="shared" si="29"/>
        <v>4515.428121492937</v>
      </c>
      <c r="S77" s="4">
        <f t="shared" si="29"/>
        <v>4573.4965271353367</v>
      </c>
      <c r="T77" s="4">
        <f t="shared" si="29"/>
        <v>4632.3116924742972</v>
      </c>
      <c r="U77" s="4">
        <f t="shared" si="29"/>
        <v>4691.8832208395161</v>
      </c>
      <c r="V77" s="4">
        <f t="shared" si="29"/>
        <v>4752.2208390595133</v>
      </c>
      <c r="W77" s="4">
        <f t="shared" si="29"/>
        <v>4813.3343990498179</v>
      </c>
      <c r="X77" s="4">
        <f t="shared" si="29"/>
        <v>4875.2338794215984</v>
      </c>
      <c r="Y77" s="4">
        <f t="shared" si="29"/>
        <v>4937.9293871109603</v>
      </c>
      <c r="Z77" s="4">
        <f t="shared" si="29"/>
        <v>5001.4311590292073</v>
      </c>
      <c r="AA77" s="4">
        <f t="shared" si="29"/>
        <v>5065.7495637343227</v>
      </c>
    </row>
    <row r="78" spans="1:27" x14ac:dyDescent="0.45">
      <c r="A78" t="s">
        <v>80</v>
      </c>
    </row>
    <row r="79" spans="1:27" x14ac:dyDescent="0.45">
      <c r="A79" t="s">
        <v>81</v>
      </c>
      <c r="B79" s="4">
        <f>B4</f>
        <v>15000</v>
      </c>
    </row>
    <row r="80" spans="1:27" x14ac:dyDescent="0.45">
      <c r="A80" t="s">
        <v>83</v>
      </c>
      <c r="C80" s="4">
        <f>C57</f>
        <v>114.072</v>
      </c>
      <c r="D80" s="4">
        <f t="shared" ref="D80:AA80" si="30">D57</f>
        <v>113.27349599999999</v>
      </c>
      <c r="E80" s="4">
        <f t="shared" si="30"/>
        <v>114.73019315856</v>
      </c>
      <c r="F80" s="4">
        <f t="shared" si="30"/>
        <v>116.20562344257905</v>
      </c>
      <c r="G80" s="4">
        <f t="shared" si="30"/>
        <v>117.70002776005063</v>
      </c>
      <c r="H80" s="4">
        <f t="shared" si="30"/>
        <v>119.21365011704488</v>
      </c>
      <c r="I80" s="4">
        <f t="shared" si="30"/>
        <v>120.7467376575501</v>
      </c>
      <c r="J80" s="4">
        <f t="shared" si="30"/>
        <v>122.29954070382618</v>
      </c>
      <c r="K80" s="4">
        <f t="shared" si="30"/>
        <v>123.87231279727737</v>
      </c>
      <c r="L80" s="4">
        <f t="shared" si="30"/>
        <v>125.46531073985037</v>
      </c>
      <c r="M80" s="4">
        <f t="shared" si="30"/>
        <v>127.07879463596485</v>
      </c>
      <c r="N80" s="4">
        <f t="shared" si="30"/>
        <v>128.71302793498336</v>
      </c>
      <c r="O80" s="4">
        <f t="shared" si="30"/>
        <v>130.36827747422723</v>
      </c>
      <c r="P80" s="4">
        <f t="shared" si="30"/>
        <v>132.04481352254581</v>
      </c>
      <c r="Q80" s="4">
        <f t="shared" si="30"/>
        <v>133.74290982444575</v>
      </c>
      <c r="R80" s="4">
        <f t="shared" si="30"/>
        <v>135.46284364478811</v>
      </c>
      <c r="S80" s="4">
        <f t="shared" si="30"/>
        <v>137.20489581406011</v>
      </c>
      <c r="T80" s="4">
        <f t="shared" si="30"/>
        <v>138.9693507742289</v>
      </c>
      <c r="U80" s="4">
        <f t="shared" si="30"/>
        <v>140.75649662518546</v>
      </c>
      <c r="V80" s="4">
        <f t="shared" si="30"/>
        <v>142.5666251717854</v>
      </c>
      <c r="W80" s="4">
        <f t="shared" si="30"/>
        <v>144.40003197149454</v>
      </c>
      <c r="X80" s="4">
        <f t="shared" si="30"/>
        <v>146.25701638264795</v>
      </c>
      <c r="Y80" s="4">
        <f t="shared" si="30"/>
        <v>148.1378816133288</v>
      </c>
      <c r="Z80" s="4">
        <f t="shared" si="30"/>
        <v>150.0429347708762</v>
      </c>
      <c r="AA80" s="4">
        <f t="shared" si="30"/>
        <v>151.97248691202967</v>
      </c>
    </row>
    <row r="81" spans="1:27" x14ac:dyDescent="0.45">
      <c r="A81" t="s">
        <v>84</v>
      </c>
      <c r="C81" s="4">
        <f t="shared" ref="C81:AA81" si="31">C58</f>
        <v>15.3</v>
      </c>
      <c r="D81" s="4">
        <f t="shared" si="31"/>
        <v>15.606000000000002</v>
      </c>
      <c r="E81" s="4">
        <f t="shared" si="31"/>
        <v>15.918120000000002</v>
      </c>
      <c r="F81" s="4">
        <f t="shared" si="31"/>
        <v>16.236482400000003</v>
      </c>
      <c r="G81" s="4">
        <f t="shared" si="31"/>
        <v>16.561212048000005</v>
      </c>
      <c r="H81" s="4">
        <f t="shared" si="31"/>
        <v>16.892436288960006</v>
      </c>
      <c r="I81" s="4">
        <f t="shared" si="31"/>
        <v>17.230285014739206</v>
      </c>
      <c r="J81" s="4">
        <f t="shared" si="31"/>
        <v>17.574890715033991</v>
      </c>
      <c r="K81" s="4">
        <f t="shared" si="31"/>
        <v>17.92638852933467</v>
      </c>
      <c r="L81" s="4">
        <f t="shared" si="31"/>
        <v>18.284916299921363</v>
      </c>
      <c r="M81" s="4">
        <f t="shared" si="31"/>
        <v>18.65061462591979</v>
      </c>
      <c r="N81" s="4">
        <f t="shared" si="31"/>
        <v>19.023626918438186</v>
      </c>
      <c r="O81" s="4">
        <f t="shared" si="31"/>
        <v>19.40409945680695</v>
      </c>
      <c r="P81" s="4">
        <f t="shared" si="31"/>
        <v>19.79218144594309</v>
      </c>
      <c r="Q81" s="4">
        <f t="shared" si="31"/>
        <v>20.188025074861951</v>
      </c>
      <c r="R81" s="4">
        <f t="shared" si="31"/>
        <v>20.591785576359189</v>
      </c>
      <c r="S81" s="4">
        <f t="shared" si="31"/>
        <v>21.003621287886375</v>
      </c>
      <c r="T81" s="4">
        <f t="shared" si="31"/>
        <v>21.423693713644102</v>
      </c>
      <c r="U81" s="4">
        <f t="shared" si="31"/>
        <v>21.852167587916984</v>
      </c>
      <c r="V81" s="4">
        <f t="shared" si="31"/>
        <v>22.289210939675325</v>
      </c>
      <c r="W81" s="4">
        <f t="shared" si="31"/>
        <v>22.734995158468831</v>
      </c>
      <c r="X81" s="4">
        <f t="shared" si="31"/>
        <v>23.189695061638208</v>
      </c>
      <c r="Y81" s="4">
        <f t="shared" si="31"/>
        <v>23.653488962870973</v>
      </c>
      <c r="Z81" s="4">
        <f t="shared" si="31"/>
        <v>24.126558742128392</v>
      </c>
      <c r="AA81" s="4">
        <f t="shared" si="31"/>
        <v>24.609089916970959</v>
      </c>
    </row>
    <row r="82" spans="1:27" x14ac:dyDescent="0.45">
      <c r="A82" t="s">
        <v>85</v>
      </c>
      <c r="B82" s="4">
        <f>B77-SUM(B79:B81)</f>
        <v>-15000</v>
      </c>
      <c r="C82" s="4">
        <f t="shared" ref="C82:AA82" si="32">C77-SUM(C79:C81)</f>
        <v>3673.0280000000002</v>
      </c>
      <c r="D82" s="4">
        <f t="shared" si="32"/>
        <v>3646.9037039999998</v>
      </c>
      <c r="E82" s="4">
        <f t="shared" si="32"/>
        <v>3693.6914587934398</v>
      </c>
      <c r="F82" s="4">
        <f t="shared" si="32"/>
        <v>3741.0786755767226</v>
      </c>
      <c r="G82" s="4">
        <f t="shared" si="32"/>
        <v>3789.0730188603038</v>
      </c>
      <c r="H82" s="4">
        <f t="shared" si="32"/>
        <v>3837.6822508288242</v>
      </c>
      <c r="I82" s="4">
        <f t="shared" si="32"/>
        <v>3886.9142325793805</v>
      </c>
      <c r="J82" s="4">
        <f t="shared" si="32"/>
        <v>3936.7769253753459</v>
      </c>
      <c r="K82" s="4">
        <f t="shared" si="32"/>
        <v>3987.2783919159674</v>
      </c>
      <c r="L82" s="4">
        <f t="shared" si="32"/>
        <v>4038.4267976219071</v>
      </c>
      <c r="M82" s="4">
        <f t="shared" si="32"/>
        <v>4090.2304119369442</v>
      </c>
      <c r="N82" s="4">
        <f t="shared" si="32"/>
        <v>4142.6976096460239</v>
      </c>
      <c r="O82" s="4">
        <f t="shared" si="32"/>
        <v>4195.8368722098739</v>
      </c>
      <c r="P82" s="4">
        <f t="shared" si="32"/>
        <v>4249.6567891163713</v>
      </c>
      <c r="Q82" s="4">
        <f t="shared" si="32"/>
        <v>4304.1660592488843</v>
      </c>
      <c r="R82" s="4">
        <f t="shared" si="32"/>
        <v>4359.3734922717895</v>
      </c>
      <c r="S82" s="4">
        <f t="shared" si="32"/>
        <v>4415.2880100333905</v>
      </c>
      <c r="T82" s="4">
        <f t="shared" si="32"/>
        <v>4471.9186479864238</v>
      </c>
      <c r="U82" s="4">
        <f t="shared" si="32"/>
        <v>4529.2745566264139</v>
      </c>
      <c r="V82" s="4">
        <f t="shared" si="32"/>
        <v>4587.3650029480523</v>
      </c>
      <c r="W82" s="4">
        <f t="shared" si="32"/>
        <v>4646.1993719198545</v>
      </c>
      <c r="X82" s="4">
        <f t="shared" si="32"/>
        <v>4705.7871679773125</v>
      </c>
      <c r="Y82" s="4">
        <f t="shared" si="32"/>
        <v>4766.1380165347609</v>
      </c>
      <c r="Z82" s="4">
        <f t="shared" si="32"/>
        <v>4827.2616655162028</v>
      </c>
      <c r="AA82" s="4">
        <f t="shared" si="32"/>
        <v>4889.1679869053223</v>
      </c>
    </row>
    <row r="83" spans="1:27" x14ac:dyDescent="0.45">
      <c r="A83" t="s">
        <v>86</v>
      </c>
      <c r="C83" s="4">
        <f>C71</f>
        <v>108.03417142857153</v>
      </c>
      <c r="D83" s="4">
        <f t="shared" ref="D83:AA83" si="33">D71</f>
        <v>114.6499947938745</v>
      </c>
      <c r="E83" s="4">
        <f t="shared" si="33"/>
        <v>137.15070340004891</v>
      </c>
      <c r="F83" s="4">
        <f t="shared" si="33"/>
        <v>161.2170517454154</v>
      </c>
      <c r="G83" s="4">
        <f t="shared" si="33"/>
        <v>187.00960493959965</v>
      </c>
      <c r="H83" s="4">
        <f t="shared" si="33"/>
        <v>214.70644116989325</v>
      </c>
      <c r="I83" s="4">
        <f t="shared" si="33"/>
        <v>244.50507623861881</v>
      </c>
      <c r="J83" s="4">
        <f t="shared" si="33"/>
        <v>705.19602834690238</v>
      </c>
      <c r="K83" s="4">
        <f t="shared" si="33"/>
        <v>739.87947498023141</v>
      </c>
      <c r="L83" s="4">
        <f t="shared" si="33"/>
        <v>777.39645631239659</v>
      </c>
      <c r="M83" s="4">
        <f t="shared" si="33"/>
        <v>818.04608238738888</v>
      </c>
      <c r="N83" s="4">
        <f t="shared" si="33"/>
        <v>828.53952192920485</v>
      </c>
      <c r="O83" s="4">
        <f t="shared" si="33"/>
        <v>839.16737444197486</v>
      </c>
      <c r="P83" s="4">
        <f t="shared" si="33"/>
        <v>849.93135782327431</v>
      </c>
      <c r="Q83" s="4">
        <f t="shared" si="33"/>
        <v>860.83321184977694</v>
      </c>
      <c r="R83" s="4">
        <f t="shared" si="33"/>
        <v>871.87469845435794</v>
      </c>
      <c r="S83" s="4">
        <f t="shared" si="33"/>
        <v>883.05760200667817</v>
      </c>
      <c r="T83" s="4">
        <f t="shared" si="33"/>
        <v>894.38372959728486</v>
      </c>
      <c r="U83" s="4">
        <f t="shared" si="33"/>
        <v>905.85491132528284</v>
      </c>
      <c r="V83" s="4">
        <f t="shared" si="33"/>
        <v>917.47300058961048</v>
      </c>
      <c r="W83" s="4">
        <f t="shared" si="33"/>
        <v>929.23987438397091</v>
      </c>
      <c r="X83" s="4">
        <f t="shared" si="33"/>
        <v>941.15743359546252</v>
      </c>
      <c r="Y83" s="4">
        <f t="shared" si="33"/>
        <v>953.22760330695223</v>
      </c>
      <c r="Z83" s="4">
        <f t="shared" si="33"/>
        <v>965.45233310324056</v>
      </c>
      <c r="AA83" s="4">
        <f t="shared" si="33"/>
        <v>977.83359738106446</v>
      </c>
    </row>
    <row r="84" spans="1:27" ht="14.65" thickBot="1" x14ac:dyDescent="0.5">
      <c r="A84" s="25" t="s">
        <v>87</v>
      </c>
      <c r="B84" s="26">
        <f>B82-B83</f>
        <v>-15000</v>
      </c>
      <c r="C84" s="26">
        <f t="shared" ref="C84:AA84" si="34">C82-C83</f>
        <v>3564.9938285714288</v>
      </c>
      <c r="D84" s="26">
        <f t="shared" si="34"/>
        <v>3532.2537092061252</v>
      </c>
      <c r="E84" s="26">
        <f t="shared" si="34"/>
        <v>3556.540755393391</v>
      </c>
      <c r="F84" s="26">
        <f t="shared" si="34"/>
        <v>3579.861623831307</v>
      </c>
      <c r="G84" s="26">
        <f t="shared" si="34"/>
        <v>3602.0634139207041</v>
      </c>
      <c r="H84" s="26">
        <f t="shared" si="34"/>
        <v>3622.9758096589308</v>
      </c>
      <c r="I84" s="26">
        <f t="shared" si="34"/>
        <v>3642.4091563407619</v>
      </c>
      <c r="J84" s="26">
        <f t="shared" si="34"/>
        <v>3231.5808970284434</v>
      </c>
      <c r="K84" s="26">
        <f t="shared" si="34"/>
        <v>3247.398916935736</v>
      </c>
      <c r="L84" s="26">
        <f t="shared" si="34"/>
        <v>3261.0303413095107</v>
      </c>
      <c r="M84" s="26">
        <f t="shared" si="34"/>
        <v>3272.1843295495555</v>
      </c>
      <c r="N84" s="26">
        <f t="shared" si="34"/>
        <v>3314.158087716819</v>
      </c>
      <c r="O84" s="26">
        <f t="shared" si="34"/>
        <v>3356.669497767899</v>
      </c>
      <c r="P84" s="26">
        <f t="shared" si="34"/>
        <v>3399.7254312930972</v>
      </c>
      <c r="Q84" s="26">
        <f t="shared" si="34"/>
        <v>3443.3328473991073</v>
      </c>
      <c r="R84" s="26">
        <f t="shared" si="34"/>
        <v>3487.4987938174318</v>
      </c>
      <c r="S84" s="26">
        <f t="shared" si="34"/>
        <v>3532.2304080267122</v>
      </c>
      <c r="T84" s="26">
        <f t="shared" si="34"/>
        <v>3577.534918389139</v>
      </c>
      <c r="U84" s="26">
        <f t="shared" si="34"/>
        <v>3623.4196453011309</v>
      </c>
      <c r="V84" s="26">
        <f t="shared" si="34"/>
        <v>3669.8920023584419</v>
      </c>
      <c r="W84" s="26">
        <f t="shared" si="34"/>
        <v>3716.9594975358837</v>
      </c>
      <c r="X84" s="26">
        <f t="shared" si="34"/>
        <v>3764.6297343818501</v>
      </c>
      <c r="Y84" s="26">
        <f t="shared" si="34"/>
        <v>3812.9104132278089</v>
      </c>
      <c r="Z84" s="26">
        <f t="shared" si="34"/>
        <v>3861.8093324129622</v>
      </c>
      <c r="AA84" s="26">
        <f t="shared" si="34"/>
        <v>3911.3343895242579</v>
      </c>
    </row>
    <row r="85" spans="1:27" ht="14.65" thickTop="1" x14ac:dyDescent="0.45">
      <c r="A85" t="s">
        <v>109</v>
      </c>
      <c r="B85" s="4">
        <v>1</v>
      </c>
      <c r="C85" s="36">
        <f>(1+$E$15)^-C75</f>
        <v>0.88809946714031984</v>
      </c>
      <c r="D85" s="36">
        <f t="shared" ref="D85:AA85" si="35">(1+$E$15)^-D75</f>
        <v>0.78872066353491999</v>
      </c>
      <c r="E85" s="36">
        <f t="shared" si="35"/>
        <v>0.70046240100792179</v>
      </c>
      <c r="F85" s="36">
        <f t="shared" si="35"/>
        <v>0.62208028508696445</v>
      </c>
      <c r="G85" s="36">
        <f t="shared" si="35"/>
        <v>0.55246916970423132</v>
      </c>
      <c r="H85" s="36">
        <f t="shared" si="35"/>
        <v>0.49064757522578278</v>
      </c>
      <c r="I85" s="36">
        <f t="shared" si="35"/>
        <v>0.43574385011170763</v>
      </c>
      <c r="J85" s="36">
        <f t="shared" si="35"/>
        <v>0.38698388109387893</v>
      </c>
      <c r="K85" s="36">
        <f t="shared" si="35"/>
        <v>0.34368017859136679</v>
      </c>
      <c r="L85" s="36">
        <f t="shared" si="35"/>
        <v>0.30522218347368274</v>
      </c>
      <c r="M85" s="36">
        <f t="shared" si="35"/>
        <v>0.27106765850238257</v>
      </c>
      <c r="N85" s="36">
        <f t="shared" si="35"/>
        <v>0.24073504307494015</v>
      </c>
      <c r="O85" s="36">
        <f t="shared" si="35"/>
        <v>0.21379666347685625</v>
      </c>
      <c r="P85" s="36">
        <f t="shared" si="35"/>
        <v>0.18987270291017433</v>
      </c>
      <c r="Q85" s="36">
        <f t="shared" si="35"/>
        <v>0.16862584627901808</v>
      </c>
      <c r="R85" s="36">
        <f t="shared" si="35"/>
        <v>0.14975652422648142</v>
      </c>
      <c r="S85" s="36">
        <f t="shared" si="35"/>
        <v>0.13299868936632456</v>
      </c>
      <c r="T85" s="36">
        <f t="shared" si="35"/>
        <v>0.11811606515659374</v>
      </c>
      <c r="U85" s="36">
        <f t="shared" si="35"/>
        <v>0.10489881452628219</v>
      </c>
      <c r="V85" s="36">
        <f t="shared" si="35"/>
        <v>9.3160581284442462E-2</v>
      </c>
      <c r="W85" s="36">
        <f t="shared" si="35"/>
        <v>8.27358625971958E-2</v>
      </c>
      <c r="X85" s="36">
        <f t="shared" si="35"/>
        <v>7.3477675485964303E-2</v>
      </c>
      <c r="Y85" s="36">
        <f t="shared" si="35"/>
        <v>6.5255484445794237E-2</v>
      </c>
      <c r="Z85" s="36">
        <f t="shared" si="35"/>
        <v>5.7953360964293293E-2</v>
      </c>
      <c r="AA85" s="36">
        <f t="shared" si="35"/>
        <v>5.1468348991379483E-2</v>
      </c>
    </row>
    <row r="86" spans="1:27" x14ac:dyDescent="0.45">
      <c r="A86" t="s">
        <v>110</v>
      </c>
      <c r="B86" s="4">
        <f>B84*B85</f>
        <v>-15000</v>
      </c>
      <c r="C86" s="4">
        <f t="shared" ref="C86:AA86" si="36">C84*C85</f>
        <v>3166.0691195128147</v>
      </c>
      <c r="D86" s="4">
        <f t="shared" si="36"/>
        <v>2785.9614892987374</v>
      </c>
      <c r="E86" s="4">
        <f t="shared" si="36"/>
        <v>2491.2230768053823</v>
      </c>
      <c r="F86" s="4">
        <f t="shared" si="36"/>
        <v>2226.961339524863</v>
      </c>
      <c r="G86" s="4">
        <f t="shared" si="36"/>
        <v>1990.0289835107603</v>
      </c>
      <c r="H86" s="4">
        <f t="shared" si="36"/>
        <v>1777.6042961108215</v>
      </c>
      <c r="I86" s="4">
        <f t="shared" si="36"/>
        <v>1587.1573894660603</v>
      </c>
      <c r="J86" s="4">
        <f t="shared" si="36"/>
        <v>1250.5697176009057</v>
      </c>
      <c r="K86" s="4">
        <f t="shared" si="36"/>
        <v>1116.0666397298849</v>
      </c>
      <c r="L86" s="4">
        <f t="shared" si="36"/>
        <v>995.3388011484177</v>
      </c>
      <c r="M86" s="4">
        <f t="shared" si="36"/>
        <v>886.98334439918654</v>
      </c>
      <c r="N86" s="4">
        <f t="shared" si="36"/>
        <v>797.83399000366967</v>
      </c>
      <c r="O86" s="4">
        <f t="shared" si="36"/>
        <v>717.64473901731162</v>
      </c>
      <c r="P86" s="4">
        <f t="shared" si="36"/>
        <v>645.51505679207855</v>
      </c>
      <c r="Q86" s="4">
        <f t="shared" si="36"/>
        <v>580.63491541301551</v>
      </c>
      <c r="R86" s="4">
        <f t="shared" si="36"/>
        <v>522.27569760614494</v>
      </c>
      <c r="S86" s="4">
        <f t="shared" si="36"/>
        <v>469.78201480743053</v>
      </c>
      <c r="T86" s="4">
        <f t="shared" si="36"/>
        <v>422.56434752044083</v>
      </c>
      <c r="U86" s="4">
        <f t="shared" si="36"/>
        <v>380.09242532333053</v>
      </c>
      <c r="V86" s="4">
        <f t="shared" si="36"/>
        <v>341.88927219083894</v>
      </c>
      <c r="W86" s="4">
        <f t="shared" si="36"/>
        <v>307.52585026747079</v>
      </c>
      <c r="X86" s="4">
        <f t="shared" si="36"/>
        <v>276.61624194772156</v>
      </c>
      <c r="Y86" s="4">
        <f t="shared" si="36"/>
        <v>248.81331616359415</v>
      </c>
      <c r="Z86" s="4">
        <f t="shared" si="36"/>
        <v>223.8048302166049</v>
      </c>
      <c r="AA86" s="4">
        <f t="shared" si="36"/>
        <v>201.30992338201872</v>
      </c>
    </row>
    <row r="87" spans="1:27" x14ac:dyDescent="0.45">
      <c r="A87" s="41" t="s">
        <v>115</v>
      </c>
      <c r="B87" s="21">
        <f>B86</f>
        <v>-15000</v>
      </c>
      <c r="C87" s="21">
        <f>B87+C86</f>
        <v>-11833.930880487185</v>
      </c>
      <c r="D87" s="21">
        <f t="shared" ref="D87:AA87" si="37">C87+D86</f>
        <v>-9047.9693911884478</v>
      </c>
      <c r="E87" s="21">
        <f t="shared" si="37"/>
        <v>-6556.7463143830655</v>
      </c>
      <c r="F87" s="21">
        <f t="shared" si="37"/>
        <v>-4329.784974858203</v>
      </c>
      <c r="G87" s="21">
        <f t="shared" si="37"/>
        <v>-2339.7559913474424</v>
      </c>
      <c r="H87" s="21">
        <f t="shared" si="37"/>
        <v>-562.15169523662098</v>
      </c>
      <c r="I87" s="21">
        <f t="shared" si="37"/>
        <v>1025.0056942294393</v>
      </c>
      <c r="J87" s="21">
        <f t="shared" si="37"/>
        <v>2275.5754118303448</v>
      </c>
      <c r="K87" s="21">
        <f t="shared" si="37"/>
        <v>3391.6420515602294</v>
      </c>
      <c r="L87" s="21">
        <f t="shared" si="37"/>
        <v>4386.980852708647</v>
      </c>
      <c r="M87" s="21">
        <f t="shared" si="37"/>
        <v>5273.9641971078336</v>
      </c>
      <c r="N87" s="21">
        <f t="shared" si="37"/>
        <v>6071.7981871115035</v>
      </c>
      <c r="O87" s="21">
        <f t="shared" si="37"/>
        <v>6789.4429261288151</v>
      </c>
      <c r="P87" s="21">
        <f t="shared" si="37"/>
        <v>7434.9579829208933</v>
      </c>
      <c r="Q87" s="21">
        <f t="shared" si="37"/>
        <v>8015.592898333909</v>
      </c>
      <c r="R87" s="21">
        <f t="shared" si="37"/>
        <v>8537.8685959400536</v>
      </c>
      <c r="S87" s="21">
        <f t="shared" si="37"/>
        <v>9007.6506107474834</v>
      </c>
      <c r="T87" s="21">
        <f t="shared" si="37"/>
        <v>9430.2149582679249</v>
      </c>
      <c r="U87" s="21">
        <f t="shared" si="37"/>
        <v>9810.3073835912546</v>
      </c>
      <c r="V87" s="21">
        <f t="shared" si="37"/>
        <v>10152.196655782094</v>
      </c>
      <c r="W87" s="21">
        <f t="shared" si="37"/>
        <v>10459.722506049566</v>
      </c>
      <c r="X87" s="21">
        <f t="shared" si="37"/>
        <v>10736.338747997288</v>
      </c>
      <c r="Y87" s="21">
        <f t="shared" si="37"/>
        <v>10985.152064160882</v>
      </c>
      <c r="Z87" s="21">
        <f t="shared" si="37"/>
        <v>11208.956894377487</v>
      </c>
      <c r="AA87" s="40">
        <f t="shared" si="37"/>
        <v>11410.266817759506</v>
      </c>
    </row>
    <row r="89" spans="1:27" ht="14.65" thickBot="1" x14ac:dyDescent="0.5">
      <c r="A89" s="1" t="s">
        <v>88</v>
      </c>
    </row>
    <row r="90" spans="1:27" ht="15" thickTop="1" thickBot="1" x14ac:dyDescent="0.5">
      <c r="A90" s="53" t="str">
        <f>A75</f>
        <v>Năm</v>
      </c>
      <c r="B90" s="53">
        <f t="shared" ref="B90:AA90" si="38">B75</f>
        <v>0</v>
      </c>
      <c r="C90" s="53">
        <f t="shared" si="38"/>
        <v>1</v>
      </c>
      <c r="D90" s="53">
        <f t="shared" si="38"/>
        <v>2</v>
      </c>
      <c r="E90" s="53">
        <f t="shared" si="38"/>
        <v>3</v>
      </c>
      <c r="F90" s="53">
        <f t="shared" si="38"/>
        <v>4</v>
      </c>
      <c r="G90" s="53">
        <f t="shared" si="38"/>
        <v>5</v>
      </c>
      <c r="H90" s="53">
        <f t="shared" si="38"/>
        <v>6</v>
      </c>
      <c r="I90" s="53">
        <f t="shared" si="38"/>
        <v>7</v>
      </c>
      <c r="J90" s="53">
        <f t="shared" si="38"/>
        <v>8</v>
      </c>
      <c r="K90" s="53">
        <f t="shared" si="38"/>
        <v>9</v>
      </c>
      <c r="L90" s="53">
        <f t="shared" si="38"/>
        <v>10</v>
      </c>
      <c r="M90" s="53">
        <f t="shared" si="38"/>
        <v>11</v>
      </c>
      <c r="N90" s="53">
        <f t="shared" si="38"/>
        <v>12</v>
      </c>
      <c r="O90" s="53">
        <f t="shared" si="38"/>
        <v>13</v>
      </c>
      <c r="P90" s="53">
        <f t="shared" si="38"/>
        <v>14</v>
      </c>
      <c r="Q90" s="53">
        <f t="shared" si="38"/>
        <v>15</v>
      </c>
      <c r="R90" s="53">
        <f t="shared" si="38"/>
        <v>16</v>
      </c>
      <c r="S90" s="53">
        <f t="shared" si="38"/>
        <v>17</v>
      </c>
      <c r="T90" s="53">
        <f t="shared" si="38"/>
        <v>18</v>
      </c>
      <c r="U90" s="53">
        <f t="shared" si="38"/>
        <v>19</v>
      </c>
      <c r="V90" s="53">
        <f t="shared" si="38"/>
        <v>20</v>
      </c>
      <c r="W90" s="53">
        <f t="shared" si="38"/>
        <v>21</v>
      </c>
      <c r="X90" s="53">
        <f t="shared" si="38"/>
        <v>22</v>
      </c>
      <c r="Y90" s="53">
        <f t="shared" si="38"/>
        <v>23</v>
      </c>
      <c r="Z90" s="53">
        <f t="shared" si="38"/>
        <v>24</v>
      </c>
      <c r="AA90" s="53">
        <f t="shared" si="38"/>
        <v>25</v>
      </c>
    </row>
    <row r="91" spans="1:27" ht="14.65" thickTop="1" x14ac:dyDescent="0.45">
      <c r="A91" t="str">
        <f>A84</f>
        <v>Ngân lưu ròng sau thuế (TIPV)</v>
      </c>
      <c r="B91">
        <f t="shared" ref="B91:C91" si="39">B84</f>
        <v>-15000</v>
      </c>
      <c r="C91" s="16">
        <f t="shared" si="39"/>
        <v>3564.9938285714288</v>
      </c>
      <c r="D91" s="16">
        <f t="shared" ref="D91:AA91" si="40">D84</f>
        <v>3532.2537092061252</v>
      </c>
      <c r="E91" s="16">
        <f t="shared" si="40"/>
        <v>3556.540755393391</v>
      </c>
      <c r="F91" s="16">
        <f t="shared" si="40"/>
        <v>3579.861623831307</v>
      </c>
      <c r="G91" s="16">
        <f t="shared" si="40"/>
        <v>3602.0634139207041</v>
      </c>
      <c r="H91" s="16">
        <f t="shared" si="40"/>
        <v>3622.9758096589308</v>
      </c>
      <c r="I91" s="16">
        <f t="shared" si="40"/>
        <v>3642.4091563407619</v>
      </c>
      <c r="J91" s="16">
        <f t="shared" si="40"/>
        <v>3231.5808970284434</v>
      </c>
      <c r="K91" s="16">
        <f t="shared" si="40"/>
        <v>3247.398916935736</v>
      </c>
      <c r="L91" s="16">
        <f t="shared" si="40"/>
        <v>3261.0303413095107</v>
      </c>
      <c r="M91" s="16">
        <f t="shared" si="40"/>
        <v>3272.1843295495555</v>
      </c>
      <c r="N91" s="16">
        <f t="shared" si="40"/>
        <v>3314.158087716819</v>
      </c>
      <c r="O91" s="16">
        <f t="shared" si="40"/>
        <v>3356.669497767899</v>
      </c>
      <c r="P91" s="16">
        <f t="shared" si="40"/>
        <v>3399.7254312930972</v>
      </c>
      <c r="Q91" s="16">
        <f t="shared" si="40"/>
        <v>3443.3328473991073</v>
      </c>
      <c r="R91" s="16">
        <f t="shared" si="40"/>
        <v>3487.4987938174318</v>
      </c>
      <c r="S91" s="16">
        <f t="shared" si="40"/>
        <v>3532.2304080267122</v>
      </c>
      <c r="T91" s="16">
        <f t="shared" si="40"/>
        <v>3577.534918389139</v>
      </c>
      <c r="U91" s="16">
        <f t="shared" si="40"/>
        <v>3623.4196453011309</v>
      </c>
      <c r="V91" s="16">
        <f t="shared" si="40"/>
        <v>3669.8920023584419</v>
      </c>
      <c r="W91" s="16">
        <f t="shared" si="40"/>
        <v>3716.9594975358837</v>
      </c>
      <c r="X91" s="16">
        <f t="shared" si="40"/>
        <v>3764.6297343818501</v>
      </c>
      <c r="Y91" s="16">
        <f t="shared" si="40"/>
        <v>3812.9104132278089</v>
      </c>
      <c r="Z91" s="16">
        <f t="shared" si="40"/>
        <v>3861.8093324129622</v>
      </c>
      <c r="AA91" s="16">
        <f t="shared" si="40"/>
        <v>3911.3343895242579</v>
      </c>
    </row>
    <row r="92" spans="1:27" x14ac:dyDescent="0.45">
      <c r="A92" t="s">
        <v>89</v>
      </c>
      <c r="B92" s="4">
        <f>B47</f>
        <v>9000</v>
      </c>
    </row>
    <row r="93" spans="1:27" x14ac:dyDescent="0.45">
      <c r="A93" t="s">
        <v>90</v>
      </c>
      <c r="C93" s="16">
        <f>C44</f>
        <v>1528.212843877413</v>
      </c>
      <c r="D93" s="16">
        <f t="shared" ref="D93:AA93" si="41">D44</f>
        <v>1528.212843877413</v>
      </c>
      <c r="E93" s="16">
        <f t="shared" si="41"/>
        <v>1528.212843877413</v>
      </c>
      <c r="F93" s="16">
        <f t="shared" si="41"/>
        <v>1528.212843877413</v>
      </c>
      <c r="G93" s="16">
        <f t="shared" si="41"/>
        <v>1528.212843877413</v>
      </c>
      <c r="H93" s="16">
        <f t="shared" si="41"/>
        <v>1528.212843877413</v>
      </c>
      <c r="I93" s="16">
        <f t="shared" si="41"/>
        <v>1528.212843877413</v>
      </c>
      <c r="J93" s="16">
        <f t="shared" si="41"/>
        <v>1528.212843877413</v>
      </c>
      <c r="K93" s="16">
        <f t="shared" si="41"/>
        <v>1528.212843877413</v>
      </c>
      <c r="L93" s="16">
        <f t="shared" si="41"/>
        <v>1528.212843877413</v>
      </c>
      <c r="M93" s="16">
        <f t="shared" si="41"/>
        <v>0</v>
      </c>
      <c r="N93" s="16">
        <f t="shared" si="41"/>
        <v>0</v>
      </c>
      <c r="O93" s="16">
        <f t="shared" si="41"/>
        <v>0</v>
      </c>
      <c r="P93" s="16">
        <f t="shared" si="41"/>
        <v>0</v>
      </c>
      <c r="Q93" s="16">
        <f t="shared" si="41"/>
        <v>0</v>
      </c>
      <c r="R93" s="16">
        <f t="shared" si="41"/>
        <v>0</v>
      </c>
      <c r="S93" s="16">
        <f t="shared" si="41"/>
        <v>0</v>
      </c>
      <c r="T93" s="16">
        <f t="shared" si="41"/>
        <v>0</v>
      </c>
      <c r="U93" s="16">
        <f t="shared" si="41"/>
        <v>0</v>
      </c>
      <c r="V93" s="16">
        <f t="shared" si="41"/>
        <v>0</v>
      </c>
      <c r="W93" s="16">
        <f t="shared" si="41"/>
        <v>0</v>
      </c>
      <c r="X93" s="16">
        <f t="shared" si="41"/>
        <v>0</v>
      </c>
      <c r="Y93" s="16">
        <f t="shared" si="41"/>
        <v>0</v>
      </c>
      <c r="Z93" s="16">
        <f t="shared" si="41"/>
        <v>0</v>
      </c>
      <c r="AA93" s="16">
        <f t="shared" si="41"/>
        <v>0</v>
      </c>
    </row>
    <row r="94" spans="1:27" ht="14.65" thickBot="1" x14ac:dyDescent="0.5">
      <c r="A94" s="25" t="s">
        <v>91</v>
      </c>
      <c r="B94" s="26">
        <f>B91+B92-B93</f>
        <v>-6000</v>
      </c>
      <c r="C94" s="26">
        <f t="shared" ref="C94:AA94" si="42">C91+C92-C93</f>
        <v>2036.7809846940158</v>
      </c>
      <c r="D94" s="26">
        <f t="shared" si="42"/>
        <v>2004.0408653287122</v>
      </c>
      <c r="E94" s="26">
        <f t="shared" si="42"/>
        <v>2028.327911515978</v>
      </c>
      <c r="F94" s="26">
        <f t="shared" si="42"/>
        <v>2051.6487799538941</v>
      </c>
      <c r="G94" s="26">
        <f t="shared" si="42"/>
        <v>2073.8505700432911</v>
      </c>
      <c r="H94" s="26">
        <f t="shared" si="42"/>
        <v>2094.7629657815178</v>
      </c>
      <c r="I94" s="26">
        <f t="shared" si="42"/>
        <v>2114.1963124633489</v>
      </c>
      <c r="J94" s="26">
        <f t="shared" si="42"/>
        <v>1703.3680531510304</v>
      </c>
      <c r="K94" s="26">
        <f t="shared" si="42"/>
        <v>1719.186073058323</v>
      </c>
      <c r="L94" s="26">
        <f t="shared" si="42"/>
        <v>1732.8174974320978</v>
      </c>
      <c r="M94" s="26">
        <f t="shared" si="42"/>
        <v>3272.1843295495555</v>
      </c>
      <c r="N94" s="26">
        <f t="shared" si="42"/>
        <v>3314.158087716819</v>
      </c>
      <c r="O94" s="26">
        <f t="shared" si="42"/>
        <v>3356.669497767899</v>
      </c>
      <c r="P94" s="26">
        <f t="shared" si="42"/>
        <v>3399.7254312930972</v>
      </c>
      <c r="Q94" s="26">
        <f t="shared" si="42"/>
        <v>3443.3328473991073</v>
      </c>
      <c r="R94" s="26">
        <f t="shared" si="42"/>
        <v>3487.4987938174318</v>
      </c>
      <c r="S94" s="26">
        <f t="shared" si="42"/>
        <v>3532.2304080267122</v>
      </c>
      <c r="T94" s="26">
        <f t="shared" si="42"/>
        <v>3577.534918389139</v>
      </c>
      <c r="U94" s="26">
        <f t="shared" si="42"/>
        <v>3623.4196453011309</v>
      </c>
      <c r="V94" s="26">
        <f t="shared" si="42"/>
        <v>3669.8920023584419</v>
      </c>
      <c r="W94" s="26">
        <f t="shared" si="42"/>
        <v>3716.9594975358837</v>
      </c>
      <c r="X94" s="26">
        <f t="shared" si="42"/>
        <v>3764.6297343818501</v>
      </c>
      <c r="Y94" s="26">
        <f t="shared" si="42"/>
        <v>3812.9104132278089</v>
      </c>
      <c r="Z94" s="26">
        <f t="shared" si="42"/>
        <v>3861.8093324129622</v>
      </c>
      <c r="AA94" s="26">
        <f t="shared" si="42"/>
        <v>3911.3343895242579</v>
      </c>
    </row>
    <row r="95" spans="1:27" ht="14.65" thickTop="1" x14ac:dyDescent="0.45"/>
    <row r="96" spans="1:27" ht="14.65" thickBot="1" x14ac:dyDescent="0.5">
      <c r="A96" s="27" t="s">
        <v>92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5" thickTop="1" thickBot="1" x14ac:dyDescent="0.5">
      <c r="A97" s="53" t="str">
        <f>A90</f>
        <v>Năm</v>
      </c>
      <c r="B97" s="53">
        <f t="shared" ref="B97:AA97" si="43">B90</f>
        <v>0</v>
      </c>
      <c r="C97" s="53">
        <f t="shared" si="43"/>
        <v>1</v>
      </c>
      <c r="D97" s="53">
        <f t="shared" si="43"/>
        <v>2</v>
      </c>
      <c r="E97" s="53">
        <f t="shared" si="43"/>
        <v>3</v>
      </c>
      <c r="F97" s="53">
        <f t="shared" si="43"/>
        <v>4</v>
      </c>
      <c r="G97" s="53">
        <f t="shared" si="43"/>
        <v>5</v>
      </c>
      <c r="H97" s="53">
        <f t="shared" si="43"/>
        <v>6</v>
      </c>
      <c r="I97" s="53">
        <f t="shared" si="43"/>
        <v>7</v>
      </c>
      <c r="J97" s="53">
        <f t="shared" si="43"/>
        <v>8</v>
      </c>
      <c r="K97" s="53">
        <f t="shared" si="43"/>
        <v>9</v>
      </c>
      <c r="L97" s="53">
        <f t="shared" si="43"/>
        <v>10</v>
      </c>
      <c r="M97" s="53">
        <f t="shared" si="43"/>
        <v>11</v>
      </c>
      <c r="N97" s="53">
        <f t="shared" si="43"/>
        <v>12</v>
      </c>
      <c r="O97" s="53">
        <f t="shared" si="43"/>
        <v>13</v>
      </c>
      <c r="P97" s="53">
        <f t="shared" si="43"/>
        <v>14</v>
      </c>
      <c r="Q97" s="53">
        <f t="shared" si="43"/>
        <v>15</v>
      </c>
      <c r="R97" s="53">
        <f t="shared" si="43"/>
        <v>16</v>
      </c>
      <c r="S97" s="53">
        <f t="shared" si="43"/>
        <v>17</v>
      </c>
      <c r="T97" s="53">
        <f t="shared" si="43"/>
        <v>18</v>
      </c>
      <c r="U97" s="53">
        <f t="shared" si="43"/>
        <v>19</v>
      </c>
      <c r="V97" s="53">
        <f t="shared" si="43"/>
        <v>20</v>
      </c>
      <c r="W97" s="53">
        <f t="shared" si="43"/>
        <v>21</v>
      </c>
      <c r="X97" s="53">
        <f t="shared" si="43"/>
        <v>22</v>
      </c>
      <c r="Y97" s="53">
        <f t="shared" si="43"/>
        <v>23</v>
      </c>
      <c r="Z97" s="53">
        <f t="shared" si="43"/>
        <v>24</v>
      </c>
      <c r="AA97" s="53">
        <f t="shared" si="43"/>
        <v>25</v>
      </c>
    </row>
    <row r="98" spans="1:27" ht="14.65" thickTop="1" x14ac:dyDescent="0.45">
      <c r="A98" t="str">
        <f>A91</f>
        <v>Ngân lưu ròng sau thuế (TIPV)</v>
      </c>
      <c r="B98">
        <f t="shared" ref="B98:AA98" si="44">B91</f>
        <v>-15000</v>
      </c>
      <c r="C98" s="16">
        <f t="shared" si="44"/>
        <v>3564.9938285714288</v>
      </c>
      <c r="D98" s="16">
        <f t="shared" si="44"/>
        <v>3532.2537092061252</v>
      </c>
      <c r="E98" s="16">
        <f t="shared" si="44"/>
        <v>3556.540755393391</v>
      </c>
      <c r="F98" s="16">
        <f t="shared" si="44"/>
        <v>3579.861623831307</v>
      </c>
      <c r="G98" s="16">
        <f t="shared" si="44"/>
        <v>3602.0634139207041</v>
      </c>
      <c r="H98" s="16">
        <f t="shared" si="44"/>
        <v>3622.9758096589308</v>
      </c>
      <c r="I98" s="16">
        <f t="shared" si="44"/>
        <v>3642.4091563407619</v>
      </c>
      <c r="J98" s="16">
        <f t="shared" si="44"/>
        <v>3231.5808970284434</v>
      </c>
      <c r="K98" s="16">
        <f t="shared" si="44"/>
        <v>3247.398916935736</v>
      </c>
      <c r="L98" s="16">
        <f t="shared" si="44"/>
        <v>3261.0303413095107</v>
      </c>
      <c r="M98" s="16">
        <f t="shared" si="44"/>
        <v>3272.1843295495555</v>
      </c>
      <c r="N98" s="16">
        <f t="shared" si="44"/>
        <v>3314.158087716819</v>
      </c>
      <c r="O98" s="16">
        <f t="shared" si="44"/>
        <v>3356.669497767899</v>
      </c>
      <c r="P98" s="16">
        <f t="shared" si="44"/>
        <v>3399.7254312930972</v>
      </c>
      <c r="Q98" s="16">
        <f t="shared" si="44"/>
        <v>3443.3328473991073</v>
      </c>
      <c r="R98" s="16">
        <f t="shared" si="44"/>
        <v>3487.4987938174318</v>
      </c>
      <c r="S98" s="16">
        <f t="shared" si="44"/>
        <v>3532.2304080267122</v>
      </c>
      <c r="T98" s="16">
        <f t="shared" si="44"/>
        <v>3577.534918389139</v>
      </c>
      <c r="U98" s="16">
        <f t="shared" si="44"/>
        <v>3623.4196453011309</v>
      </c>
      <c r="V98" s="16">
        <f t="shared" si="44"/>
        <v>3669.8920023584419</v>
      </c>
      <c r="W98" s="16">
        <f t="shared" si="44"/>
        <v>3716.9594975358837</v>
      </c>
      <c r="X98" s="16">
        <f t="shared" si="44"/>
        <v>3764.6297343818501</v>
      </c>
      <c r="Y98" s="16">
        <f t="shared" si="44"/>
        <v>3812.9104132278089</v>
      </c>
      <c r="Z98" s="16">
        <f t="shared" si="44"/>
        <v>3861.8093324129622</v>
      </c>
      <c r="AA98" s="16">
        <f t="shared" si="44"/>
        <v>3911.3343895242579</v>
      </c>
    </row>
    <row r="99" spans="1:27" x14ac:dyDescent="0.45">
      <c r="A99" t="s">
        <v>93</v>
      </c>
      <c r="B99" s="3">
        <f>NPV($E$15,C98:$AA$98)</f>
        <v>26410.266817759504</v>
      </c>
      <c r="C99" s="3">
        <f>NPV($E$15,D98:$AA$98)</f>
        <v>26172.966608225772</v>
      </c>
      <c r="D99" s="3">
        <f>NPV($E$15,E98:$AA$98)</f>
        <v>25938.506691656094</v>
      </c>
      <c r="E99" s="3">
        <f>NPV($E$15,F98:$AA$98)</f>
        <v>25650.217779411367</v>
      </c>
      <c r="F99" s="3">
        <f>NPV($E$15,G98:$AA$98)</f>
        <v>25302.283595785884</v>
      </c>
      <c r="G99" s="3">
        <f>NPV($E$15,H98:$AA$98)</f>
        <v>24888.30791493419</v>
      </c>
      <c r="H99" s="3">
        <f>NPV($E$15,I98:$AA$98)</f>
        <v>24401.258902556969</v>
      </c>
      <c r="I99" s="3">
        <f>NPV($E$15,J98:$AA$98)</f>
        <v>23833.408367938395</v>
      </c>
      <c r="J99" s="3">
        <f>NPV($E$15,K98:$AA$98)</f>
        <v>23604.836925270185</v>
      </c>
      <c r="K99" s="3">
        <f>NPV($E$15,L98:$AA$98)</f>
        <v>23331.647460918484</v>
      </c>
      <c r="L99" s="3">
        <f>NPV($E$15,M98:$AA$98)</f>
        <v>23010.40469968471</v>
      </c>
      <c r="M99" s="3">
        <f>NPV($E$15,N98:$AA$98)</f>
        <v>22637.53136229542</v>
      </c>
      <c r="N99" s="3">
        <f>NPV($E$15,O98:$AA$98)</f>
        <v>22175.702226227822</v>
      </c>
      <c r="O99" s="3">
        <f>NPV($E$15,P98:$AA$98)</f>
        <v>21613.171208964624</v>
      </c>
      <c r="P99" s="3">
        <f>NPV($E$15,Q98:$AA$98)</f>
        <v>20936.705350001073</v>
      </c>
      <c r="Q99" s="3">
        <f>NPV($E$15,R98:$AA$98)</f>
        <v>20131.397376702098</v>
      </c>
      <c r="R99" s="3">
        <f>NPV($E$15,S98:$AA$98)</f>
        <v>19180.45465234913</v>
      </c>
      <c r="S99" s="3">
        <f>NPV($E$15,T98:$AA$98)</f>
        <v>18064.961530518405</v>
      </c>
      <c r="T99" s="3">
        <f>NPV($E$15,U98:$AA$98)</f>
        <v>16763.611764974583</v>
      </c>
      <c r="U99" s="3">
        <f>NPV($E$15,V98:$AA$98)</f>
        <v>15252.407202060249</v>
      </c>
      <c r="V99" s="3">
        <f>NPV($E$15,W98:$AA$98)</f>
        <v>13504.318507161399</v>
      </c>
      <c r="W99" s="3">
        <f>NPV($E$15,X98:$AA$98)</f>
        <v>11488.90314152785</v>
      </c>
      <c r="X99" s="3">
        <f>NPV($E$15,Y98:$AA$98)</f>
        <v>9171.8752029785082</v>
      </c>
      <c r="Y99" s="3">
        <f>NPV($E$15,Z98:$AA$98)</f>
        <v>6514.6210653259905</v>
      </c>
      <c r="Z99" s="3">
        <f>NPV($E$15,AA98:$AA$98)</f>
        <v>3473.6539871441014</v>
      </c>
    </row>
    <row r="100" spans="1:27" x14ac:dyDescent="0.45">
      <c r="A100" t="s">
        <v>95</v>
      </c>
      <c r="B100" s="4">
        <f>B47</f>
        <v>9000</v>
      </c>
      <c r="C100" s="4">
        <f t="shared" ref="C100:L100" si="45">C47</f>
        <v>8461.7871561225875</v>
      </c>
      <c r="D100" s="4">
        <f t="shared" si="45"/>
        <v>7864.37089941866</v>
      </c>
      <c r="E100" s="4">
        <f t="shared" si="45"/>
        <v>7201.2388544773003</v>
      </c>
      <c r="F100" s="4">
        <f t="shared" si="45"/>
        <v>6465.1622845923903</v>
      </c>
      <c r="G100" s="4">
        <f t="shared" si="45"/>
        <v>5648.1172920201407</v>
      </c>
      <c r="H100" s="4">
        <f t="shared" si="45"/>
        <v>4741.1973502649435</v>
      </c>
      <c r="I100" s="4">
        <f t="shared" si="45"/>
        <v>3734.516214916674</v>
      </c>
      <c r="J100" s="4">
        <f t="shared" si="45"/>
        <v>2617.1001546800949</v>
      </c>
      <c r="K100" s="4">
        <f t="shared" si="45"/>
        <v>1376.7683278174923</v>
      </c>
      <c r="L100" s="4">
        <f t="shared" si="45"/>
        <v>3.4106051316484809E-12</v>
      </c>
    </row>
    <row r="101" spans="1:27" x14ac:dyDescent="0.45">
      <c r="A101" t="s">
        <v>96</v>
      </c>
      <c r="B101" s="4">
        <f>B99-B100</f>
        <v>17410.266817759504</v>
      </c>
      <c r="C101" s="4">
        <f t="shared" ref="C101:Z101" si="46">C99-C100</f>
        <v>17711.179452103184</v>
      </c>
      <c r="D101" s="4">
        <f t="shared" si="46"/>
        <v>18074.135792237434</v>
      </c>
      <c r="E101" s="4">
        <f t="shared" si="46"/>
        <v>18448.978924934068</v>
      </c>
      <c r="F101" s="4">
        <f t="shared" si="46"/>
        <v>18837.121311193492</v>
      </c>
      <c r="G101" s="4">
        <f t="shared" si="46"/>
        <v>19240.190622914051</v>
      </c>
      <c r="H101" s="4">
        <f t="shared" si="46"/>
        <v>19660.061552292027</v>
      </c>
      <c r="I101" s="4">
        <f t="shared" si="46"/>
        <v>20098.892153021719</v>
      </c>
      <c r="J101" s="4">
        <f t="shared" si="46"/>
        <v>20987.736770590091</v>
      </c>
      <c r="K101" s="4">
        <f t="shared" si="46"/>
        <v>21954.879133100992</v>
      </c>
      <c r="L101" s="4">
        <f t="shared" si="46"/>
        <v>23010.404699684706</v>
      </c>
      <c r="M101" s="4">
        <f t="shared" si="46"/>
        <v>22637.53136229542</v>
      </c>
      <c r="N101" s="4">
        <f t="shared" si="46"/>
        <v>22175.702226227822</v>
      </c>
      <c r="O101" s="4">
        <f t="shared" si="46"/>
        <v>21613.171208964624</v>
      </c>
      <c r="P101" s="4">
        <f t="shared" si="46"/>
        <v>20936.705350001073</v>
      </c>
      <c r="Q101" s="4">
        <f t="shared" si="46"/>
        <v>20131.397376702098</v>
      </c>
      <c r="R101" s="4">
        <f t="shared" si="46"/>
        <v>19180.45465234913</v>
      </c>
      <c r="S101" s="4">
        <f t="shared" si="46"/>
        <v>18064.961530518405</v>
      </c>
      <c r="T101" s="4">
        <f t="shared" si="46"/>
        <v>16763.611764974583</v>
      </c>
      <c r="U101" s="4">
        <f t="shared" si="46"/>
        <v>15252.407202060249</v>
      </c>
      <c r="V101" s="4">
        <f t="shared" si="46"/>
        <v>13504.318507161399</v>
      </c>
      <c r="W101" s="4">
        <f t="shared" si="46"/>
        <v>11488.90314152785</v>
      </c>
      <c r="X101" s="4">
        <f t="shared" si="46"/>
        <v>9171.8752029785082</v>
      </c>
      <c r="Y101" s="4">
        <f t="shared" si="46"/>
        <v>6514.6210653259905</v>
      </c>
      <c r="Z101" s="4">
        <f t="shared" si="46"/>
        <v>3473.6539871441014</v>
      </c>
    </row>
    <row r="102" spans="1:27" x14ac:dyDescent="0.45">
      <c r="A102" t="s">
        <v>98</v>
      </c>
      <c r="B102" s="5">
        <f>B100/B99</f>
        <v>0.34077656473913309</v>
      </c>
      <c r="C102" s="5">
        <f t="shared" ref="C102:Z102" si="47">C100/C99</f>
        <v>0.3233025618679074</v>
      </c>
      <c r="D102" s="5">
        <f t="shared" si="47"/>
        <v>0.3031928935966261</v>
      </c>
      <c r="E102" s="5">
        <f t="shared" si="47"/>
        <v>0.28074766913899307</v>
      </c>
      <c r="F102" s="5">
        <f t="shared" si="47"/>
        <v>0.2555169481093465</v>
      </c>
      <c r="G102" s="5">
        <f t="shared" si="47"/>
        <v>0.2269385814144077</v>
      </c>
      <c r="H102" s="5">
        <f t="shared" si="47"/>
        <v>0.19430134195937412</v>
      </c>
      <c r="I102" s="5">
        <f t="shared" si="47"/>
        <v>0.1566924947226804</v>
      </c>
      <c r="J102" s="5">
        <f t="shared" si="47"/>
        <v>0.11087135077295769</v>
      </c>
      <c r="K102" s="5">
        <f t="shared" si="47"/>
        <v>5.9008620378121115E-2</v>
      </c>
      <c r="L102" s="5">
        <f t="shared" si="47"/>
        <v>1.4822012807515782E-16</v>
      </c>
      <c r="M102" s="5">
        <f t="shared" si="47"/>
        <v>0</v>
      </c>
      <c r="N102" s="5">
        <f t="shared" si="47"/>
        <v>0</v>
      </c>
      <c r="O102" s="5">
        <f t="shared" si="47"/>
        <v>0</v>
      </c>
      <c r="P102" s="5">
        <f t="shared" si="47"/>
        <v>0</v>
      </c>
      <c r="Q102" s="5">
        <f t="shared" si="47"/>
        <v>0</v>
      </c>
      <c r="R102" s="5">
        <f t="shared" si="47"/>
        <v>0</v>
      </c>
      <c r="S102" s="5">
        <f t="shared" si="47"/>
        <v>0</v>
      </c>
      <c r="T102" s="5">
        <f t="shared" si="47"/>
        <v>0</v>
      </c>
      <c r="U102" s="5">
        <f t="shared" si="47"/>
        <v>0</v>
      </c>
      <c r="V102" s="5">
        <f t="shared" si="47"/>
        <v>0</v>
      </c>
      <c r="W102" s="5">
        <f t="shared" si="47"/>
        <v>0</v>
      </c>
      <c r="X102" s="5">
        <f t="shared" si="47"/>
        <v>0</v>
      </c>
      <c r="Y102" s="5">
        <f t="shared" si="47"/>
        <v>0</v>
      </c>
      <c r="Z102" s="5">
        <f t="shared" si="47"/>
        <v>0</v>
      </c>
    </row>
    <row r="103" spans="1:27" x14ac:dyDescent="0.45">
      <c r="A103" t="s">
        <v>99</v>
      </c>
      <c r="B103" s="5">
        <f>B101/B99</f>
        <v>0.65922343526086691</v>
      </c>
      <c r="C103" s="5">
        <f t="shared" ref="C103:Z103" si="48">C101/C99</f>
        <v>0.6766974381320926</v>
      </c>
      <c r="D103" s="5">
        <f t="shared" si="48"/>
        <v>0.69680710640337395</v>
      </c>
      <c r="E103" s="5">
        <f t="shared" si="48"/>
        <v>0.71925233086100704</v>
      </c>
      <c r="F103" s="5">
        <f t="shared" si="48"/>
        <v>0.74448305189065345</v>
      </c>
      <c r="G103" s="5">
        <f t="shared" si="48"/>
        <v>0.77306141858559241</v>
      </c>
      <c r="H103" s="5">
        <f t="shared" si="48"/>
        <v>0.80569865804062601</v>
      </c>
      <c r="I103" s="5">
        <f t="shared" si="48"/>
        <v>0.84330750527731957</v>
      </c>
      <c r="J103" s="5">
        <f t="shared" si="48"/>
        <v>0.88912864922704238</v>
      </c>
      <c r="K103" s="5">
        <f t="shared" si="48"/>
        <v>0.94099137962187895</v>
      </c>
      <c r="L103" s="5">
        <f t="shared" si="48"/>
        <v>0.99999999999999989</v>
      </c>
      <c r="M103" s="5">
        <f t="shared" si="48"/>
        <v>1</v>
      </c>
      <c r="N103" s="5">
        <f t="shared" si="48"/>
        <v>1</v>
      </c>
      <c r="O103" s="5">
        <f t="shared" si="48"/>
        <v>1</v>
      </c>
      <c r="P103" s="5">
        <f t="shared" si="48"/>
        <v>1</v>
      </c>
      <c r="Q103" s="5">
        <f t="shared" si="48"/>
        <v>1</v>
      </c>
      <c r="R103" s="5">
        <f t="shared" si="48"/>
        <v>1</v>
      </c>
      <c r="S103" s="5">
        <f t="shared" si="48"/>
        <v>1</v>
      </c>
      <c r="T103" s="5">
        <f t="shared" si="48"/>
        <v>1</v>
      </c>
      <c r="U103" s="5">
        <f t="shared" si="48"/>
        <v>1</v>
      </c>
      <c r="V103" s="5">
        <f t="shared" si="48"/>
        <v>1</v>
      </c>
      <c r="W103" s="5">
        <f t="shared" si="48"/>
        <v>1</v>
      </c>
      <c r="X103" s="5">
        <f t="shared" si="48"/>
        <v>1</v>
      </c>
      <c r="Y103" s="5">
        <f t="shared" si="48"/>
        <v>1</v>
      </c>
      <c r="Z103" s="5">
        <f t="shared" si="48"/>
        <v>1</v>
      </c>
    </row>
    <row r="104" spans="1:27" x14ac:dyDescent="0.45">
      <c r="A104" t="s">
        <v>97</v>
      </c>
      <c r="B104" s="28">
        <f>B100/B101</f>
        <v>0.51693636256162756</v>
      </c>
      <c r="C104" s="28">
        <f t="shared" ref="C104:Z104" si="49">C100/C101</f>
        <v>0.47776531083127605</v>
      </c>
      <c r="D104" s="28">
        <f t="shared" si="49"/>
        <v>0.43511739591976994</v>
      </c>
      <c r="E104" s="28">
        <f t="shared" si="49"/>
        <v>0.39033265113359306</v>
      </c>
      <c r="F104" s="28">
        <f t="shared" si="49"/>
        <v>0.34321392200997441</v>
      </c>
      <c r="G104" s="28">
        <f t="shared" si="49"/>
        <v>0.29355828134537976</v>
      </c>
      <c r="H104" s="28">
        <f t="shared" si="49"/>
        <v>0.2411588253502798</v>
      </c>
      <c r="I104" s="28">
        <f t="shared" si="49"/>
        <v>0.18580706769727193</v>
      </c>
      <c r="J104" s="28">
        <f t="shared" si="49"/>
        <v>0.12469663514874131</v>
      </c>
      <c r="K104" s="28">
        <f t="shared" si="49"/>
        <v>6.2708991448819335E-2</v>
      </c>
      <c r="L104" s="28">
        <f t="shared" si="49"/>
        <v>1.4822012807515784E-16</v>
      </c>
      <c r="M104" s="28">
        <f t="shared" si="49"/>
        <v>0</v>
      </c>
      <c r="N104" s="28">
        <f t="shared" si="49"/>
        <v>0</v>
      </c>
      <c r="O104" s="28">
        <f t="shared" si="49"/>
        <v>0</v>
      </c>
      <c r="P104" s="28">
        <f t="shared" si="49"/>
        <v>0</v>
      </c>
      <c r="Q104" s="28">
        <f t="shared" si="49"/>
        <v>0</v>
      </c>
      <c r="R104" s="28">
        <f t="shared" si="49"/>
        <v>0</v>
      </c>
      <c r="S104" s="28">
        <f t="shared" si="49"/>
        <v>0</v>
      </c>
      <c r="T104" s="28">
        <f t="shared" si="49"/>
        <v>0</v>
      </c>
      <c r="U104" s="28">
        <f t="shared" si="49"/>
        <v>0</v>
      </c>
      <c r="V104" s="28">
        <f t="shared" si="49"/>
        <v>0</v>
      </c>
      <c r="W104" s="28">
        <f t="shared" si="49"/>
        <v>0</v>
      </c>
      <c r="X104" s="28">
        <f t="shared" si="49"/>
        <v>0</v>
      </c>
      <c r="Y104" s="28">
        <f t="shared" si="49"/>
        <v>0</v>
      </c>
      <c r="Z104" s="28">
        <f t="shared" si="49"/>
        <v>0</v>
      </c>
    </row>
    <row r="105" spans="1:27" ht="15.75" x14ac:dyDescent="0.55000000000000004">
      <c r="A105" t="s">
        <v>120</v>
      </c>
      <c r="B105" s="5">
        <f>$E$15+($E$15-$E$11)*B104</f>
        <v>0.13427098180098604</v>
      </c>
      <c r="C105" s="5">
        <f t="shared" ref="C105:Z105" si="50">$E$15+($E$15-$E$11)*C104</f>
        <v>0.13364424497330041</v>
      </c>
      <c r="D105" s="5">
        <f t="shared" si="50"/>
        <v>0.13296187833471632</v>
      </c>
      <c r="E105" s="5">
        <f t="shared" si="50"/>
        <v>0.1322453224181375</v>
      </c>
      <c r="F105" s="5">
        <f t="shared" si="50"/>
        <v>0.13149142275215958</v>
      </c>
      <c r="G105" s="5">
        <f t="shared" si="50"/>
        <v>0.13069693250152609</v>
      </c>
      <c r="H105" s="5">
        <f t="shared" si="50"/>
        <v>0.12985854120560447</v>
      </c>
      <c r="I105" s="5">
        <f t="shared" si="50"/>
        <v>0.12897291308315637</v>
      </c>
      <c r="J105" s="5">
        <f t="shared" si="50"/>
        <v>0.12799514616237986</v>
      </c>
      <c r="K105" s="5">
        <f t="shared" si="50"/>
        <v>0.1270033438631811</v>
      </c>
      <c r="L105" s="5">
        <f t="shared" si="50"/>
        <v>0.126</v>
      </c>
      <c r="M105" s="5">
        <f t="shared" si="50"/>
        <v>0.126</v>
      </c>
      <c r="N105" s="5">
        <f t="shared" si="50"/>
        <v>0.126</v>
      </c>
      <c r="O105" s="5">
        <f t="shared" si="50"/>
        <v>0.126</v>
      </c>
      <c r="P105" s="5">
        <f t="shared" si="50"/>
        <v>0.126</v>
      </c>
      <c r="Q105" s="5">
        <f t="shared" si="50"/>
        <v>0.126</v>
      </c>
      <c r="R105" s="5">
        <f t="shared" si="50"/>
        <v>0.126</v>
      </c>
      <c r="S105" s="5">
        <f t="shared" si="50"/>
        <v>0.126</v>
      </c>
      <c r="T105" s="5">
        <f t="shared" si="50"/>
        <v>0.126</v>
      </c>
      <c r="U105" s="5">
        <f t="shared" si="50"/>
        <v>0.126</v>
      </c>
      <c r="V105" s="5">
        <f t="shared" si="50"/>
        <v>0.126</v>
      </c>
      <c r="W105" s="5">
        <f t="shared" si="50"/>
        <v>0.126</v>
      </c>
      <c r="X105" s="5">
        <f t="shared" si="50"/>
        <v>0.126</v>
      </c>
      <c r="Y105" s="5">
        <f t="shared" si="50"/>
        <v>0.126</v>
      </c>
      <c r="Z105" s="5">
        <f t="shared" si="50"/>
        <v>0.126</v>
      </c>
    </row>
    <row r="106" spans="1:27" x14ac:dyDescent="0.45">
      <c r="A106" t="s">
        <v>94</v>
      </c>
      <c r="B106" s="8">
        <f>B102*$E$11+B103*B105</f>
        <v>0.126</v>
      </c>
      <c r="C106" s="8">
        <f t="shared" ref="C106:Z106" si="51">C102*$E$11+C103*C105</f>
        <v>0.126</v>
      </c>
      <c r="D106" s="8">
        <f t="shared" si="51"/>
        <v>0.126</v>
      </c>
      <c r="E106" s="8">
        <f t="shared" si="51"/>
        <v>0.126</v>
      </c>
      <c r="F106" s="8">
        <f t="shared" si="51"/>
        <v>0.12599999999999997</v>
      </c>
      <c r="G106" s="8">
        <f t="shared" si="51"/>
        <v>0.12600000000000003</v>
      </c>
      <c r="H106" s="8">
        <f t="shared" si="51"/>
        <v>0.12600000000000003</v>
      </c>
      <c r="I106" s="8">
        <f t="shared" si="51"/>
        <v>0.126</v>
      </c>
      <c r="J106" s="8">
        <f t="shared" si="51"/>
        <v>0.12600000000000003</v>
      </c>
      <c r="K106" s="8">
        <f t="shared" si="51"/>
        <v>0.126</v>
      </c>
      <c r="L106" s="8">
        <f t="shared" si="51"/>
        <v>0.126</v>
      </c>
      <c r="M106" s="8">
        <f t="shared" si="51"/>
        <v>0.126</v>
      </c>
      <c r="N106" s="8">
        <f t="shared" si="51"/>
        <v>0.126</v>
      </c>
      <c r="O106" s="8">
        <f t="shared" si="51"/>
        <v>0.126</v>
      </c>
      <c r="P106" s="8">
        <f t="shared" si="51"/>
        <v>0.126</v>
      </c>
      <c r="Q106" s="8">
        <f t="shared" si="51"/>
        <v>0.126</v>
      </c>
      <c r="R106" s="8">
        <f t="shared" si="51"/>
        <v>0.126</v>
      </c>
      <c r="S106" s="8">
        <f t="shared" si="51"/>
        <v>0.126</v>
      </c>
      <c r="T106" s="8">
        <f t="shared" si="51"/>
        <v>0.126</v>
      </c>
      <c r="U106" s="8">
        <f t="shared" si="51"/>
        <v>0.126</v>
      </c>
      <c r="V106" s="8">
        <f t="shared" si="51"/>
        <v>0.126</v>
      </c>
      <c r="W106" s="8">
        <f t="shared" si="51"/>
        <v>0.126</v>
      </c>
      <c r="X106" s="8">
        <f t="shared" si="51"/>
        <v>0.126</v>
      </c>
      <c r="Y106" s="8">
        <f t="shared" si="51"/>
        <v>0.126</v>
      </c>
      <c r="Z106" s="8">
        <f t="shared" si="51"/>
        <v>0.126</v>
      </c>
    </row>
    <row r="107" spans="1:27" ht="15.75" x14ac:dyDescent="0.55000000000000004">
      <c r="A107" t="s">
        <v>121</v>
      </c>
      <c r="B107">
        <v>1</v>
      </c>
      <c r="C107" s="15">
        <f>B107/(1+B105)</f>
        <v>0.88162354150346722</v>
      </c>
      <c r="D107" s="15">
        <f t="shared" ref="D107:AA107" si="52">C107/(1+C105)</f>
        <v>0.77768977826393082</v>
      </c>
      <c r="E107" s="15">
        <f t="shared" si="52"/>
        <v>0.6864218409599252</v>
      </c>
      <c r="F107" s="15">
        <f t="shared" si="52"/>
        <v>0.60624833449868742</v>
      </c>
      <c r="G107" s="15">
        <f t="shared" si="52"/>
        <v>0.53579578449131493</v>
      </c>
      <c r="H107" s="15">
        <f t="shared" si="52"/>
        <v>0.47386330420648926</v>
      </c>
      <c r="I107" s="15">
        <f t="shared" si="52"/>
        <v>0.41940055938406068</v>
      </c>
      <c r="J107" s="15">
        <f t="shared" si="52"/>
        <v>0.37148859332568335</v>
      </c>
      <c r="K107" s="15">
        <f t="shared" si="52"/>
        <v>0.32933527647662941</v>
      </c>
      <c r="L107" s="15">
        <f t="shared" si="52"/>
        <v>0.29222209345690364</v>
      </c>
      <c r="M107" s="15">
        <f t="shared" si="52"/>
        <v>0.25952228548570488</v>
      </c>
      <c r="N107" s="15">
        <f t="shared" si="52"/>
        <v>0.23048160345089247</v>
      </c>
      <c r="O107" s="15">
        <f t="shared" si="52"/>
        <v>0.20469058921038411</v>
      </c>
      <c r="P107" s="15">
        <f t="shared" si="52"/>
        <v>0.18178560320638021</v>
      </c>
      <c r="Q107" s="15">
        <f t="shared" si="52"/>
        <v>0.16144369734136788</v>
      </c>
      <c r="R107" s="15">
        <f t="shared" si="52"/>
        <v>0.14337806158203187</v>
      </c>
      <c r="S107" s="15">
        <f t="shared" si="52"/>
        <v>0.12733398009061447</v>
      </c>
      <c r="T107" s="15">
        <f t="shared" si="52"/>
        <v>0.11308523986733081</v>
      </c>
      <c r="U107" s="15">
        <f t="shared" si="52"/>
        <v>0.10043094126761173</v>
      </c>
      <c r="V107" s="15">
        <f t="shared" si="52"/>
        <v>8.9192665424166734E-2</v>
      </c>
      <c r="W107" s="15">
        <f t="shared" si="52"/>
        <v>7.9211958636027299E-2</v>
      </c>
      <c r="X107" s="15">
        <f t="shared" si="52"/>
        <v>7.0348098255796895E-2</v>
      </c>
      <c r="Y107" s="15">
        <f t="shared" si="52"/>
        <v>6.2476108575308081E-2</v>
      </c>
      <c r="Z107" s="15">
        <f t="shared" si="52"/>
        <v>5.5484998734731873E-2</v>
      </c>
      <c r="AA107" s="15">
        <f t="shared" si="52"/>
        <v>4.9276197810596695E-2</v>
      </c>
    </row>
    <row r="108" spans="1:27" ht="14.65" thickBot="1" x14ac:dyDescent="0.5">
      <c r="A108" s="25" t="s">
        <v>100</v>
      </c>
      <c r="B108" s="26">
        <f>B94*B107</f>
        <v>-6000</v>
      </c>
      <c r="C108" s="26">
        <f t="shared" ref="C108:AA108" si="53">C94*C107</f>
        <v>1795.6740649928574</v>
      </c>
      <c r="D108" s="26">
        <f t="shared" si="53"/>
        <v>1558.5220961893422</v>
      </c>
      <c r="E108" s="26">
        <f t="shared" si="53"/>
        <v>1392.288579093198</v>
      </c>
      <c r="F108" s="26">
        <f t="shared" si="53"/>
        <v>1243.8086558233124</v>
      </c>
      <c r="G108" s="26">
        <f t="shared" si="53"/>
        <v>1111.1603930941058</v>
      </c>
      <c r="H108" s="26">
        <f t="shared" si="53"/>
        <v>992.63130049461495</v>
      </c>
      <c r="I108" s="26">
        <f t="shared" si="53"/>
        <v>886.69511609484687</v>
      </c>
      <c r="J108" s="26">
        <f t="shared" si="53"/>
        <v>632.78180198098414</v>
      </c>
      <c r="K108" s="26">
        <f t="shared" si="53"/>
        <v>566.18862068543365</v>
      </c>
      <c r="L108" s="26">
        <f t="shared" si="53"/>
        <v>506.36755667836036</v>
      </c>
      <c r="M108" s="26">
        <f t="shared" si="53"/>
        <v>849.20475573520957</v>
      </c>
      <c r="N108" s="26">
        <f t="shared" si="53"/>
        <v>763.85247014671597</v>
      </c>
      <c r="O108" s="26">
        <f t="shared" si="53"/>
        <v>687.07865728263539</v>
      </c>
      <c r="P108" s="26">
        <f t="shared" si="53"/>
        <v>618.02113826368679</v>
      </c>
      <c r="Q108" s="26">
        <f t="shared" si="53"/>
        <v>555.90438606109194</v>
      </c>
      <c r="R108" s="26">
        <f t="shared" si="53"/>
        <v>500.03081682721762</v>
      </c>
      <c r="S108" s="26">
        <f t="shared" si="53"/>
        <v>449.77295645113639</v>
      </c>
      <c r="T108" s="26">
        <f t="shared" si="53"/>
        <v>404.56639437978754</v>
      </c>
      <c r="U108" s="26">
        <f t="shared" si="53"/>
        <v>363.9034455851484</v>
      </c>
      <c r="V108" s="26">
        <f t="shared" si="53"/>
        <v>327.3274495091818</v>
      </c>
      <c r="W108" s="26">
        <f t="shared" si="53"/>
        <v>294.42764197060126</v>
      </c>
      <c r="X108" s="26">
        <f t="shared" si="53"/>
        <v>264.83454245098898</v>
      </c>
      <c r="Y108" s="26">
        <f t="shared" si="53"/>
        <v>238.2158049647434</v>
      </c>
      <c r="Z108" s="26">
        <f t="shared" si="53"/>
        <v>214.27248592270894</v>
      </c>
      <c r="AA108" s="26">
        <f t="shared" si="53"/>
        <v>192.7356870815868</v>
      </c>
    </row>
    <row r="109" spans="1:27" ht="14.65" thickTop="1" x14ac:dyDescent="0.45">
      <c r="A109" s="34" t="s">
        <v>107</v>
      </c>
      <c r="B109" s="35">
        <f>B108</f>
        <v>-6000</v>
      </c>
      <c r="C109" s="35">
        <f>B109+C108</f>
        <v>-4204.3259350071421</v>
      </c>
      <c r="D109" s="35">
        <f t="shared" ref="D109:AA109" si="54">C109+D108</f>
        <v>-2645.8038388178002</v>
      </c>
      <c r="E109" s="35">
        <f t="shared" si="54"/>
        <v>-1253.5152597246022</v>
      </c>
      <c r="F109" s="35">
        <f t="shared" si="54"/>
        <v>-9.7066039012897818</v>
      </c>
      <c r="G109" s="35">
        <f t="shared" si="54"/>
        <v>1101.453789192816</v>
      </c>
      <c r="H109" s="35">
        <f t="shared" si="54"/>
        <v>2094.0850896874308</v>
      </c>
      <c r="I109" s="35">
        <f t="shared" si="54"/>
        <v>2980.7802057822778</v>
      </c>
      <c r="J109" s="35">
        <f t="shared" si="54"/>
        <v>3613.562007763262</v>
      </c>
      <c r="K109" s="35">
        <f t="shared" si="54"/>
        <v>4179.7506284486954</v>
      </c>
      <c r="L109" s="35">
        <f t="shared" si="54"/>
        <v>4686.1181851270558</v>
      </c>
      <c r="M109" s="35">
        <f t="shared" si="54"/>
        <v>5535.3229408622656</v>
      </c>
      <c r="N109" s="35">
        <f t="shared" si="54"/>
        <v>6299.1754110089814</v>
      </c>
      <c r="O109" s="35">
        <f t="shared" si="54"/>
        <v>6986.2540682916169</v>
      </c>
      <c r="P109" s="35">
        <f t="shared" si="54"/>
        <v>7604.2752065553041</v>
      </c>
      <c r="Q109" s="35">
        <f t="shared" si="54"/>
        <v>8160.1795926163959</v>
      </c>
      <c r="R109" s="35">
        <f t="shared" si="54"/>
        <v>8660.2104094436127</v>
      </c>
      <c r="S109" s="35">
        <f t="shared" si="54"/>
        <v>9109.9833658947482</v>
      </c>
      <c r="T109" s="35">
        <f t="shared" si="54"/>
        <v>9514.5497602745363</v>
      </c>
      <c r="U109" s="35">
        <f t="shared" si="54"/>
        <v>9878.4532058596851</v>
      </c>
      <c r="V109" s="35">
        <f t="shared" si="54"/>
        <v>10205.780655368866</v>
      </c>
      <c r="W109" s="35">
        <f t="shared" si="54"/>
        <v>10500.208297339468</v>
      </c>
      <c r="X109" s="35">
        <f t="shared" si="54"/>
        <v>10765.042839790458</v>
      </c>
      <c r="Y109" s="35">
        <f t="shared" si="54"/>
        <v>11003.258644755202</v>
      </c>
      <c r="Z109" s="35">
        <f t="shared" si="54"/>
        <v>11217.531130677911</v>
      </c>
      <c r="AA109" s="35">
        <f t="shared" si="54"/>
        <v>11410.266817759499</v>
      </c>
    </row>
    <row r="111" spans="1:27" x14ac:dyDescent="0.45">
      <c r="A111" s="1" t="s">
        <v>101</v>
      </c>
    </row>
    <row r="112" spans="1:27" x14ac:dyDescent="0.45">
      <c r="A112" s="29"/>
      <c r="B112" s="54" t="s">
        <v>105</v>
      </c>
      <c r="C112" s="54" t="s">
        <v>106</v>
      </c>
    </row>
    <row r="113" spans="1:27" x14ac:dyDescent="0.45">
      <c r="A113" s="55" t="s">
        <v>102</v>
      </c>
      <c r="B113" s="32">
        <f>NPV(B106,C84:AA84)+B84</f>
        <v>11410.266817759504</v>
      </c>
      <c r="C113" s="32">
        <f>SUM(B108:AA108)</f>
        <v>11410.266817759499</v>
      </c>
    </row>
    <row r="114" spans="1:27" x14ac:dyDescent="0.45">
      <c r="A114" s="55" t="s">
        <v>103</v>
      </c>
      <c r="B114" s="33">
        <f>IRR(B84:AA84)</f>
        <v>0.23348926307222939</v>
      </c>
      <c r="C114" s="33">
        <f>IRR(B94:AA94)</f>
        <v>0.34726754947408445</v>
      </c>
    </row>
    <row r="115" spans="1:27" x14ac:dyDescent="0.45">
      <c r="A115" s="55" t="s">
        <v>104</v>
      </c>
      <c r="B115" s="30">
        <f>MIRR(B84:AA84,E15,E11)</f>
        <v>0.14050895837408262</v>
      </c>
      <c r="C115" s="30">
        <f>MIRR(B94:AA94,E14,E11)</f>
        <v>0.16601783379901724</v>
      </c>
    </row>
    <row r="116" spans="1:27" x14ac:dyDescent="0.45">
      <c r="A116" s="55" t="s">
        <v>108</v>
      </c>
      <c r="B116" s="31">
        <f>6*12+(-H87*12/I86)</f>
        <v>76.25025292867069</v>
      </c>
      <c r="C116" s="31">
        <f>4*12+(-F109*12/G108)</f>
        <v>48.104826672674257</v>
      </c>
      <c r="D116" t="s">
        <v>111</v>
      </c>
    </row>
    <row r="117" spans="1:27" x14ac:dyDescent="0.45">
      <c r="A117" s="48" t="s">
        <v>117</v>
      </c>
      <c r="B117" s="46"/>
      <c r="C117" s="47"/>
    </row>
    <row r="118" spans="1:27" x14ac:dyDescent="0.45">
      <c r="A118" s="48" t="s">
        <v>118</v>
      </c>
      <c r="B118" s="46"/>
      <c r="C118" s="47"/>
    </row>
    <row r="119" spans="1:27" x14ac:dyDescent="0.45">
      <c r="A119" s="48" t="s">
        <v>119</v>
      </c>
      <c r="B119" s="46"/>
      <c r="C119" s="47"/>
    </row>
    <row r="120" spans="1:27" x14ac:dyDescent="0.45">
      <c r="A120" s="48" t="s">
        <v>122</v>
      </c>
      <c r="B120" s="46"/>
      <c r="C120" s="47"/>
    </row>
    <row r="122" spans="1:27" x14ac:dyDescent="0.45">
      <c r="A122" s="37" t="s">
        <v>112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45">
      <c r="A123" s="20" t="str">
        <f>A97</f>
        <v>Năm</v>
      </c>
      <c r="B123" s="20">
        <f t="shared" ref="B123:AA123" si="55">B97</f>
        <v>0</v>
      </c>
      <c r="C123" s="20">
        <f t="shared" si="55"/>
        <v>1</v>
      </c>
      <c r="D123" s="20">
        <f t="shared" si="55"/>
        <v>2</v>
      </c>
      <c r="E123" s="20">
        <f t="shared" si="55"/>
        <v>3</v>
      </c>
      <c r="F123" s="20">
        <f t="shared" si="55"/>
        <v>4</v>
      </c>
      <c r="G123" s="20">
        <f t="shared" si="55"/>
        <v>5</v>
      </c>
      <c r="H123" s="20">
        <f t="shared" si="55"/>
        <v>6</v>
      </c>
      <c r="I123" s="20">
        <f t="shared" si="55"/>
        <v>7</v>
      </c>
      <c r="J123" s="20">
        <f t="shared" si="55"/>
        <v>8</v>
      </c>
      <c r="K123" s="20">
        <f t="shared" si="55"/>
        <v>9</v>
      </c>
      <c r="L123" s="20">
        <f t="shared" si="55"/>
        <v>10</v>
      </c>
      <c r="M123" s="20">
        <f t="shared" si="55"/>
        <v>11</v>
      </c>
      <c r="N123" s="20">
        <f t="shared" si="55"/>
        <v>12</v>
      </c>
      <c r="O123" s="20">
        <f t="shared" si="55"/>
        <v>13</v>
      </c>
      <c r="P123" s="20">
        <f t="shared" si="55"/>
        <v>14</v>
      </c>
      <c r="Q123" s="20">
        <f t="shared" si="55"/>
        <v>15</v>
      </c>
      <c r="R123" s="20">
        <f t="shared" si="55"/>
        <v>16</v>
      </c>
      <c r="S123" s="20">
        <f t="shared" si="55"/>
        <v>17</v>
      </c>
      <c r="T123" s="20">
        <f t="shared" si="55"/>
        <v>18</v>
      </c>
      <c r="U123" s="20">
        <f t="shared" si="55"/>
        <v>19</v>
      </c>
      <c r="V123" s="20">
        <f t="shared" si="55"/>
        <v>20</v>
      </c>
      <c r="W123" s="20">
        <f t="shared" si="55"/>
        <v>21</v>
      </c>
      <c r="X123" s="20">
        <f t="shared" si="55"/>
        <v>22</v>
      </c>
      <c r="Y123" s="20">
        <f t="shared" si="55"/>
        <v>23</v>
      </c>
      <c r="Z123" s="20">
        <f t="shared" si="55"/>
        <v>24</v>
      </c>
      <c r="AA123" s="20">
        <f t="shared" si="55"/>
        <v>25</v>
      </c>
    </row>
    <row r="124" spans="1:27" x14ac:dyDescent="0.45">
      <c r="A124" t="str">
        <f>A84</f>
        <v>Ngân lưu ròng sau thuế (TIPV)</v>
      </c>
      <c r="C124" s="16">
        <f t="shared" ref="C124:AA124" si="56">C84</f>
        <v>3564.9938285714288</v>
      </c>
      <c r="D124" s="16">
        <f t="shared" si="56"/>
        <v>3532.2537092061252</v>
      </c>
      <c r="E124" s="16">
        <f t="shared" si="56"/>
        <v>3556.540755393391</v>
      </c>
      <c r="F124" s="16">
        <f t="shared" si="56"/>
        <v>3579.861623831307</v>
      </c>
      <c r="G124" s="16">
        <f t="shared" si="56"/>
        <v>3602.0634139207041</v>
      </c>
      <c r="H124" s="16">
        <f t="shared" si="56"/>
        <v>3622.9758096589308</v>
      </c>
      <c r="I124" s="16">
        <f t="shared" si="56"/>
        <v>3642.4091563407619</v>
      </c>
      <c r="J124" s="16">
        <f t="shared" si="56"/>
        <v>3231.5808970284434</v>
      </c>
      <c r="K124" s="16">
        <f t="shared" si="56"/>
        <v>3247.398916935736</v>
      </c>
      <c r="L124" s="16">
        <f t="shared" si="56"/>
        <v>3261.0303413095107</v>
      </c>
      <c r="M124" s="16">
        <f t="shared" si="56"/>
        <v>3272.1843295495555</v>
      </c>
      <c r="N124" s="16">
        <f t="shared" si="56"/>
        <v>3314.158087716819</v>
      </c>
      <c r="O124" s="16">
        <f t="shared" si="56"/>
        <v>3356.669497767899</v>
      </c>
      <c r="P124" s="16">
        <f t="shared" si="56"/>
        <v>3399.7254312930972</v>
      </c>
      <c r="Q124" s="16">
        <f t="shared" si="56"/>
        <v>3443.3328473991073</v>
      </c>
      <c r="R124" s="16">
        <f t="shared" si="56"/>
        <v>3487.4987938174318</v>
      </c>
      <c r="S124" s="16">
        <f t="shared" si="56"/>
        <v>3532.2304080267122</v>
      </c>
      <c r="T124" s="16">
        <f t="shared" si="56"/>
        <v>3577.534918389139</v>
      </c>
      <c r="U124" s="16">
        <f t="shared" si="56"/>
        <v>3623.4196453011309</v>
      </c>
      <c r="V124" s="16">
        <f t="shared" si="56"/>
        <v>3669.8920023584419</v>
      </c>
      <c r="W124" s="16">
        <f t="shared" si="56"/>
        <v>3716.9594975358837</v>
      </c>
      <c r="X124" s="16">
        <f t="shared" si="56"/>
        <v>3764.6297343818501</v>
      </c>
      <c r="Y124" s="16">
        <f t="shared" si="56"/>
        <v>3812.9104132278089</v>
      </c>
      <c r="Z124" s="16">
        <f t="shared" si="56"/>
        <v>3861.8093324129622</v>
      </c>
      <c r="AA124" s="16">
        <f t="shared" si="56"/>
        <v>3911.3343895242579</v>
      </c>
    </row>
    <row r="125" spans="1:27" x14ac:dyDescent="0.45">
      <c r="A125" t="s">
        <v>90</v>
      </c>
      <c r="C125" s="16">
        <f>C44</f>
        <v>1528.212843877413</v>
      </c>
      <c r="D125" s="16">
        <f t="shared" ref="D125:L125" si="57">D44</f>
        <v>1528.212843877413</v>
      </c>
      <c r="E125" s="16">
        <f t="shared" si="57"/>
        <v>1528.212843877413</v>
      </c>
      <c r="F125" s="16">
        <f t="shared" si="57"/>
        <v>1528.212843877413</v>
      </c>
      <c r="G125" s="16">
        <f t="shared" si="57"/>
        <v>1528.212843877413</v>
      </c>
      <c r="H125" s="16">
        <f t="shared" si="57"/>
        <v>1528.212843877413</v>
      </c>
      <c r="I125" s="16">
        <f t="shared" si="57"/>
        <v>1528.212843877413</v>
      </c>
      <c r="J125" s="16">
        <f t="shared" si="57"/>
        <v>1528.212843877413</v>
      </c>
      <c r="K125" s="16">
        <f t="shared" si="57"/>
        <v>1528.212843877413</v>
      </c>
      <c r="L125" s="16">
        <f t="shared" si="57"/>
        <v>1528.212843877413</v>
      </c>
    </row>
    <row r="126" spans="1:27" x14ac:dyDescent="0.45">
      <c r="A126" s="17" t="s">
        <v>113</v>
      </c>
      <c r="B126" s="38">
        <f>AVERAGE(C126:L126)</f>
        <v>2.2798596800035238</v>
      </c>
      <c r="C126" s="39">
        <f>C124/C125</f>
        <v>2.3327861971937454</v>
      </c>
      <c r="D126" s="39">
        <f t="shared" ref="D126:L126" si="58">D124/D125</f>
        <v>2.3113624017476639</v>
      </c>
      <c r="E126" s="39">
        <f t="shared" si="58"/>
        <v>2.3272548517323428</v>
      </c>
      <c r="F126" s="39">
        <f t="shared" si="58"/>
        <v>2.342515074502586</v>
      </c>
      <c r="G126" s="39">
        <f t="shared" si="58"/>
        <v>2.3570430181580431</v>
      </c>
      <c r="H126" s="39">
        <f t="shared" si="58"/>
        <v>2.3707272348704009</v>
      </c>
      <c r="I126" s="39">
        <f t="shared" si="58"/>
        <v>2.3834436223550948</v>
      </c>
      <c r="J126" s="39">
        <f t="shared" si="58"/>
        <v>2.1146144072635917</v>
      </c>
      <c r="K126" s="39">
        <f t="shared" si="58"/>
        <v>2.1249650727292466</v>
      </c>
      <c r="L126" s="39">
        <f t="shared" si="58"/>
        <v>2.1338849194825227</v>
      </c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x14ac:dyDescent="0.45">
      <c r="A127" s="45" t="s">
        <v>116</v>
      </c>
    </row>
    <row r="129" spans="1:5" x14ac:dyDescent="0.45">
      <c r="A129" s="1" t="s">
        <v>114</v>
      </c>
      <c r="B129" s="18"/>
      <c r="C129" s="18"/>
      <c r="D129" s="18"/>
    </row>
    <row r="130" spans="1:5" x14ac:dyDescent="0.45">
      <c r="B130" s="4">
        <f>C130-C130*10%</f>
        <v>13500</v>
      </c>
      <c r="C130" s="4">
        <v>15000</v>
      </c>
      <c r="D130" s="4">
        <f>C130+C130*10%</f>
        <v>16500</v>
      </c>
      <c r="E130" t="s">
        <v>131</v>
      </c>
    </row>
    <row r="131" spans="1:5" x14ac:dyDescent="0.45">
      <c r="A131" s="16">
        <f>B113</f>
        <v>11410.266817759504</v>
      </c>
      <c r="B131" s="16">
        <f t="dataTable" ref="B131:D131" dt2D="0" dtr="1" r1="B4" ca="1"/>
        <v>12650.090906963262</v>
      </c>
      <c r="C131" s="16">
        <v>11410.266817759504</v>
      </c>
      <c r="D131" s="16">
        <v>10170.442728555743</v>
      </c>
    </row>
    <row r="132" spans="1:5" x14ac:dyDescent="0.45">
      <c r="B132" s="49">
        <f>(B131-C131)/C131</f>
        <v>0.10865864129259746</v>
      </c>
      <c r="C132" s="18"/>
      <c r="D132" s="49">
        <f>(D131-C131)/C131</f>
        <v>-0.10865864129259778</v>
      </c>
      <c r="E132" t="s">
        <v>132</v>
      </c>
    </row>
    <row r="133" spans="1:5" x14ac:dyDescent="0.45">
      <c r="A133" s="45" t="s">
        <v>133</v>
      </c>
    </row>
    <row r="134" spans="1:5" x14ac:dyDescent="0.45">
      <c r="B134" s="18"/>
      <c r="C134" s="18"/>
      <c r="D134" s="18"/>
    </row>
    <row r="135" spans="1:5" x14ac:dyDescent="0.45">
      <c r="B135">
        <f>C135-C135*10%</f>
        <v>2520</v>
      </c>
      <c r="C135">
        <v>2800</v>
      </c>
      <c r="D135">
        <f>C135+C135*10%</f>
        <v>3080</v>
      </c>
    </row>
    <row r="136" spans="1:5" x14ac:dyDescent="0.45">
      <c r="A136" s="16">
        <f>A131</f>
        <v>11410.266817759504</v>
      </c>
      <c r="B136" s="16">
        <f t="dataTable" ref="B136:D136" dt2D="0" dtr="1" r1="B16" ca="1"/>
        <v>9029.4160467797847</v>
      </c>
      <c r="C136" s="16">
        <v>11410.266817759504</v>
      </c>
      <c r="D136" s="16">
        <v>13791.117588739176</v>
      </c>
    </row>
    <row r="137" spans="1:5" x14ac:dyDescent="0.45">
      <c r="B137" s="49">
        <f>(B136-C136)/C136</f>
        <v>-0.20865864129259848</v>
      </c>
      <c r="C137" s="18"/>
      <c r="D137" s="49">
        <f>(D136-C136)/C136</f>
        <v>0.20865864129259434</v>
      </c>
    </row>
    <row r="138" spans="1:5" x14ac:dyDescent="0.45">
      <c r="A138" s="45" t="s">
        <v>123</v>
      </c>
      <c r="B138" s="50"/>
      <c r="D138" s="50"/>
    </row>
    <row r="139" spans="1:5" x14ac:dyDescent="0.45">
      <c r="B139" s="18"/>
      <c r="C139" s="18"/>
      <c r="D139" s="18"/>
    </row>
    <row r="140" spans="1:5" x14ac:dyDescent="0.45">
      <c r="B140">
        <f>C140-C140*10%</f>
        <v>1260</v>
      </c>
      <c r="C140">
        <v>1400</v>
      </c>
      <c r="D140">
        <f>C140+C140*10%</f>
        <v>1540</v>
      </c>
    </row>
    <row r="141" spans="1:5" x14ac:dyDescent="0.45">
      <c r="A141" s="16">
        <f>A136</f>
        <v>11410.266817759504</v>
      </c>
      <c r="B141" s="16">
        <f t="dataTable" ref="B141:D141" dt2D="0" dtr="1" r1="B10" ca="1"/>
        <v>9029.4160467797919</v>
      </c>
      <c r="C141" s="16">
        <v>11410.266817759504</v>
      </c>
      <c r="D141" s="16">
        <v>13791.117588739176</v>
      </c>
    </row>
    <row r="142" spans="1:5" x14ac:dyDescent="0.45">
      <c r="B142" s="49">
        <f>(B141-C141)/C141</f>
        <v>-0.20865864129259784</v>
      </c>
      <c r="C142" s="18"/>
      <c r="D142" s="49">
        <f>(D141-C141)/C141</f>
        <v>0.20865864129259434</v>
      </c>
    </row>
    <row r="143" spans="1:5" x14ac:dyDescent="0.45">
      <c r="A143" s="45" t="s">
        <v>124</v>
      </c>
      <c r="B143" s="5"/>
      <c r="D143" s="5"/>
    </row>
    <row r="144" spans="1:5" x14ac:dyDescent="0.45">
      <c r="B144" s="18"/>
      <c r="C144" s="18"/>
      <c r="D144" s="18"/>
    </row>
    <row r="145" spans="1:4" x14ac:dyDescent="0.45">
      <c r="B145" s="2">
        <v>0.03</v>
      </c>
      <c r="C145" s="2">
        <v>0.06</v>
      </c>
      <c r="D145" s="2">
        <v>0.09</v>
      </c>
    </row>
    <row r="146" spans="1:4" x14ac:dyDescent="0.45">
      <c r="A146" s="16">
        <f>A141</f>
        <v>11410.266817759504</v>
      </c>
      <c r="B146" s="16">
        <f t="dataTable" ref="B146:D146" dt2D="0" dtr="1" r1="B13" ca="1"/>
        <v>11410.266817759504</v>
      </c>
      <c r="C146" s="16">
        <v>10673.921218487441</v>
      </c>
      <c r="D146" s="16">
        <v>9937.5756192153567</v>
      </c>
    </row>
    <row r="147" spans="1:4" x14ac:dyDescent="0.45">
      <c r="B147" s="18"/>
      <c r="C147" s="49">
        <f>(C146-B146)/B146</f>
        <v>-6.4533600399771379E-2</v>
      </c>
      <c r="D147" s="49">
        <f>(D146-C146)/C146</f>
        <v>-6.8985481923617684E-2</v>
      </c>
    </row>
    <row r="148" spans="1:4" x14ac:dyDescent="0.45">
      <c r="A148" s="45" t="s">
        <v>125</v>
      </c>
      <c r="C148" s="5"/>
    </row>
    <row r="149" spans="1:4" x14ac:dyDescent="0.45">
      <c r="B149" s="18"/>
      <c r="C149" s="18"/>
      <c r="D149" s="18"/>
    </row>
    <row r="150" spans="1:4" x14ac:dyDescent="0.45">
      <c r="B150" s="2">
        <v>0.03</v>
      </c>
      <c r="C150" s="2">
        <v>0.06</v>
      </c>
      <c r="D150" s="2">
        <v>0.09</v>
      </c>
    </row>
    <row r="151" spans="1:4" x14ac:dyDescent="0.45">
      <c r="A151" s="16">
        <f>A146</f>
        <v>11410.266817759504</v>
      </c>
      <c r="B151" s="16">
        <f t="dataTable" ref="B151:D151" dt2D="0" dtr="1" r1="E4"/>
        <v>11410.266817759504</v>
      </c>
      <c r="C151" s="16">
        <v>10673.921218487434</v>
      </c>
      <c r="D151" s="16">
        <v>9937.5756192153567</v>
      </c>
    </row>
    <row r="152" spans="1:4" x14ac:dyDescent="0.45">
      <c r="B152" s="18"/>
      <c r="C152" s="49">
        <f>(C151-B151)/B151</f>
        <v>-6.4533600399772018E-2</v>
      </c>
      <c r="D152" s="49">
        <f t="shared" ref="D152" si="59">(D151-C151)/C151</f>
        <v>-6.8985481923617045E-2</v>
      </c>
    </row>
    <row r="153" spans="1:4" x14ac:dyDescent="0.45">
      <c r="A153" s="45" t="s">
        <v>126</v>
      </c>
    </row>
    <row r="155" spans="1:4" x14ac:dyDescent="0.45">
      <c r="A155" s="51" t="s">
        <v>130</v>
      </c>
    </row>
    <row r="156" spans="1:4" x14ac:dyDescent="0.45">
      <c r="A156" s="51" t="s">
        <v>128</v>
      </c>
    </row>
    <row r="157" spans="1:4" x14ac:dyDescent="0.45">
      <c r="A157" s="51" t="s">
        <v>129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316D-464E-43BD-886E-B092A822003F}">
  <dimension ref="A1"/>
  <sheetViews>
    <sheetView workbookViewId="0">
      <selection activeCell="E24" sqref="E24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98DC-C780-464F-AB48-8A0907632E50}">
  <dimension ref="A1"/>
  <sheetViews>
    <sheetView workbookViewId="0">
      <selection activeCell="J13" sqref="J13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Kết quả phân tích</vt:lpstr>
      <vt:lpstr>Hình 1 NCF lũy kế TIPV</vt:lpstr>
      <vt:lpstr>Hình 2 NCF lũy kế EPV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Binh Phung Thanh</cp:lastModifiedBy>
  <dcterms:created xsi:type="dcterms:W3CDTF">2019-10-11T08:31:12Z</dcterms:created>
  <dcterms:modified xsi:type="dcterms:W3CDTF">2026-03-30T10:09:49Z</dcterms:modified>
</cp:coreProperties>
</file>