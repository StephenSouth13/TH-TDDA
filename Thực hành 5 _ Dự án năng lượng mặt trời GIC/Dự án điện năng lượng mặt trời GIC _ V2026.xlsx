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1. Teaching\Thực hành TĐDA\Thực hành 2026\Thực hành 5 _ Dự án năng lượng mặt trời GIC\"/>
    </mc:Choice>
  </mc:AlternateContent>
  <xr:revisionPtr revIDLastSave="0" documentId="13_ncr:1_{C226E6E0-C14A-47C3-A75A-86E301791CA5}" xr6:coauthVersionLast="47" xr6:coauthVersionMax="47" xr10:uidLastSave="{00000000-0000-0000-0000-000000000000}"/>
  <bookViews>
    <workbookView xWindow="-98" yWindow="-98" windowWidth="20715" windowHeight="13155" activeTab="7" xr2:uid="{637E3E73-3B74-4E4A-A796-9736DA49CBAA}"/>
  </bookViews>
  <sheets>
    <sheet name="GIC_3.2026" sheetId="1" r:id="rId1"/>
    <sheet name="UEH 1" sheetId="2" r:id="rId2"/>
    <sheet name="UEH 2" sheetId="3" r:id="rId3"/>
    <sheet name="UEH 3" sheetId="4" r:id="rId4"/>
    <sheet name="UEH 4" sheetId="5" r:id="rId5"/>
    <sheet name="UEH 5" sheetId="6" r:id="rId6"/>
    <sheet name="UEH 6" sheetId="7" r:id="rId7"/>
    <sheet name="UEH 7"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 i="8" l="1"/>
  <c r="B80" i="8"/>
  <c r="B85" i="8" s="1"/>
  <c r="B77" i="8"/>
  <c r="M87" i="8"/>
  <c r="L87" i="8"/>
  <c r="K87" i="8"/>
  <c r="J87" i="8"/>
  <c r="I87" i="8"/>
  <c r="H87" i="8"/>
  <c r="G87" i="8"/>
  <c r="F87" i="8"/>
  <c r="E87" i="8"/>
  <c r="D87" i="8"/>
  <c r="C87" i="8"/>
  <c r="M80" i="8"/>
  <c r="L80" i="8"/>
  <c r="K80" i="8"/>
  <c r="J80" i="8"/>
  <c r="I80" i="8"/>
  <c r="H80" i="8"/>
  <c r="G80" i="8"/>
  <c r="F80" i="8"/>
  <c r="E80" i="8"/>
  <c r="D80" i="8"/>
  <c r="C80" i="8"/>
  <c r="M77" i="8"/>
  <c r="L77" i="8"/>
  <c r="K77" i="8"/>
  <c r="J77" i="8"/>
  <c r="I77" i="8"/>
  <c r="H77" i="8"/>
  <c r="G77" i="8"/>
  <c r="F77" i="8"/>
  <c r="E77" i="8"/>
  <c r="D77" i="8"/>
  <c r="C77" i="8"/>
  <c r="C83" i="8"/>
  <c r="B83" i="8"/>
  <c r="B81" i="8"/>
  <c r="B82" i="8" s="1"/>
  <c r="D69" i="8"/>
  <c r="C69" i="8"/>
  <c r="B69" i="8"/>
  <c r="B55" i="8"/>
  <c r="B57" i="8" s="1"/>
  <c r="B48" i="8"/>
  <c r="B47" i="8"/>
  <c r="B37" i="8"/>
  <c r="C37" i="8" s="1"/>
  <c r="D37" i="8" s="1"/>
  <c r="E37" i="8" s="1"/>
  <c r="AA36" i="8"/>
  <c r="Z36" i="8"/>
  <c r="Y36" i="8"/>
  <c r="X36" i="8"/>
  <c r="W36" i="8"/>
  <c r="V36" i="8"/>
  <c r="U36" i="8"/>
  <c r="T36" i="8"/>
  <c r="S36" i="8"/>
  <c r="R36" i="8"/>
  <c r="Q36" i="8"/>
  <c r="P36" i="8"/>
  <c r="O36" i="8"/>
  <c r="N36" i="8"/>
  <c r="M36" i="8"/>
  <c r="L36" i="8"/>
  <c r="K36" i="8"/>
  <c r="J36" i="8"/>
  <c r="I36" i="8"/>
  <c r="H36" i="8"/>
  <c r="G36" i="8"/>
  <c r="F36" i="8"/>
  <c r="E36" i="8"/>
  <c r="D36" i="8"/>
  <c r="C36" i="8"/>
  <c r="B36" i="8"/>
  <c r="AA35" i="8"/>
  <c r="AA48" i="8" s="1"/>
  <c r="Z35" i="8"/>
  <c r="Z48" i="8" s="1"/>
  <c r="Y35" i="8"/>
  <c r="Y48" i="8" s="1"/>
  <c r="X35" i="8"/>
  <c r="X48" i="8" s="1"/>
  <c r="W35" i="8"/>
  <c r="W48" i="8" s="1"/>
  <c r="V35" i="8"/>
  <c r="V47" i="8" s="1"/>
  <c r="U35" i="8"/>
  <c r="U48" i="8" s="1"/>
  <c r="T35" i="8"/>
  <c r="T48" i="8" s="1"/>
  <c r="S35" i="8"/>
  <c r="S48" i="8" s="1"/>
  <c r="R35" i="8"/>
  <c r="R48" i="8" s="1"/>
  <c r="Q35" i="8"/>
  <c r="Q48" i="8" s="1"/>
  <c r="P35" i="8"/>
  <c r="P48" i="8" s="1"/>
  <c r="O35" i="8"/>
  <c r="O48" i="8" s="1"/>
  <c r="N35" i="8"/>
  <c r="N47" i="8" s="1"/>
  <c r="M35" i="8"/>
  <c r="M48" i="8" s="1"/>
  <c r="L35" i="8"/>
  <c r="L48" i="8" s="1"/>
  <c r="K35" i="8"/>
  <c r="K48" i="8" s="1"/>
  <c r="J35" i="8"/>
  <c r="J48" i="8" s="1"/>
  <c r="I35" i="8"/>
  <c r="I48" i="8" s="1"/>
  <c r="H35" i="8"/>
  <c r="H48" i="8" s="1"/>
  <c r="G35" i="8"/>
  <c r="G47" i="8" s="1"/>
  <c r="F35" i="8"/>
  <c r="F47" i="8" s="1"/>
  <c r="E35" i="8"/>
  <c r="E48" i="8" s="1"/>
  <c r="D35" i="8"/>
  <c r="D48" i="8" s="1"/>
  <c r="C35" i="8"/>
  <c r="C48" i="8" s="1"/>
  <c r="B35" i="8"/>
  <c r="AA34" i="8"/>
  <c r="Z34" i="8"/>
  <c r="Y34" i="8"/>
  <c r="X34" i="8"/>
  <c r="W34" i="8"/>
  <c r="V34" i="8"/>
  <c r="U34" i="8"/>
  <c r="T34" i="8"/>
  <c r="S34" i="8"/>
  <c r="R34" i="8"/>
  <c r="Q34" i="8"/>
  <c r="P34" i="8"/>
  <c r="O34" i="8"/>
  <c r="N34" i="8"/>
  <c r="M34" i="8"/>
  <c r="M66" i="8" s="1"/>
  <c r="L34" i="8"/>
  <c r="L66" i="8" s="1"/>
  <c r="K34" i="8"/>
  <c r="K66" i="8" s="1"/>
  <c r="J34" i="8"/>
  <c r="J66" i="8" s="1"/>
  <c r="I34" i="8"/>
  <c r="I66" i="8" s="1"/>
  <c r="H34" i="8"/>
  <c r="H66" i="8" s="1"/>
  <c r="G34" i="8"/>
  <c r="G66" i="8" s="1"/>
  <c r="F34" i="8"/>
  <c r="F66" i="8" s="1"/>
  <c r="E34" i="8"/>
  <c r="E66" i="8" s="1"/>
  <c r="D34" i="8"/>
  <c r="D66" i="8" s="1"/>
  <c r="C34" i="8"/>
  <c r="C66" i="8" s="1"/>
  <c r="B34" i="8"/>
  <c r="B66" i="8" s="1"/>
  <c r="H27" i="8"/>
  <c r="H25" i="8"/>
  <c r="H23" i="8"/>
  <c r="K89" i="8" s="1"/>
  <c r="B9" i="8"/>
  <c r="B41" i="6"/>
  <c r="N49" i="6"/>
  <c r="B49" i="6"/>
  <c r="B51" i="6"/>
  <c r="U67" i="7"/>
  <c r="T67" i="7"/>
  <c r="S67" i="7"/>
  <c r="R67" i="7"/>
  <c r="Q67" i="7"/>
  <c r="P67" i="7"/>
  <c r="O67" i="7"/>
  <c r="N67" i="7"/>
  <c r="M67" i="7"/>
  <c r="L67" i="7"/>
  <c r="L68" i="7" s="1"/>
  <c r="K67" i="7"/>
  <c r="J67" i="7"/>
  <c r="J68" i="7" s="1"/>
  <c r="I67" i="7"/>
  <c r="H67" i="7"/>
  <c r="G67" i="7"/>
  <c r="G68" i="7" s="1"/>
  <c r="F67" i="7"/>
  <c r="E67" i="7"/>
  <c r="D67" i="7"/>
  <c r="D68" i="7" s="1"/>
  <c r="C67" i="7"/>
  <c r="B67" i="7"/>
  <c r="M68" i="7"/>
  <c r="K68" i="7"/>
  <c r="I68" i="7"/>
  <c r="H68" i="7"/>
  <c r="F68" i="7"/>
  <c r="E68" i="7"/>
  <c r="C68" i="7"/>
  <c r="B68" i="7"/>
  <c r="B82" i="7" s="1"/>
  <c r="B81" i="7"/>
  <c r="D70" i="7"/>
  <c r="C70" i="7"/>
  <c r="B70" i="7"/>
  <c r="F58" i="7"/>
  <c r="F98" i="7" s="1"/>
  <c r="B56" i="7"/>
  <c r="B97" i="7" s="1"/>
  <c r="V49" i="7"/>
  <c r="L49" i="7"/>
  <c r="B49" i="7"/>
  <c r="Z48" i="7"/>
  <c r="Y48" i="7"/>
  <c r="G48" i="7"/>
  <c r="B48" i="7"/>
  <c r="B38" i="7"/>
  <c r="C38" i="7" s="1"/>
  <c r="U37" i="7"/>
  <c r="T37" i="7"/>
  <c r="S37" i="7"/>
  <c r="R37" i="7"/>
  <c r="Q37" i="7"/>
  <c r="P37" i="7"/>
  <c r="O37" i="7"/>
  <c r="N37" i="7"/>
  <c r="M37" i="7"/>
  <c r="L37" i="7"/>
  <c r="K37" i="7"/>
  <c r="J37" i="7"/>
  <c r="I37" i="7"/>
  <c r="H37" i="7"/>
  <c r="G37" i="7"/>
  <c r="F37" i="7"/>
  <c r="E37" i="7"/>
  <c r="D37" i="7"/>
  <c r="C37" i="7"/>
  <c r="B37" i="7"/>
  <c r="AA36" i="7"/>
  <c r="AA48" i="7" s="1"/>
  <c r="Z36" i="7"/>
  <c r="Z49" i="7" s="1"/>
  <c r="Y36" i="7"/>
  <c r="Y49" i="7" s="1"/>
  <c r="X36" i="7"/>
  <c r="X48" i="7" s="1"/>
  <c r="W36" i="7"/>
  <c r="W49" i="7" s="1"/>
  <c r="V36" i="7"/>
  <c r="V48" i="7" s="1"/>
  <c r="U36" i="7"/>
  <c r="T36" i="7"/>
  <c r="T48" i="7" s="1"/>
  <c r="S36" i="7"/>
  <c r="S48" i="7" s="1"/>
  <c r="R36" i="7"/>
  <c r="R49" i="7" s="1"/>
  <c r="Q36" i="7"/>
  <c r="Q49" i="7" s="1"/>
  <c r="P36" i="7"/>
  <c r="P49" i="7" s="1"/>
  <c r="O36" i="7"/>
  <c r="O48" i="7" s="1"/>
  <c r="N36" i="7"/>
  <c r="N48" i="7" s="1"/>
  <c r="M36" i="7"/>
  <c r="L36" i="7"/>
  <c r="L48" i="7" s="1"/>
  <c r="K36" i="7"/>
  <c r="K48" i="7" s="1"/>
  <c r="J36" i="7"/>
  <c r="J49" i="7" s="1"/>
  <c r="I36" i="7"/>
  <c r="I49" i="7" s="1"/>
  <c r="H36" i="7"/>
  <c r="H49" i="7" s="1"/>
  <c r="G36" i="7"/>
  <c r="G49" i="7" s="1"/>
  <c r="F36" i="7"/>
  <c r="F48" i="7" s="1"/>
  <c r="E36" i="7"/>
  <c r="D36" i="7"/>
  <c r="D48" i="7" s="1"/>
  <c r="C36" i="7"/>
  <c r="C48" i="7" s="1"/>
  <c r="B36" i="7"/>
  <c r="AA35" i="7"/>
  <c r="Z35" i="7"/>
  <c r="Y35" i="7"/>
  <c r="X35" i="7"/>
  <c r="W35" i="7"/>
  <c r="V35" i="7"/>
  <c r="U35" i="7"/>
  <c r="T35" i="7"/>
  <c r="S35" i="7"/>
  <c r="R35" i="7"/>
  <c r="Q35" i="7"/>
  <c r="P35" i="7"/>
  <c r="O35" i="7"/>
  <c r="N35" i="7"/>
  <c r="M35" i="7"/>
  <c r="L35" i="7"/>
  <c r="K35" i="7"/>
  <c r="J35" i="7"/>
  <c r="I35" i="7"/>
  <c r="H35" i="7"/>
  <c r="G35" i="7"/>
  <c r="F35" i="7"/>
  <c r="E35" i="7"/>
  <c r="D35" i="7"/>
  <c r="C35" i="7"/>
  <c r="B35" i="7"/>
  <c r="H27" i="7"/>
  <c r="H25" i="7"/>
  <c r="H23" i="7"/>
  <c r="B9" i="7"/>
  <c r="U85" i="6"/>
  <c r="T85" i="6"/>
  <c r="S85" i="6"/>
  <c r="R85" i="6"/>
  <c r="Q85" i="6"/>
  <c r="P85" i="6"/>
  <c r="O85" i="6"/>
  <c r="N85" i="6"/>
  <c r="U66" i="6"/>
  <c r="T66" i="6"/>
  <c r="S66" i="6"/>
  <c r="R66" i="6"/>
  <c r="Q66" i="6"/>
  <c r="P66" i="6"/>
  <c r="O66" i="6"/>
  <c r="N66" i="6"/>
  <c r="K85" i="6"/>
  <c r="H85" i="6"/>
  <c r="G85" i="6"/>
  <c r="C85" i="6"/>
  <c r="B80" i="6"/>
  <c r="D69" i="6"/>
  <c r="C69" i="6"/>
  <c r="B69" i="6"/>
  <c r="M66" i="6"/>
  <c r="L66" i="6"/>
  <c r="H66" i="6"/>
  <c r="E66" i="6"/>
  <c r="D66" i="6"/>
  <c r="D57" i="6"/>
  <c r="B55" i="6"/>
  <c r="C57" i="6" s="1"/>
  <c r="AA48" i="6"/>
  <c r="Z48" i="6"/>
  <c r="V48" i="6"/>
  <c r="S48" i="6"/>
  <c r="R48" i="6"/>
  <c r="N48" i="6"/>
  <c r="K48" i="6"/>
  <c r="J48" i="6"/>
  <c r="F48" i="6"/>
  <c r="C48" i="6"/>
  <c r="B48" i="6"/>
  <c r="U47" i="6"/>
  <c r="P47" i="6"/>
  <c r="M47" i="6"/>
  <c r="E47" i="6"/>
  <c r="B47" i="6"/>
  <c r="B43" i="6"/>
  <c r="B50" i="6" s="1"/>
  <c r="C41" i="6"/>
  <c r="C42" i="6" s="1"/>
  <c r="B42" i="6"/>
  <c r="D37" i="6"/>
  <c r="E37" i="6" s="1"/>
  <c r="C37" i="6"/>
  <c r="B37" i="6"/>
  <c r="U36" i="6"/>
  <c r="T36" i="6"/>
  <c r="S36" i="6"/>
  <c r="R36" i="6"/>
  <c r="Q36" i="6"/>
  <c r="P36" i="6"/>
  <c r="O36" i="6"/>
  <c r="N36" i="6"/>
  <c r="M36" i="6"/>
  <c r="L36" i="6"/>
  <c r="K36" i="6"/>
  <c r="J36" i="6"/>
  <c r="I36" i="6"/>
  <c r="H36" i="6"/>
  <c r="G36" i="6"/>
  <c r="F36" i="6"/>
  <c r="E36" i="6"/>
  <c r="D36" i="6"/>
  <c r="C36" i="6"/>
  <c r="B36" i="6"/>
  <c r="AA35" i="6"/>
  <c r="AA47" i="6" s="1"/>
  <c r="Z35" i="6"/>
  <c r="Z47" i="6" s="1"/>
  <c r="Y35" i="6"/>
  <c r="Y48" i="6" s="1"/>
  <c r="X35" i="6"/>
  <c r="X48" i="6" s="1"/>
  <c r="W35" i="6"/>
  <c r="W47" i="6" s="1"/>
  <c r="V35" i="6"/>
  <c r="V47" i="6" s="1"/>
  <c r="U35" i="6"/>
  <c r="U48" i="6" s="1"/>
  <c r="T35" i="6"/>
  <c r="S35" i="6"/>
  <c r="S47" i="6" s="1"/>
  <c r="R35" i="6"/>
  <c r="R47" i="6" s="1"/>
  <c r="Q35" i="6"/>
  <c r="Q48" i="6" s="1"/>
  <c r="P35" i="6"/>
  <c r="P48" i="6" s="1"/>
  <c r="O35" i="6"/>
  <c r="O47" i="6" s="1"/>
  <c r="N35" i="6"/>
  <c r="N47" i="6" s="1"/>
  <c r="M35" i="6"/>
  <c r="M48" i="6" s="1"/>
  <c r="L35" i="6"/>
  <c r="K35" i="6"/>
  <c r="K47" i="6" s="1"/>
  <c r="J35" i="6"/>
  <c r="J47" i="6" s="1"/>
  <c r="I35" i="6"/>
  <c r="I48" i="6" s="1"/>
  <c r="H35" i="6"/>
  <c r="H48" i="6" s="1"/>
  <c r="G35" i="6"/>
  <c r="G47" i="6" s="1"/>
  <c r="F35" i="6"/>
  <c r="F47" i="6" s="1"/>
  <c r="E35" i="6"/>
  <c r="E48" i="6" s="1"/>
  <c r="D35" i="6"/>
  <c r="C35" i="6"/>
  <c r="C47" i="6" s="1"/>
  <c r="B35" i="6"/>
  <c r="AA34" i="6"/>
  <c r="Z34" i="6"/>
  <c r="Y34" i="6"/>
  <c r="X34" i="6"/>
  <c r="W34" i="6"/>
  <c r="V34" i="6"/>
  <c r="U34" i="6"/>
  <c r="T34" i="6"/>
  <c r="S34" i="6"/>
  <c r="R34" i="6"/>
  <c r="Q34" i="6"/>
  <c r="P34" i="6"/>
  <c r="O34" i="6"/>
  <c r="N34" i="6"/>
  <c r="M34" i="6"/>
  <c r="L34" i="6"/>
  <c r="K34" i="6"/>
  <c r="K66" i="6" s="1"/>
  <c r="J34" i="6"/>
  <c r="J66" i="6" s="1"/>
  <c r="I34" i="6"/>
  <c r="I66" i="6" s="1"/>
  <c r="H34" i="6"/>
  <c r="G34" i="6"/>
  <c r="G66" i="6" s="1"/>
  <c r="F34" i="6"/>
  <c r="F66" i="6" s="1"/>
  <c r="E34" i="6"/>
  <c r="D34" i="6"/>
  <c r="C34" i="6"/>
  <c r="C66" i="6" s="1"/>
  <c r="B34" i="6"/>
  <c r="B66" i="6" s="1"/>
  <c r="H27" i="6"/>
  <c r="H25" i="6"/>
  <c r="H23" i="6"/>
  <c r="J85" i="6" s="1"/>
  <c r="B9" i="6"/>
  <c r="D70" i="3"/>
  <c r="C70" i="3"/>
  <c r="B70" i="3"/>
  <c r="D69" i="2"/>
  <c r="C69" i="2"/>
  <c r="B69" i="2"/>
  <c r="G97" i="5"/>
  <c r="F97" i="5"/>
  <c r="E97" i="5"/>
  <c r="D97" i="5"/>
  <c r="C97" i="5"/>
  <c r="B96" i="5"/>
  <c r="N95" i="5"/>
  <c r="N98" i="5" s="1"/>
  <c r="N85" i="5"/>
  <c r="N83" i="5"/>
  <c r="N81" i="5"/>
  <c r="N79" i="5"/>
  <c r="N78" i="5"/>
  <c r="N77" i="5" s="1"/>
  <c r="N82" i="5" s="1"/>
  <c r="N84" i="5" s="1"/>
  <c r="N86" i="5" s="1"/>
  <c r="C71" i="5"/>
  <c r="G70" i="5"/>
  <c r="F70" i="5"/>
  <c r="E70" i="5"/>
  <c r="D70" i="5"/>
  <c r="C70" i="5"/>
  <c r="E69" i="5"/>
  <c r="D69" i="5"/>
  <c r="C69" i="5"/>
  <c r="N66" i="5"/>
  <c r="N65" i="5"/>
  <c r="N67" i="5" s="1"/>
  <c r="N64" i="5"/>
  <c r="N68" i="5" s="1"/>
  <c r="N71" i="5" s="1"/>
  <c r="C66" i="5"/>
  <c r="C65" i="5"/>
  <c r="C64" i="5"/>
  <c r="G57" i="5"/>
  <c r="F57" i="5"/>
  <c r="E57" i="5"/>
  <c r="D57" i="5"/>
  <c r="B60" i="5"/>
  <c r="C49" i="5"/>
  <c r="C48" i="5"/>
  <c r="C47" i="5"/>
  <c r="C43" i="5"/>
  <c r="C42" i="5"/>
  <c r="C41" i="5"/>
  <c r="N36" i="5"/>
  <c r="K36" i="5"/>
  <c r="H36" i="5"/>
  <c r="E36" i="5"/>
  <c r="E37" i="5"/>
  <c r="F37" i="5" s="1"/>
  <c r="G37" i="5" s="1"/>
  <c r="H37" i="5" s="1"/>
  <c r="I37" i="5" s="1"/>
  <c r="J37" i="5" s="1"/>
  <c r="K37" i="5" s="1"/>
  <c r="L37" i="5" s="1"/>
  <c r="M37" i="5" s="1"/>
  <c r="N37" i="5" s="1"/>
  <c r="O37" i="5" s="1"/>
  <c r="P37" i="5" s="1"/>
  <c r="Q37" i="5" s="1"/>
  <c r="R37" i="5" s="1"/>
  <c r="S37" i="5" s="1"/>
  <c r="T37" i="5" s="1"/>
  <c r="U37" i="5" s="1"/>
  <c r="V37" i="5" s="1"/>
  <c r="W37" i="5" s="1"/>
  <c r="X37" i="5" s="1"/>
  <c r="Y37" i="5" s="1"/>
  <c r="Z37" i="5" s="1"/>
  <c r="AA37" i="5" s="1"/>
  <c r="D37" i="5"/>
  <c r="C37" i="5"/>
  <c r="B37" i="5"/>
  <c r="J85" i="5"/>
  <c r="B85" i="5"/>
  <c r="B80" i="5"/>
  <c r="I66" i="5"/>
  <c r="H66" i="5"/>
  <c r="G66" i="5"/>
  <c r="C57" i="5"/>
  <c r="W48" i="5"/>
  <c r="V48" i="5"/>
  <c r="U48" i="5"/>
  <c r="O48" i="5"/>
  <c r="N48" i="5"/>
  <c r="M48" i="5"/>
  <c r="G48" i="5"/>
  <c r="F48" i="5"/>
  <c r="E48" i="5"/>
  <c r="X47" i="5"/>
  <c r="W47" i="5"/>
  <c r="V47" i="5"/>
  <c r="P47" i="5"/>
  <c r="O47" i="5"/>
  <c r="N47" i="5"/>
  <c r="H47" i="5"/>
  <c r="G47" i="5"/>
  <c r="F47" i="5"/>
  <c r="AA36" i="5"/>
  <c r="Z36" i="5"/>
  <c r="Y36" i="5"/>
  <c r="X36" i="5"/>
  <c r="W36" i="5"/>
  <c r="V36" i="5"/>
  <c r="U36" i="5"/>
  <c r="T36" i="5"/>
  <c r="S36" i="5"/>
  <c r="R36" i="5"/>
  <c r="Q36" i="5"/>
  <c r="P36" i="5"/>
  <c r="O36" i="5"/>
  <c r="M36" i="5"/>
  <c r="L36" i="5"/>
  <c r="J36" i="5"/>
  <c r="I36" i="5"/>
  <c r="G36" i="5"/>
  <c r="F36" i="5"/>
  <c r="D36" i="5"/>
  <c r="C36" i="5"/>
  <c r="AA35" i="5"/>
  <c r="AA48" i="5" s="1"/>
  <c r="Z35" i="5"/>
  <c r="Z48" i="5" s="1"/>
  <c r="Y35" i="5"/>
  <c r="Y47" i="5" s="1"/>
  <c r="X35" i="5"/>
  <c r="X48" i="5" s="1"/>
  <c r="W35" i="5"/>
  <c r="V35" i="5"/>
  <c r="U35" i="5"/>
  <c r="U47" i="5" s="1"/>
  <c r="T35" i="5"/>
  <c r="T48" i="5" s="1"/>
  <c r="S35" i="5"/>
  <c r="S48" i="5" s="1"/>
  <c r="R35" i="5"/>
  <c r="R48" i="5" s="1"/>
  <c r="Q35" i="5"/>
  <c r="Q48" i="5" s="1"/>
  <c r="P35" i="5"/>
  <c r="P48" i="5" s="1"/>
  <c r="O35" i="5"/>
  <c r="N35" i="5"/>
  <c r="M35" i="5"/>
  <c r="M47" i="5" s="1"/>
  <c r="L35" i="5"/>
  <c r="L48" i="5" s="1"/>
  <c r="K35" i="5"/>
  <c r="K48" i="5" s="1"/>
  <c r="J35" i="5"/>
  <c r="J48" i="5" s="1"/>
  <c r="I35" i="5"/>
  <c r="I48" i="5" s="1"/>
  <c r="H35" i="5"/>
  <c r="H48" i="5" s="1"/>
  <c r="G35" i="5"/>
  <c r="F35" i="5"/>
  <c r="E35" i="5"/>
  <c r="E47" i="5" s="1"/>
  <c r="D35" i="5"/>
  <c r="D48" i="5" s="1"/>
  <c r="C35" i="5"/>
  <c r="B35" i="5"/>
  <c r="AA34" i="5"/>
  <c r="Z34" i="5"/>
  <c r="Y34" i="5"/>
  <c r="X34" i="5"/>
  <c r="W34" i="5"/>
  <c r="V34" i="5"/>
  <c r="U34" i="5"/>
  <c r="T34" i="5"/>
  <c r="S34" i="5"/>
  <c r="R34" i="5"/>
  <c r="Q34" i="5"/>
  <c r="P34" i="5"/>
  <c r="O34" i="5"/>
  <c r="N34" i="5"/>
  <c r="M34" i="5"/>
  <c r="M66" i="5" s="1"/>
  <c r="L34" i="5"/>
  <c r="L66" i="5" s="1"/>
  <c r="K34" i="5"/>
  <c r="K66" i="5" s="1"/>
  <c r="J34" i="5"/>
  <c r="J66" i="5" s="1"/>
  <c r="I34" i="5"/>
  <c r="H34" i="5"/>
  <c r="G34" i="5"/>
  <c r="F34" i="5"/>
  <c r="F66" i="5" s="1"/>
  <c r="E34" i="5"/>
  <c r="E66" i="5" s="1"/>
  <c r="D34" i="5"/>
  <c r="D66" i="5" s="1"/>
  <c r="C34" i="5"/>
  <c r="B34" i="5"/>
  <c r="H27" i="5"/>
  <c r="H25" i="5"/>
  <c r="H23" i="5"/>
  <c r="K85" i="5" s="1"/>
  <c r="B9" i="5"/>
  <c r="M70" i="4"/>
  <c r="L70" i="4"/>
  <c r="K70" i="4"/>
  <c r="J70" i="4"/>
  <c r="I70" i="4"/>
  <c r="H70" i="4"/>
  <c r="G70" i="4"/>
  <c r="F70" i="4"/>
  <c r="E70" i="4"/>
  <c r="D70" i="4"/>
  <c r="C70" i="4"/>
  <c r="B70" i="4"/>
  <c r="M86" i="4"/>
  <c r="E86" i="4"/>
  <c r="B81" i="4"/>
  <c r="J67" i="4"/>
  <c r="B67" i="4"/>
  <c r="F58" i="4"/>
  <c r="B56" i="4"/>
  <c r="D58" i="4" s="1"/>
  <c r="X49" i="4"/>
  <c r="P49" i="4"/>
  <c r="H49" i="4"/>
  <c r="B49" i="4"/>
  <c r="Z48" i="4"/>
  <c r="R48" i="4"/>
  <c r="J48" i="4"/>
  <c r="B48" i="4"/>
  <c r="B38" i="4"/>
  <c r="C38" i="4" s="1"/>
  <c r="D38" i="4" s="1"/>
  <c r="E38" i="4" s="1"/>
  <c r="F38" i="4" s="1"/>
  <c r="G38" i="4" s="1"/>
  <c r="H38" i="4" s="1"/>
  <c r="I38" i="4" s="1"/>
  <c r="J38" i="4" s="1"/>
  <c r="K38" i="4" s="1"/>
  <c r="L38" i="4" s="1"/>
  <c r="M38" i="4" s="1"/>
  <c r="N38" i="4" s="1"/>
  <c r="O38" i="4" s="1"/>
  <c r="P38" i="4" s="1"/>
  <c r="Q38" i="4" s="1"/>
  <c r="R38" i="4" s="1"/>
  <c r="S38" i="4" s="1"/>
  <c r="T38" i="4" s="1"/>
  <c r="U38" i="4" s="1"/>
  <c r="V38" i="4" s="1"/>
  <c r="W38" i="4" s="1"/>
  <c r="X38" i="4" s="1"/>
  <c r="Y38" i="4" s="1"/>
  <c r="Z38" i="4" s="1"/>
  <c r="AA38" i="4" s="1"/>
  <c r="AA37" i="4"/>
  <c r="Z37" i="4"/>
  <c r="Y37" i="4"/>
  <c r="X37" i="4"/>
  <c r="W37" i="4"/>
  <c r="V37" i="4"/>
  <c r="U37" i="4"/>
  <c r="T37" i="4"/>
  <c r="S37" i="4"/>
  <c r="R37" i="4"/>
  <c r="Q37" i="4"/>
  <c r="P37" i="4"/>
  <c r="O37" i="4"/>
  <c r="N37" i="4"/>
  <c r="M37" i="4"/>
  <c r="L37" i="4"/>
  <c r="K37" i="4"/>
  <c r="J37" i="4"/>
  <c r="I37" i="4"/>
  <c r="H37" i="4"/>
  <c r="G37" i="4"/>
  <c r="F37" i="4"/>
  <c r="E37" i="4"/>
  <c r="D37" i="4"/>
  <c r="C37" i="4"/>
  <c r="B37" i="4"/>
  <c r="AA36" i="4"/>
  <c r="AA49" i="4" s="1"/>
  <c r="Z36" i="4"/>
  <c r="Z49" i="4" s="1"/>
  <c r="Y36" i="4"/>
  <c r="Y49" i="4" s="1"/>
  <c r="X36" i="4"/>
  <c r="X48" i="4" s="1"/>
  <c r="W36" i="4"/>
  <c r="W48" i="4" s="1"/>
  <c r="V36" i="4"/>
  <c r="V49" i="4" s="1"/>
  <c r="U36" i="4"/>
  <c r="U49" i="4" s="1"/>
  <c r="T36" i="4"/>
  <c r="T49" i="4" s="1"/>
  <c r="S36" i="4"/>
  <c r="S49" i="4" s="1"/>
  <c r="R36" i="4"/>
  <c r="R49" i="4" s="1"/>
  <c r="Q36" i="4"/>
  <c r="Q49" i="4" s="1"/>
  <c r="P36" i="4"/>
  <c r="P48" i="4" s="1"/>
  <c r="O36" i="4"/>
  <c r="O48" i="4" s="1"/>
  <c r="N36" i="4"/>
  <c r="N49" i="4" s="1"/>
  <c r="M36" i="4"/>
  <c r="M49" i="4" s="1"/>
  <c r="L36" i="4"/>
  <c r="L49" i="4" s="1"/>
  <c r="K36" i="4"/>
  <c r="K49" i="4" s="1"/>
  <c r="J36" i="4"/>
  <c r="J49" i="4" s="1"/>
  <c r="I36" i="4"/>
  <c r="I49" i="4" s="1"/>
  <c r="H36" i="4"/>
  <c r="H48" i="4" s="1"/>
  <c r="G36" i="4"/>
  <c r="G48" i="4" s="1"/>
  <c r="F36" i="4"/>
  <c r="F49" i="4" s="1"/>
  <c r="E36" i="4"/>
  <c r="E49" i="4" s="1"/>
  <c r="D36" i="4"/>
  <c r="D49" i="4" s="1"/>
  <c r="C36" i="4"/>
  <c r="C49" i="4" s="1"/>
  <c r="B36" i="4"/>
  <c r="AA35" i="4"/>
  <c r="Z35" i="4"/>
  <c r="Y35" i="4"/>
  <c r="X35" i="4"/>
  <c r="W35" i="4"/>
  <c r="V35" i="4"/>
  <c r="U35" i="4"/>
  <c r="T35" i="4"/>
  <c r="S35" i="4"/>
  <c r="R35" i="4"/>
  <c r="Q35" i="4"/>
  <c r="P35" i="4"/>
  <c r="O35" i="4"/>
  <c r="N35" i="4"/>
  <c r="M35" i="4"/>
  <c r="M67" i="4" s="1"/>
  <c r="L35" i="4"/>
  <c r="L67" i="4" s="1"/>
  <c r="K35" i="4"/>
  <c r="K67" i="4" s="1"/>
  <c r="J35" i="4"/>
  <c r="I35" i="4"/>
  <c r="I67" i="4" s="1"/>
  <c r="H35" i="4"/>
  <c r="H67" i="4" s="1"/>
  <c r="G35" i="4"/>
  <c r="G67" i="4" s="1"/>
  <c r="F35" i="4"/>
  <c r="F67" i="4" s="1"/>
  <c r="E35" i="4"/>
  <c r="E67" i="4" s="1"/>
  <c r="D35" i="4"/>
  <c r="D67" i="4" s="1"/>
  <c r="C35" i="4"/>
  <c r="C67" i="4" s="1"/>
  <c r="B35" i="4"/>
  <c r="H27" i="4"/>
  <c r="H25" i="4"/>
  <c r="H23" i="4"/>
  <c r="K86" i="4" s="1"/>
  <c r="B9" i="4"/>
  <c r="D58" i="1"/>
  <c r="C58" i="1"/>
  <c r="B58" i="1"/>
  <c r="B81" i="3"/>
  <c r="J67" i="3"/>
  <c r="B56" i="3"/>
  <c r="E58" i="3" s="1"/>
  <c r="B49" i="3"/>
  <c r="Z48" i="3"/>
  <c r="B48" i="3"/>
  <c r="B38" i="3"/>
  <c r="C38" i="3" s="1"/>
  <c r="D38" i="3" s="1"/>
  <c r="E38" i="3" s="1"/>
  <c r="F38" i="3" s="1"/>
  <c r="G38" i="3" s="1"/>
  <c r="AA37" i="3"/>
  <c r="Z37" i="3"/>
  <c r="Y37" i="3"/>
  <c r="X37" i="3"/>
  <c r="W37" i="3"/>
  <c r="V37" i="3"/>
  <c r="U37" i="3"/>
  <c r="T37" i="3"/>
  <c r="S37" i="3"/>
  <c r="R37" i="3"/>
  <c r="Q37" i="3"/>
  <c r="P37" i="3"/>
  <c r="O37" i="3"/>
  <c r="N37" i="3"/>
  <c r="M37" i="3"/>
  <c r="L37" i="3"/>
  <c r="K37" i="3"/>
  <c r="J37" i="3"/>
  <c r="I37" i="3"/>
  <c r="H37" i="3"/>
  <c r="G37" i="3"/>
  <c r="F37" i="3"/>
  <c r="E37" i="3"/>
  <c r="D37" i="3"/>
  <c r="C37" i="3"/>
  <c r="B37" i="3"/>
  <c r="AA36" i="3"/>
  <c r="Z36" i="3"/>
  <c r="Z49" i="3" s="1"/>
  <c r="Y36" i="3"/>
  <c r="Y49" i="3" s="1"/>
  <c r="X36" i="3"/>
  <c r="X49" i="3" s="1"/>
  <c r="W36" i="3"/>
  <c r="W49" i="3" s="1"/>
  <c r="V36" i="3"/>
  <c r="V48" i="3" s="1"/>
  <c r="U36" i="3"/>
  <c r="U48" i="3" s="1"/>
  <c r="T36" i="3"/>
  <c r="S36" i="3"/>
  <c r="R36" i="3"/>
  <c r="R49" i="3" s="1"/>
  <c r="Q36" i="3"/>
  <c r="Q49" i="3" s="1"/>
  <c r="P36" i="3"/>
  <c r="P48" i="3" s="1"/>
  <c r="O36" i="3"/>
  <c r="O48" i="3" s="1"/>
  <c r="N36" i="3"/>
  <c r="N48" i="3" s="1"/>
  <c r="M36" i="3"/>
  <c r="M48" i="3" s="1"/>
  <c r="L36" i="3"/>
  <c r="K36" i="3"/>
  <c r="J36" i="3"/>
  <c r="J49" i="3" s="1"/>
  <c r="I36" i="3"/>
  <c r="I49" i="3" s="1"/>
  <c r="H36" i="3"/>
  <c r="H49" i="3" s="1"/>
  <c r="G36" i="3"/>
  <c r="G49" i="3" s="1"/>
  <c r="F36" i="3"/>
  <c r="F48" i="3" s="1"/>
  <c r="E36" i="3"/>
  <c r="E48" i="3" s="1"/>
  <c r="D36" i="3"/>
  <c r="C36" i="3"/>
  <c r="B36" i="3"/>
  <c r="AA35" i="3"/>
  <c r="Z35" i="3"/>
  <c r="Y35" i="3"/>
  <c r="X35" i="3"/>
  <c r="W35" i="3"/>
  <c r="V35" i="3"/>
  <c r="U35" i="3"/>
  <c r="T35" i="3"/>
  <c r="S35" i="3"/>
  <c r="R35" i="3"/>
  <c r="Q35" i="3"/>
  <c r="P35" i="3"/>
  <c r="O35" i="3"/>
  <c r="N35" i="3"/>
  <c r="M35" i="3"/>
  <c r="M67" i="3" s="1"/>
  <c r="L35" i="3"/>
  <c r="L67" i="3" s="1"/>
  <c r="K35" i="3"/>
  <c r="K67" i="3" s="1"/>
  <c r="J35" i="3"/>
  <c r="I35" i="3"/>
  <c r="I67" i="3" s="1"/>
  <c r="H35" i="3"/>
  <c r="H67" i="3" s="1"/>
  <c r="G35" i="3"/>
  <c r="G67" i="3" s="1"/>
  <c r="F35" i="3"/>
  <c r="F67" i="3" s="1"/>
  <c r="E35" i="3"/>
  <c r="E67" i="3" s="1"/>
  <c r="D35" i="3"/>
  <c r="D67" i="3" s="1"/>
  <c r="C35" i="3"/>
  <c r="C67" i="3" s="1"/>
  <c r="B35" i="3"/>
  <c r="B67" i="3" s="1"/>
  <c r="H27" i="3"/>
  <c r="H25" i="3"/>
  <c r="F42" i="3" s="1"/>
  <c r="F43" i="3" s="1"/>
  <c r="F50" i="3" s="1"/>
  <c r="H23" i="3"/>
  <c r="L86" i="3" s="1"/>
  <c r="B9" i="3"/>
  <c r="B55" i="2"/>
  <c r="F57" i="2" s="1"/>
  <c r="F97" i="2" s="1"/>
  <c r="H23" i="2"/>
  <c r="M85" i="2" s="1"/>
  <c r="B9" i="2"/>
  <c r="B80" i="2"/>
  <c r="B48" i="2"/>
  <c r="B47" i="2"/>
  <c r="B37" i="2"/>
  <c r="C37" i="2" s="1"/>
  <c r="D37" i="2" s="1"/>
  <c r="E37" i="2" s="1"/>
  <c r="F37" i="2" s="1"/>
  <c r="G37" i="2" s="1"/>
  <c r="H37" i="2" s="1"/>
  <c r="I37" i="2" s="1"/>
  <c r="J37" i="2" s="1"/>
  <c r="K37" i="2" s="1"/>
  <c r="L37" i="2" s="1"/>
  <c r="M37" i="2" s="1"/>
  <c r="N37" i="2" s="1"/>
  <c r="O37" i="2" s="1"/>
  <c r="P37" i="2" s="1"/>
  <c r="Q37" i="2" s="1"/>
  <c r="R37" i="2" s="1"/>
  <c r="S37" i="2" s="1"/>
  <c r="T37" i="2" s="1"/>
  <c r="U37" i="2" s="1"/>
  <c r="V37" i="2" s="1"/>
  <c r="W37" i="2" s="1"/>
  <c r="X37" i="2" s="1"/>
  <c r="Y37" i="2" s="1"/>
  <c r="Z37" i="2" s="1"/>
  <c r="AA37" i="2" s="1"/>
  <c r="N36" i="2"/>
  <c r="K36" i="2"/>
  <c r="H36" i="2"/>
  <c r="E36" i="2"/>
  <c r="B36" i="2"/>
  <c r="C76" i="1"/>
  <c r="B35" i="1"/>
  <c r="AA36" i="2"/>
  <c r="Z36" i="2"/>
  <c r="Y36" i="2"/>
  <c r="X36" i="2"/>
  <c r="W36" i="2"/>
  <c r="V36" i="2"/>
  <c r="U36" i="2"/>
  <c r="T36" i="2"/>
  <c r="S36" i="2"/>
  <c r="R36" i="2"/>
  <c r="Q36" i="2"/>
  <c r="P36" i="2"/>
  <c r="O36" i="2"/>
  <c r="M36" i="2"/>
  <c r="L36" i="2"/>
  <c r="J36" i="2"/>
  <c r="I36" i="2"/>
  <c r="G36" i="2"/>
  <c r="F36" i="2"/>
  <c r="D36" i="2"/>
  <c r="C36" i="2"/>
  <c r="AA35" i="2"/>
  <c r="AA48" i="2" s="1"/>
  <c r="Z35" i="2"/>
  <c r="Z48" i="2" s="1"/>
  <c r="Y35" i="2"/>
  <c r="Y47" i="2" s="1"/>
  <c r="X35" i="2"/>
  <c r="W35" i="2"/>
  <c r="W48" i="2" s="1"/>
  <c r="V35" i="2"/>
  <c r="V48" i="2" s="1"/>
  <c r="U35" i="2"/>
  <c r="U47" i="2" s="1"/>
  <c r="T35" i="2"/>
  <c r="T47" i="2" s="1"/>
  <c r="S35" i="2"/>
  <c r="S47" i="2" s="1"/>
  <c r="R35" i="2"/>
  <c r="R48" i="2" s="1"/>
  <c r="Q35" i="2"/>
  <c r="Q47" i="2" s="1"/>
  <c r="P35" i="2"/>
  <c r="O35" i="2"/>
  <c r="O48" i="2" s="1"/>
  <c r="N35" i="2"/>
  <c r="N48" i="2" s="1"/>
  <c r="M35" i="2"/>
  <c r="M48" i="2" s="1"/>
  <c r="L35" i="2"/>
  <c r="L48" i="2" s="1"/>
  <c r="K35" i="2"/>
  <c r="K48" i="2" s="1"/>
  <c r="J35" i="2"/>
  <c r="J48" i="2" s="1"/>
  <c r="I35" i="2"/>
  <c r="I47" i="2" s="1"/>
  <c r="H35" i="2"/>
  <c r="G35" i="2"/>
  <c r="G48" i="2" s="1"/>
  <c r="F35" i="2"/>
  <c r="F48" i="2" s="1"/>
  <c r="E35" i="2"/>
  <c r="E48" i="2" s="1"/>
  <c r="D35" i="2"/>
  <c r="D48" i="2" s="1"/>
  <c r="C35" i="2"/>
  <c r="C47" i="2" s="1"/>
  <c r="B35" i="2"/>
  <c r="AA34" i="2"/>
  <c r="Z34" i="2"/>
  <c r="Y34" i="2"/>
  <c r="X34" i="2"/>
  <c r="W34" i="2"/>
  <c r="V34" i="2"/>
  <c r="U34" i="2"/>
  <c r="T34" i="2"/>
  <c r="S34" i="2"/>
  <c r="R34" i="2"/>
  <c r="Q34" i="2"/>
  <c r="P34" i="2"/>
  <c r="O34" i="2"/>
  <c r="N34" i="2"/>
  <c r="M34" i="2"/>
  <c r="M66" i="2" s="1"/>
  <c r="L34" i="2"/>
  <c r="L66" i="2" s="1"/>
  <c r="K34" i="2"/>
  <c r="K66" i="2" s="1"/>
  <c r="J34" i="2"/>
  <c r="J66" i="2" s="1"/>
  <c r="I34" i="2"/>
  <c r="I66" i="2" s="1"/>
  <c r="H34" i="2"/>
  <c r="H66" i="2" s="1"/>
  <c r="G34" i="2"/>
  <c r="G66" i="2" s="1"/>
  <c r="F34" i="2"/>
  <c r="F66" i="2" s="1"/>
  <c r="E34" i="2"/>
  <c r="E66" i="2" s="1"/>
  <c r="D34" i="2"/>
  <c r="D66" i="2" s="1"/>
  <c r="C34" i="2"/>
  <c r="C66" i="2" s="1"/>
  <c r="B34" i="2"/>
  <c r="B66" i="2" s="1"/>
  <c r="H27" i="2"/>
  <c r="M76" i="1"/>
  <c r="L76" i="1"/>
  <c r="K76" i="1"/>
  <c r="J76" i="1"/>
  <c r="I76" i="1"/>
  <c r="H76" i="1"/>
  <c r="G76" i="1"/>
  <c r="F76" i="1"/>
  <c r="E76" i="1"/>
  <c r="D76" i="1"/>
  <c r="B69" i="1"/>
  <c r="M55" i="1"/>
  <c r="L55" i="1"/>
  <c r="K55" i="1"/>
  <c r="J55" i="1"/>
  <c r="I55" i="1"/>
  <c r="H55" i="1"/>
  <c r="G55" i="1"/>
  <c r="F55" i="1"/>
  <c r="E55" i="1"/>
  <c r="D55" i="1"/>
  <c r="C55" i="1"/>
  <c r="B55" i="1"/>
  <c r="B45" i="1"/>
  <c r="B46" i="1"/>
  <c r="M34" i="1"/>
  <c r="L34" i="1"/>
  <c r="K34" i="1"/>
  <c r="J34" i="1"/>
  <c r="I34" i="1"/>
  <c r="H34" i="1"/>
  <c r="G34" i="1"/>
  <c r="F34" i="1"/>
  <c r="E34" i="1"/>
  <c r="D34" i="1"/>
  <c r="C34" i="1"/>
  <c r="B34" i="1"/>
  <c r="E57" i="8" l="1"/>
  <c r="E101" i="8" s="1"/>
  <c r="P47" i="8"/>
  <c r="H47" i="8"/>
  <c r="X47" i="8"/>
  <c r="N48" i="8"/>
  <c r="B56" i="8"/>
  <c r="B59" i="8" s="1"/>
  <c r="B70" i="8" s="1"/>
  <c r="O47" i="8"/>
  <c r="G48" i="8"/>
  <c r="D57" i="8"/>
  <c r="D101" i="8" s="1"/>
  <c r="Q47" i="8"/>
  <c r="W47" i="8"/>
  <c r="V48" i="8"/>
  <c r="Y47" i="8"/>
  <c r="I47" i="8"/>
  <c r="F48" i="8"/>
  <c r="C57" i="8"/>
  <c r="C101" i="8" s="1"/>
  <c r="E41" i="8"/>
  <c r="F37" i="8"/>
  <c r="B101" i="8"/>
  <c r="D89" i="8"/>
  <c r="J47" i="8"/>
  <c r="R47" i="8"/>
  <c r="Z47" i="8"/>
  <c r="F57" i="8"/>
  <c r="E89" i="8"/>
  <c r="M89" i="8"/>
  <c r="C47" i="8"/>
  <c r="K47" i="8"/>
  <c r="S47" i="8"/>
  <c r="AA47" i="8"/>
  <c r="F89" i="8"/>
  <c r="B41" i="8"/>
  <c r="D47" i="8"/>
  <c r="L47" i="8"/>
  <c r="T47" i="8"/>
  <c r="G89" i="8"/>
  <c r="C41" i="8"/>
  <c r="E47" i="8"/>
  <c r="M47" i="8"/>
  <c r="U47" i="8"/>
  <c r="H89" i="8"/>
  <c r="B100" i="8"/>
  <c r="D41" i="8"/>
  <c r="I89" i="8"/>
  <c r="L89" i="8"/>
  <c r="B89" i="8"/>
  <c r="J89" i="8"/>
  <c r="C89" i="8"/>
  <c r="H48" i="7"/>
  <c r="D49" i="7"/>
  <c r="B57" i="7"/>
  <c r="B60" i="7" s="1"/>
  <c r="B71" i="7" s="1"/>
  <c r="I48" i="7"/>
  <c r="B58" i="7"/>
  <c r="B59" i="7" s="1"/>
  <c r="P48" i="7"/>
  <c r="C58" i="7"/>
  <c r="C98" i="7" s="1"/>
  <c r="Q48" i="7"/>
  <c r="N49" i="7"/>
  <c r="D58" i="7"/>
  <c r="D98" i="7" s="1"/>
  <c r="X49" i="7"/>
  <c r="R48" i="7"/>
  <c r="T49" i="7"/>
  <c r="E58" i="7"/>
  <c r="E98" i="7" s="1"/>
  <c r="S86" i="7"/>
  <c r="K86" i="7"/>
  <c r="C86" i="7"/>
  <c r="O86" i="7"/>
  <c r="G86" i="7"/>
  <c r="N86" i="7"/>
  <c r="F86" i="7"/>
  <c r="U86" i="7"/>
  <c r="M86" i="7"/>
  <c r="E86" i="7"/>
  <c r="H86" i="7"/>
  <c r="T86" i="7"/>
  <c r="D86" i="7"/>
  <c r="R86" i="7"/>
  <c r="B86" i="7"/>
  <c r="Q86" i="7"/>
  <c r="P86" i="7"/>
  <c r="L86" i="7"/>
  <c r="I86" i="7"/>
  <c r="J86" i="7"/>
  <c r="M49" i="7"/>
  <c r="M48" i="7"/>
  <c r="E48" i="7"/>
  <c r="E49" i="7"/>
  <c r="U49" i="7"/>
  <c r="U48" i="7"/>
  <c r="D38" i="7"/>
  <c r="E38" i="7" s="1"/>
  <c r="F38" i="7" s="1"/>
  <c r="G38" i="7" s="1"/>
  <c r="C42" i="7"/>
  <c r="J48" i="7"/>
  <c r="O49" i="7"/>
  <c r="AA49" i="7"/>
  <c r="B98" i="7"/>
  <c r="W48" i="7"/>
  <c r="F49" i="7"/>
  <c r="S49" i="7"/>
  <c r="K49" i="7"/>
  <c r="B42" i="7"/>
  <c r="C49" i="7"/>
  <c r="B61" i="7"/>
  <c r="C56" i="7" s="1"/>
  <c r="D48" i="6"/>
  <c r="D47" i="6"/>
  <c r="X47" i="6"/>
  <c r="D97" i="6"/>
  <c r="T48" i="6"/>
  <c r="T47" i="6"/>
  <c r="C49" i="6"/>
  <c r="C51" i="6" s="1"/>
  <c r="C97" i="6"/>
  <c r="L48" i="6"/>
  <c r="L47" i="6"/>
  <c r="E41" i="6"/>
  <c r="F37" i="6"/>
  <c r="H47" i="6"/>
  <c r="C43" i="6"/>
  <c r="C50" i="6" s="1"/>
  <c r="I47" i="6"/>
  <c r="Q47" i="6"/>
  <c r="Y47" i="6"/>
  <c r="G48" i="6"/>
  <c r="O48" i="6"/>
  <c r="W48" i="6"/>
  <c r="B56" i="6"/>
  <c r="B59" i="6" s="1"/>
  <c r="B70" i="6" s="1"/>
  <c r="E57" i="6"/>
  <c r="D85" i="6"/>
  <c r="L85" i="6"/>
  <c r="F57" i="6"/>
  <c r="E85" i="6"/>
  <c r="M85" i="6"/>
  <c r="F85" i="6"/>
  <c r="B96" i="6"/>
  <c r="D41" i="6"/>
  <c r="B57" i="6"/>
  <c r="I85" i="6"/>
  <c r="B85" i="6"/>
  <c r="N73" i="5"/>
  <c r="N72" i="5"/>
  <c r="Q47" i="5"/>
  <c r="D85" i="5"/>
  <c r="L85" i="5"/>
  <c r="J47" i="5"/>
  <c r="R47" i="5"/>
  <c r="Z47" i="5"/>
  <c r="E85" i="5"/>
  <c r="M85" i="5"/>
  <c r="I47" i="5"/>
  <c r="K47" i="5"/>
  <c r="S47" i="5"/>
  <c r="AA47" i="5"/>
  <c r="Y48" i="5"/>
  <c r="F85" i="5"/>
  <c r="D47" i="5"/>
  <c r="L47" i="5"/>
  <c r="T47" i="5"/>
  <c r="G85" i="5"/>
  <c r="C55" i="5"/>
  <c r="H85" i="5"/>
  <c r="I85" i="5"/>
  <c r="C85" i="5"/>
  <c r="V42" i="4"/>
  <c r="D98" i="4"/>
  <c r="X42" i="4"/>
  <c r="G42" i="4"/>
  <c r="O42" i="4"/>
  <c r="W42" i="4"/>
  <c r="I48" i="4"/>
  <c r="Q48" i="4"/>
  <c r="Y48" i="4"/>
  <c r="G49" i="4"/>
  <c r="O49" i="4"/>
  <c r="W49" i="4"/>
  <c r="B57" i="4"/>
  <c r="B60" i="4" s="1"/>
  <c r="B71" i="4" s="1"/>
  <c r="E58" i="4"/>
  <c r="D86" i="4"/>
  <c r="L86" i="4"/>
  <c r="I42" i="4"/>
  <c r="Q42" i="4"/>
  <c r="Y42" i="4"/>
  <c r="C48" i="4"/>
  <c r="K48" i="4"/>
  <c r="S48" i="4"/>
  <c r="AA48" i="4"/>
  <c r="F86" i="4"/>
  <c r="H42" i="4"/>
  <c r="B42" i="4"/>
  <c r="J42" i="4"/>
  <c r="R42" i="4"/>
  <c r="Z42" i="4"/>
  <c r="D48" i="4"/>
  <c r="L48" i="4"/>
  <c r="T48" i="4"/>
  <c r="G86" i="4"/>
  <c r="C42" i="4"/>
  <c r="K42" i="4"/>
  <c r="S42" i="4"/>
  <c r="AA42" i="4"/>
  <c r="E48" i="4"/>
  <c r="M48" i="4"/>
  <c r="U48" i="4"/>
  <c r="H86" i="4"/>
  <c r="B97" i="4"/>
  <c r="D42" i="4"/>
  <c r="L42" i="4"/>
  <c r="T42" i="4"/>
  <c r="F48" i="4"/>
  <c r="N48" i="4"/>
  <c r="V48" i="4"/>
  <c r="B58" i="4"/>
  <c r="I86" i="4"/>
  <c r="F98" i="4"/>
  <c r="E42" i="4"/>
  <c r="M42" i="4"/>
  <c r="U42" i="4"/>
  <c r="C58" i="4"/>
  <c r="B86" i="4"/>
  <c r="J86" i="4"/>
  <c r="P42" i="4"/>
  <c r="F42" i="4"/>
  <c r="N42" i="4"/>
  <c r="C86" i="4"/>
  <c r="G48" i="3"/>
  <c r="H48" i="3"/>
  <c r="O49" i="3"/>
  <c r="N49" i="3"/>
  <c r="I48" i="3"/>
  <c r="P49" i="3"/>
  <c r="W48" i="3"/>
  <c r="X48" i="3"/>
  <c r="B39" i="1"/>
  <c r="B40" i="1" s="1"/>
  <c r="B47" i="1" s="1"/>
  <c r="M49" i="3"/>
  <c r="Y48" i="3"/>
  <c r="U49" i="3"/>
  <c r="J48" i="3"/>
  <c r="E49" i="3"/>
  <c r="F49" i="3"/>
  <c r="V49" i="3"/>
  <c r="R48" i="3"/>
  <c r="F58" i="3"/>
  <c r="B97" i="3"/>
  <c r="B57" i="3"/>
  <c r="B58" i="3"/>
  <c r="B98" i="3" s="1"/>
  <c r="D58" i="3"/>
  <c r="D98" i="3" s="1"/>
  <c r="C58" i="3"/>
  <c r="C98" i="3" s="1"/>
  <c r="H38" i="3"/>
  <c r="I38" i="3" s="1"/>
  <c r="J38" i="3" s="1"/>
  <c r="K38" i="3" s="1"/>
  <c r="L38" i="3" s="1"/>
  <c r="M38" i="3" s="1"/>
  <c r="N38" i="3" s="1"/>
  <c r="G42" i="3"/>
  <c r="E98" i="3"/>
  <c r="Q48" i="3"/>
  <c r="B60" i="3"/>
  <c r="B71" i="3" s="1"/>
  <c r="D86" i="3"/>
  <c r="C49" i="3"/>
  <c r="C48" i="3"/>
  <c r="K49" i="3"/>
  <c r="K48" i="3"/>
  <c r="S49" i="3"/>
  <c r="S48" i="3"/>
  <c r="AA49" i="3"/>
  <c r="AA48" i="3"/>
  <c r="E42" i="3"/>
  <c r="K86" i="3"/>
  <c r="L49" i="3"/>
  <c r="L48" i="3"/>
  <c r="D49" i="3"/>
  <c r="D48" i="3"/>
  <c r="F44" i="3"/>
  <c r="J86" i="3"/>
  <c r="B86" i="3"/>
  <c r="I86" i="3"/>
  <c r="H86" i="3"/>
  <c r="G86" i="3"/>
  <c r="E86" i="3"/>
  <c r="F86" i="3"/>
  <c r="M86" i="3"/>
  <c r="T49" i="3"/>
  <c r="T48" i="3"/>
  <c r="D42" i="3"/>
  <c r="K42" i="3"/>
  <c r="C42" i="3"/>
  <c r="B42" i="3"/>
  <c r="C86" i="3"/>
  <c r="F98" i="3"/>
  <c r="B96" i="2"/>
  <c r="C57" i="2"/>
  <c r="C97" i="2" s="1"/>
  <c r="AA47" i="2"/>
  <c r="B56" i="2"/>
  <c r="B59" i="2" s="1"/>
  <c r="B70" i="2" s="1"/>
  <c r="B57" i="2"/>
  <c r="B97" i="2" s="1"/>
  <c r="D57" i="2"/>
  <c r="D97" i="2" s="1"/>
  <c r="E57" i="2"/>
  <c r="E97" i="2" s="1"/>
  <c r="S48" i="2"/>
  <c r="U48" i="2"/>
  <c r="T48" i="2"/>
  <c r="D47" i="2"/>
  <c r="E47" i="2"/>
  <c r="M47" i="2"/>
  <c r="F47" i="2"/>
  <c r="V47" i="2"/>
  <c r="C48" i="2"/>
  <c r="N47" i="2"/>
  <c r="R47" i="2"/>
  <c r="F85" i="2"/>
  <c r="Q48" i="2"/>
  <c r="G85" i="2"/>
  <c r="H85" i="2"/>
  <c r="I85" i="2"/>
  <c r="I48" i="2"/>
  <c r="B85" i="2"/>
  <c r="J85" i="2"/>
  <c r="J47" i="2"/>
  <c r="C85" i="2"/>
  <c r="K85" i="2"/>
  <c r="K47" i="2"/>
  <c r="Y48" i="2"/>
  <c r="D85" i="2"/>
  <c r="L85" i="2"/>
  <c r="L47" i="2"/>
  <c r="Z47" i="2"/>
  <c r="E85" i="2"/>
  <c r="X48" i="2"/>
  <c r="X47" i="2"/>
  <c r="P48" i="2"/>
  <c r="P47" i="2"/>
  <c r="H48" i="2"/>
  <c r="H47" i="2"/>
  <c r="G47" i="2"/>
  <c r="O47" i="2"/>
  <c r="W47" i="2"/>
  <c r="H25" i="2"/>
  <c r="C35" i="1"/>
  <c r="C39" i="1" s="1"/>
  <c r="C40" i="1" s="1"/>
  <c r="M33" i="1"/>
  <c r="L33" i="1"/>
  <c r="K33" i="1"/>
  <c r="J33" i="1"/>
  <c r="I33" i="1"/>
  <c r="H33" i="1"/>
  <c r="G33" i="1"/>
  <c r="F33" i="1"/>
  <c r="E33" i="1"/>
  <c r="D33" i="1"/>
  <c r="C33" i="1"/>
  <c r="B33" i="1"/>
  <c r="B58" i="8" l="1"/>
  <c r="B60" i="8"/>
  <c r="C55" i="8" s="1"/>
  <c r="D42" i="8"/>
  <c r="D49" i="8" s="1"/>
  <c r="F101" i="8"/>
  <c r="C56" i="8"/>
  <c r="C59" i="8" s="1"/>
  <c r="C42" i="8"/>
  <c r="C49" i="8" s="1"/>
  <c r="C43" i="8"/>
  <c r="C50" i="8" s="1"/>
  <c r="F41" i="8"/>
  <c r="G37" i="8"/>
  <c r="B42" i="8"/>
  <c r="B49" i="8" s="1"/>
  <c r="E42" i="8"/>
  <c r="E49" i="8" s="1"/>
  <c r="E43" i="8"/>
  <c r="E50" i="8" s="1"/>
  <c r="E42" i="7"/>
  <c r="E43" i="7" s="1"/>
  <c r="E50" i="7" s="1"/>
  <c r="F42" i="7"/>
  <c r="D42" i="7"/>
  <c r="D43" i="7"/>
  <c r="D50" i="7" s="1"/>
  <c r="C57" i="7"/>
  <c r="C60" i="7" s="1"/>
  <c r="C61" i="7"/>
  <c r="D56" i="7" s="1"/>
  <c r="C43" i="7"/>
  <c r="C50" i="7" s="1"/>
  <c r="B43" i="7"/>
  <c r="B50" i="7" s="1"/>
  <c r="H38" i="7"/>
  <c r="G42" i="7"/>
  <c r="F43" i="7"/>
  <c r="F50" i="7" s="1"/>
  <c r="B60" i="6"/>
  <c r="C55" i="6" s="1"/>
  <c r="E43" i="6"/>
  <c r="E50" i="6" s="1"/>
  <c r="E42" i="6"/>
  <c r="E49" i="6" s="1"/>
  <c r="D42" i="6"/>
  <c r="D49" i="6" s="1"/>
  <c r="C78" i="6"/>
  <c r="C77" i="6" s="1"/>
  <c r="C64" i="6"/>
  <c r="G37" i="6"/>
  <c r="F41" i="6"/>
  <c r="B97" i="6"/>
  <c r="B58" i="6"/>
  <c r="B78" i="6"/>
  <c r="B77" i="6" s="1"/>
  <c r="B64" i="6"/>
  <c r="F97" i="6"/>
  <c r="E97" i="6"/>
  <c r="C56" i="5"/>
  <c r="C59" i="5" s="1"/>
  <c r="D41" i="5"/>
  <c r="U43" i="4"/>
  <c r="U50" i="4" s="1"/>
  <c r="V43" i="4"/>
  <c r="V50" i="4" s="1"/>
  <c r="M43" i="4"/>
  <c r="M50" i="4" s="1"/>
  <c r="T43" i="4"/>
  <c r="T50" i="4" s="1"/>
  <c r="T44" i="4"/>
  <c r="T51" i="4" s="1"/>
  <c r="E98" i="4"/>
  <c r="W44" i="4"/>
  <c r="W51" i="4" s="1"/>
  <c r="W43" i="4"/>
  <c r="W50" i="4" s="1"/>
  <c r="N43" i="4"/>
  <c r="N50" i="4" s="1"/>
  <c r="F43" i="4"/>
  <c r="F50" i="4" s="1"/>
  <c r="F44" i="4"/>
  <c r="F51" i="4" s="1"/>
  <c r="D43" i="4"/>
  <c r="D50" i="4" s="1"/>
  <c r="D44" i="4"/>
  <c r="D51" i="4" s="1"/>
  <c r="P44" i="4"/>
  <c r="P51" i="4" s="1"/>
  <c r="P43" i="4"/>
  <c r="P50" i="4" s="1"/>
  <c r="K43" i="4"/>
  <c r="K50" i="4" s="1"/>
  <c r="K44" i="4"/>
  <c r="K51" i="4" s="1"/>
  <c r="J43" i="4"/>
  <c r="J50" i="4" s="1"/>
  <c r="Y43" i="4"/>
  <c r="Y50" i="4" s="1"/>
  <c r="X44" i="4"/>
  <c r="X51" i="4" s="1"/>
  <c r="X43" i="4"/>
  <c r="X50" i="4" s="1"/>
  <c r="E43" i="4"/>
  <c r="E50" i="4" s="1"/>
  <c r="AA43" i="4"/>
  <c r="AA50" i="4" s="1"/>
  <c r="AA44" i="4"/>
  <c r="AA51" i="4" s="1"/>
  <c r="Z43" i="4"/>
  <c r="Z50" i="4" s="1"/>
  <c r="S43" i="4"/>
  <c r="S50" i="4" s="1"/>
  <c r="G43" i="4"/>
  <c r="G50" i="4" s="1"/>
  <c r="B43" i="4"/>
  <c r="B50" i="4" s="1"/>
  <c r="B61" i="4"/>
  <c r="C56" i="4" s="1"/>
  <c r="H43" i="4"/>
  <c r="H50" i="4" s="1"/>
  <c r="I43" i="4"/>
  <c r="I50" i="4" s="1"/>
  <c r="L43" i="4"/>
  <c r="L50" i="4" s="1"/>
  <c r="L44" i="4"/>
  <c r="L51" i="4" s="1"/>
  <c r="O43" i="4"/>
  <c r="O50" i="4" s="1"/>
  <c r="R43" i="4"/>
  <c r="R50" i="4" s="1"/>
  <c r="B98" i="4"/>
  <c r="B59" i="4"/>
  <c r="C43" i="4"/>
  <c r="C50" i="4" s="1"/>
  <c r="C44" i="4"/>
  <c r="C51" i="4" s="1"/>
  <c r="Q43" i="4"/>
  <c r="Q50" i="4" s="1"/>
  <c r="C98" i="4"/>
  <c r="F51" i="3"/>
  <c r="F52" i="3" s="1"/>
  <c r="F79" i="3" s="1"/>
  <c r="F78" i="3" s="1"/>
  <c r="H42" i="3"/>
  <c r="B61" i="3"/>
  <c r="C56" i="3" s="1"/>
  <c r="C57" i="3" s="1"/>
  <c r="C60" i="3" s="1"/>
  <c r="C71" i="3" s="1"/>
  <c r="D43" i="3"/>
  <c r="D50" i="3" s="1"/>
  <c r="O38" i="3"/>
  <c r="N42" i="3"/>
  <c r="J42" i="3"/>
  <c r="L42" i="3"/>
  <c r="M42" i="3"/>
  <c r="K43" i="3"/>
  <c r="K50" i="3" s="1"/>
  <c r="K44" i="3"/>
  <c r="K51" i="3" s="1"/>
  <c r="G43" i="3"/>
  <c r="G50" i="3" s="1"/>
  <c r="B43" i="3"/>
  <c r="B50" i="3" s="1"/>
  <c r="H43" i="3"/>
  <c r="H50" i="3" s="1"/>
  <c r="C43" i="3"/>
  <c r="C50" i="3" s="1"/>
  <c r="B59" i="3"/>
  <c r="I42" i="3"/>
  <c r="E43" i="3"/>
  <c r="E50" i="3" s="1"/>
  <c r="B60" i="2"/>
  <c r="C55" i="2" s="1"/>
  <c r="C56" i="2" s="1"/>
  <c r="C59" i="2" s="1"/>
  <c r="B58" i="2"/>
  <c r="W41" i="2"/>
  <c r="O41" i="2"/>
  <c r="G41" i="2"/>
  <c r="S41" i="2"/>
  <c r="C41" i="2"/>
  <c r="Z41" i="2"/>
  <c r="J41" i="2"/>
  <c r="Y41" i="2"/>
  <c r="I41" i="2"/>
  <c r="V41" i="2"/>
  <c r="N41" i="2"/>
  <c r="F41" i="2"/>
  <c r="L41" i="2"/>
  <c r="U41" i="2"/>
  <c r="M41" i="2"/>
  <c r="E41" i="2"/>
  <c r="T41" i="2"/>
  <c r="D41" i="2"/>
  <c r="AA41" i="2"/>
  <c r="K41" i="2"/>
  <c r="R41" i="2"/>
  <c r="B41" i="2"/>
  <c r="Q41" i="2"/>
  <c r="H41" i="2"/>
  <c r="X41" i="2"/>
  <c r="P41" i="2"/>
  <c r="H45" i="1"/>
  <c r="H46" i="1"/>
  <c r="K45" i="1"/>
  <c r="K46" i="1"/>
  <c r="D46" i="1"/>
  <c r="D45" i="1"/>
  <c r="L46" i="1"/>
  <c r="L45" i="1"/>
  <c r="E45" i="1"/>
  <c r="E46" i="1"/>
  <c r="M45" i="1"/>
  <c r="M46" i="1"/>
  <c r="F45" i="1"/>
  <c r="F46" i="1"/>
  <c r="I45" i="1"/>
  <c r="I46" i="1"/>
  <c r="J45" i="1"/>
  <c r="J46" i="1"/>
  <c r="C46" i="1"/>
  <c r="C45" i="1"/>
  <c r="C47" i="1" s="1"/>
  <c r="G45" i="1"/>
  <c r="G46" i="1"/>
  <c r="B41" i="1"/>
  <c r="C41" i="1"/>
  <c r="D35" i="1"/>
  <c r="D39" i="1" s="1"/>
  <c r="D40" i="1" s="1"/>
  <c r="B43" i="8" l="1"/>
  <c r="B50" i="8" s="1"/>
  <c r="B51" i="8" s="1"/>
  <c r="F42" i="8"/>
  <c r="F49" i="8" s="1"/>
  <c r="C70" i="8"/>
  <c r="C58" i="8"/>
  <c r="E51" i="8"/>
  <c r="C60" i="8"/>
  <c r="D55" i="8" s="1"/>
  <c r="C51" i="8"/>
  <c r="H37" i="8"/>
  <c r="G41" i="8"/>
  <c r="D43" i="8"/>
  <c r="D50" i="8" s="1"/>
  <c r="D51" i="8" s="1"/>
  <c r="D44" i="7"/>
  <c r="D51" i="7" s="1"/>
  <c r="D52" i="7" s="1"/>
  <c r="C44" i="7"/>
  <c r="C51" i="7" s="1"/>
  <c r="I38" i="7"/>
  <c r="H42" i="7"/>
  <c r="C52" i="7"/>
  <c r="D57" i="7"/>
  <c r="D60" i="7" s="1"/>
  <c r="D61" i="7"/>
  <c r="E56" i="7" s="1"/>
  <c r="B44" i="7"/>
  <c r="B51" i="7" s="1"/>
  <c r="B52" i="7" s="1"/>
  <c r="F44" i="7"/>
  <c r="F51" i="7" s="1"/>
  <c r="F52" i="7" s="1"/>
  <c r="E44" i="7"/>
  <c r="E51" i="7" s="1"/>
  <c r="E52" i="7" s="1"/>
  <c r="C71" i="7"/>
  <c r="C59" i="7"/>
  <c r="G43" i="7"/>
  <c r="G50" i="7" s="1"/>
  <c r="G44" i="7"/>
  <c r="G51" i="7" s="1"/>
  <c r="C56" i="6"/>
  <c r="C59" i="6" s="1"/>
  <c r="G41" i="6"/>
  <c r="H37" i="6"/>
  <c r="C65" i="6"/>
  <c r="C67" i="6" s="1"/>
  <c r="C81" i="6" s="1"/>
  <c r="C79" i="6" s="1"/>
  <c r="C82" i="6" s="1"/>
  <c r="C68" i="6"/>
  <c r="B82" i="6"/>
  <c r="D43" i="6"/>
  <c r="D50" i="6" s="1"/>
  <c r="D51" i="6" s="1"/>
  <c r="F42" i="6"/>
  <c r="F49" i="6" s="1"/>
  <c r="B65" i="6"/>
  <c r="B67" i="6" s="1"/>
  <c r="B81" i="6" s="1"/>
  <c r="B79" i="6" s="1"/>
  <c r="B68" i="6"/>
  <c r="B71" i="6" s="1"/>
  <c r="E51" i="6"/>
  <c r="C50" i="5"/>
  <c r="C51" i="5" s="1"/>
  <c r="E41" i="5"/>
  <c r="C58" i="5"/>
  <c r="D42" i="5"/>
  <c r="D49" i="5" s="1"/>
  <c r="C60" i="5"/>
  <c r="D55" i="5" s="1"/>
  <c r="S52" i="4"/>
  <c r="Q52" i="4"/>
  <c r="C57" i="4"/>
  <c r="C60" i="4" s="1"/>
  <c r="Z44" i="4"/>
  <c r="Z51" i="4" s="1"/>
  <c r="Z52" i="4" s="1"/>
  <c r="Y44" i="4"/>
  <c r="Y51" i="4" s="1"/>
  <c r="B52" i="4"/>
  <c r="AA52" i="4"/>
  <c r="J44" i="4"/>
  <c r="J51" i="4" s="1"/>
  <c r="J52" i="4" s="1"/>
  <c r="T52" i="4"/>
  <c r="G44" i="4"/>
  <c r="G51" i="4" s="1"/>
  <c r="E44" i="4"/>
  <c r="E51" i="4" s="1"/>
  <c r="K52" i="4"/>
  <c r="N44" i="4"/>
  <c r="N51" i="4" s="1"/>
  <c r="N52" i="4" s="1"/>
  <c r="M44" i="4"/>
  <c r="M51" i="4" s="1"/>
  <c r="M52" i="4" s="1"/>
  <c r="H52" i="4"/>
  <c r="R44" i="4"/>
  <c r="R51" i="4" s="1"/>
  <c r="R52" i="4" s="1"/>
  <c r="H44" i="4"/>
  <c r="H51" i="4" s="1"/>
  <c r="Y52" i="4"/>
  <c r="U52" i="4"/>
  <c r="D52" i="4"/>
  <c r="U44" i="4"/>
  <c r="U51" i="4" s="1"/>
  <c r="Q44" i="4"/>
  <c r="Q51" i="4" s="1"/>
  <c r="O44" i="4"/>
  <c r="O51" i="4" s="1"/>
  <c r="O52" i="4" s="1"/>
  <c r="B44" i="4"/>
  <c r="B51" i="4" s="1"/>
  <c r="F52" i="4"/>
  <c r="C52" i="4"/>
  <c r="L52" i="4"/>
  <c r="G52" i="4"/>
  <c r="E52" i="4"/>
  <c r="I44" i="4"/>
  <c r="I51" i="4" s="1"/>
  <c r="I52" i="4" s="1"/>
  <c r="S44" i="4"/>
  <c r="S51" i="4" s="1"/>
  <c r="X52" i="4"/>
  <c r="P52" i="4"/>
  <c r="W52" i="4"/>
  <c r="V44" i="4"/>
  <c r="V51" i="4" s="1"/>
  <c r="V52" i="4" s="1"/>
  <c r="C48" i="1"/>
  <c r="C49" i="1" s="1"/>
  <c r="D44" i="3"/>
  <c r="D51" i="3" s="1"/>
  <c r="D52" i="3" s="1"/>
  <c r="F65" i="3"/>
  <c r="G44" i="3"/>
  <c r="G51" i="3" s="1"/>
  <c r="C59" i="3"/>
  <c r="C61" i="3"/>
  <c r="D56" i="3" s="1"/>
  <c r="D57" i="3" s="1"/>
  <c r="D60" i="3" s="1"/>
  <c r="M43" i="3"/>
  <c r="M50" i="3" s="1"/>
  <c r="F66" i="3"/>
  <c r="F68" i="3" s="1"/>
  <c r="F82" i="3" s="1"/>
  <c r="F80" i="3" s="1"/>
  <c r="F83" i="3" s="1"/>
  <c r="E44" i="3"/>
  <c r="E51" i="3" s="1"/>
  <c r="E52" i="3" s="1"/>
  <c r="B44" i="3"/>
  <c r="B51" i="3" s="1"/>
  <c r="L43" i="3"/>
  <c r="L50" i="3" s="1"/>
  <c r="L44" i="3"/>
  <c r="L51" i="3" s="1"/>
  <c r="I43" i="3"/>
  <c r="I50" i="3" s="1"/>
  <c r="G52" i="3"/>
  <c r="N43" i="3"/>
  <c r="N50" i="3" s="1"/>
  <c r="K52" i="3"/>
  <c r="H44" i="3"/>
  <c r="H51" i="3" s="1"/>
  <c r="H52" i="3" s="1"/>
  <c r="B52" i="3"/>
  <c r="J43" i="3"/>
  <c r="J50" i="3" s="1"/>
  <c r="J44" i="3"/>
  <c r="J51" i="3" s="1"/>
  <c r="C44" i="3"/>
  <c r="C51" i="3" s="1"/>
  <c r="C52" i="3" s="1"/>
  <c r="P38" i="3"/>
  <c r="O42" i="3"/>
  <c r="C58" i="2"/>
  <c r="C70" i="2"/>
  <c r="C60" i="2"/>
  <c r="D55" i="2" s="1"/>
  <c r="D56" i="2" s="1"/>
  <c r="D59" i="2" s="1"/>
  <c r="M42" i="2"/>
  <c r="M49" i="2" s="1"/>
  <c r="J42" i="2"/>
  <c r="J49" i="2" s="1"/>
  <c r="B42" i="2"/>
  <c r="B49" i="2" s="1"/>
  <c r="U42" i="2"/>
  <c r="U49" i="2" s="1"/>
  <c r="Z42" i="2"/>
  <c r="Z49" i="2" s="1"/>
  <c r="R42" i="2"/>
  <c r="R49" i="2" s="1"/>
  <c r="L42" i="2"/>
  <c r="L49" i="2" s="1"/>
  <c r="C42" i="2"/>
  <c r="C49" i="2" s="1"/>
  <c r="K42" i="2"/>
  <c r="K49" i="2" s="1"/>
  <c r="F42" i="2"/>
  <c r="F49" i="2" s="1"/>
  <c r="S42" i="2"/>
  <c r="S49" i="2" s="1"/>
  <c r="AA42" i="2"/>
  <c r="AA49" i="2" s="1"/>
  <c r="N42" i="2"/>
  <c r="N49" i="2" s="1"/>
  <c r="G42" i="2"/>
  <c r="G49" i="2" s="1"/>
  <c r="P42" i="2"/>
  <c r="P49" i="2" s="1"/>
  <c r="D42" i="2"/>
  <c r="D49" i="2" s="1"/>
  <c r="V42" i="2"/>
  <c r="V49" i="2" s="1"/>
  <c r="O42" i="2"/>
  <c r="O49" i="2" s="1"/>
  <c r="X42" i="2"/>
  <c r="X49" i="2" s="1"/>
  <c r="W42" i="2"/>
  <c r="W49" i="2" s="1"/>
  <c r="E42" i="2"/>
  <c r="E49" i="2" s="1"/>
  <c r="Y42" i="2"/>
  <c r="Y49" i="2" s="1"/>
  <c r="T42" i="2"/>
  <c r="T49" i="2" s="1"/>
  <c r="I42" i="2"/>
  <c r="I49" i="2" s="1"/>
  <c r="H42" i="2"/>
  <c r="H49" i="2" s="1"/>
  <c r="Q42" i="2"/>
  <c r="Q49" i="2" s="1"/>
  <c r="D47" i="1"/>
  <c r="B48" i="1"/>
  <c r="B49" i="1" s="1"/>
  <c r="E35" i="1"/>
  <c r="E39" i="1" s="1"/>
  <c r="E40" i="1" s="1"/>
  <c r="E47" i="1" s="1"/>
  <c r="F43" i="8" l="1"/>
  <c r="F50" i="8" s="1"/>
  <c r="F51" i="8" s="1"/>
  <c r="D56" i="8"/>
  <c r="D59" i="8" s="1"/>
  <c r="C78" i="8"/>
  <c r="C64" i="8"/>
  <c r="D78" i="8"/>
  <c r="D64" i="8"/>
  <c r="E64" i="8"/>
  <c r="E78" i="8"/>
  <c r="B78" i="8"/>
  <c r="B64" i="8"/>
  <c r="G42" i="8"/>
  <c r="G49" i="8" s="1"/>
  <c r="I37" i="8"/>
  <c r="H41" i="8"/>
  <c r="F79" i="7"/>
  <c r="F78" i="7" s="1"/>
  <c r="F65" i="7"/>
  <c r="B65" i="7"/>
  <c r="B79" i="7"/>
  <c r="B78" i="7" s="1"/>
  <c r="E65" i="7"/>
  <c r="E79" i="7"/>
  <c r="E78" i="7" s="1"/>
  <c r="C65" i="7"/>
  <c r="C79" i="7"/>
  <c r="C78" i="7" s="1"/>
  <c r="D79" i="7"/>
  <c r="D78" i="7" s="1"/>
  <c r="D65" i="7"/>
  <c r="J38" i="7"/>
  <c r="I42" i="7"/>
  <c r="E57" i="7"/>
  <c r="E60" i="7" s="1"/>
  <c r="D71" i="7"/>
  <c r="D59" i="7"/>
  <c r="H43" i="7"/>
  <c r="H50" i="7" s="1"/>
  <c r="G52" i="7"/>
  <c r="D64" i="6"/>
  <c r="D78" i="6"/>
  <c r="D77" i="6" s="1"/>
  <c r="C60" i="6"/>
  <c r="D55" i="6" s="1"/>
  <c r="E64" i="6"/>
  <c r="E78" i="6"/>
  <c r="E77" i="6" s="1"/>
  <c r="B72" i="6"/>
  <c r="B83" i="6" s="1"/>
  <c r="B84" i="6" s="1"/>
  <c r="G43" i="6"/>
  <c r="G50" i="6" s="1"/>
  <c r="G42" i="6"/>
  <c r="G49" i="6" s="1"/>
  <c r="C70" i="6"/>
  <c r="C58" i="6"/>
  <c r="C71" i="6"/>
  <c r="I37" i="6"/>
  <c r="H41" i="6"/>
  <c r="F43" i="6"/>
  <c r="F50" i="6" s="1"/>
  <c r="F51" i="6" s="1"/>
  <c r="D56" i="5"/>
  <c r="D59" i="5" s="1"/>
  <c r="D58" i="5" s="1"/>
  <c r="B77" i="5"/>
  <c r="E42" i="5"/>
  <c r="E49" i="5" s="1"/>
  <c r="C78" i="5"/>
  <c r="C77" i="5" s="1"/>
  <c r="F41" i="5"/>
  <c r="D43" i="5"/>
  <c r="D50" i="5" s="1"/>
  <c r="D51" i="5" s="1"/>
  <c r="I79" i="4"/>
  <c r="I78" i="4" s="1"/>
  <c r="I65" i="4"/>
  <c r="M65" i="4"/>
  <c r="M79" i="4"/>
  <c r="M78" i="4" s="1"/>
  <c r="J79" i="4"/>
  <c r="J78" i="4" s="1"/>
  <c r="J65" i="4"/>
  <c r="G65" i="4"/>
  <c r="G79" i="4"/>
  <c r="G78" i="4" s="1"/>
  <c r="D79" i="4"/>
  <c r="D78" i="4" s="1"/>
  <c r="D65" i="4"/>
  <c r="L79" i="4"/>
  <c r="L78" i="4" s="1"/>
  <c r="L65" i="4"/>
  <c r="C79" i="4"/>
  <c r="C78" i="4" s="1"/>
  <c r="C65" i="4"/>
  <c r="K79" i="4"/>
  <c r="K78" i="4" s="1"/>
  <c r="K65" i="4"/>
  <c r="F65" i="4"/>
  <c r="F79" i="4"/>
  <c r="F78" i="4" s="1"/>
  <c r="B65" i="4"/>
  <c r="B79" i="4"/>
  <c r="B78" i="4" s="1"/>
  <c r="C71" i="4"/>
  <c r="C59" i="4"/>
  <c r="E65" i="4"/>
  <c r="E79" i="4"/>
  <c r="E78" i="4" s="1"/>
  <c r="H65" i="4"/>
  <c r="H79" i="4"/>
  <c r="H78" i="4" s="1"/>
  <c r="C61" i="4"/>
  <c r="D56" i="4" s="1"/>
  <c r="F69" i="3"/>
  <c r="I44" i="3"/>
  <c r="I51" i="3" s="1"/>
  <c r="I52" i="3" s="1"/>
  <c r="E65" i="3"/>
  <c r="E79" i="3"/>
  <c r="E78" i="3" s="1"/>
  <c r="H79" i="3"/>
  <c r="H78" i="3" s="1"/>
  <c r="H65" i="3"/>
  <c r="D65" i="3"/>
  <c r="D79" i="3"/>
  <c r="D78" i="3" s="1"/>
  <c r="J52" i="3"/>
  <c r="B79" i="3"/>
  <c r="B78" i="3" s="1"/>
  <c r="B65" i="3"/>
  <c r="K79" i="3"/>
  <c r="K78" i="3" s="1"/>
  <c r="K65" i="3"/>
  <c r="C79" i="3"/>
  <c r="C78" i="3" s="1"/>
  <c r="C65" i="3"/>
  <c r="D61" i="3"/>
  <c r="E56" i="3" s="1"/>
  <c r="D71" i="3"/>
  <c r="D59" i="3"/>
  <c r="O43" i="3"/>
  <c r="O50" i="3" s="1"/>
  <c r="Q38" i="3"/>
  <c r="P42" i="3"/>
  <c r="N44" i="3"/>
  <c r="N51" i="3" s="1"/>
  <c r="N52" i="3" s="1"/>
  <c r="L52" i="3"/>
  <c r="G65" i="3"/>
  <c r="G79" i="3"/>
  <c r="G78" i="3" s="1"/>
  <c r="M44" i="3"/>
  <c r="M51" i="3" s="1"/>
  <c r="M52" i="3" s="1"/>
  <c r="D60" i="2"/>
  <c r="E55" i="2" s="1"/>
  <c r="E56" i="2" s="1"/>
  <c r="E59" i="2" s="1"/>
  <c r="D58" i="2"/>
  <c r="D70" i="2"/>
  <c r="X43" i="2"/>
  <c r="X50" i="2" s="1"/>
  <c r="X51" i="2" s="1"/>
  <c r="U43" i="2"/>
  <c r="U50" i="2" s="1"/>
  <c r="U51" i="2" s="1"/>
  <c r="E60" i="2"/>
  <c r="F55" i="2" s="1"/>
  <c r="F56" i="2" s="1"/>
  <c r="D43" i="2"/>
  <c r="D50" i="2" s="1"/>
  <c r="D51" i="2" s="1"/>
  <c r="T43" i="2"/>
  <c r="T50" i="2" s="1"/>
  <c r="T51" i="2" s="1"/>
  <c r="O43" i="2"/>
  <c r="O50" i="2" s="1"/>
  <c r="O51" i="2" s="1"/>
  <c r="N43" i="2"/>
  <c r="N50" i="2" s="1"/>
  <c r="N51" i="2" s="1"/>
  <c r="Z43" i="2"/>
  <c r="Z50" i="2" s="1"/>
  <c r="Z51" i="2" s="1"/>
  <c r="K43" i="2"/>
  <c r="K50" i="2" s="1"/>
  <c r="K51" i="2" s="1"/>
  <c r="H43" i="2"/>
  <c r="H50" i="2" s="1"/>
  <c r="H51" i="2" s="1"/>
  <c r="I43" i="2"/>
  <c r="I50" i="2" s="1"/>
  <c r="I51" i="2" s="1"/>
  <c r="P43" i="2"/>
  <c r="P50" i="2" s="1"/>
  <c r="P51" i="2" s="1"/>
  <c r="L43" i="2"/>
  <c r="L50" i="2" s="1"/>
  <c r="L51" i="2" s="1"/>
  <c r="B43" i="2"/>
  <c r="B50" i="2" s="1"/>
  <c r="B51" i="2" s="1"/>
  <c r="Q43" i="2"/>
  <c r="Q50" i="2" s="1"/>
  <c r="Q51" i="2" s="1"/>
  <c r="Y43" i="2"/>
  <c r="Y50" i="2" s="1"/>
  <c r="Y51" i="2" s="1"/>
  <c r="G43" i="2"/>
  <c r="G50" i="2" s="1"/>
  <c r="G51" i="2" s="1"/>
  <c r="F43" i="2"/>
  <c r="F50" i="2" s="1"/>
  <c r="F51" i="2" s="1"/>
  <c r="R43" i="2"/>
  <c r="R50" i="2" s="1"/>
  <c r="R51" i="2" s="1"/>
  <c r="J43" i="2"/>
  <c r="J50" i="2" s="1"/>
  <c r="J51" i="2" s="1"/>
  <c r="W43" i="2"/>
  <c r="W50" i="2" s="1"/>
  <c r="W51" i="2" s="1"/>
  <c r="AA43" i="2"/>
  <c r="AA50" i="2" s="1"/>
  <c r="AA51" i="2" s="1"/>
  <c r="C43" i="2"/>
  <c r="C50" i="2" s="1"/>
  <c r="C51" i="2" s="1"/>
  <c r="S43" i="2"/>
  <c r="S50" i="2" s="1"/>
  <c r="S51" i="2" s="1"/>
  <c r="E43" i="2"/>
  <c r="E50" i="2" s="1"/>
  <c r="E51" i="2" s="1"/>
  <c r="V43" i="2"/>
  <c r="V50" i="2" s="1"/>
  <c r="V51" i="2" s="1"/>
  <c r="M43" i="2"/>
  <c r="M50" i="2" s="1"/>
  <c r="M51" i="2" s="1"/>
  <c r="B53" i="1"/>
  <c r="B54" i="1" s="1"/>
  <c r="B56" i="1" s="1"/>
  <c r="B71" i="1" s="1"/>
  <c r="B67" i="1"/>
  <c r="D41" i="1"/>
  <c r="D48" i="1" s="1"/>
  <c r="C67" i="1"/>
  <c r="C53" i="1"/>
  <c r="F35" i="1"/>
  <c r="F39" i="1" s="1"/>
  <c r="F40" i="1" s="1"/>
  <c r="F47" i="1" s="1"/>
  <c r="B79" i="8" l="1"/>
  <c r="D79" i="8"/>
  <c r="E79" i="8"/>
  <c r="C79" i="8"/>
  <c r="G43" i="8"/>
  <c r="G50" i="8" s="1"/>
  <c r="D60" i="8"/>
  <c r="E55" i="8" s="1"/>
  <c r="E56" i="8" s="1"/>
  <c r="E59" i="8" s="1"/>
  <c r="H42" i="8"/>
  <c r="H49" i="8" s="1"/>
  <c r="D65" i="8"/>
  <c r="D67" i="8" s="1"/>
  <c r="D83" i="8" s="1"/>
  <c r="D68" i="8"/>
  <c r="F64" i="8"/>
  <c r="F78" i="8"/>
  <c r="J37" i="8"/>
  <c r="I41" i="8"/>
  <c r="G51" i="8"/>
  <c r="C65" i="8"/>
  <c r="C67" i="8" s="1"/>
  <c r="E65" i="8"/>
  <c r="E67" i="8" s="1"/>
  <c r="E83" i="8" s="1"/>
  <c r="B65" i="8"/>
  <c r="B67" i="8" s="1"/>
  <c r="B68" i="8"/>
  <c r="B71" i="8" s="1"/>
  <c r="D70" i="8"/>
  <c r="D58" i="8"/>
  <c r="E61" i="7"/>
  <c r="F56" i="7" s="1"/>
  <c r="F57" i="7" s="1"/>
  <c r="F60" i="7" s="1"/>
  <c r="C66" i="7"/>
  <c r="C82" i="7" s="1"/>
  <c r="C80" i="7" s="1"/>
  <c r="C83" i="7" s="1"/>
  <c r="E71" i="7"/>
  <c r="E59" i="7"/>
  <c r="I43" i="7"/>
  <c r="I50" i="7" s="1"/>
  <c r="G79" i="7"/>
  <c r="G78" i="7" s="1"/>
  <c r="G65" i="7"/>
  <c r="K38" i="7"/>
  <c r="J42" i="7"/>
  <c r="B66" i="7"/>
  <c r="B80" i="7" s="1"/>
  <c r="B83" i="7" s="1"/>
  <c r="E66" i="7"/>
  <c r="E82" i="7" s="1"/>
  <c r="E80" i="7" s="1"/>
  <c r="E83" i="7" s="1"/>
  <c r="H44" i="7"/>
  <c r="H51" i="7" s="1"/>
  <c r="H52" i="7" s="1"/>
  <c r="D66" i="7"/>
  <c r="D82" i="7" s="1"/>
  <c r="D80" i="7" s="1"/>
  <c r="D83" i="7" s="1"/>
  <c r="F66" i="7"/>
  <c r="F82" i="7" s="1"/>
  <c r="F80" i="7" s="1"/>
  <c r="F83" i="7" s="1"/>
  <c r="F64" i="6"/>
  <c r="F78" i="6"/>
  <c r="F77" i="6" s="1"/>
  <c r="B87" i="6"/>
  <c r="B86" i="6"/>
  <c r="B95" i="6"/>
  <c r="B98" i="6" s="1"/>
  <c r="H42" i="6"/>
  <c r="H49" i="6" s="1"/>
  <c r="J37" i="6"/>
  <c r="I41" i="6"/>
  <c r="C72" i="6"/>
  <c r="C83" i="6" s="1"/>
  <c r="C84" i="6" s="1"/>
  <c r="E65" i="6"/>
  <c r="E67" i="6" s="1"/>
  <c r="E81" i="6" s="1"/>
  <c r="E79" i="6" s="1"/>
  <c r="E82" i="6" s="1"/>
  <c r="B73" i="6"/>
  <c r="D56" i="6"/>
  <c r="D59" i="6" s="1"/>
  <c r="G51" i="6"/>
  <c r="D65" i="6"/>
  <c r="D67" i="6" s="1"/>
  <c r="D81" i="6" s="1"/>
  <c r="D79" i="6" s="1"/>
  <c r="D82" i="6"/>
  <c r="D60" i="5"/>
  <c r="E55" i="5" s="1"/>
  <c r="D78" i="5"/>
  <c r="D77" i="5" s="1"/>
  <c r="D64" i="5"/>
  <c r="E43" i="5"/>
  <c r="E50" i="5" s="1"/>
  <c r="E51" i="5" s="1"/>
  <c r="C67" i="5"/>
  <c r="C81" i="5" s="1"/>
  <c r="C79" i="5" s="1"/>
  <c r="C82" i="5" s="1"/>
  <c r="G41" i="5"/>
  <c r="F42" i="5"/>
  <c r="F49" i="5" s="1"/>
  <c r="B79" i="5"/>
  <c r="B82" i="5" s="1"/>
  <c r="L66" i="4"/>
  <c r="L68" i="4" s="1"/>
  <c r="L82" i="4" s="1"/>
  <c r="L80" i="4" s="1"/>
  <c r="L83" i="4" s="1"/>
  <c r="L69" i="4"/>
  <c r="L72" i="4" s="1"/>
  <c r="M83" i="4"/>
  <c r="D61" i="4"/>
  <c r="E56" i="4" s="1"/>
  <c r="D57" i="4"/>
  <c r="D60" i="4" s="1"/>
  <c r="B66" i="4"/>
  <c r="B68" i="4" s="1"/>
  <c r="B82" i="4" s="1"/>
  <c r="B80" i="4" s="1"/>
  <c r="B69" i="4"/>
  <c r="B72" i="4" s="1"/>
  <c r="M66" i="4"/>
  <c r="M68" i="4" s="1"/>
  <c r="M82" i="4" s="1"/>
  <c r="M80" i="4" s="1"/>
  <c r="H83" i="4"/>
  <c r="D66" i="4"/>
  <c r="D68" i="4" s="1"/>
  <c r="D82" i="4" s="1"/>
  <c r="D80" i="4" s="1"/>
  <c r="D69" i="4"/>
  <c r="I66" i="4"/>
  <c r="I68" i="4" s="1"/>
  <c r="I82" i="4" s="1"/>
  <c r="I80" i="4" s="1"/>
  <c r="I83" i="4" s="1"/>
  <c r="H66" i="4"/>
  <c r="H68" i="4" s="1"/>
  <c r="H82" i="4" s="1"/>
  <c r="H80" i="4" s="1"/>
  <c r="F66" i="4"/>
  <c r="F68" i="4" s="1"/>
  <c r="F82" i="4" s="1"/>
  <c r="F80" i="4" s="1"/>
  <c r="F83" i="4" s="1"/>
  <c r="D83" i="4"/>
  <c r="E83" i="4"/>
  <c r="K66" i="4"/>
  <c r="K68" i="4" s="1"/>
  <c r="K82" i="4" s="1"/>
  <c r="K80" i="4" s="1"/>
  <c r="K69" i="4"/>
  <c r="K72" i="4" s="1"/>
  <c r="G83" i="4"/>
  <c r="B83" i="4"/>
  <c r="E69" i="4"/>
  <c r="E66" i="4"/>
  <c r="E68" i="4" s="1"/>
  <c r="E82" i="4" s="1"/>
  <c r="E80" i="4" s="1"/>
  <c r="K83" i="4"/>
  <c r="G69" i="4"/>
  <c r="G72" i="4" s="1"/>
  <c r="G66" i="4"/>
  <c r="G68" i="4" s="1"/>
  <c r="G82" i="4" s="1"/>
  <c r="G80" i="4" s="1"/>
  <c r="C66" i="4"/>
  <c r="C68" i="4" s="1"/>
  <c r="C82" i="4" s="1"/>
  <c r="C80" i="4" s="1"/>
  <c r="C83" i="4" s="1"/>
  <c r="C69" i="4"/>
  <c r="C72" i="4" s="1"/>
  <c r="J66" i="4"/>
  <c r="J68" i="4" s="1"/>
  <c r="J82" i="4" s="1"/>
  <c r="J80" i="4" s="1"/>
  <c r="J83" i="4" s="1"/>
  <c r="J69" i="4"/>
  <c r="J72" i="4" s="1"/>
  <c r="M65" i="3"/>
  <c r="M79" i="3"/>
  <c r="M78" i="3" s="1"/>
  <c r="I79" i="3"/>
  <c r="I78" i="3" s="1"/>
  <c r="I65" i="3"/>
  <c r="E57" i="3"/>
  <c r="E60" i="3" s="1"/>
  <c r="E61" i="3"/>
  <c r="F56" i="3" s="1"/>
  <c r="J79" i="3"/>
  <c r="J78" i="3" s="1"/>
  <c r="J65" i="3"/>
  <c r="C66" i="3"/>
  <c r="C68" i="3" s="1"/>
  <c r="C82" i="3" s="1"/>
  <c r="C80" i="3" s="1"/>
  <c r="C83" i="3" s="1"/>
  <c r="P43" i="3"/>
  <c r="P50" i="3" s="1"/>
  <c r="R38" i="3"/>
  <c r="Q42" i="3"/>
  <c r="G66" i="3"/>
  <c r="G68" i="3" s="1"/>
  <c r="G82" i="3" s="1"/>
  <c r="G80" i="3" s="1"/>
  <c r="G83" i="3" s="1"/>
  <c r="K66" i="3"/>
  <c r="K68" i="3" s="1"/>
  <c r="K82" i="3" s="1"/>
  <c r="K80" i="3" s="1"/>
  <c r="K83" i="3" s="1"/>
  <c r="H83" i="3"/>
  <c r="E66" i="3"/>
  <c r="E68" i="3" s="1"/>
  <c r="E82" i="3" s="1"/>
  <c r="E80" i="3" s="1"/>
  <c r="E83" i="3" s="1"/>
  <c r="D66" i="3"/>
  <c r="D68" i="3" s="1"/>
  <c r="D82" i="3" s="1"/>
  <c r="D80" i="3" s="1"/>
  <c r="D83" i="3" s="1"/>
  <c r="O44" i="3"/>
  <c r="O51" i="3" s="1"/>
  <c r="O52" i="3" s="1"/>
  <c r="H66" i="3"/>
  <c r="H68" i="3" s="1"/>
  <c r="H82" i="3" s="1"/>
  <c r="H80" i="3" s="1"/>
  <c r="H69" i="3"/>
  <c r="H72" i="3" s="1"/>
  <c r="L65" i="3"/>
  <c r="L79" i="3"/>
  <c r="L78" i="3" s="1"/>
  <c r="B66" i="3"/>
  <c r="B68" i="3" s="1"/>
  <c r="B82" i="3" s="1"/>
  <c r="B80" i="3" s="1"/>
  <c r="B83" i="3" s="1"/>
  <c r="E58" i="2"/>
  <c r="E70" i="2"/>
  <c r="F60" i="2"/>
  <c r="F59" i="2"/>
  <c r="E78" i="2"/>
  <c r="E77" i="2" s="1"/>
  <c r="E64" i="2"/>
  <c r="G64" i="2"/>
  <c r="G78" i="2"/>
  <c r="G77" i="2" s="1"/>
  <c r="B78" i="2"/>
  <c r="B77" i="2" s="1"/>
  <c r="B64" i="2"/>
  <c r="K64" i="2"/>
  <c r="K78" i="2"/>
  <c r="K77" i="2" s="1"/>
  <c r="L78" i="2"/>
  <c r="L77" i="2" s="1"/>
  <c r="L64" i="2"/>
  <c r="C78" i="2"/>
  <c r="C77" i="2" s="1"/>
  <c r="C64" i="2"/>
  <c r="M78" i="2"/>
  <c r="M77" i="2" s="1"/>
  <c r="M64" i="2"/>
  <c r="H78" i="2"/>
  <c r="H77" i="2" s="1"/>
  <c r="H64" i="2"/>
  <c r="J78" i="2"/>
  <c r="J77" i="2" s="1"/>
  <c r="J64" i="2"/>
  <c r="D64" i="2"/>
  <c r="D78" i="2"/>
  <c r="D77" i="2" s="1"/>
  <c r="F78" i="2"/>
  <c r="F77" i="2" s="1"/>
  <c r="F64" i="2"/>
  <c r="I78" i="2"/>
  <c r="I77" i="2" s="1"/>
  <c r="I64" i="2"/>
  <c r="D49" i="1"/>
  <c r="D53" i="1" s="1"/>
  <c r="C54" i="1"/>
  <c r="C56" i="1" s="1"/>
  <c r="C71" i="1" s="1"/>
  <c r="B57" i="1"/>
  <c r="E41" i="1"/>
  <c r="E48" i="1" s="1"/>
  <c r="F41" i="1"/>
  <c r="F48" i="1" s="1"/>
  <c r="G35" i="1"/>
  <c r="G39" i="1" s="1"/>
  <c r="G40" i="1" s="1"/>
  <c r="G47" i="1" s="1"/>
  <c r="D84" i="8" l="1"/>
  <c r="E85" i="8"/>
  <c r="E88" i="8" s="1"/>
  <c r="E84" i="8"/>
  <c r="B88" i="8"/>
  <c r="B84" i="8"/>
  <c r="C85" i="8"/>
  <c r="C88" i="8" s="1"/>
  <c r="C84" i="8"/>
  <c r="F79" i="8"/>
  <c r="D85" i="8"/>
  <c r="D88" i="8" s="1"/>
  <c r="E70" i="8"/>
  <c r="E58" i="8"/>
  <c r="F65" i="8"/>
  <c r="F67" i="8" s="1"/>
  <c r="F83" i="8" s="1"/>
  <c r="E60" i="8"/>
  <c r="F55" i="8" s="1"/>
  <c r="C68" i="8"/>
  <c r="C71" i="8" s="1"/>
  <c r="D71" i="8"/>
  <c r="B72" i="8"/>
  <c r="B86" i="8" s="1"/>
  <c r="G64" i="8"/>
  <c r="G78" i="8"/>
  <c r="I42" i="8"/>
  <c r="I49" i="8" s="1"/>
  <c r="E68" i="8"/>
  <c r="K37" i="8"/>
  <c r="J41" i="8"/>
  <c r="H43" i="8"/>
  <c r="H50" i="8" s="1"/>
  <c r="H51" i="8" s="1"/>
  <c r="F61" i="7"/>
  <c r="D69" i="7"/>
  <c r="D72" i="7" s="1"/>
  <c r="D73" i="7" s="1"/>
  <c r="D84" i="7" s="1"/>
  <c r="D85" i="7" s="1"/>
  <c r="H65" i="7"/>
  <c r="H79" i="7"/>
  <c r="H78" i="7" s="1"/>
  <c r="F71" i="7"/>
  <c r="F59" i="7"/>
  <c r="J43" i="7"/>
  <c r="J50" i="7" s="1"/>
  <c r="L38" i="7"/>
  <c r="K42" i="7"/>
  <c r="B69" i="7"/>
  <c r="B72" i="7" s="1"/>
  <c r="I52" i="7"/>
  <c r="G66" i="7"/>
  <c r="G82" i="7" s="1"/>
  <c r="G80" i="7" s="1"/>
  <c r="G83" i="7" s="1"/>
  <c r="G69" i="7"/>
  <c r="G72" i="7" s="1"/>
  <c r="E69" i="7"/>
  <c r="E72" i="7" s="1"/>
  <c r="F69" i="7"/>
  <c r="I44" i="7"/>
  <c r="I51" i="7" s="1"/>
  <c r="C69" i="7"/>
  <c r="C72" i="7" s="1"/>
  <c r="K37" i="6"/>
  <c r="J41" i="6"/>
  <c r="D60" i="6"/>
  <c r="E55" i="6" s="1"/>
  <c r="E68" i="6"/>
  <c r="D70" i="6"/>
  <c r="D58" i="6"/>
  <c r="H43" i="6"/>
  <c r="H50" i="6" s="1"/>
  <c r="H51" i="6" s="1"/>
  <c r="C86" i="6"/>
  <c r="C95" i="6"/>
  <c r="C98" i="6" s="1"/>
  <c r="B88" i="6"/>
  <c r="C88" i="6" s="1"/>
  <c r="F68" i="6"/>
  <c r="F65" i="6"/>
  <c r="F67" i="6" s="1"/>
  <c r="F81" i="6" s="1"/>
  <c r="F79" i="6" s="1"/>
  <c r="D68" i="6"/>
  <c r="C73" i="6"/>
  <c r="C87" i="6"/>
  <c r="G64" i="6"/>
  <c r="G78" i="6"/>
  <c r="G77" i="6" s="1"/>
  <c r="I42" i="6"/>
  <c r="I49" i="6" s="1"/>
  <c r="F82" i="6"/>
  <c r="E60" i="5"/>
  <c r="F55" i="5" s="1"/>
  <c r="E56" i="5"/>
  <c r="E59" i="5" s="1"/>
  <c r="E58" i="5" s="1"/>
  <c r="F43" i="5"/>
  <c r="F50" i="5" s="1"/>
  <c r="F51" i="5" s="1"/>
  <c r="E64" i="5"/>
  <c r="E78" i="5"/>
  <c r="E77" i="5" s="1"/>
  <c r="H41" i="5"/>
  <c r="C68" i="5"/>
  <c r="D65" i="5"/>
  <c r="D67" i="5" s="1"/>
  <c r="D81" i="5" s="1"/>
  <c r="D79" i="5" s="1"/>
  <c r="D82" i="5" s="1"/>
  <c r="G42" i="5"/>
  <c r="G49" i="5" s="1"/>
  <c r="L85" i="4"/>
  <c r="J73" i="4"/>
  <c r="J84" i="4" s="1"/>
  <c r="J85" i="4" s="1"/>
  <c r="E57" i="4"/>
  <c r="E60" i="4" s="1"/>
  <c r="F69" i="4"/>
  <c r="C73" i="4"/>
  <c r="C84" i="4" s="1"/>
  <c r="C85" i="4" s="1"/>
  <c r="L73" i="4"/>
  <c r="L84" i="4" s="1"/>
  <c r="K73" i="4"/>
  <c r="K84" i="4" s="1"/>
  <c r="K85" i="4" s="1"/>
  <c r="H69" i="4"/>
  <c r="H72" i="4" s="1"/>
  <c r="M69" i="4"/>
  <c r="M72" i="4" s="1"/>
  <c r="I69" i="4"/>
  <c r="I72" i="4" s="1"/>
  <c r="G73" i="4"/>
  <c r="G84" i="4" s="1"/>
  <c r="G85" i="4" s="1"/>
  <c r="G74" i="4"/>
  <c r="B73" i="4"/>
  <c r="B84" i="4" s="1"/>
  <c r="B85" i="4" s="1"/>
  <c r="D72" i="4"/>
  <c r="D71" i="4"/>
  <c r="D59" i="4"/>
  <c r="B69" i="3"/>
  <c r="B72" i="3" s="1"/>
  <c r="B73" i="3" s="1"/>
  <c r="B84" i="3" s="1"/>
  <c r="B85" i="3" s="1"/>
  <c r="C69" i="3"/>
  <c r="C72" i="3" s="1"/>
  <c r="D69" i="3"/>
  <c r="D72" i="3" s="1"/>
  <c r="D73" i="3" s="1"/>
  <c r="D84" i="3" s="1"/>
  <c r="D85" i="3" s="1"/>
  <c r="E69" i="3"/>
  <c r="K69" i="3"/>
  <c r="K72" i="3" s="1"/>
  <c r="K73" i="3" s="1"/>
  <c r="K84" i="3" s="1"/>
  <c r="K85" i="3" s="1"/>
  <c r="Q43" i="3"/>
  <c r="Q50" i="3" s="1"/>
  <c r="Q44" i="3"/>
  <c r="Q51" i="3" s="1"/>
  <c r="P44" i="3"/>
  <c r="P51" i="3" s="1"/>
  <c r="P52" i="3" s="1"/>
  <c r="E71" i="3"/>
  <c r="E59" i="3"/>
  <c r="L66" i="3"/>
  <c r="L68" i="3" s="1"/>
  <c r="L82" i="3" s="1"/>
  <c r="L80" i="3" s="1"/>
  <c r="L83" i="3" s="1"/>
  <c r="M66" i="3"/>
  <c r="M68" i="3" s="1"/>
  <c r="M82" i="3" s="1"/>
  <c r="M80" i="3" s="1"/>
  <c r="F57" i="3"/>
  <c r="F60" i="3" s="1"/>
  <c r="F61" i="3"/>
  <c r="I66" i="3"/>
  <c r="I68" i="3" s="1"/>
  <c r="I82" i="3" s="1"/>
  <c r="I80" i="3" s="1"/>
  <c r="I83" i="3" s="1"/>
  <c r="H73" i="3"/>
  <c r="H84" i="3" s="1"/>
  <c r="H85" i="3" s="1"/>
  <c r="G69" i="3"/>
  <c r="G72" i="3" s="1"/>
  <c r="C73" i="3"/>
  <c r="C84" i="3" s="1"/>
  <c r="J66" i="3"/>
  <c r="J68" i="3" s="1"/>
  <c r="J82" i="3" s="1"/>
  <c r="J80" i="3" s="1"/>
  <c r="J83" i="3" s="1"/>
  <c r="J69" i="3"/>
  <c r="J72" i="3" s="1"/>
  <c r="S38" i="3"/>
  <c r="R42" i="3"/>
  <c r="C85" i="3"/>
  <c r="M83" i="3"/>
  <c r="F58" i="2"/>
  <c r="F70" i="2"/>
  <c r="F65" i="2"/>
  <c r="F67" i="2" s="1"/>
  <c r="F81" i="2" s="1"/>
  <c r="F79" i="2" s="1"/>
  <c r="F82" i="2" s="1"/>
  <c r="M65" i="2"/>
  <c r="M67" i="2" s="1"/>
  <c r="M81" i="2" s="1"/>
  <c r="M79" i="2" s="1"/>
  <c r="M82" i="2" s="1"/>
  <c r="B65" i="2"/>
  <c r="B67" i="2" s="1"/>
  <c r="B81" i="2" s="1"/>
  <c r="B79" i="2" s="1"/>
  <c r="B82" i="2" s="1"/>
  <c r="C65" i="2"/>
  <c r="C67" i="2" s="1"/>
  <c r="C81" i="2" s="1"/>
  <c r="C79" i="2" s="1"/>
  <c r="C82" i="2" s="1"/>
  <c r="D65" i="2"/>
  <c r="D67" i="2" s="1"/>
  <c r="D81" i="2" s="1"/>
  <c r="D79" i="2" s="1"/>
  <c r="D82" i="2" s="1"/>
  <c r="G65" i="2"/>
  <c r="G67" i="2" s="1"/>
  <c r="G81" i="2" s="1"/>
  <c r="G79" i="2" s="1"/>
  <c r="G82" i="2" s="1"/>
  <c r="J65" i="2"/>
  <c r="J67" i="2" s="1"/>
  <c r="J81" i="2" s="1"/>
  <c r="J79" i="2" s="1"/>
  <c r="J82" i="2" s="1"/>
  <c r="L65" i="2"/>
  <c r="L67" i="2" s="1"/>
  <c r="L81" i="2" s="1"/>
  <c r="L79" i="2" s="1"/>
  <c r="L82" i="2" s="1"/>
  <c r="E65" i="2"/>
  <c r="E67" i="2" s="1"/>
  <c r="E81" i="2" s="1"/>
  <c r="E79" i="2" s="1"/>
  <c r="E82" i="2" s="1"/>
  <c r="I65" i="2"/>
  <c r="I67" i="2" s="1"/>
  <c r="I81" i="2" s="1"/>
  <c r="I79" i="2" s="1"/>
  <c r="I82" i="2" s="1"/>
  <c r="H65" i="2"/>
  <c r="H67" i="2" s="1"/>
  <c r="H81" i="2" s="1"/>
  <c r="H79" i="2" s="1"/>
  <c r="H82" i="2" s="1"/>
  <c r="K65" i="2"/>
  <c r="K67" i="2" s="1"/>
  <c r="K81" i="2" s="1"/>
  <c r="K79" i="2" s="1"/>
  <c r="K82" i="2" s="1"/>
  <c r="B60" i="1"/>
  <c r="B61" i="1" s="1"/>
  <c r="B73" i="1" s="1"/>
  <c r="B74" i="1" s="1"/>
  <c r="B75" i="1" s="1"/>
  <c r="D67" i="1"/>
  <c r="E49" i="1"/>
  <c r="E53" i="1" s="1"/>
  <c r="C57" i="1"/>
  <c r="C60" i="1" s="1"/>
  <c r="D54" i="1"/>
  <c r="D56" i="1" s="1"/>
  <c r="D71" i="1" s="1"/>
  <c r="F49" i="1"/>
  <c r="H35" i="1"/>
  <c r="H39" i="1" s="1"/>
  <c r="H40" i="1" s="1"/>
  <c r="H47" i="1" s="1"/>
  <c r="B90" i="8" l="1"/>
  <c r="F85" i="8"/>
  <c r="F88" i="8" s="1"/>
  <c r="F84" i="8"/>
  <c r="G79" i="8"/>
  <c r="B73" i="8"/>
  <c r="I43" i="8"/>
  <c r="I50" i="8" s="1"/>
  <c r="I51" i="8" s="1"/>
  <c r="B91" i="8"/>
  <c r="B99" i="8"/>
  <c r="B102" i="8" s="1"/>
  <c r="H64" i="8"/>
  <c r="H78" i="8"/>
  <c r="F56" i="8"/>
  <c r="F59" i="8" s="1"/>
  <c r="F60" i="8"/>
  <c r="G65" i="8"/>
  <c r="G67" i="8" s="1"/>
  <c r="G83" i="8" s="1"/>
  <c r="F68" i="8"/>
  <c r="J42" i="8"/>
  <c r="J49" i="8" s="1"/>
  <c r="L37" i="8"/>
  <c r="K41" i="8"/>
  <c r="E71" i="8"/>
  <c r="D72" i="8"/>
  <c r="D86" i="8" s="1"/>
  <c r="C72" i="8"/>
  <c r="C86" i="8" s="1"/>
  <c r="F72" i="7"/>
  <c r="F73" i="7" s="1"/>
  <c r="F84" i="7" s="1"/>
  <c r="F85" i="7" s="1"/>
  <c r="D96" i="7"/>
  <c r="D99" i="7" s="1"/>
  <c r="D87" i="7"/>
  <c r="H66" i="7"/>
  <c r="H82" i="7" s="1"/>
  <c r="H80" i="7" s="1"/>
  <c r="H83" i="7" s="1"/>
  <c r="J44" i="7"/>
  <c r="J51" i="7" s="1"/>
  <c r="E73" i="7"/>
  <c r="E84" i="7" s="1"/>
  <c r="E85" i="7" s="1"/>
  <c r="D74" i="7"/>
  <c r="C73" i="7"/>
  <c r="C84" i="7" s="1"/>
  <c r="C85" i="7" s="1"/>
  <c r="B73" i="7"/>
  <c r="B84" i="7" s="1"/>
  <c r="B85" i="7" s="1"/>
  <c r="K43" i="7"/>
  <c r="K50" i="7" s="1"/>
  <c r="K44" i="7"/>
  <c r="K51" i="7" s="1"/>
  <c r="J52" i="7"/>
  <c r="I65" i="7"/>
  <c r="I79" i="7"/>
  <c r="I78" i="7" s="1"/>
  <c r="G73" i="7"/>
  <c r="G84" i="7" s="1"/>
  <c r="G85" i="7" s="1"/>
  <c r="M38" i="7"/>
  <c r="L42" i="7"/>
  <c r="H78" i="6"/>
  <c r="H77" i="6" s="1"/>
  <c r="H64" i="6"/>
  <c r="I43" i="6"/>
  <c r="I50" i="6" s="1"/>
  <c r="I51" i="6" s="1"/>
  <c r="G68" i="6"/>
  <c r="G71" i="6" s="1"/>
  <c r="G65" i="6"/>
  <c r="G67" i="6" s="1"/>
  <c r="G81" i="6" s="1"/>
  <c r="G79" i="6" s="1"/>
  <c r="E56" i="6"/>
  <c r="E59" i="6" s="1"/>
  <c r="E60" i="6"/>
  <c r="F55" i="6" s="1"/>
  <c r="G82" i="6"/>
  <c r="D71" i="6"/>
  <c r="J42" i="6"/>
  <c r="J49" i="6" s="1"/>
  <c r="K41" i="6"/>
  <c r="L37" i="6"/>
  <c r="F56" i="5"/>
  <c r="F59" i="5" s="1"/>
  <c r="F58" i="5" s="1"/>
  <c r="B84" i="5"/>
  <c r="C72" i="5"/>
  <c r="C83" i="5" s="1"/>
  <c r="C84" i="5" s="1"/>
  <c r="G43" i="5"/>
  <c r="G50" i="5" s="1"/>
  <c r="G51" i="5" s="1"/>
  <c r="I41" i="5"/>
  <c r="F64" i="5"/>
  <c r="F78" i="5"/>
  <c r="F77" i="5" s="1"/>
  <c r="H42" i="5"/>
  <c r="H49" i="5" s="1"/>
  <c r="D68" i="5"/>
  <c r="D71" i="5" s="1"/>
  <c r="E65" i="5"/>
  <c r="E67" i="5" s="1"/>
  <c r="E81" i="5" s="1"/>
  <c r="E79" i="5" s="1"/>
  <c r="E82" i="5" s="1"/>
  <c r="K87" i="4"/>
  <c r="K96" i="4"/>
  <c r="K99" i="4" s="1"/>
  <c r="G87" i="4"/>
  <c r="G96" i="4"/>
  <c r="G99" i="4" s="1"/>
  <c r="J87" i="4"/>
  <c r="J96" i="4"/>
  <c r="J99" i="4" s="1"/>
  <c r="B88" i="4"/>
  <c r="C88" i="4" s="1"/>
  <c r="B87" i="4"/>
  <c r="B96" i="4"/>
  <c r="B99" i="4" s="1"/>
  <c r="C96" i="4"/>
  <c r="C99" i="4" s="1"/>
  <c r="C87" i="4"/>
  <c r="L87" i="4"/>
  <c r="L96" i="4"/>
  <c r="L99" i="4" s="1"/>
  <c r="K74" i="4"/>
  <c r="L74" i="4"/>
  <c r="E71" i="4"/>
  <c r="E72" i="4" s="1"/>
  <c r="E59" i="4"/>
  <c r="E61" i="4"/>
  <c r="F56" i="4" s="1"/>
  <c r="D73" i="4"/>
  <c r="D84" i="4" s="1"/>
  <c r="D85" i="4" s="1"/>
  <c r="I73" i="4"/>
  <c r="I84" i="4" s="1"/>
  <c r="I85" i="4" s="1"/>
  <c r="M73" i="4"/>
  <c r="M84" i="4" s="1"/>
  <c r="M85" i="4" s="1"/>
  <c r="M74" i="4"/>
  <c r="C74" i="4"/>
  <c r="J74" i="4"/>
  <c r="B74" i="4"/>
  <c r="H73" i="4"/>
  <c r="H84" i="4" s="1"/>
  <c r="H85" i="4" s="1"/>
  <c r="H74" i="4"/>
  <c r="D74" i="3"/>
  <c r="E72" i="3"/>
  <c r="L69" i="3"/>
  <c r="L72" i="3" s="1"/>
  <c r="C74" i="3"/>
  <c r="B88" i="3"/>
  <c r="C88" i="3" s="1"/>
  <c r="D88" i="3" s="1"/>
  <c r="B87" i="3"/>
  <c r="B96" i="3"/>
  <c r="B99" i="3" s="1"/>
  <c r="H96" i="3"/>
  <c r="H99" i="3" s="1"/>
  <c r="H87" i="3"/>
  <c r="K87" i="3"/>
  <c r="K96" i="3"/>
  <c r="K99" i="3" s="1"/>
  <c r="T38" i="3"/>
  <c r="S42" i="3"/>
  <c r="J73" i="3"/>
  <c r="J84" i="3" s="1"/>
  <c r="J85" i="3" s="1"/>
  <c r="H74" i="3"/>
  <c r="E73" i="3"/>
  <c r="E84" i="3" s="1"/>
  <c r="E85" i="3" s="1"/>
  <c r="E74" i="3"/>
  <c r="M69" i="3"/>
  <c r="M72" i="3" s="1"/>
  <c r="I69" i="3"/>
  <c r="I72" i="3" s="1"/>
  <c r="D87" i="3"/>
  <c r="D96" i="3"/>
  <c r="D99" i="3" s="1"/>
  <c r="C87" i="3"/>
  <c r="C96" i="3"/>
  <c r="C99" i="3" s="1"/>
  <c r="K74" i="3"/>
  <c r="L73" i="3"/>
  <c r="L84" i="3" s="1"/>
  <c r="L85" i="3" s="1"/>
  <c r="G73" i="3"/>
  <c r="G84" i="3" s="1"/>
  <c r="G85" i="3" s="1"/>
  <c r="Q52" i="3"/>
  <c r="R43" i="3"/>
  <c r="R50" i="3" s="1"/>
  <c r="R44" i="3"/>
  <c r="R51" i="3" s="1"/>
  <c r="B74" i="3"/>
  <c r="F71" i="3"/>
  <c r="F72" i="3" s="1"/>
  <c r="F59" i="3"/>
  <c r="D68" i="2"/>
  <c r="D71" i="2" s="1"/>
  <c r="D72" i="2" s="1"/>
  <c r="D83" i="2" s="1"/>
  <c r="D84" i="2" s="1"/>
  <c r="F68" i="2"/>
  <c r="H68" i="2"/>
  <c r="G68" i="2"/>
  <c r="E68" i="2"/>
  <c r="C68" i="2"/>
  <c r="K68" i="2"/>
  <c r="L68" i="2"/>
  <c r="J68" i="2"/>
  <c r="B68" i="2"/>
  <c r="I68" i="2"/>
  <c r="M68" i="2"/>
  <c r="C61" i="1"/>
  <c r="C73" i="1" s="1"/>
  <c r="B77" i="1"/>
  <c r="B78" i="1"/>
  <c r="E67" i="1"/>
  <c r="D57" i="1"/>
  <c r="D60" i="1" s="1"/>
  <c r="B62" i="1"/>
  <c r="F53" i="1"/>
  <c r="F67" i="1"/>
  <c r="G41" i="1"/>
  <c r="G48" i="1" s="1"/>
  <c r="E54" i="1"/>
  <c r="E56" i="1" s="1"/>
  <c r="E71" i="1" s="1"/>
  <c r="I35" i="1"/>
  <c r="I39" i="1" s="1"/>
  <c r="I40" i="1" s="1"/>
  <c r="I47" i="1" s="1"/>
  <c r="G85" i="8" l="1"/>
  <c r="G88" i="8" s="1"/>
  <c r="G84" i="8"/>
  <c r="H79" i="8"/>
  <c r="J43" i="8"/>
  <c r="J50" i="8" s="1"/>
  <c r="C91" i="8"/>
  <c r="D91" i="8" s="1"/>
  <c r="B92" i="8"/>
  <c r="G68" i="8"/>
  <c r="G71" i="8" s="1"/>
  <c r="K42" i="8"/>
  <c r="K49" i="8" s="1"/>
  <c r="M37" i="8"/>
  <c r="L41" i="8"/>
  <c r="I78" i="8"/>
  <c r="I64" i="8"/>
  <c r="J51" i="8"/>
  <c r="C90" i="8"/>
  <c r="C99" i="8"/>
  <c r="C102" i="8" s="1"/>
  <c r="D90" i="8"/>
  <c r="D99" i="8"/>
  <c r="D102" i="8" s="1"/>
  <c r="D73" i="8"/>
  <c r="E72" i="8"/>
  <c r="E86" i="8" s="1"/>
  <c r="E73" i="8"/>
  <c r="F70" i="8"/>
  <c r="F71" i="8" s="1"/>
  <c r="F58" i="8"/>
  <c r="C73" i="8"/>
  <c r="H65" i="8"/>
  <c r="H67" i="8" s="1"/>
  <c r="H83" i="8" s="1"/>
  <c r="B74" i="7"/>
  <c r="C74" i="7"/>
  <c r="C87" i="7"/>
  <c r="C96" i="7"/>
  <c r="C99" i="7" s="1"/>
  <c r="N38" i="7"/>
  <c r="M42" i="7"/>
  <c r="K52" i="7"/>
  <c r="L43" i="7"/>
  <c r="L50" i="7" s="1"/>
  <c r="E96" i="7"/>
  <c r="E99" i="7" s="1"/>
  <c r="E87" i="7"/>
  <c r="G87" i="7"/>
  <c r="G96" i="7"/>
  <c r="G99" i="7" s="1"/>
  <c r="I66" i="7"/>
  <c r="I82" i="7" s="1"/>
  <c r="I80" i="7" s="1"/>
  <c r="I83" i="7" s="1"/>
  <c r="J79" i="7"/>
  <c r="J78" i="7" s="1"/>
  <c r="J65" i="7"/>
  <c r="E74" i="7"/>
  <c r="G74" i="7"/>
  <c r="F96" i="7"/>
  <c r="F99" i="7" s="1"/>
  <c r="F87" i="7"/>
  <c r="F74" i="7"/>
  <c r="B87" i="7"/>
  <c r="B96" i="7"/>
  <c r="B99" i="7" s="1"/>
  <c r="B88" i="7"/>
  <c r="C88" i="7" s="1"/>
  <c r="D88" i="7" s="1"/>
  <c r="E88" i="7" s="1"/>
  <c r="F88" i="7" s="1"/>
  <c r="G88" i="7" s="1"/>
  <c r="H69" i="7"/>
  <c r="H72" i="7" s="1"/>
  <c r="I78" i="6"/>
  <c r="I77" i="6" s="1"/>
  <c r="I64" i="6"/>
  <c r="E70" i="6"/>
  <c r="E71" i="6" s="1"/>
  <c r="E58" i="6"/>
  <c r="G84" i="6"/>
  <c r="M37" i="6"/>
  <c r="L41" i="6"/>
  <c r="J43" i="6"/>
  <c r="J50" i="6" s="1"/>
  <c r="H65" i="6"/>
  <c r="H67" i="6" s="1"/>
  <c r="H81" i="6" s="1"/>
  <c r="H79" i="6" s="1"/>
  <c r="H82" i="6" s="1"/>
  <c r="D72" i="6"/>
  <c r="D83" i="6" s="1"/>
  <c r="D84" i="6" s="1"/>
  <c r="D73" i="6"/>
  <c r="F56" i="6"/>
  <c r="F59" i="6" s="1"/>
  <c r="K42" i="6"/>
  <c r="K49" i="6" s="1"/>
  <c r="K43" i="6"/>
  <c r="K50" i="6" s="1"/>
  <c r="J51" i="6"/>
  <c r="G72" i="6"/>
  <c r="G83" i="6" s="1"/>
  <c r="G73" i="6"/>
  <c r="F60" i="5"/>
  <c r="G55" i="5" s="1"/>
  <c r="G78" i="5"/>
  <c r="G77" i="5" s="1"/>
  <c r="G64" i="5"/>
  <c r="I42" i="5"/>
  <c r="I49" i="5" s="1"/>
  <c r="D72" i="5"/>
  <c r="D83" i="5" s="1"/>
  <c r="D84" i="5" s="1"/>
  <c r="C86" i="5"/>
  <c r="C95" i="5"/>
  <c r="C98" i="5" s="1"/>
  <c r="F65" i="5"/>
  <c r="F67" i="5" s="1"/>
  <c r="F81" i="5" s="1"/>
  <c r="F79" i="5" s="1"/>
  <c r="F82" i="5" s="1"/>
  <c r="C73" i="5"/>
  <c r="J41" i="5"/>
  <c r="E68" i="5"/>
  <c r="E71" i="5" s="1"/>
  <c r="H43" i="5"/>
  <c r="H50" i="5" s="1"/>
  <c r="H51" i="5" s="1"/>
  <c r="B87" i="5"/>
  <c r="C87" i="5" s="1"/>
  <c r="B86" i="5"/>
  <c r="B95" i="5"/>
  <c r="B98" i="5" s="1"/>
  <c r="I74" i="4"/>
  <c r="F57" i="4"/>
  <c r="F60" i="4" s="1"/>
  <c r="F61" i="4"/>
  <c r="E73" i="4"/>
  <c r="E84" i="4" s="1"/>
  <c r="E85" i="4" s="1"/>
  <c r="E74" i="4"/>
  <c r="M87" i="4"/>
  <c r="M96" i="4"/>
  <c r="M99" i="4" s="1"/>
  <c r="B89" i="4"/>
  <c r="C89" i="4" s="1"/>
  <c r="D89" i="4" s="1"/>
  <c r="I96" i="4"/>
  <c r="I99" i="4" s="1"/>
  <c r="I87" i="4"/>
  <c r="D88" i="4"/>
  <c r="H96" i="4"/>
  <c r="H99" i="4" s="1"/>
  <c r="H87" i="4"/>
  <c r="D87" i="4"/>
  <c r="D96" i="4"/>
  <c r="D99" i="4" s="1"/>
  <c r="D74" i="4"/>
  <c r="J74" i="3"/>
  <c r="E88" i="3"/>
  <c r="L74" i="3"/>
  <c r="J87" i="3"/>
  <c r="J96" i="3"/>
  <c r="J99" i="3" s="1"/>
  <c r="L87" i="3"/>
  <c r="L96" i="3"/>
  <c r="L99" i="3" s="1"/>
  <c r="R52" i="3"/>
  <c r="E87" i="3"/>
  <c r="E96" i="3"/>
  <c r="E99" i="3" s="1"/>
  <c r="G74" i="3"/>
  <c r="G96" i="3"/>
  <c r="G99" i="3" s="1"/>
  <c r="G87" i="3"/>
  <c r="S43" i="3"/>
  <c r="S50" i="3" s="1"/>
  <c r="S44" i="3"/>
  <c r="S51" i="3" s="1"/>
  <c r="F73" i="3"/>
  <c r="F84" i="3" s="1"/>
  <c r="F85" i="3" s="1"/>
  <c r="I73" i="3"/>
  <c r="I84" i="3" s="1"/>
  <c r="I85" i="3" s="1"/>
  <c r="U38" i="3"/>
  <c r="T42" i="3"/>
  <c r="M73" i="3"/>
  <c r="M84" i="3" s="1"/>
  <c r="M85" i="3" s="1"/>
  <c r="M74" i="3"/>
  <c r="B89" i="3"/>
  <c r="C89" i="3" s="1"/>
  <c r="D89" i="3" s="1"/>
  <c r="D86" i="2"/>
  <c r="D95" i="2"/>
  <c r="D98" i="2" s="1"/>
  <c r="J71" i="2"/>
  <c r="J72" i="2" s="1"/>
  <c r="J83" i="2" s="1"/>
  <c r="J84" i="2" s="1"/>
  <c r="F71" i="2"/>
  <c r="F72" i="2" s="1"/>
  <c r="F83" i="2" s="1"/>
  <c r="F84" i="2" s="1"/>
  <c r="L71" i="2"/>
  <c r="L72" i="2" s="1"/>
  <c r="L83" i="2" s="1"/>
  <c r="L84" i="2" s="1"/>
  <c r="C71" i="2"/>
  <c r="C72" i="2" s="1"/>
  <c r="C83" i="2" s="1"/>
  <c r="C84" i="2" s="1"/>
  <c r="M71" i="2"/>
  <c r="M72" i="2" s="1"/>
  <c r="M83" i="2" s="1"/>
  <c r="M84" i="2" s="1"/>
  <c r="E71" i="2"/>
  <c r="E72" i="2" s="1"/>
  <c r="E83" i="2" s="1"/>
  <c r="E84" i="2" s="1"/>
  <c r="I71" i="2"/>
  <c r="G71" i="2"/>
  <c r="G72" i="2" s="1"/>
  <c r="G83" i="2" s="1"/>
  <c r="G84" i="2" s="1"/>
  <c r="K71" i="2"/>
  <c r="K72" i="2" s="1"/>
  <c r="K83" i="2" s="1"/>
  <c r="K84" i="2" s="1"/>
  <c r="B71" i="2"/>
  <c r="B72" i="2" s="1"/>
  <c r="H71" i="2"/>
  <c r="H72" i="2" s="1"/>
  <c r="H83" i="2" s="1"/>
  <c r="H84" i="2" s="1"/>
  <c r="D73" i="2"/>
  <c r="C74" i="1"/>
  <c r="C75" i="1" s="1"/>
  <c r="C77" i="1" s="1"/>
  <c r="C62" i="1"/>
  <c r="D61" i="1"/>
  <c r="D73" i="1" s="1"/>
  <c r="D74" i="1" s="1"/>
  <c r="D75" i="1" s="1"/>
  <c r="B79" i="1"/>
  <c r="E57" i="1"/>
  <c r="E60" i="1" s="1"/>
  <c r="F54" i="1"/>
  <c r="F56" i="1" s="1"/>
  <c r="F71" i="1" s="1"/>
  <c r="H41" i="1"/>
  <c r="H48" i="1" s="1"/>
  <c r="G49" i="1"/>
  <c r="J35" i="1"/>
  <c r="J39" i="1" s="1"/>
  <c r="J40" i="1" s="1"/>
  <c r="J47" i="1" s="1"/>
  <c r="H85" i="8" l="1"/>
  <c r="H88" i="8" s="1"/>
  <c r="H84" i="8"/>
  <c r="I79" i="8"/>
  <c r="C92" i="8"/>
  <c r="D92" i="8" s="1"/>
  <c r="E92" i="8" s="1"/>
  <c r="G72" i="8"/>
  <c r="G86" i="8" s="1"/>
  <c r="I65" i="8"/>
  <c r="I67" i="8" s="1"/>
  <c r="I83" i="8" s="1"/>
  <c r="I68" i="8"/>
  <c r="I71" i="8" s="1"/>
  <c r="H68" i="8"/>
  <c r="H71" i="8" s="1"/>
  <c r="K43" i="8"/>
  <c r="K50" i="8" s="1"/>
  <c r="K51" i="8" s="1"/>
  <c r="L42" i="8"/>
  <c r="L49" i="8" s="1"/>
  <c r="F72" i="8"/>
  <c r="F86" i="8" s="1"/>
  <c r="F73" i="8"/>
  <c r="J78" i="8"/>
  <c r="J64" i="8"/>
  <c r="M41" i="8"/>
  <c r="N37" i="8"/>
  <c r="E91" i="8"/>
  <c r="E90" i="8"/>
  <c r="E99" i="8"/>
  <c r="E102" i="8" s="1"/>
  <c r="J66" i="7"/>
  <c r="J82" i="7" s="1"/>
  <c r="J80" i="7" s="1"/>
  <c r="J83" i="7" s="1"/>
  <c r="B89" i="7"/>
  <c r="C89" i="7" s="1"/>
  <c r="D89" i="7" s="1"/>
  <c r="E89" i="7" s="1"/>
  <c r="F89" i="7" s="1"/>
  <c r="G89" i="7" s="1"/>
  <c r="L44" i="7"/>
  <c r="L51" i="7" s="1"/>
  <c r="L52" i="7" s="1"/>
  <c r="I69" i="7"/>
  <c r="I72" i="7" s="1"/>
  <c r="K65" i="7"/>
  <c r="K79" i="7"/>
  <c r="K78" i="7" s="1"/>
  <c r="M43" i="7"/>
  <c r="M50" i="7" s="1"/>
  <c r="H73" i="7"/>
  <c r="H84" i="7" s="1"/>
  <c r="H85" i="7" s="1"/>
  <c r="O38" i="7"/>
  <c r="N42" i="7"/>
  <c r="K51" i="6"/>
  <c r="L43" i="6"/>
  <c r="L50" i="6" s="1"/>
  <c r="L42" i="6"/>
  <c r="L49" i="6" s="1"/>
  <c r="F60" i="6"/>
  <c r="M41" i="6"/>
  <c r="N37" i="6"/>
  <c r="J78" i="6"/>
  <c r="J77" i="6" s="1"/>
  <c r="J64" i="6"/>
  <c r="G95" i="6"/>
  <c r="G98" i="6" s="1"/>
  <c r="G86" i="6"/>
  <c r="E72" i="6"/>
  <c r="E83" i="6" s="1"/>
  <c r="E84" i="6" s="1"/>
  <c r="F70" i="6"/>
  <c r="F71" i="6" s="1"/>
  <c r="F58" i="6"/>
  <c r="D86" i="6"/>
  <c r="D95" i="6"/>
  <c r="D98" i="6" s="1"/>
  <c r="D87" i="6"/>
  <c r="E87" i="6" s="1"/>
  <c r="H68" i="6"/>
  <c r="H71" i="6" s="1"/>
  <c r="I65" i="6"/>
  <c r="I67" i="6" s="1"/>
  <c r="I81" i="6" s="1"/>
  <c r="I79" i="6" s="1"/>
  <c r="I82" i="6" s="1"/>
  <c r="I68" i="6"/>
  <c r="I71" i="6" s="1"/>
  <c r="G56" i="5"/>
  <c r="G59" i="5" s="1"/>
  <c r="G58" i="5" s="1"/>
  <c r="I43" i="5"/>
  <c r="I50" i="5" s="1"/>
  <c r="I51" i="5" s="1"/>
  <c r="D73" i="5"/>
  <c r="G65" i="5"/>
  <c r="G67" i="5" s="1"/>
  <c r="G81" i="5" s="1"/>
  <c r="G79" i="5" s="1"/>
  <c r="G82" i="5" s="1"/>
  <c r="K41" i="5"/>
  <c r="F68" i="5"/>
  <c r="J42" i="5"/>
  <c r="J49" i="5" s="1"/>
  <c r="H64" i="5"/>
  <c r="H78" i="5"/>
  <c r="H77" i="5" s="1"/>
  <c r="D87" i="5"/>
  <c r="D86" i="5"/>
  <c r="D95" i="5"/>
  <c r="D98" i="5" s="1"/>
  <c r="B88" i="5"/>
  <c r="C88" i="5" s="1"/>
  <c r="E72" i="5"/>
  <c r="E83" i="5" s="1"/>
  <c r="E84" i="5" s="1"/>
  <c r="E87" i="4"/>
  <c r="E89" i="4" s="1"/>
  <c r="E96" i="4"/>
  <c r="E99" i="4" s="1"/>
  <c r="F71" i="4"/>
  <c r="F72" i="4" s="1"/>
  <c r="F59" i="4"/>
  <c r="E88" i="4"/>
  <c r="F88" i="3"/>
  <c r="G88" i="3" s="1"/>
  <c r="H88" i="3" s="1"/>
  <c r="I88" i="3" s="1"/>
  <c r="J88" i="3" s="1"/>
  <c r="K88" i="3" s="1"/>
  <c r="L88" i="3" s="1"/>
  <c r="M88" i="3" s="1"/>
  <c r="D62" i="1"/>
  <c r="F73" i="2"/>
  <c r="B92" i="3"/>
  <c r="T43" i="3"/>
  <c r="T50" i="3" s="1"/>
  <c r="S52" i="3"/>
  <c r="I74" i="3"/>
  <c r="F87" i="3"/>
  <c r="F96" i="3"/>
  <c r="F99" i="3" s="1"/>
  <c r="B101" i="3" s="1"/>
  <c r="M87" i="3"/>
  <c r="M96" i="3"/>
  <c r="M99" i="3" s="1"/>
  <c r="V38" i="3"/>
  <c r="U42" i="3"/>
  <c r="I87" i="3"/>
  <c r="I96" i="3"/>
  <c r="I99" i="3" s="1"/>
  <c r="E89" i="3"/>
  <c r="F89" i="3" s="1"/>
  <c r="G89" i="3" s="1"/>
  <c r="H89" i="3" s="1"/>
  <c r="F74" i="3"/>
  <c r="E73" i="2"/>
  <c r="L86" i="2"/>
  <c r="L95" i="2"/>
  <c r="L98" i="2" s="1"/>
  <c r="G73" i="2"/>
  <c r="E86" i="2"/>
  <c r="E95" i="2"/>
  <c r="E98" i="2" s="1"/>
  <c r="M86" i="2"/>
  <c r="M95" i="2"/>
  <c r="M98" i="2" s="1"/>
  <c r="C86" i="2"/>
  <c r="C95" i="2"/>
  <c r="C98" i="2" s="1"/>
  <c r="I72" i="2"/>
  <c r="I83" i="2" s="1"/>
  <c r="I84" i="2" s="1"/>
  <c r="H86" i="2"/>
  <c r="H95" i="2"/>
  <c r="H98" i="2" s="1"/>
  <c r="G86" i="2"/>
  <c r="G95" i="2"/>
  <c r="G98" i="2" s="1"/>
  <c r="L73" i="2"/>
  <c r="F86" i="2"/>
  <c r="F95" i="2"/>
  <c r="F98" i="2" s="1"/>
  <c r="K86" i="2"/>
  <c r="K95" i="2"/>
  <c r="K98" i="2" s="1"/>
  <c r="J86" i="2"/>
  <c r="J95" i="2"/>
  <c r="J98" i="2" s="1"/>
  <c r="H73" i="2"/>
  <c r="C73" i="2"/>
  <c r="M73" i="2"/>
  <c r="K73" i="2"/>
  <c r="J73" i="2"/>
  <c r="B73" i="2"/>
  <c r="B83" i="2"/>
  <c r="B84" i="2" s="1"/>
  <c r="B95" i="2" s="1"/>
  <c r="B98" i="2" s="1"/>
  <c r="C78" i="1"/>
  <c r="C79" i="1"/>
  <c r="D77" i="1"/>
  <c r="D78" i="1"/>
  <c r="E61" i="1"/>
  <c r="E73" i="1" s="1"/>
  <c r="E74" i="1" s="1"/>
  <c r="E75" i="1" s="1"/>
  <c r="H49" i="1"/>
  <c r="H53" i="1" s="1"/>
  <c r="F57" i="1"/>
  <c r="F60" i="1" s="1"/>
  <c r="G67" i="1"/>
  <c r="G53" i="1"/>
  <c r="I41" i="1"/>
  <c r="I48" i="1" s="1"/>
  <c r="K35" i="1"/>
  <c r="K39" i="1" s="1"/>
  <c r="K40" i="1" s="1"/>
  <c r="K47" i="1" s="1"/>
  <c r="I85" i="8" l="1"/>
  <c r="I88" i="8" s="1"/>
  <c r="I84" i="8"/>
  <c r="J79" i="8"/>
  <c r="F91" i="8"/>
  <c r="G91" i="8" s="1"/>
  <c r="K78" i="8"/>
  <c r="K64" i="8"/>
  <c r="J65" i="8"/>
  <c r="J67" i="8" s="1"/>
  <c r="J83" i="8" s="1"/>
  <c r="F90" i="8"/>
  <c r="F92" i="8" s="1"/>
  <c r="F99" i="8"/>
  <c r="F102" i="8" s="1"/>
  <c r="G73" i="8"/>
  <c r="I72" i="8"/>
  <c r="I86" i="8" s="1"/>
  <c r="N41" i="8"/>
  <c r="O37" i="8"/>
  <c r="L43" i="8"/>
  <c r="L50" i="8" s="1"/>
  <c r="L51" i="8" s="1"/>
  <c r="G90" i="8"/>
  <c r="G99" i="8"/>
  <c r="G102" i="8" s="1"/>
  <c r="H72" i="8"/>
  <c r="H86" i="8" s="1"/>
  <c r="H73" i="8"/>
  <c r="M42" i="8"/>
  <c r="M49" i="8" s="1"/>
  <c r="L79" i="7"/>
  <c r="L78" i="7" s="1"/>
  <c r="L65" i="7"/>
  <c r="H96" i="7"/>
  <c r="H99" i="7" s="1"/>
  <c r="H87" i="7"/>
  <c r="H89" i="7"/>
  <c r="I73" i="7"/>
  <c r="I84" i="7" s="1"/>
  <c r="I85" i="7" s="1"/>
  <c r="M44" i="7"/>
  <c r="M51" i="7" s="1"/>
  <c r="M52" i="7" s="1"/>
  <c r="P38" i="7"/>
  <c r="O42" i="7"/>
  <c r="N43" i="7"/>
  <c r="N50" i="7" s="1"/>
  <c r="H88" i="7"/>
  <c r="J69" i="7"/>
  <c r="J72" i="7" s="1"/>
  <c r="H74" i="7"/>
  <c r="K66" i="7"/>
  <c r="K82" i="7" s="1"/>
  <c r="K80" i="7" s="1"/>
  <c r="K83" i="7" s="1"/>
  <c r="I84" i="6"/>
  <c r="D88" i="6"/>
  <c r="E88" i="6" s="1"/>
  <c r="O37" i="6"/>
  <c r="N41" i="6"/>
  <c r="I73" i="6"/>
  <c r="I72" i="6"/>
  <c r="I83" i="6" s="1"/>
  <c r="F72" i="6"/>
  <c r="F83" i="6" s="1"/>
  <c r="F84" i="6" s="1"/>
  <c r="F73" i="6"/>
  <c r="M43" i="6"/>
  <c r="M50" i="6" s="1"/>
  <c r="M42" i="6"/>
  <c r="M49" i="6" s="1"/>
  <c r="E73" i="6"/>
  <c r="H73" i="6"/>
  <c r="H72" i="6"/>
  <c r="H83" i="6" s="1"/>
  <c r="H84" i="6" s="1"/>
  <c r="E86" i="6"/>
  <c r="E95" i="6"/>
  <c r="E98" i="6" s="1"/>
  <c r="L51" i="6"/>
  <c r="F87" i="6"/>
  <c r="G87" i="6" s="1"/>
  <c r="H87" i="6" s="1"/>
  <c r="I87" i="6" s="1"/>
  <c r="K78" i="6"/>
  <c r="K77" i="6" s="1"/>
  <c r="K64" i="6"/>
  <c r="J65" i="6"/>
  <c r="J67" i="6" s="1"/>
  <c r="J81" i="6" s="1"/>
  <c r="J79" i="6" s="1"/>
  <c r="J82" i="6" s="1"/>
  <c r="J68" i="6"/>
  <c r="J71" i="6" s="1"/>
  <c r="G60" i="5"/>
  <c r="F71" i="5"/>
  <c r="F72" i="5" s="1"/>
  <c r="F83" i="5" s="1"/>
  <c r="F84" i="5" s="1"/>
  <c r="E73" i="5"/>
  <c r="D88" i="5"/>
  <c r="E87" i="5"/>
  <c r="H65" i="5"/>
  <c r="H67" i="5" s="1"/>
  <c r="H81" i="5" s="1"/>
  <c r="H79" i="5" s="1"/>
  <c r="H82" i="5" s="1"/>
  <c r="G68" i="5"/>
  <c r="G71" i="5" s="1"/>
  <c r="J43" i="5"/>
  <c r="J50" i="5" s="1"/>
  <c r="J51" i="5" s="1"/>
  <c r="K42" i="5"/>
  <c r="K49" i="5" s="1"/>
  <c r="I78" i="5"/>
  <c r="I77" i="5" s="1"/>
  <c r="I64" i="5"/>
  <c r="L41" i="5"/>
  <c r="E86" i="5"/>
  <c r="E95" i="5"/>
  <c r="E98" i="5" s="1"/>
  <c r="F73" i="4"/>
  <c r="F84" i="4" s="1"/>
  <c r="F85" i="4" s="1"/>
  <c r="F88" i="4" s="1"/>
  <c r="G88" i="4" s="1"/>
  <c r="H88" i="4" s="1"/>
  <c r="I88" i="4" s="1"/>
  <c r="J88" i="4" s="1"/>
  <c r="K88" i="4" s="1"/>
  <c r="L88" i="4" s="1"/>
  <c r="M88" i="4" s="1"/>
  <c r="I89" i="3"/>
  <c r="J89" i="3" s="1"/>
  <c r="K89" i="3" s="1"/>
  <c r="L89" i="3" s="1"/>
  <c r="M89" i="3" s="1"/>
  <c r="D79" i="1"/>
  <c r="B102" i="3"/>
  <c r="B91" i="3"/>
  <c r="W38" i="3"/>
  <c r="V42" i="3"/>
  <c r="U43" i="3"/>
  <c r="U50" i="3" s="1"/>
  <c r="T44" i="3"/>
  <c r="T51" i="3" s="1"/>
  <c r="T52" i="3" s="1"/>
  <c r="I86" i="2"/>
  <c r="I95" i="2"/>
  <c r="I98" i="2" s="1"/>
  <c r="B101" i="2" s="1"/>
  <c r="I73" i="2"/>
  <c r="B86" i="2"/>
  <c r="B87" i="2"/>
  <c r="C87" i="2" s="1"/>
  <c r="D87" i="2" s="1"/>
  <c r="E87" i="2" s="1"/>
  <c r="F87" i="2" s="1"/>
  <c r="G87" i="2" s="1"/>
  <c r="H87" i="2" s="1"/>
  <c r="I87" i="2" s="1"/>
  <c r="J87" i="2" s="1"/>
  <c r="K87" i="2" s="1"/>
  <c r="L87" i="2" s="1"/>
  <c r="M87" i="2" s="1"/>
  <c r="B91" i="2"/>
  <c r="H67" i="1"/>
  <c r="E62" i="1"/>
  <c r="E77" i="1"/>
  <c r="E78" i="1"/>
  <c r="F61" i="1"/>
  <c r="F73" i="1" s="1"/>
  <c r="F74" i="1" s="1"/>
  <c r="F75" i="1" s="1"/>
  <c r="J41" i="1"/>
  <c r="J48" i="1" s="1"/>
  <c r="G54" i="1"/>
  <c r="G56" i="1" s="1"/>
  <c r="G71" i="1" s="1"/>
  <c r="H54" i="1"/>
  <c r="H56" i="1" s="1"/>
  <c r="H71" i="1" s="1"/>
  <c r="I49" i="1"/>
  <c r="K41" i="1"/>
  <c r="K48" i="1" s="1"/>
  <c r="L35" i="1"/>
  <c r="L39" i="1" s="1"/>
  <c r="L40" i="1" s="1"/>
  <c r="L47" i="1" s="1"/>
  <c r="G92" i="8" l="1"/>
  <c r="J84" i="8"/>
  <c r="J85" i="8"/>
  <c r="J88" i="8" s="1"/>
  <c r="I90" i="8"/>
  <c r="K79" i="8"/>
  <c r="M43" i="8"/>
  <c r="M50" i="8" s="1"/>
  <c r="M51" i="8" s="1"/>
  <c r="L78" i="8"/>
  <c r="L64" i="8"/>
  <c r="J68" i="8"/>
  <c r="J71" i="8" s="1"/>
  <c r="H99" i="8"/>
  <c r="H102" i="8" s="1"/>
  <c r="H90" i="8"/>
  <c r="P37" i="8"/>
  <c r="O41" i="8"/>
  <c r="K65" i="8"/>
  <c r="K67" i="8" s="1"/>
  <c r="K83" i="8" s="1"/>
  <c r="I73" i="8"/>
  <c r="N42" i="8"/>
  <c r="N49" i="8" s="1"/>
  <c r="H91" i="8"/>
  <c r="I91" i="8" s="1"/>
  <c r="I74" i="7"/>
  <c r="I88" i="7"/>
  <c r="L66" i="7"/>
  <c r="L82" i="7" s="1"/>
  <c r="L80" i="7" s="1"/>
  <c r="L83" i="7" s="1"/>
  <c r="L69" i="7"/>
  <c r="L72" i="7" s="1"/>
  <c r="N44" i="7"/>
  <c r="N51" i="7" s="1"/>
  <c r="N52" i="7" s="1"/>
  <c r="M79" i="7"/>
  <c r="M78" i="7" s="1"/>
  <c r="M65" i="7"/>
  <c r="K69" i="7"/>
  <c r="K72" i="7" s="1"/>
  <c r="O43" i="7"/>
  <c r="O50" i="7" s="1"/>
  <c r="Q38" i="7"/>
  <c r="P42" i="7"/>
  <c r="J73" i="7"/>
  <c r="J84" i="7" s="1"/>
  <c r="J85" i="7" s="1"/>
  <c r="I96" i="7"/>
  <c r="I99" i="7" s="1"/>
  <c r="I87" i="7"/>
  <c r="I89" i="7" s="1"/>
  <c r="J84" i="6"/>
  <c r="H95" i="6"/>
  <c r="H98" i="6" s="1"/>
  <c r="H86" i="6"/>
  <c r="F86" i="6"/>
  <c r="F95" i="6"/>
  <c r="F98" i="6" s="1"/>
  <c r="K65" i="6"/>
  <c r="K67" i="6" s="1"/>
  <c r="K81" i="6" s="1"/>
  <c r="K79" i="6" s="1"/>
  <c r="K68" i="6"/>
  <c r="K71" i="6" s="1"/>
  <c r="N43" i="6"/>
  <c r="N50" i="6" s="1"/>
  <c r="N42" i="6"/>
  <c r="K82" i="6"/>
  <c r="M51" i="6"/>
  <c r="F88" i="6"/>
  <c r="G88" i="6" s="1"/>
  <c r="O41" i="6"/>
  <c r="P37" i="6"/>
  <c r="L64" i="6"/>
  <c r="L78" i="6"/>
  <c r="L77" i="6" s="1"/>
  <c r="J73" i="6"/>
  <c r="J72" i="6"/>
  <c r="J83" i="6" s="1"/>
  <c r="I95" i="6"/>
  <c r="I98" i="6" s="1"/>
  <c r="I86" i="6"/>
  <c r="F87" i="5"/>
  <c r="E88" i="5"/>
  <c r="F73" i="5"/>
  <c r="J78" i="5"/>
  <c r="J77" i="5" s="1"/>
  <c r="J64" i="5"/>
  <c r="H68" i="5"/>
  <c r="H71" i="5" s="1"/>
  <c r="F86" i="5"/>
  <c r="F95" i="5"/>
  <c r="F98" i="5" s="1"/>
  <c r="K43" i="5"/>
  <c r="K50" i="5" s="1"/>
  <c r="K51" i="5" s="1"/>
  <c r="L42" i="5"/>
  <c r="L49" i="5" s="1"/>
  <c r="M41" i="5"/>
  <c r="I65" i="5"/>
  <c r="I67" i="5" s="1"/>
  <c r="I81" i="5" s="1"/>
  <c r="I79" i="5" s="1"/>
  <c r="I82" i="5" s="1"/>
  <c r="G72" i="5"/>
  <c r="G83" i="5" s="1"/>
  <c r="G84" i="5" s="1"/>
  <c r="F87" i="4"/>
  <c r="F96" i="4"/>
  <c r="F99" i="4" s="1"/>
  <c r="B92" i="4"/>
  <c r="F74" i="4"/>
  <c r="B100" i="2"/>
  <c r="U44" i="3"/>
  <c r="U51" i="3" s="1"/>
  <c r="U52" i="3" s="1"/>
  <c r="V43" i="3"/>
  <c r="V50" i="3" s="1"/>
  <c r="X38" i="3"/>
  <c r="W42" i="3"/>
  <c r="B88" i="2"/>
  <c r="C88" i="2" s="1"/>
  <c r="D88" i="2" s="1"/>
  <c r="E88" i="2" s="1"/>
  <c r="F88" i="2" s="1"/>
  <c r="G88" i="2" s="1"/>
  <c r="H88" i="2" s="1"/>
  <c r="I88" i="2" s="1"/>
  <c r="J88" i="2" s="1"/>
  <c r="K88" i="2" s="1"/>
  <c r="L88" i="2" s="1"/>
  <c r="M88" i="2" s="1"/>
  <c r="B90" i="2"/>
  <c r="G57" i="1"/>
  <c r="G60" i="1" s="1"/>
  <c r="G61" i="1" s="1"/>
  <c r="E79" i="1"/>
  <c r="G74" i="1"/>
  <c r="G75" i="1" s="1"/>
  <c r="F62" i="1"/>
  <c r="F77" i="1"/>
  <c r="F78" i="1"/>
  <c r="H57" i="1"/>
  <c r="H60" i="1" s="1"/>
  <c r="H61" i="1" s="1"/>
  <c r="K49" i="1"/>
  <c r="G73" i="1"/>
  <c r="G62" i="1"/>
  <c r="I67" i="1"/>
  <c r="I53" i="1"/>
  <c r="J49" i="1"/>
  <c r="M35" i="1"/>
  <c r="M39" i="1" s="1"/>
  <c r="M40" i="1" s="1"/>
  <c r="M47" i="1" s="1"/>
  <c r="H92" i="8" l="1"/>
  <c r="I92" i="8" s="1"/>
  <c r="I99" i="8"/>
  <c r="I102" i="8" s="1"/>
  <c r="K68" i="8"/>
  <c r="K71" i="8" s="1"/>
  <c r="K72" i="8" s="1"/>
  <c r="K86" i="8" s="1"/>
  <c r="K85" i="8"/>
  <c r="K88" i="8" s="1"/>
  <c r="K84" i="8"/>
  <c r="L79" i="8"/>
  <c r="M64" i="8"/>
  <c r="M78" i="8"/>
  <c r="J72" i="8"/>
  <c r="J86" i="8" s="1"/>
  <c r="J91" i="8" s="1"/>
  <c r="O42" i="8"/>
  <c r="O49" i="8" s="1"/>
  <c r="Q37" i="8"/>
  <c r="P41" i="8"/>
  <c r="L65" i="8"/>
  <c r="L67" i="8" s="1"/>
  <c r="L83" i="8" s="1"/>
  <c r="N43" i="8"/>
  <c r="N50" i="8" s="1"/>
  <c r="N51" i="8" s="1"/>
  <c r="J74" i="7"/>
  <c r="O44" i="7"/>
  <c r="O51" i="7" s="1"/>
  <c r="N79" i="7"/>
  <c r="N78" i="7" s="1"/>
  <c r="N65" i="7"/>
  <c r="N66" i="7" s="1"/>
  <c r="N68" i="7" s="1"/>
  <c r="L73" i="7"/>
  <c r="L84" i="7" s="1"/>
  <c r="L85" i="7" s="1"/>
  <c r="J87" i="7"/>
  <c r="J89" i="7" s="1"/>
  <c r="J96" i="7"/>
  <c r="J99" i="7" s="1"/>
  <c r="J88" i="7"/>
  <c r="P43" i="7"/>
  <c r="P50" i="7" s="1"/>
  <c r="R38" i="7"/>
  <c r="Q42" i="7"/>
  <c r="O52" i="7"/>
  <c r="K73" i="7"/>
  <c r="K84" i="7" s="1"/>
  <c r="K85" i="7" s="1"/>
  <c r="K74" i="7"/>
  <c r="M66" i="7"/>
  <c r="M82" i="7" s="1"/>
  <c r="M80" i="7" s="1"/>
  <c r="M83" i="7" s="1"/>
  <c r="H88" i="6"/>
  <c r="I88" i="6" s="1"/>
  <c r="L68" i="6"/>
  <c r="L71" i="6" s="1"/>
  <c r="L65" i="6"/>
  <c r="L67" i="6" s="1"/>
  <c r="L81" i="6" s="1"/>
  <c r="L79" i="6" s="1"/>
  <c r="K72" i="6"/>
  <c r="K83" i="6" s="1"/>
  <c r="K84" i="6" s="1"/>
  <c r="M64" i="6"/>
  <c r="M78" i="6"/>
  <c r="M77" i="6" s="1"/>
  <c r="J86" i="6"/>
  <c r="J95" i="6"/>
  <c r="J98" i="6" s="1"/>
  <c r="Q37" i="6"/>
  <c r="P41" i="6"/>
  <c r="O42" i="6"/>
  <c r="O49" i="6" s="1"/>
  <c r="J87" i="6"/>
  <c r="L82" i="6"/>
  <c r="N51" i="6"/>
  <c r="G87" i="5"/>
  <c r="G73" i="5"/>
  <c r="F88" i="5"/>
  <c r="L43" i="5"/>
  <c r="L50" i="5" s="1"/>
  <c r="L51" i="5" s="1"/>
  <c r="I68" i="5"/>
  <c r="I71" i="5" s="1"/>
  <c r="I72" i="5" s="1"/>
  <c r="I83" i="5" s="1"/>
  <c r="I84" i="5" s="1"/>
  <c r="H72" i="5"/>
  <c r="H83" i="5" s="1"/>
  <c r="H84" i="5" s="1"/>
  <c r="J65" i="5"/>
  <c r="J67" i="5" s="1"/>
  <c r="J81" i="5" s="1"/>
  <c r="J79" i="5" s="1"/>
  <c r="J82" i="5" s="1"/>
  <c r="K78" i="5"/>
  <c r="K77" i="5" s="1"/>
  <c r="K64" i="5"/>
  <c r="G86" i="5"/>
  <c r="G95" i="5"/>
  <c r="G98" i="5" s="1"/>
  <c r="M42" i="5"/>
  <c r="M49" i="5" s="1"/>
  <c r="N41" i="5"/>
  <c r="B101" i="4"/>
  <c r="B102" i="4"/>
  <c r="F89" i="4"/>
  <c r="G89" i="4" s="1"/>
  <c r="H89" i="4" s="1"/>
  <c r="I89" i="4" s="1"/>
  <c r="J89" i="4" s="1"/>
  <c r="K89" i="4" s="1"/>
  <c r="L89" i="4" s="1"/>
  <c r="M89" i="4" s="1"/>
  <c r="B91" i="4"/>
  <c r="F79" i="1"/>
  <c r="W43" i="3"/>
  <c r="W50" i="3" s="1"/>
  <c r="Y38" i="3"/>
  <c r="X42" i="3"/>
  <c r="V44" i="3"/>
  <c r="V51" i="3" s="1"/>
  <c r="V52" i="3" s="1"/>
  <c r="G77" i="1"/>
  <c r="G78" i="1"/>
  <c r="H73" i="1"/>
  <c r="J67" i="1"/>
  <c r="J53" i="1"/>
  <c r="L41" i="1"/>
  <c r="L48" i="1" s="1"/>
  <c r="L49" i="1" s="1"/>
  <c r="I54" i="1"/>
  <c r="I56" i="1" s="1"/>
  <c r="I71" i="1" s="1"/>
  <c r="K67" i="1"/>
  <c r="K53" i="1"/>
  <c r="L85" i="8" l="1"/>
  <c r="L88" i="8" s="1"/>
  <c r="L84" i="8"/>
  <c r="M79" i="8"/>
  <c r="L68" i="8"/>
  <c r="L71" i="8" s="1"/>
  <c r="L72" i="8" s="1"/>
  <c r="L86" i="8" s="1"/>
  <c r="K90" i="8"/>
  <c r="K99" i="8"/>
  <c r="K102" i="8" s="1"/>
  <c r="R37" i="8"/>
  <c r="Q41" i="8"/>
  <c r="K91" i="8"/>
  <c r="J73" i="8"/>
  <c r="O43" i="8"/>
  <c r="O50" i="8" s="1"/>
  <c r="O51" i="8" s="1"/>
  <c r="J90" i="8"/>
  <c r="J92" i="8" s="1"/>
  <c r="J99" i="8"/>
  <c r="J102" i="8" s="1"/>
  <c r="K73" i="8"/>
  <c r="M65" i="8"/>
  <c r="M67" i="8" s="1"/>
  <c r="M83" i="8" s="1"/>
  <c r="M68" i="8"/>
  <c r="M71" i="8" s="1"/>
  <c r="P42" i="8"/>
  <c r="P49" i="8" s="1"/>
  <c r="N64" i="6"/>
  <c r="N65" i="6" s="1"/>
  <c r="N67" i="6" s="1"/>
  <c r="N78" i="6"/>
  <c r="N77" i="6" s="1"/>
  <c r="P44" i="7"/>
  <c r="P51" i="7" s="1"/>
  <c r="P52" i="7" s="1"/>
  <c r="L96" i="7"/>
  <c r="L99" i="7" s="1"/>
  <c r="L87" i="7"/>
  <c r="M69" i="7"/>
  <c r="M72" i="7" s="1"/>
  <c r="O79" i="7"/>
  <c r="O78" i="7" s="1"/>
  <c r="O65" i="7"/>
  <c r="O66" i="7" s="1"/>
  <c r="O68" i="7" s="1"/>
  <c r="L74" i="7"/>
  <c r="K88" i="7"/>
  <c r="L88" i="7" s="1"/>
  <c r="Q43" i="7"/>
  <c r="Q50" i="7" s="1"/>
  <c r="K87" i="7"/>
  <c r="K96" i="7"/>
  <c r="K99" i="7" s="1"/>
  <c r="N82" i="7"/>
  <c r="N80" i="7" s="1"/>
  <c r="N83" i="7" s="1"/>
  <c r="S38" i="7"/>
  <c r="R42" i="7"/>
  <c r="K86" i="6"/>
  <c r="K95" i="6"/>
  <c r="K98" i="6" s="1"/>
  <c r="K87" i="6"/>
  <c r="M65" i="6"/>
  <c r="M67" i="6" s="1"/>
  <c r="M81" i="6" s="1"/>
  <c r="M79" i="6" s="1"/>
  <c r="M82" i="6" s="1"/>
  <c r="O43" i="6"/>
  <c r="O50" i="6" s="1"/>
  <c r="O51" i="6" s="1"/>
  <c r="P43" i="6"/>
  <c r="P50" i="6" s="1"/>
  <c r="P42" i="6"/>
  <c r="P49" i="6" s="1"/>
  <c r="K73" i="6"/>
  <c r="R37" i="6"/>
  <c r="Q41" i="6"/>
  <c r="L72" i="6"/>
  <c r="L83" i="6" s="1"/>
  <c r="L73" i="6"/>
  <c r="L84" i="6"/>
  <c r="J88" i="6"/>
  <c r="K88" i="6" s="1"/>
  <c r="H87" i="5"/>
  <c r="I87" i="5" s="1"/>
  <c r="G88" i="5"/>
  <c r="J68" i="5"/>
  <c r="J71" i="5" s="1"/>
  <c r="J72" i="5" s="1"/>
  <c r="J83" i="5" s="1"/>
  <c r="J84" i="5" s="1"/>
  <c r="H73" i="5"/>
  <c r="I95" i="5"/>
  <c r="I98" i="5" s="1"/>
  <c r="I86" i="5"/>
  <c r="M43" i="5"/>
  <c r="M50" i="5" s="1"/>
  <c r="M51" i="5" s="1"/>
  <c r="I73" i="5"/>
  <c r="O41" i="5"/>
  <c r="H95" i="5"/>
  <c r="H98" i="5" s="1"/>
  <c r="H86" i="5"/>
  <c r="L78" i="5"/>
  <c r="L77" i="5" s="1"/>
  <c r="L64" i="5"/>
  <c r="N42" i="5"/>
  <c r="N49" i="5" s="1"/>
  <c r="K65" i="5"/>
  <c r="K67" i="5" s="1"/>
  <c r="K81" i="5" s="1"/>
  <c r="K79" i="5" s="1"/>
  <c r="K82" i="5" s="1"/>
  <c r="G79" i="1"/>
  <c r="X43" i="3"/>
  <c r="X50" i="3" s="1"/>
  <c r="Z38" i="3"/>
  <c r="Y42" i="3"/>
  <c r="W44" i="3"/>
  <c r="W51" i="3" s="1"/>
  <c r="W52" i="3" s="1"/>
  <c r="H74" i="1"/>
  <c r="H75" i="1" s="1"/>
  <c r="H77" i="1" s="1"/>
  <c r="H78" i="1"/>
  <c r="I57" i="1"/>
  <c r="I60" i="1" s="1"/>
  <c r="I61" i="1" s="1"/>
  <c r="L53" i="1"/>
  <c r="L67" i="1"/>
  <c r="J54" i="1"/>
  <c r="J56" i="1" s="1"/>
  <c r="J71" i="1" s="1"/>
  <c r="K54" i="1"/>
  <c r="K56" i="1" s="1"/>
  <c r="K71" i="1" s="1"/>
  <c r="M41" i="1"/>
  <c r="M48" i="1" s="1"/>
  <c r="H62" i="1"/>
  <c r="M85" i="8" l="1"/>
  <c r="M88" i="8" s="1"/>
  <c r="M84" i="8"/>
  <c r="K92" i="8"/>
  <c r="L90" i="8"/>
  <c r="L99" i="8"/>
  <c r="L102" i="8" s="1"/>
  <c r="Q42" i="8"/>
  <c r="Q49" i="8" s="1"/>
  <c r="L73" i="8"/>
  <c r="L91" i="8"/>
  <c r="P43" i="8"/>
  <c r="P50" i="8" s="1"/>
  <c r="P51" i="8" s="1"/>
  <c r="S37" i="8"/>
  <c r="R41" i="8"/>
  <c r="M72" i="8"/>
  <c r="M86" i="8" s="1"/>
  <c r="N82" i="6"/>
  <c r="N68" i="6"/>
  <c r="N71" i="6" s="1"/>
  <c r="N81" i="6"/>
  <c r="N79" i="6" s="1"/>
  <c r="O78" i="6"/>
  <c r="O77" i="6" s="1"/>
  <c r="O64" i="6"/>
  <c r="N69" i="7"/>
  <c r="N72" i="7" s="1"/>
  <c r="N73" i="7" s="1"/>
  <c r="N84" i="7" s="1"/>
  <c r="N85" i="7" s="1"/>
  <c r="O82" i="7"/>
  <c r="O80" i="7" s="1"/>
  <c r="O83" i="7" s="1"/>
  <c r="M73" i="7"/>
  <c r="M84" i="7" s="1"/>
  <c r="M85" i="7" s="1"/>
  <c r="M74" i="7"/>
  <c r="Q44" i="7"/>
  <c r="Q51" i="7" s="1"/>
  <c r="Q52" i="7" s="1"/>
  <c r="R43" i="7"/>
  <c r="R50" i="7" s="1"/>
  <c r="T38" i="7"/>
  <c r="S42" i="7"/>
  <c r="K89" i="7"/>
  <c r="L89" i="7" s="1"/>
  <c r="P65" i="7"/>
  <c r="P66" i="7" s="1"/>
  <c r="P68" i="7" s="1"/>
  <c r="P79" i="7"/>
  <c r="P78" i="7" s="1"/>
  <c r="L86" i="6"/>
  <c r="L95" i="6"/>
  <c r="L98" i="6" s="1"/>
  <c r="M68" i="6"/>
  <c r="M71" i="6" s="1"/>
  <c r="L87" i="6"/>
  <c r="Q42" i="6"/>
  <c r="Q49" i="6" s="1"/>
  <c r="S37" i="6"/>
  <c r="R41" i="6"/>
  <c r="L88" i="6"/>
  <c r="P51" i="6"/>
  <c r="H88" i="5"/>
  <c r="I88" i="5" s="1"/>
  <c r="K68" i="5"/>
  <c r="K71" i="5" s="1"/>
  <c r="J86" i="5"/>
  <c r="J95" i="5"/>
  <c r="J98" i="5" s="1"/>
  <c r="J87" i="5"/>
  <c r="M64" i="5"/>
  <c r="M78" i="5"/>
  <c r="M77" i="5" s="1"/>
  <c r="J73" i="5"/>
  <c r="O42" i="5"/>
  <c r="O49" i="5" s="1"/>
  <c r="N43" i="5"/>
  <c r="N50" i="5" s="1"/>
  <c r="N51" i="5" s="1"/>
  <c r="P41" i="5"/>
  <c r="L65" i="5"/>
  <c r="L67" i="5" s="1"/>
  <c r="L81" i="5" s="1"/>
  <c r="L79" i="5" s="1"/>
  <c r="L82" i="5" s="1"/>
  <c r="Y43" i="3"/>
  <c r="Y50" i="3" s="1"/>
  <c r="Y44" i="3"/>
  <c r="Y51" i="3" s="1"/>
  <c r="AA38" i="3"/>
  <c r="AA42" i="3" s="1"/>
  <c r="Z42" i="3"/>
  <c r="X44" i="3"/>
  <c r="X51" i="3" s="1"/>
  <c r="X52" i="3" s="1"/>
  <c r="H79" i="1"/>
  <c r="K57" i="1"/>
  <c r="K60" i="1" s="1"/>
  <c r="M49" i="1"/>
  <c r="M53" i="1" s="1"/>
  <c r="J57" i="1"/>
  <c r="J60" i="1" s="1"/>
  <c r="J61" i="1" s="1"/>
  <c r="L54" i="1"/>
  <c r="L56" i="1" s="1"/>
  <c r="L71" i="1" s="1"/>
  <c r="I73" i="1"/>
  <c r="I74" i="1" s="1"/>
  <c r="I75" i="1" s="1"/>
  <c r="L92" i="8" l="1"/>
  <c r="M73" i="8"/>
  <c r="M90" i="8"/>
  <c r="B94" i="8" s="1"/>
  <c r="M99" i="8"/>
  <c r="M102" i="8" s="1"/>
  <c r="B95" i="8"/>
  <c r="Q43" i="8"/>
  <c r="Q50" i="8" s="1"/>
  <c r="Q51" i="8" s="1"/>
  <c r="R42" i="8"/>
  <c r="R49" i="8" s="1"/>
  <c r="T37" i="8"/>
  <c r="S41" i="8"/>
  <c r="M91" i="8"/>
  <c r="N72" i="6"/>
  <c r="N83" i="6" s="1"/>
  <c r="N84" i="6" s="1"/>
  <c r="P64" i="6"/>
  <c r="P65" i="6" s="1"/>
  <c r="P67" i="6" s="1"/>
  <c r="P78" i="6"/>
  <c r="P77" i="6" s="1"/>
  <c r="O65" i="6"/>
  <c r="O67" i="6" s="1"/>
  <c r="O81" i="6" s="1"/>
  <c r="O79" i="6" s="1"/>
  <c r="O82" i="6" s="1"/>
  <c r="O69" i="7"/>
  <c r="O72" i="7" s="1"/>
  <c r="O73" i="7" s="1"/>
  <c r="O84" i="7" s="1"/>
  <c r="O85" i="7" s="1"/>
  <c r="Q79" i="7"/>
  <c r="Q78" i="7" s="1"/>
  <c r="Q65" i="7"/>
  <c r="Q66" i="7" s="1"/>
  <c r="Q68" i="7" s="1"/>
  <c r="M96" i="7"/>
  <c r="M99" i="7" s="1"/>
  <c r="M87" i="7"/>
  <c r="M89" i="7" s="1"/>
  <c r="U38" i="7"/>
  <c r="T42" i="7"/>
  <c r="R52" i="7"/>
  <c r="P82" i="7"/>
  <c r="P80" i="7" s="1"/>
  <c r="P83" i="7" s="1"/>
  <c r="N96" i="7"/>
  <c r="N99" i="7" s="1"/>
  <c r="N87" i="7"/>
  <c r="S43" i="7"/>
  <c r="S50" i="7" s="1"/>
  <c r="N74" i="7"/>
  <c r="M88" i="7"/>
  <c r="N88" i="7" s="1"/>
  <c r="R44" i="7"/>
  <c r="R51" i="7" s="1"/>
  <c r="S41" i="6"/>
  <c r="T37" i="6"/>
  <c r="Q43" i="6"/>
  <c r="Q50" i="6" s="1"/>
  <c r="Q51" i="6" s="1"/>
  <c r="M72" i="6"/>
  <c r="M83" i="6" s="1"/>
  <c r="M84" i="6" s="1"/>
  <c r="M73" i="6"/>
  <c r="R42" i="6"/>
  <c r="R49" i="6" s="1"/>
  <c r="R43" i="6"/>
  <c r="R50" i="6" s="1"/>
  <c r="L68" i="5"/>
  <c r="L71" i="5" s="1"/>
  <c r="L72" i="5" s="1"/>
  <c r="L83" i="5" s="1"/>
  <c r="L84" i="5" s="1"/>
  <c r="J88" i="5"/>
  <c r="P42" i="5"/>
  <c r="P49" i="5" s="1"/>
  <c r="M65" i="5"/>
  <c r="M67" i="5" s="1"/>
  <c r="M81" i="5" s="1"/>
  <c r="M79" i="5" s="1"/>
  <c r="M82" i="5" s="1"/>
  <c r="Q41" i="5"/>
  <c r="K72" i="5"/>
  <c r="K83" i="5" s="1"/>
  <c r="K84" i="5" s="1"/>
  <c r="K87" i="5" s="1"/>
  <c r="O43" i="5"/>
  <c r="O50" i="5" s="1"/>
  <c r="O51" i="5" s="1"/>
  <c r="AA43" i="3"/>
  <c r="AA50" i="3" s="1"/>
  <c r="Y52" i="3"/>
  <c r="Z43" i="3"/>
  <c r="Z50" i="3" s="1"/>
  <c r="K61" i="1"/>
  <c r="K73" i="1" s="1"/>
  <c r="I77" i="1"/>
  <c r="I78" i="1"/>
  <c r="M67" i="1"/>
  <c r="L57" i="1"/>
  <c r="L60" i="1" s="1"/>
  <c r="M54" i="1"/>
  <c r="M56" i="1" s="1"/>
  <c r="M71" i="1" s="1"/>
  <c r="J73" i="1"/>
  <c r="I62" i="1"/>
  <c r="K62" i="1"/>
  <c r="U37" i="8" l="1"/>
  <c r="T41" i="8"/>
  <c r="R43" i="8"/>
  <c r="R50" i="8" s="1"/>
  <c r="S42" i="8"/>
  <c r="S49" i="8" s="1"/>
  <c r="S43" i="8"/>
  <c r="S50" i="8" s="1"/>
  <c r="R51" i="8"/>
  <c r="M92" i="8"/>
  <c r="B105" i="8"/>
  <c r="B104" i="8"/>
  <c r="N86" i="6"/>
  <c r="N95" i="6"/>
  <c r="N98" i="6" s="1"/>
  <c r="Q64" i="6"/>
  <c r="Q78" i="6"/>
  <c r="Q77" i="6" s="1"/>
  <c r="N73" i="6"/>
  <c r="O68" i="6"/>
  <c r="O71" i="6" s="1"/>
  <c r="O72" i="6" s="1"/>
  <c r="P68" i="6"/>
  <c r="P71" i="6" s="1"/>
  <c r="P72" i="6" s="1"/>
  <c r="P81" i="6"/>
  <c r="P79" i="6" s="1"/>
  <c r="P82" i="6" s="1"/>
  <c r="N89" i="7"/>
  <c r="O87" i="7"/>
  <c r="O89" i="7" s="1"/>
  <c r="O96" i="7"/>
  <c r="O99" i="7" s="1"/>
  <c r="V38" i="7"/>
  <c r="U42" i="7"/>
  <c r="O88" i="7"/>
  <c r="R65" i="7"/>
  <c r="R66" i="7" s="1"/>
  <c r="R68" i="7" s="1"/>
  <c r="R79" i="7"/>
  <c r="R78" i="7" s="1"/>
  <c r="T43" i="7"/>
  <c r="T50" i="7" s="1"/>
  <c r="S44" i="7"/>
  <c r="S51" i="7" s="1"/>
  <c r="S52" i="7" s="1"/>
  <c r="O74" i="7"/>
  <c r="Q82" i="7"/>
  <c r="Q80" i="7" s="1"/>
  <c r="Q83" i="7" s="1"/>
  <c r="P69" i="7"/>
  <c r="P72" i="7" s="1"/>
  <c r="M86" i="6"/>
  <c r="M95" i="6"/>
  <c r="M98" i="6" s="1"/>
  <c r="M87" i="6"/>
  <c r="N87" i="6" s="1"/>
  <c r="U37" i="6"/>
  <c r="T41" i="6"/>
  <c r="R51" i="6"/>
  <c r="S42" i="6"/>
  <c r="S49" i="6" s="1"/>
  <c r="L87" i="5"/>
  <c r="L86" i="5"/>
  <c r="L95" i="5"/>
  <c r="L98" i="5" s="1"/>
  <c r="Q42" i="5"/>
  <c r="Q49" i="5" s="1"/>
  <c r="R41" i="5"/>
  <c r="L73" i="5"/>
  <c r="M68" i="5"/>
  <c r="M71" i="5" s="1"/>
  <c r="K86" i="5"/>
  <c r="K88" i="5" s="1"/>
  <c r="K95" i="5"/>
  <c r="K98" i="5" s="1"/>
  <c r="K73" i="5"/>
  <c r="P43" i="5"/>
  <c r="P50" i="5" s="1"/>
  <c r="P51" i="5" s="1"/>
  <c r="Z44" i="3"/>
  <c r="Z51" i="3" s="1"/>
  <c r="Z52" i="3" s="1"/>
  <c r="AA44" i="3"/>
  <c r="AA51" i="3" s="1"/>
  <c r="AA52" i="3" s="1"/>
  <c r="J74" i="1"/>
  <c r="J75" i="1" s="1"/>
  <c r="J77" i="1" s="1"/>
  <c r="I79" i="1"/>
  <c r="J79" i="1" s="1"/>
  <c r="K74" i="1"/>
  <c r="K75" i="1" s="1"/>
  <c r="K77" i="1" s="1"/>
  <c r="L61" i="1"/>
  <c r="L73" i="1" s="1"/>
  <c r="M57" i="1"/>
  <c r="M60" i="1" s="1"/>
  <c r="J62" i="1"/>
  <c r="U41" i="8" l="1"/>
  <c r="V37" i="8"/>
  <c r="S51" i="8"/>
  <c r="T42" i="8"/>
  <c r="T49" i="8" s="1"/>
  <c r="P84" i="6"/>
  <c r="O73" i="6"/>
  <c r="O83" i="6"/>
  <c r="O84" i="6" s="1"/>
  <c r="O87" i="6"/>
  <c r="P73" i="6"/>
  <c r="P83" i="6"/>
  <c r="R64" i="6"/>
  <c r="R65" i="6" s="1"/>
  <c r="R67" i="6" s="1"/>
  <c r="R78" i="6"/>
  <c r="R77" i="6" s="1"/>
  <c r="Q82" i="6"/>
  <c r="Q65" i="6"/>
  <c r="Q67" i="6" s="1"/>
  <c r="Q81" i="6" s="1"/>
  <c r="Q79" i="6" s="1"/>
  <c r="Q68" i="6"/>
  <c r="Q71" i="6" s="1"/>
  <c r="Q72" i="6" s="1"/>
  <c r="Q69" i="7"/>
  <c r="Q72" i="7" s="1"/>
  <c r="Q73" i="7" s="1"/>
  <c r="Q84" i="7" s="1"/>
  <c r="Q85" i="7" s="1"/>
  <c r="S65" i="7"/>
  <c r="S66" i="7" s="1"/>
  <c r="S68" i="7" s="1"/>
  <c r="S79" i="7"/>
  <c r="S78" i="7" s="1"/>
  <c r="W38" i="7"/>
  <c r="V42" i="7"/>
  <c r="T44" i="7"/>
  <c r="T51" i="7" s="1"/>
  <c r="T52" i="7" s="1"/>
  <c r="U43" i="7"/>
  <c r="U50" i="7" s="1"/>
  <c r="P73" i="7"/>
  <c r="P84" i="7" s="1"/>
  <c r="P85" i="7" s="1"/>
  <c r="R82" i="7"/>
  <c r="R80" i="7" s="1"/>
  <c r="R83" i="7" s="1"/>
  <c r="T43" i="6"/>
  <c r="T50" i="6" s="1"/>
  <c r="T42" i="6"/>
  <c r="T49" i="6" s="1"/>
  <c r="U41" i="6"/>
  <c r="V37" i="6"/>
  <c r="S43" i="6"/>
  <c r="S50" i="6" s="1"/>
  <c r="S51" i="6" s="1"/>
  <c r="M88" i="6"/>
  <c r="N88" i="6" s="1"/>
  <c r="L88" i="5"/>
  <c r="R42" i="5"/>
  <c r="R49" i="5" s="1"/>
  <c r="S41" i="5"/>
  <c r="Q43" i="5"/>
  <c r="Q50" i="5" s="1"/>
  <c r="Q51" i="5" s="1"/>
  <c r="M72" i="5"/>
  <c r="M83" i="5" s="1"/>
  <c r="M84" i="5" s="1"/>
  <c r="K79" i="1"/>
  <c r="J78" i="1"/>
  <c r="K78" i="1" s="1"/>
  <c r="L78" i="1" s="1"/>
  <c r="L74" i="1"/>
  <c r="L75" i="1" s="1"/>
  <c r="L77" i="1" s="1"/>
  <c r="L62" i="1"/>
  <c r="M61" i="1"/>
  <c r="M73" i="1" s="1"/>
  <c r="M74" i="1" s="1"/>
  <c r="M75" i="1" s="1"/>
  <c r="U42" i="8" l="1"/>
  <c r="U49" i="8" s="1"/>
  <c r="V41" i="8"/>
  <c r="W37" i="8"/>
  <c r="T43" i="8"/>
  <c r="T50" i="8" s="1"/>
  <c r="T51" i="8" s="1"/>
  <c r="P88" i="7"/>
  <c r="S64" i="6"/>
  <c r="S65" i="6" s="1"/>
  <c r="S67" i="6" s="1"/>
  <c r="S78" i="6"/>
  <c r="S77" i="6" s="1"/>
  <c r="R82" i="6"/>
  <c r="P86" i="6"/>
  <c r="P95" i="6"/>
  <c r="P98" i="6" s="1"/>
  <c r="R68" i="6"/>
  <c r="R71" i="6" s="1"/>
  <c r="R81" i="6"/>
  <c r="R79" i="6" s="1"/>
  <c r="O88" i="6"/>
  <c r="P88" i="6" s="1"/>
  <c r="Q73" i="6"/>
  <c r="Q83" i="6"/>
  <c r="Q84" i="6" s="1"/>
  <c r="P87" i="6"/>
  <c r="O86" i="6"/>
  <c r="O95" i="6"/>
  <c r="O98" i="6" s="1"/>
  <c r="Q96" i="7"/>
  <c r="Q99" i="7" s="1"/>
  <c r="Q87" i="7"/>
  <c r="T79" i="7"/>
  <c r="T78" i="7" s="1"/>
  <c r="T65" i="7"/>
  <c r="T66" i="7" s="1"/>
  <c r="T68" i="7" s="1"/>
  <c r="Q88" i="7"/>
  <c r="P74" i="7"/>
  <c r="V43" i="7"/>
  <c r="V50" i="7" s="1"/>
  <c r="P96" i="7"/>
  <c r="P99" i="7" s="1"/>
  <c r="P87" i="7"/>
  <c r="P89" i="7" s="1"/>
  <c r="X38" i="7"/>
  <c r="W42" i="7"/>
  <c r="U44" i="7"/>
  <c r="U51" i="7" s="1"/>
  <c r="U52" i="7" s="1"/>
  <c r="Q74" i="7"/>
  <c r="S82" i="7"/>
  <c r="S80" i="7" s="1"/>
  <c r="S83" i="7" s="1"/>
  <c r="R69" i="7"/>
  <c r="R72" i="7" s="1"/>
  <c r="W37" i="6"/>
  <c r="V41" i="6"/>
  <c r="U42" i="6"/>
  <c r="U49" i="6" s="1"/>
  <c r="T51" i="6"/>
  <c r="M86" i="5"/>
  <c r="M95" i="5"/>
  <c r="M98" i="5" s="1"/>
  <c r="B91" i="5"/>
  <c r="M87" i="5"/>
  <c r="N87" i="5" s="1"/>
  <c r="T41" i="5"/>
  <c r="S42" i="5"/>
  <c r="S49" i="5" s="1"/>
  <c r="M73" i="5"/>
  <c r="R43" i="5"/>
  <c r="R50" i="5" s="1"/>
  <c r="R51" i="5" s="1"/>
  <c r="L79" i="1"/>
  <c r="M77" i="1"/>
  <c r="M78" i="1"/>
  <c r="M62" i="1"/>
  <c r="U43" i="8" l="1"/>
  <c r="U50" i="8" s="1"/>
  <c r="U51" i="8" s="1"/>
  <c r="V42" i="8"/>
  <c r="V49" i="8" s="1"/>
  <c r="X37" i="8"/>
  <c r="W41" i="8"/>
  <c r="Q86" i="6"/>
  <c r="Q88" i="6" s="1"/>
  <c r="Q95" i="6"/>
  <c r="Q98" i="6" s="1"/>
  <c r="Q87" i="6"/>
  <c r="R87" i="6" s="1"/>
  <c r="T64" i="6"/>
  <c r="T65" i="6" s="1"/>
  <c r="T67" i="6" s="1"/>
  <c r="T78" i="6"/>
  <c r="T77" i="6" s="1"/>
  <c r="S68" i="6"/>
  <c r="S71" i="6" s="1"/>
  <c r="S81" i="6"/>
  <c r="S79" i="6" s="1"/>
  <c r="S82" i="6" s="1"/>
  <c r="R84" i="6"/>
  <c r="R73" i="6"/>
  <c r="R72" i="6"/>
  <c r="R83" i="6" s="1"/>
  <c r="Q89" i="7"/>
  <c r="U65" i="7"/>
  <c r="U66" i="7" s="1"/>
  <c r="U68" i="7" s="1"/>
  <c r="U79" i="7"/>
  <c r="U78" i="7" s="1"/>
  <c r="W43" i="7"/>
  <c r="W50" i="7" s="1"/>
  <c r="W44" i="7"/>
  <c r="W51" i="7" s="1"/>
  <c r="R73" i="7"/>
  <c r="R84" i="7" s="1"/>
  <c r="R85" i="7" s="1"/>
  <c r="T82" i="7"/>
  <c r="T80" i="7" s="1"/>
  <c r="T83" i="7" s="1"/>
  <c r="Y38" i="7"/>
  <c r="X42" i="7"/>
  <c r="S69" i="7"/>
  <c r="S72" i="7" s="1"/>
  <c r="V44" i="7"/>
  <c r="V51" i="7" s="1"/>
  <c r="V52" i="7" s="1"/>
  <c r="V42" i="6"/>
  <c r="V49" i="6" s="1"/>
  <c r="W41" i="6"/>
  <c r="X37" i="6"/>
  <c r="U43" i="6"/>
  <c r="U50" i="6" s="1"/>
  <c r="U51" i="6" s="1"/>
  <c r="B90" i="5"/>
  <c r="M88" i="5"/>
  <c r="N88" i="5" s="1"/>
  <c r="S43" i="5"/>
  <c r="S50" i="5" s="1"/>
  <c r="S51" i="5" s="1"/>
  <c r="U41" i="5"/>
  <c r="T42" i="5"/>
  <c r="T49" i="5" s="1"/>
  <c r="B101" i="5"/>
  <c r="B100" i="5"/>
  <c r="M79" i="1"/>
  <c r="B80" i="1"/>
  <c r="B81" i="1"/>
  <c r="Y37" i="8" l="1"/>
  <c r="X41" i="8"/>
  <c r="V43" i="8"/>
  <c r="V50" i="8" s="1"/>
  <c r="V51" i="8" s="1"/>
  <c r="W42" i="8"/>
  <c r="W49" i="8" s="1"/>
  <c r="R88" i="6"/>
  <c r="S72" i="6"/>
  <c r="S83" i="6" s="1"/>
  <c r="S84" i="6" s="1"/>
  <c r="R86" i="6"/>
  <c r="R95" i="6"/>
  <c r="R98" i="6" s="1"/>
  <c r="U78" i="6"/>
  <c r="U77" i="6" s="1"/>
  <c r="U64" i="6"/>
  <c r="U65" i="6" s="1"/>
  <c r="U67" i="6" s="1"/>
  <c r="T68" i="6"/>
  <c r="T71" i="6" s="1"/>
  <c r="T72" i="6" s="1"/>
  <c r="T81" i="6"/>
  <c r="T79" i="6" s="1"/>
  <c r="T82" i="6" s="1"/>
  <c r="W52" i="7"/>
  <c r="R87" i="7"/>
  <c r="R89" i="7" s="1"/>
  <c r="R96" i="7"/>
  <c r="R99" i="7" s="1"/>
  <c r="X43" i="7"/>
  <c r="X50" i="7" s="1"/>
  <c r="X44" i="7"/>
  <c r="X51" i="7" s="1"/>
  <c r="Z38" i="7"/>
  <c r="Y42" i="7"/>
  <c r="T69" i="7"/>
  <c r="T72" i="7" s="1"/>
  <c r="U82" i="7"/>
  <c r="U80" i="7" s="1"/>
  <c r="U83" i="7" s="1"/>
  <c r="S73" i="7"/>
  <c r="S84" i="7" s="1"/>
  <c r="S85" i="7" s="1"/>
  <c r="R88" i="7"/>
  <c r="R74" i="7"/>
  <c r="V43" i="6"/>
  <c r="V50" i="6" s="1"/>
  <c r="V51" i="6" s="1"/>
  <c r="Y37" i="6"/>
  <c r="X41" i="6"/>
  <c r="W42" i="6"/>
  <c r="W49" i="6" s="1"/>
  <c r="T43" i="5"/>
  <c r="T50" i="5" s="1"/>
  <c r="T51" i="5" s="1"/>
  <c r="V41" i="5"/>
  <c r="U42" i="5"/>
  <c r="U49" i="5" s="1"/>
  <c r="Z37" i="8" l="1"/>
  <c r="Y41" i="8"/>
  <c r="X42" i="8"/>
  <c r="X49" i="8" s="1"/>
  <c r="W43" i="8"/>
  <c r="W50" i="8" s="1"/>
  <c r="W51" i="8" s="1"/>
  <c r="S86" i="6"/>
  <c r="S88" i="6" s="1"/>
  <c r="S95" i="6"/>
  <c r="S98" i="6" s="1"/>
  <c r="S87" i="6"/>
  <c r="U68" i="6"/>
  <c r="U71" i="6" s="1"/>
  <c r="U72" i="6" s="1"/>
  <c r="U81" i="6"/>
  <c r="U79" i="6" s="1"/>
  <c r="U82" i="6" s="1"/>
  <c r="T73" i="6"/>
  <c r="T83" i="6"/>
  <c r="T84" i="6" s="1"/>
  <c r="S73" i="6"/>
  <c r="S74" i="7"/>
  <c r="T73" i="7"/>
  <c r="T84" i="7" s="1"/>
  <c r="T85" i="7" s="1"/>
  <c r="Y43" i="7"/>
  <c r="Y50" i="7" s="1"/>
  <c r="Y44" i="7"/>
  <c r="Y51" i="7" s="1"/>
  <c r="S88" i="7"/>
  <c r="AA38" i="7"/>
  <c r="AA42" i="7" s="1"/>
  <c r="Z42" i="7"/>
  <c r="S87" i="7"/>
  <c r="S89" i="7" s="1"/>
  <c r="S96" i="7"/>
  <c r="S99" i="7" s="1"/>
  <c r="X52" i="7"/>
  <c r="U69" i="7"/>
  <c r="U72" i="7" s="1"/>
  <c r="W43" i="6"/>
  <c r="W50" i="6" s="1"/>
  <c r="W51" i="6"/>
  <c r="X42" i="6"/>
  <c r="X49" i="6" s="1"/>
  <c r="Z37" i="6"/>
  <c r="Y41" i="6"/>
  <c r="U43" i="5"/>
  <c r="U50" i="5" s="1"/>
  <c r="U51" i="5" s="1"/>
  <c r="W41" i="5"/>
  <c r="V42" i="5"/>
  <c r="V49" i="5" s="1"/>
  <c r="Y42" i="8" l="1"/>
  <c r="Y49" i="8" s="1"/>
  <c r="X43" i="8"/>
  <c r="X50" i="8" s="1"/>
  <c r="X51" i="8" s="1"/>
  <c r="AA37" i="8"/>
  <c r="AA41" i="8" s="1"/>
  <c r="Z41" i="8"/>
  <c r="T86" i="6"/>
  <c r="T88" i="6" s="1"/>
  <c r="T95" i="6"/>
  <c r="T98" i="6" s="1"/>
  <c r="U73" i="6"/>
  <c r="U83" i="6"/>
  <c r="U84" i="6" s="1"/>
  <c r="T87" i="6"/>
  <c r="T88" i="7"/>
  <c r="T74" i="7"/>
  <c r="U73" i="7"/>
  <c r="U84" i="7" s="1"/>
  <c r="U85" i="7" s="1"/>
  <c r="B92" i="7" s="1"/>
  <c r="AA43" i="7"/>
  <c r="AA50" i="7" s="1"/>
  <c r="Y52" i="7"/>
  <c r="Z43" i="7"/>
  <c r="Z50" i="7" s="1"/>
  <c r="Z44" i="7"/>
  <c r="Z51" i="7" s="1"/>
  <c r="T96" i="7"/>
  <c r="T99" i="7" s="1"/>
  <c r="T87" i="7"/>
  <c r="T89" i="7" s="1"/>
  <c r="Y42" i="6"/>
  <c r="Y49" i="6" s="1"/>
  <c r="X43" i="6"/>
  <c r="X50" i="6" s="1"/>
  <c r="X51" i="6" s="1"/>
  <c r="AA37" i="6"/>
  <c r="AA41" i="6" s="1"/>
  <c r="Z41" i="6"/>
  <c r="X41" i="5"/>
  <c r="V43" i="5"/>
  <c r="V50" i="5" s="1"/>
  <c r="V51" i="5" s="1"/>
  <c r="W42" i="5"/>
  <c r="W49" i="5" s="1"/>
  <c r="Y43" i="8" l="1"/>
  <c r="Y50" i="8" s="1"/>
  <c r="Y51" i="8" s="1"/>
  <c r="Z42" i="8"/>
  <c r="Z49" i="8" s="1"/>
  <c r="AA42" i="8"/>
  <c r="AA49" i="8" s="1"/>
  <c r="AA43" i="8"/>
  <c r="AA50" i="8" s="1"/>
  <c r="U86" i="6"/>
  <c r="B90" i="6" s="1"/>
  <c r="U95" i="6"/>
  <c r="U98" i="6" s="1"/>
  <c r="B91" i="6"/>
  <c r="U88" i="6"/>
  <c r="U87" i="6"/>
  <c r="AA44" i="7"/>
  <c r="AA51" i="7" s="1"/>
  <c r="AA52" i="7" s="1"/>
  <c r="Z52" i="7"/>
  <c r="U74" i="7"/>
  <c r="U96" i="7"/>
  <c r="U99" i="7" s="1"/>
  <c r="B102" i="7" s="1"/>
  <c r="U87" i="7"/>
  <c r="B91" i="7" s="1"/>
  <c r="U88" i="7"/>
  <c r="Z42" i="6"/>
  <c r="Z49" i="6" s="1"/>
  <c r="AA42" i="6"/>
  <c r="AA49" i="6" s="1"/>
  <c r="AA43" i="6"/>
  <c r="AA50" i="6" s="1"/>
  <c r="Y43" i="6"/>
  <c r="Y50" i="6" s="1"/>
  <c r="Y51" i="6" s="1"/>
  <c r="W43" i="5"/>
  <c r="W50" i="5" s="1"/>
  <c r="W51" i="5" s="1"/>
  <c r="X42" i="5"/>
  <c r="X49" i="5" s="1"/>
  <c r="Y41" i="5"/>
  <c r="AA51" i="8" l="1"/>
  <c r="Z43" i="8"/>
  <c r="Z50" i="8" s="1"/>
  <c r="Z51" i="8" s="1"/>
  <c r="B101" i="6"/>
  <c r="B100" i="6"/>
  <c r="B101" i="7"/>
  <c r="U89" i="7"/>
  <c r="AA51" i="6"/>
  <c r="Z43" i="6"/>
  <c r="Z50" i="6" s="1"/>
  <c r="Z51" i="6" s="1"/>
  <c r="Y42" i="5"/>
  <c r="Y49" i="5" s="1"/>
  <c r="AA41" i="5"/>
  <c r="Z41" i="5"/>
  <c r="X43" i="5"/>
  <c r="X50" i="5" s="1"/>
  <c r="X51" i="5" s="1"/>
  <c r="Z42" i="5" l="1"/>
  <c r="Z49" i="5" s="1"/>
  <c r="AA42" i="5"/>
  <c r="AA49" i="5" s="1"/>
  <c r="Y43" i="5"/>
  <c r="Y50" i="5" s="1"/>
  <c r="Y51" i="5" s="1"/>
  <c r="AA43" i="5" l="1"/>
  <c r="AA50" i="5" s="1"/>
  <c r="AA51" i="5"/>
  <c r="Z43" i="5"/>
  <c r="Z50" i="5" s="1"/>
  <c r="Z5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E5" authorId="0" shapeId="0" xr:uid="{6FB3FE82-29E6-48A3-8644-DCB0D5926EDD}">
      <text>
        <r>
          <rPr>
            <sz val="12"/>
            <color indexed="81"/>
            <rFont val="Tahoma"/>
            <family val="2"/>
          </rPr>
          <t>Thông số này chỉ tham khảo</t>
        </r>
      </text>
    </comment>
    <comment ref="B14" authorId="0" shapeId="0" xr:uid="{C70B5C0C-6EE5-4FFC-BFBD-D8D345375683}">
      <text>
        <r>
          <rPr>
            <sz val="12"/>
            <color indexed="81"/>
            <rFont val="Tahoma"/>
            <family val="2"/>
          </rPr>
          <t>Có điều chỉnh cho khớp với Slides thuyết trình.</t>
        </r>
        <r>
          <rPr>
            <b/>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7860928F-98B7-4BB2-A7B6-6CCAB266CFC0}">
      <text>
        <r>
          <rPr>
            <sz val="12"/>
            <color indexed="81"/>
            <rFont val="Tahoma"/>
            <family val="2"/>
          </rPr>
          <t xml:space="preserve">Giả sử việc lắp đặt hệ thống điện diễn ra nhanh chóng và ngay năm đầu tiên (Năm 0) đã phát điện và có doanh thu trọn vẹn cả 12 tháng).
</t>
        </r>
        <r>
          <rPr>
            <b/>
            <sz val="12"/>
            <color indexed="81"/>
            <rFont val="Tahoma"/>
            <family val="2"/>
          </rPr>
          <t>Chỉ sử dụng vốn chủ sở hữu.</t>
        </r>
      </text>
    </comment>
    <comment ref="A65" authorId="0" shapeId="0" xr:uid="{785895DB-CFB7-48B2-BEA0-244CCBE561CE}">
      <text>
        <r>
          <rPr>
            <sz val="12"/>
            <color indexed="81"/>
            <rFont val="Tahoma"/>
            <family val="2"/>
          </rPr>
          <t>Giả sử theo tỷ lệ tăng giá điện nên không điều chỉnh lạm phát (trượt giá).</t>
        </r>
      </text>
    </comment>
    <comment ref="A66" authorId="0" shapeId="0" xr:uid="{7336CED6-7450-459B-9642-BA618655D19B}">
      <text>
        <r>
          <rPr>
            <sz val="12"/>
            <color indexed="81"/>
            <rFont val="Tahoma"/>
            <family val="2"/>
          </rPr>
          <t>Điều chỉnh lạm phát (trượt giá)</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648487A0-B6B8-4564-8AF5-1755BE005F6B}">
      <text>
        <r>
          <rPr>
            <sz val="12"/>
            <color indexed="81"/>
            <rFont val="Tahoma"/>
            <family val="2"/>
          </rPr>
          <t xml:space="preserve">Giả sử việc lắp đặt hệ thống điện diễn ra nhanh chóng và ngay năm đầu tiên (Năm 0) đã phát điện và có doanh thu trọn vẹn cả 12 tháng).
</t>
        </r>
        <r>
          <rPr>
            <b/>
            <sz val="12"/>
            <color indexed="81"/>
            <rFont val="Tahoma"/>
            <family val="2"/>
          </rPr>
          <t>Có vay ngân hàng.</t>
        </r>
      </text>
    </comment>
    <comment ref="A66" authorId="0" shapeId="0" xr:uid="{749B5D49-17FB-4326-90C5-6D6FDDF0D689}">
      <text>
        <r>
          <rPr>
            <sz val="12"/>
            <color indexed="81"/>
            <rFont val="Tahoma"/>
            <family val="2"/>
          </rPr>
          <t>Giả sử theo tỷ lệ tăng giá điện nên không điều chỉnh lạm phát (trượt giá).</t>
        </r>
      </text>
    </comment>
    <comment ref="A67" authorId="0" shapeId="0" xr:uid="{CA8B48DF-9E99-40ED-B78A-A5E1808C9ABD}">
      <text>
        <r>
          <rPr>
            <sz val="12"/>
            <color indexed="81"/>
            <rFont val="Tahoma"/>
            <family val="2"/>
          </rPr>
          <t>Điều chỉnh lạm phát (trượt giá)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41BBDFCA-2A95-42CE-BC93-560FFA91B75B}">
      <text>
        <r>
          <rPr>
            <sz val="12"/>
            <color indexed="81"/>
            <rFont val="Tahoma"/>
            <family val="2"/>
          </rPr>
          <t xml:space="preserve">Giả sử việc lắp đặt hệ thống điện diễn ra nhanh chóng và ngay năm đầu tiên (Năm 0) đã phát điện và có doanh thu trọn vẹn cả 12 tháng).
</t>
        </r>
        <r>
          <rPr>
            <b/>
            <sz val="12"/>
            <color indexed="81"/>
            <rFont val="Tahoma"/>
            <family val="2"/>
          </rPr>
          <t>Có vay ngân hàng.</t>
        </r>
      </text>
    </comment>
    <comment ref="A66" authorId="0" shapeId="0" xr:uid="{6E844AD0-7CDA-4363-976C-11767F7AE104}">
      <text>
        <r>
          <rPr>
            <sz val="12"/>
            <color indexed="81"/>
            <rFont val="Tahoma"/>
            <family val="2"/>
          </rPr>
          <t>Giả sử theo tỷ lệ tăng giá điện nên không điều chỉnh lạm phát (trượt giá).</t>
        </r>
      </text>
    </comment>
    <comment ref="A67" authorId="0" shapeId="0" xr:uid="{F8442EFA-DB88-48E6-AADE-41C9FC71D42E}">
      <text>
        <r>
          <rPr>
            <sz val="12"/>
            <color indexed="81"/>
            <rFont val="Tahoma"/>
            <family val="2"/>
          </rPr>
          <t>Điều chỉnh lạm phát (trượt giá)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74AF176F-D2E0-466D-BA93-B4861D10FFD3}">
      <text>
        <r>
          <rPr>
            <sz val="12"/>
            <color indexed="81"/>
            <rFont val="Tahoma"/>
            <family val="2"/>
          </rPr>
          <t xml:space="preserve">Giả sử việc lắp đặt hệ thống điện diễn ra chậm (đầu tư trọn năm đầu mới xong - Năm 0) và từ năm thứ 2 (Năm 1) mới phát điện và bắt đầu có doanh thu.
</t>
        </r>
        <r>
          <rPr>
            <b/>
            <sz val="12"/>
            <color indexed="81"/>
            <rFont val="Tahoma"/>
            <family val="2"/>
          </rPr>
          <t>Chỉ sử dụng vốn chủ sở hữu.</t>
        </r>
      </text>
    </comment>
    <comment ref="A65" authorId="0" shapeId="0" xr:uid="{56C1506F-132F-44E6-86B6-3D716B09BC60}">
      <text>
        <r>
          <rPr>
            <sz val="12"/>
            <color indexed="81"/>
            <rFont val="Tahoma"/>
            <family val="2"/>
          </rPr>
          <t>Giả sử theo tỷ lệ tăng giá điện nên không điều chỉnh lạm phát (trượt giá).</t>
        </r>
      </text>
    </comment>
    <comment ref="A66" authorId="0" shapeId="0" xr:uid="{A1473EDA-C92A-470F-9D59-BEAFD33BD5B0}">
      <text>
        <r>
          <rPr>
            <sz val="12"/>
            <color indexed="81"/>
            <rFont val="Tahoma"/>
            <family val="2"/>
          </rPr>
          <t>Điều chỉnh lạm phát (trượt giá)</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12FFE9E7-572F-488A-855B-9219E13689CE}">
      <text>
        <r>
          <rPr>
            <sz val="12"/>
            <color indexed="81"/>
            <rFont val="Tahoma"/>
            <family val="2"/>
          </rPr>
          <t xml:space="preserve">Giả sử việc lắp đặt hệ thống điện diễn ra nhanh chóng và ngay năm đầu tiên (Năm 0) đã phát điện và có doanh thu trọn vẹn cả 12 tháng). Hơn nữa, GIC vẫn tiếp tục bán điện với giá chiết khấu 75% từ năm 12.
</t>
        </r>
        <r>
          <rPr>
            <b/>
            <sz val="12"/>
            <color indexed="81"/>
            <rFont val="Tahoma"/>
            <family val="2"/>
          </rPr>
          <t>Chỉ sử dụng vốn chủ sở hữu.</t>
        </r>
      </text>
    </comment>
    <comment ref="A65" authorId="0" shapeId="0" xr:uid="{DB38D855-6A49-4DBC-9C3B-39524ACF1E59}">
      <text>
        <r>
          <rPr>
            <sz val="12"/>
            <color indexed="81"/>
            <rFont val="Tahoma"/>
            <family val="2"/>
          </rPr>
          <t>Giả sử theo tỷ lệ tăng giá điện nên không điều chỉnh lạm phát (trượt giá).</t>
        </r>
      </text>
    </comment>
    <comment ref="A66" authorId="0" shapeId="0" xr:uid="{800ADABA-9389-4BF4-8EA0-0A8C98530064}">
      <text>
        <r>
          <rPr>
            <sz val="12"/>
            <color indexed="81"/>
            <rFont val="Tahoma"/>
            <family val="2"/>
          </rPr>
          <t>Điều chỉnh lạm phát (trượt giá)</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B38A5944-A56F-46A2-8104-FCC0253FA7D0}">
      <text>
        <r>
          <rPr>
            <sz val="12"/>
            <color indexed="81"/>
            <rFont val="Tahoma"/>
            <family val="2"/>
          </rPr>
          <t xml:space="preserve">Giả sử việc lắp đặt hệ thống điện diễn ra nhanh chóng và ngay năm đầu tiên (Năm 0) đã phát điện và có doanh thu trọn vẹn cả 12 tháng). Hơn nữa, GIC vẫn tiếp tục bán điện với giá chiết khấu 75% từ năm 12, nhưng phải tốn chi phí bảo trì nhiều hơn (20% doanh thu).
</t>
        </r>
        <r>
          <rPr>
            <b/>
            <sz val="12"/>
            <color indexed="81"/>
            <rFont val="Tahoma"/>
            <family val="2"/>
          </rPr>
          <t>Chỉ sử dụng vốn chủ sở hữu.</t>
        </r>
      </text>
    </comment>
    <comment ref="A66" authorId="0" shapeId="0" xr:uid="{E3D09302-A3E8-410A-9CF8-5A0E5EEEF2DA}">
      <text>
        <r>
          <rPr>
            <sz val="12"/>
            <color indexed="81"/>
            <rFont val="Tahoma"/>
            <family val="2"/>
          </rPr>
          <t>Giả sử theo tỷ lệ tăng giá điện nên không điều chỉnh lạm phát (trượt giá).</t>
        </r>
      </text>
    </comment>
    <comment ref="A67" authorId="0" shapeId="0" xr:uid="{97EE2B00-F08E-466F-A1C9-6EA6ECFC1230}">
      <text>
        <r>
          <rPr>
            <sz val="12"/>
            <color indexed="81"/>
            <rFont val="Tahoma"/>
            <family val="2"/>
          </rPr>
          <t>Điều chỉnh lạm phát (trượt giá)</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A2" authorId="0" shapeId="0" xr:uid="{124E07F9-5557-4459-A8D5-83CFA2F8BCAC}">
      <text>
        <r>
          <rPr>
            <sz val="12"/>
            <color indexed="81"/>
            <rFont val="Tahoma"/>
            <family val="2"/>
          </rPr>
          <t xml:space="preserve">Giả sử việc lắp đặt hệ thống điện diễn ra nhanh chóng và ngay năm đầu tiên (Năm 0) đã phát điện và có doanh thu trọn vẹn cả 12 tháng). Có tính VAT vào-ra.
</t>
        </r>
        <r>
          <rPr>
            <b/>
            <sz val="12"/>
            <color indexed="81"/>
            <rFont val="Tahoma"/>
            <family val="2"/>
          </rPr>
          <t>Chỉ sử dụng vốn chủ sở hữu.</t>
        </r>
      </text>
    </comment>
    <comment ref="A65" authorId="0" shapeId="0" xr:uid="{8BF5D398-04F9-4DDD-B940-392D2A98BA8A}">
      <text>
        <r>
          <rPr>
            <sz val="12"/>
            <color indexed="81"/>
            <rFont val="Tahoma"/>
            <family val="2"/>
          </rPr>
          <t>Giả sử theo tỷ lệ tăng giá điện nên không điều chỉnh lạm phát (trượt giá).</t>
        </r>
      </text>
    </comment>
    <comment ref="A66" authorId="0" shapeId="0" xr:uid="{7AEBBAD1-C847-4B91-AD2F-37FE99CABF0A}">
      <text>
        <r>
          <rPr>
            <sz val="12"/>
            <color indexed="81"/>
            <rFont val="Tahoma"/>
            <family val="2"/>
          </rPr>
          <t>Điều chỉnh lạm phát (trượt giá)</t>
        </r>
      </text>
    </comment>
  </commentList>
</comments>
</file>

<file path=xl/sharedStrings.xml><?xml version="1.0" encoding="utf-8"?>
<sst xmlns="http://schemas.openxmlformats.org/spreadsheetml/2006/main" count="1115" uniqueCount="134">
  <si>
    <t>THÔNG SỐ DỰ ÁN</t>
  </si>
  <si>
    <t>Chi phí đầu tư (chưa gồm VAT)</t>
  </si>
  <si>
    <t>Nguồn vốn:</t>
  </si>
  <si>
    <t>Vốn chủ sở hữu</t>
  </si>
  <si>
    <t>triệu đồng</t>
  </si>
  <si>
    <t>Thời gian sử dụng hệ thống tối thiểu</t>
  </si>
  <si>
    <t>năm</t>
  </si>
  <si>
    <t>Thời gian còn lại của hợp đồng mua bán điện</t>
  </si>
  <si>
    <t>Giá điện bình quân khách hàng đang sử dụng của EVN</t>
  </si>
  <si>
    <t>đồng/kWh</t>
  </si>
  <si>
    <t>Giờ bình thường</t>
  </si>
  <si>
    <t>Giờ cao điểm</t>
  </si>
  <si>
    <t>Chiết khấu 3 năm đầu</t>
  </si>
  <si>
    <t>Chiêt khấu 3 năm tiếp theo</t>
  </si>
  <si>
    <t>Tmax bình quân 1 năm</t>
  </si>
  <si>
    <t>giờ</t>
  </si>
  <si>
    <t>Tỷ lệ suy giảm công suất năm đầu</t>
  </si>
  <si>
    <t>Tỷ lệ suy giảm công suất các năm tiếp theo</t>
  </si>
  <si>
    <t>Mức tiêu thụ tối thiểu</t>
  </si>
  <si>
    <t>Tỷ lệ tăng giá điện bình quân hàng năm của EVN</t>
  </si>
  <si>
    <t>Tốc độ trượt giá hàng năm</t>
  </si>
  <si>
    <t>Chi phí vốn chủ sở hữu</t>
  </si>
  <si>
    <t>/năm</t>
  </si>
  <si>
    <t>Chiết khấu cho khách hàng</t>
  </si>
  <si>
    <t>Chi phí bảo trì/bảo dưỡng hàng năm</t>
  </si>
  <si>
    <t>doanh thu điện</t>
  </si>
  <si>
    <t>Chi phí bảo hiểm tài sản</t>
  </si>
  <si>
    <t>giá trị đầu tư hệ thống</t>
  </si>
  <si>
    <t>Giá bán điện của EVN</t>
  </si>
  <si>
    <t>Áp từ 22 kV trở lên</t>
  </si>
  <si>
    <t>Giờ thấp điểm</t>
  </si>
  <si>
    <t>Áp từ 6kV đến dưới 22 kV</t>
  </si>
  <si>
    <t>Áp dưới 6kV</t>
  </si>
  <si>
    <t>PHÂN TÍCH</t>
  </si>
  <si>
    <t>Thông số cơ bản</t>
  </si>
  <si>
    <t>VAT</t>
  </si>
  <si>
    <t>Vốn vay ngân hàng</t>
  </si>
  <si>
    <t>Chi phí vốn vay</t>
  </si>
  <si>
    <t>Chỉ số giá</t>
  </si>
  <si>
    <t>Năm</t>
  </si>
  <si>
    <t>Chỉ số lạm phát</t>
  </si>
  <si>
    <t>Chỉ số tăng giá điện</t>
  </si>
  <si>
    <t>Chỉ số công suất phát điện</t>
  </si>
  <si>
    <t>Công suất thiết kế</t>
  </si>
  <si>
    <t>Sản lượng điện (kWh)</t>
  </si>
  <si>
    <t>Sản lượng điện tối đa/năm</t>
  </si>
  <si>
    <t>kWh</t>
  </si>
  <si>
    <t>MWp</t>
  </si>
  <si>
    <t>Sản lượng điện sản xuất (kWh)</t>
  </si>
  <si>
    <t>Sản lượng điện tự tiêu thụ</t>
  </si>
  <si>
    <t>Sản lượng EES tiêu thụ</t>
  </si>
  <si>
    <t>Giá bán điện tự tiêu thụ</t>
  </si>
  <si>
    <t>Giá bán điện EES tiêu thụ</t>
  </si>
  <si>
    <t>Chiết khấu giá bán điện</t>
  </si>
  <si>
    <t>Chiêt khấu các năm tiếp theo</t>
  </si>
  <si>
    <t>Doanh thu bán điện tự tiêu thụ</t>
  </si>
  <si>
    <t>Doanh thu bán điện EES tiêu thụ</t>
  </si>
  <si>
    <t>Thuế TNDN</t>
  </si>
  <si>
    <t>Hệ số chuyển đổi</t>
  </si>
  <si>
    <t>Tổng doanh thu bán điện</t>
  </si>
  <si>
    <t>Giá bán và doanh thu bán điện (VND/Triệu đồng)</t>
  </si>
  <si>
    <t>Doanh thu</t>
  </si>
  <si>
    <t>Chi phí bảo trì/bảo dưỡng</t>
  </si>
  <si>
    <t>Tổng chi phí</t>
  </si>
  <si>
    <t>EBITDA</t>
  </si>
  <si>
    <t>Khấu hao</t>
  </si>
  <si>
    <t>Chi phí lãi vay</t>
  </si>
  <si>
    <t>EBT</t>
  </si>
  <si>
    <t>Kết quả kinh doanh của dự án (Báo cáo thu nhập, Triệu đồng)</t>
  </si>
  <si>
    <t>Lợi nhuận sau thuế</t>
  </si>
  <si>
    <t>Dự phóng dòng tiền dự án (Báo cáo ngân lưu EPV, Triệu đồng)</t>
  </si>
  <si>
    <t>Ngân lưu vào</t>
  </si>
  <si>
    <t>Ngân lưu ra</t>
  </si>
  <si>
    <t>Chi phí đầu tư</t>
  </si>
  <si>
    <t>Chi phí vận hành hệ thống</t>
  </si>
  <si>
    <t>Thừa số chiếu khấu</t>
  </si>
  <si>
    <t>Dòng tiền vào</t>
  </si>
  <si>
    <t>Dòng tiền ra</t>
  </si>
  <si>
    <t>Dòng tiền thuần</t>
  </si>
  <si>
    <t>Dòng tiền thuần sau chiết khấu</t>
  </si>
  <si>
    <t>Dòng tiền lũy kế</t>
  </si>
  <si>
    <t>Dòng tiền lũy kế sau chiết khấu</t>
  </si>
  <si>
    <t>NPV</t>
  </si>
  <si>
    <t>IRR</t>
  </si>
  <si>
    <t>Nguồn vốn đầu tư:</t>
  </si>
  <si>
    <t>Giá bán và doanh thu bán điện (Đồng/Triệu đồng)</t>
  </si>
  <si>
    <t>Trả nợ gốc vay</t>
  </si>
  <si>
    <t>Lãi vay</t>
  </si>
  <si>
    <t>Tổng</t>
  </si>
  <si>
    <t>Câu hỏi thảo luận:</t>
  </si>
  <si>
    <t>Hãy tìm ra những điểm 'chưa thích hợp' trong thông số và kết quả phân tích?</t>
  </si>
  <si>
    <t>DỰ ÁN ĐẦU TƯ HỆ THỐNG ĐIỆN MẶT TRỜI TỰ TIÊU THỤ - GIC</t>
  </si>
  <si>
    <t>(Theo đúng bản báo cáo của công ty với sinh viên UEH)</t>
  </si>
  <si>
    <t>Ngân lưu ròng trước thuế</t>
  </si>
  <si>
    <t>Báo cáo ngân lưu EPV (Triệu đồng)</t>
  </si>
  <si>
    <t>Báo cáo ngân lưu TIPV (Triệu đồng)</t>
  </si>
  <si>
    <t>Ngân lưu ròng sau thuế TIPV</t>
  </si>
  <si>
    <t>WACC</t>
  </si>
  <si>
    <t>vốn đầu tư</t>
  </si>
  <si>
    <t>Lịch vay và trả nợ (Triệu đồng)</t>
  </si>
  <si>
    <t>Nợ đầu kỳ</t>
  </si>
  <si>
    <t>Lãi phát sinh</t>
  </si>
  <si>
    <t>Trả nợ</t>
  </si>
  <si>
    <t>Trả gốc</t>
  </si>
  <si>
    <t>Trả lãi</t>
  </si>
  <si>
    <t>Nợ cuối kỳ</t>
  </si>
  <si>
    <t>Thông số bổ sung</t>
  </si>
  <si>
    <t>Sản lượng ESS tiêu thụ</t>
  </si>
  <si>
    <t>Doanh thu bán điện ESS tiêu thụ</t>
  </si>
  <si>
    <t>Tỷ lệ ESS tiêu thụ</t>
  </si>
  <si>
    <t>Tỷ lệ điện tự tiêu thụ</t>
  </si>
  <si>
    <t>Thời gian trả nợ</t>
  </si>
  <si>
    <t>Vay</t>
  </si>
  <si>
    <t>Ngân lưu ròng trước thuế EPV</t>
  </si>
  <si>
    <t>IRR_EPV</t>
  </si>
  <si>
    <t>NPV_TIPV</t>
  </si>
  <si>
    <t>IRR_TIPV</t>
  </si>
  <si>
    <t>NPV_EPV</t>
  </si>
  <si>
    <t>(Theo lý thuyết thẩm định dự án, 12 năm, thêm thông số bổ sung)</t>
  </si>
  <si>
    <t>Nếu chậm tiến độ do quản lý kém thì ảnh hưởng kết quả như thế nào (so với UEH 1)?</t>
  </si>
  <si>
    <t>(Theo lý thuyết thẩm định dự án, 20 năm, thêm thông số bổ sung)</t>
  </si>
  <si>
    <t>Nếu kéo dài dự án 20 năm thì có lợi hơn so với 12 năm (so với UEH 1)?</t>
  </si>
  <si>
    <t>Bạn có nhận xét gì so với kết quả không vay ngân hàng (so với UEH 1)?</t>
  </si>
  <si>
    <t>Bạn có nhận xét gì so với kết quả khấu hao nhanh trong 3 năm (so với UEH 2)?</t>
  </si>
  <si>
    <t>Chi phí bảo trì/bảo dưỡng hàng năm giai đoạn đầu</t>
  </si>
  <si>
    <t>Chi phí bảo trì/bảo dưỡng hàng năm giai đoạn sau</t>
  </si>
  <si>
    <t>VAT đầu ra</t>
  </si>
  <si>
    <t>VAT đầu vào 1</t>
  </si>
  <si>
    <t>VAT đầu vào 2</t>
  </si>
  <si>
    <t>Chênh lệch thuế VAT</t>
  </si>
  <si>
    <t>Bạn có nhận xét gì so với kết quả không có VAT (so với UEH 1)?</t>
  </si>
  <si>
    <t>Doanh thu chưa gồm VAT</t>
  </si>
  <si>
    <t>Chi phí đầu tư chưa gồm VAT</t>
  </si>
  <si>
    <t>Chi phí vận hành hệ thống chưa gồm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</si>
</sst>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2" x14ac:knownFonts="1">
    <font>
      <sz val="11"/>
      <color theme="1"/>
      <name val="Aptos Narrow"/>
      <family val="2"/>
      <scheme val="minor"/>
    </font>
    <font>
      <b/>
      <sz val="12"/>
      <color theme="1"/>
      <name val="Times New Roman"/>
      <family val="1"/>
    </font>
    <font>
      <sz val="12"/>
      <color theme="1"/>
      <name val="Times New Roman"/>
      <family val="1"/>
    </font>
    <font>
      <sz val="12"/>
      <color rgb="FFFF0000"/>
      <name val="Times New Roman"/>
      <family val="1"/>
    </font>
    <font>
      <b/>
      <sz val="12"/>
      <color rgb="FFFF0000"/>
      <name val="Times New Roman"/>
      <family val="1"/>
    </font>
    <font>
      <b/>
      <sz val="12"/>
      <color rgb="FF00B050"/>
      <name val="Times New Roman"/>
      <family val="1"/>
    </font>
    <font>
      <sz val="12"/>
      <color rgb="FF00B050"/>
      <name val="Times New Roman"/>
      <family val="1"/>
    </font>
    <font>
      <b/>
      <u/>
      <sz val="12"/>
      <color rgb="FF00B050"/>
      <name val="Times New Roman"/>
      <family val="1"/>
    </font>
    <font>
      <b/>
      <sz val="21"/>
      <color rgb="FF00B050"/>
      <name val="Times New Roman"/>
      <family val="1"/>
    </font>
    <font>
      <b/>
      <sz val="21"/>
      <color theme="8"/>
      <name val="Times New Roman"/>
      <family val="1"/>
    </font>
    <font>
      <b/>
      <sz val="15"/>
      <color theme="1"/>
      <name val="Times New Roman"/>
      <family val="1"/>
    </font>
    <font>
      <sz val="15"/>
      <color rgb="FF00B050"/>
      <name val="Times New Roman"/>
      <family val="1"/>
    </font>
    <font>
      <sz val="15"/>
      <color theme="8"/>
      <name val="Times New Roman"/>
      <family val="1"/>
    </font>
    <font>
      <sz val="12"/>
      <color theme="3"/>
      <name val="Times New Roman"/>
      <family val="1"/>
    </font>
    <font>
      <b/>
      <sz val="12"/>
      <color theme="8"/>
      <name val="Times New Roman"/>
      <family val="1"/>
    </font>
    <font>
      <b/>
      <sz val="9"/>
      <color indexed="81"/>
      <name val="Tahoma"/>
      <family val="2"/>
    </font>
    <font>
      <sz val="12"/>
      <color indexed="81"/>
      <name val="Tahoma"/>
      <family val="2"/>
    </font>
    <font>
      <i/>
      <sz val="12"/>
      <color theme="1"/>
      <name val="Times New Roman"/>
      <family val="1"/>
    </font>
    <font>
      <b/>
      <sz val="12"/>
      <color indexed="81"/>
      <name val="Tahoma"/>
      <family val="2"/>
    </font>
    <font>
      <sz val="12"/>
      <color rgb="FF00B0F0"/>
      <name val="Times New Roman"/>
      <family val="1"/>
    </font>
    <font>
      <sz val="12"/>
      <color theme="5" tint="-0.249977111117893"/>
      <name val="Times New Roman"/>
      <family val="1"/>
    </font>
    <font>
      <sz val="12"/>
      <color rgb="FF0070C0"/>
      <name val="Times New Roman"/>
      <family val="1"/>
    </font>
  </fonts>
  <fills count="8">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s>
  <borders count="2">
    <border>
      <left/>
      <right/>
      <top/>
      <bottom/>
      <diagonal/>
    </border>
    <border>
      <left/>
      <right/>
      <top/>
      <bottom style="thick">
        <color indexed="64"/>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2" fillId="0" borderId="0" xfId="0" applyFont="1" applyAlignment="1">
      <alignment horizontal="left" indent="1"/>
    </xf>
    <xf numFmtId="9" fontId="2" fillId="0" borderId="0" xfId="0" applyNumberFormat="1" applyFont="1"/>
    <xf numFmtId="2" fontId="2" fillId="0" borderId="0" xfId="0" applyNumberFormat="1" applyFont="1"/>
    <xf numFmtId="1" fontId="2" fillId="0" borderId="0" xfId="0" applyNumberFormat="1" applyFont="1"/>
    <xf numFmtId="10" fontId="2" fillId="0" borderId="0" xfId="0" applyNumberFormat="1" applyFont="1"/>
    <xf numFmtId="0" fontId="2" fillId="0" borderId="0" xfId="0" applyFont="1" applyAlignment="1">
      <alignment horizontal="left" indent="2"/>
    </xf>
    <xf numFmtId="0" fontId="2" fillId="0" borderId="0" xfId="0" quotePrefix="1" applyFont="1"/>
    <xf numFmtId="0" fontId="2" fillId="0" borderId="0" xfId="0" applyFont="1" applyAlignment="1">
      <alignment horizontal="left"/>
    </xf>
    <xf numFmtId="0" fontId="2" fillId="2" borderId="0" xfId="0" applyFont="1" applyFill="1"/>
    <xf numFmtId="0" fontId="2" fillId="0" borderId="1" xfId="0" applyFont="1" applyBorder="1"/>
    <xf numFmtId="10" fontId="2" fillId="0" borderId="1" xfId="0" applyNumberFormat="1" applyFont="1" applyBorder="1"/>
    <xf numFmtId="9" fontId="3" fillId="0" borderId="0" xfId="0" applyNumberFormat="1" applyFont="1"/>
    <xf numFmtId="0" fontId="3" fillId="0" borderId="0" xfId="0" applyFont="1"/>
    <xf numFmtId="1" fontId="3" fillId="0" borderId="0" xfId="0" applyNumberFormat="1" applyFont="1"/>
    <xf numFmtId="10" fontId="3" fillId="0" borderId="0" xfId="0" applyNumberFormat="1" applyFont="1"/>
    <xf numFmtId="1" fontId="3" fillId="0" borderId="1" xfId="0" applyNumberFormat="1" applyFont="1" applyBorder="1"/>
    <xf numFmtId="164" fontId="2" fillId="0" borderId="0" xfId="0" applyNumberFormat="1" applyFont="1"/>
    <xf numFmtId="1" fontId="2" fillId="3" borderId="0" xfId="0" applyNumberFormat="1" applyFont="1" applyFill="1"/>
    <xf numFmtId="0" fontId="4" fillId="0" borderId="0" xfId="0" applyFont="1"/>
    <xf numFmtId="0" fontId="5" fillId="0" borderId="0" xfId="0" applyFont="1"/>
    <xf numFmtId="2" fontId="3" fillId="0" borderId="0" xfId="0" applyNumberFormat="1" applyFont="1"/>
    <xf numFmtId="0" fontId="6" fillId="0" borderId="0" xfId="0" applyFont="1" applyAlignment="1">
      <alignment horizontal="left" indent="1"/>
    </xf>
    <xf numFmtId="0" fontId="7" fillId="0" borderId="0" xfId="0" applyFont="1"/>
    <xf numFmtId="0" fontId="10" fillId="0" borderId="1" xfId="0" applyFont="1" applyBorder="1"/>
    <xf numFmtId="0" fontId="10" fillId="0" borderId="0" xfId="0" applyFont="1"/>
    <xf numFmtId="0" fontId="13" fillId="0" borderId="0" xfId="0" applyFont="1" applyAlignment="1">
      <alignment horizontal="left"/>
    </xf>
    <xf numFmtId="0" fontId="14" fillId="0" borderId="0" xfId="0" applyFont="1"/>
    <xf numFmtId="165" fontId="2" fillId="0" borderId="1" xfId="0" applyNumberFormat="1" applyFont="1" applyBorder="1"/>
    <xf numFmtId="9" fontId="4" fillId="4" borderId="0" xfId="0" applyNumberFormat="1" applyFont="1" applyFill="1"/>
    <xf numFmtId="2" fontId="2" fillId="5" borderId="0" xfId="0" applyNumberFormat="1" applyFont="1" applyFill="1"/>
    <xf numFmtId="164" fontId="17" fillId="0" borderId="0" xfId="0" applyNumberFormat="1" applyFont="1"/>
    <xf numFmtId="0" fontId="17" fillId="0" borderId="0" xfId="0" applyFont="1"/>
    <xf numFmtId="164" fontId="1" fillId="0" borderId="0" xfId="0" applyNumberFormat="1" applyFont="1"/>
    <xf numFmtId="0" fontId="1" fillId="0" borderId="0" xfId="0" applyFont="1" applyAlignment="1">
      <alignment horizontal="left"/>
    </xf>
    <xf numFmtId="1" fontId="3" fillId="0" borderId="0" xfId="0" applyNumberFormat="1" applyFont="1" applyAlignment="1">
      <alignment horizontal="right"/>
    </xf>
    <xf numFmtId="0" fontId="1" fillId="4" borderId="0" xfId="0" applyFont="1" applyFill="1"/>
    <xf numFmtId="164" fontId="1" fillId="4" borderId="0" xfId="0" applyNumberFormat="1" applyFont="1" applyFill="1"/>
    <xf numFmtId="0" fontId="1" fillId="4" borderId="0" xfId="0" applyFont="1" applyFill="1" applyAlignment="1">
      <alignment horizontal="left"/>
    </xf>
    <xf numFmtId="1" fontId="1" fillId="4" borderId="0" xfId="0" applyNumberFormat="1" applyFont="1" applyFill="1"/>
    <xf numFmtId="2" fontId="6" fillId="0" borderId="0" xfId="0" applyNumberFormat="1" applyFont="1"/>
    <xf numFmtId="2" fontId="19" fillId="0" borderId="0" xfId="0" applyNumberFormat="1" applyFont="1"/>
    <xf numFmtId="2" fontId="20" fillId="0" borderId="0" xfId="0" applyNumberFormat="1" applyFont="1"/>
    <xf numFmtId="2" fontId="21" fillId="0" borderId="0" xfId="0" applyNumberFormat="1" applyFont="1"/>
    <xf numFmtId="2" fontId="2" fillId="6" borderId="0" xfId="0" applyNumberFormat="1" applyFont="1" applyFill="1"/>
    <xf numFmtId="9" fontId="4" fillId="0" borderId="0" xfId="0" applyNumberFormat="1" applyFont="1"/>
    <xf numFmtId="164" fontId="2" fillId="7" borderId="0" xfId="0" applyNumberFormat="1" applyFont="1" applyFill="1"/>
    <xf numFmtId="166" fontId="2" fillId="0" borderId="0" xfId="0" applyNumberFormat="1" applyFont="1"/>
    <xf numFmtId="165" fontId="1" fillId="4" borderId="0" xfId="0" applyNumberFormat="1" applyFont="1" applyFill="1"/>
    <xf numFmtId="9" fontId="5" fillId="4" borderId="0" xfId="0" applyNumberFormat="1" applyFont="1" applyFill="1"/>
    <xf numFmtId="0" fontId="8"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12" fillId="0" borderId="0" xfId="0" applyFont="1" applyAlignment="1">
      <alignment horizontal="center"/>
    </xf>
    <xf numFmtId="9" fontId="4" fillId="5"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14260717410325E-2"/>
          <c:y val="0.19721055701370663"/>
          <c:w val="0.87764129483814524"/>
          <c:h val="0.77736111111111106"/>
        </c:manualLayout>
      </c:layout>
      <c:barChart>
        <c:barDir val="col"/>
        <c:grouping val="clustered"/>
        <c:varyColors val="0"/>
        <c:ser>
          <c:idx val="0"/>
          <c:order val="0"/>
          <c:spPr>
            <a:solidFill>
              <a:schemeClr val="accent1"/>
            </a:solidFill>
            <a:ln>
              <a:noFill/>
            </a:ln>
            <a:effectLst/>
          </c:spPr>
          <c:invertIfNegative val="0"/>
          <c:val>
            <c:numRef>
              <c:f>GIC_3.2026!$B$79:$M$79</c:f>
              <c:numCache>
                <c:formatCode>0</c:formatCode>
                <c:ptCount val="12"/>
                <c:pt idx="0">
                  <c:v>-492.64553271674322</c:v>
                </c:pt>
                <c:pt idx="1">
                  <c:v>-232.62310894952589</c:v>
                </c:pt>
                <c:pt idx="2">
                  <c:v>12.941941144404211</c:v>
                </c:pt>
                <c:pt idx="3">
                  <c:v>172.26631893194838</c:v>
                </c:pt>
                <c:pt idx="4">
                  <c:v>323.38984249067465</c:v>
                </c:pt>
                <c:pt idx="5">
                  <c:v>466.73438346059106</c:v>
                </c:pt>
                <c:pt idx="6">
                  <c:v>566.33935046188674</c:v>
                </c:pt>
                <c:pt idx="7">
                  <c:v>660.81923546795679</c:v>
                </c:pt>
                <c:pt idx="8">
                  <c:v>750.43754752350515</c:v>
                </c:pt>
                <c:pt idx="9">
                  <c:v>819.93261324842103</c:v>
                </c:pt>
                <c:pt idx="10">
                  <c:v>885.85271286299962</c:v>
                </c:pt>
                <c:pt idx="11">
                  <c:v>948.38159308608647</c:v>
                </c:pt>
              </c:numCache>
            </c:numRef>
          </c:val>
          <c:extLst>
            <c:ext xmlns:c16="http://schemas.microsoft.com/office/drawing/2014/chart" uri="{C3380CC4-5D6E-409C-BE32-E72D297353CC}">
              <c16:uniqueId val="{00000000-7362-439C-9E6E-A86A41141348}"/>
            </c:ext>
          </c:extLst>
        </c:ser>
        <c:dLbls>
          <c:showLegendKey val="0"/>
          <c:showVal val="0"/>
          <c:showCatName val="0"/>
          <c:showSerName val="0"/>
          <c:showPercent val="0"/>
          <c:showBubbleSize val="0"/>
        </c:dLbls>
        <c:gapWidth val="219"/>
        <c:overlap val="-27"/>
        <c:axId val="1444366319"/>
        <c:axId val="1444354799"/>
      </c:barChart>
      <c:catAx>
        <c:axId val="144436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54799"/>
        <c:crosses val="autoZero"/>
        <c:auto val="1"/>
        <c:lblAlgn val="ctr"/>
        <c:lblOffset val="100"/>
        <c:noMultiLvlLbl val="0"/>
      </c:catAx>
      <c:valAx>
        <c:axId val="1444354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66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7143</xdr:colOff>
      <xdr:row>85</xdr:row>
      <xdr:rowOff>4761</xdr:rowOff>
    </xdr:from>
    <xdr:to>
      <xdr:col>12</xdr:col>
      <xdr:colOff>61913</xdr:colOff>
      <xdr:row>103</xdr:row>
      <xdr:rowOff>161924</xdr:rowOff>
    </xdr:to>
    <xdr:graphicFrame macro="">
      <xdr:nvGraphicFramePr>
        <xdr:cNvPr id="2" name="Chart 1">
          <a:extLst>
            <a:ext uri="{FF2B5EF4-FFF2-40B4-BE49-F238E27FC236}">
              <a16:creationId xmlns:a16="http://schemas.microsoft.com/office/drawing/2014/main" id="{5729AECE-E867-E80A-9878-B57AB44EE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619125</xdr:colOff>
      <xdr:row>0</xdr:row>
      <xdr:rowOff>261946</xdr:rowOff>
    </xdr:from>
    <xdr:to>
      <xdr:col>21</xdr:col>
      <xdr:colOff>476306</xdr:colOff>
      <xdr:row>28</xdr:row>
      <xdr:rowOff>57199</xdr:rowOff>
    </xdr:to>
    <xdr:pic>
      <xdr:nvPicPr>
        <xdr:cNvPr id="3" name="Picture 2">
          <a:extLst>
            <a:ext uri="{FF2B5EF4-FFF2-40B4-BE49-F238E27FC236}">
              <a16:creationId xmlns:a16="http://schemas.microsoft.com/office/drawing/2014/main" id="{B2551214-F430-0117-5E2A-C5D0EC067E55}"/>
            </a:ext>
          </a:extLst>
        </xdr:cNvPr>
        <xdr:cNvPicPr>
          <a:picLocks noChangeAspect="1"/>
        </xdr:cNvPicPr>
      </xdr:nvPicPr>
      <xdr:blipFill>
        <a:blip xmlns:r="http://schemas.openxmlformats.org/officeDocument/2006/relationships" r:embed="rId2"/>
        <a:stretch>
          <a:fillRect/>
        </a:stretch>
      </xdr:blipFill>
      <xdr:spPr>
        <a:xfrm>
          <a:off x="9277350" y="261946"/>
          <a:ext cx="7629581" cy="55007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A6A13-0357-4B69-9EAF-B7B29D4C4EBC}">
  <dimension ref="A1:M84"/>
  <sheetViews>
    <sheetView workbookViewId="0">
      <selection activeCell="D22" sqref="D22"/>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2" t="s">
        <v>91</v>
      </c>
      <c r="B1" s="52"/>
      <c r="C1" s="52"/>
      <c r="D1" s="52"/>
      <c r="E1" s="52"/>
      <c r="F1" s="52"/>
      <c r="G1" s="52"/>
      <c r="H1" s="52"/>
      <c r="I1" s="52"/>
    </row>
    <row r="2" spans="1:9" ht="19.149999999999999" x14ac:dyDescent="0.55000000000000004">
      <c r="A2" s="53" t="s">
        <v>92</v>
      </c>
      <c r="B2" s="53"/>
      <c r="C2" s="53"/>
      <c r="D2" s="53"/>
      <c r="E2" s="53"/>
      <c r="F2" s="53"/>
      <c r="G2" s="53"/>
      <c r="H2" s="53"/>
      <c r="I2" s="53"/>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
        <v>3</v>
      </c>
      <c r="C7" s="2" t="s">
        <v>6</v>
      </c>
      <c r="E7" s="3" t="s">
        <v>10</v>
      </c>
      <c r="H7" s="2">
        <v>2887</v>
      </c>
      <c r="I7" s="2" t="s">
        <v>9</v>
      </c>
    </row>
    <row r="8" spans="1:9" x14ac:dyDescent="0.45">
      <c r="A8" s="2" t="s">
        <v>84</v>
      </c>
      <c r="C8" s="2" t="s">
        <v>4</v>
      </c>
      <c r="E8" s="3" t="s">
        <v>30</v>
      </c>
      <c r="H8" s="2">
        <v>1609</v>
      </c>
      <c r="I8" s="2" t="s">
        <v>9</v>
      </c>
    </row>
    <row r="9" spans="1:9" x14ac:dyDescent="0.45">
      <c r="A9" s="3" t="s">
        <v>3</v>
      </c>
      <c r="B9" s="2">
        <v>768</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3" x14ac:dyDescent="0.45">
      <c r="A17" s="3" t="s">
        <v>12</v>
      </c>
      <c r="B17" s="4">
        <v>0.1</v>
      </c>
      <c r="E17" s="3" t="s">
        <v>11</v>
      </c>
      <c r="H17" s="29">
        <v>5422</v>
      </c>
      <c r="I17" s="2" t="s">
        <v>9</v>
      </c>
    </row>
    <row r="18" spans="1:13" x14ac:dyDescent="0.45">
      <c r="A18" s="3" t="s">
        <v>13</v>
      </c>
      <c r="B18" s="4">
        <v>0.25</v>
      </c>
    </row>
    <row r="19" spans="1:13" x14ac:dyDescent="0.45">
      <c r="A19" s="3" t="s">
        <v>13</v>
      </c>
      <c r="B19" s="4">
        <v>0.45</v>
      </c>
      <c r="E19" s="1"/>
    </row>
    <row r="20" spans="1:13" x14ac:dyDescent="0.45">
      <c r="A20" s="3" t="s">
        <v>13</v>
      </c>
      <c r="B20" s="4">
        <v>0.55000000000000004</v>
      </c>
      <c r="H20" s="14"/>
    </row>
    <row r="21" spans="1:13" x14ac:dyDescent="0.45">
      <c r="A21" s="2" t="s">
        <v>14</v>
      </c>
      <c r="B21" s="6">
        <v>1350</v>
      </c>
      <c r="C21" s="2" t="s">
        <v>15</v>
      </c>
      <c r="H21" s="14"/>
    </row>
    <row r="22" spans="1:13" x14ac:dyDescent="0.45">
      <c r="A22" s="2" t="s">
        <v>16</v>
      </c>
      <c r="B22" s="4">
        <v>0.01</v>
      </c>
      <c r="H22" s="15"/>
    </row>
    <row r="23" spans="1:13" x14ac:dyDescent="0.45">
      <c r="A23" s="2" t="s">
        <v>17</v>
      </c>
      <c r="B23" s="7">
        <v>5.4999999999999997E-3</v>
      </c>
      <c r="H23" s="16"/>
    </row>
    <row r="24" spans="1:13" x14ac:dyDescent="0.45">
      <c r="A24" s="2" t="s">
        <v>18</v>
      </c>
      <c r="B24" s="4">
        <v>0.9</v>
      </c>
      <c r="H24" s="17"/>
    </row>
    <row r="25" spans="1:13" x14ac:dyDescent="0.45">
      <c r="A25" s="2" t="s">
        <v>19</v>
      </c>
      <c r="B25" s="4">
        <v>0.03</v>
      </c>
      <c r="H25" s="17"/>
    </row>
    <row r="26" spans="1:13" x14ac:dyDescent="0.45">
      <c r="A26" s="2" t="s">
        <v>20</v>
      </c>
      <c r="B26" s="4">
        <v>0.03</v>
      </c>
      <c r="H26" s="14"/>
    </row>
    <row r="27" spans="1:13" x14ac:dyDescent="0.45">
      <c r="A27" s="2" t="s">
        <v>24</v>
      </c>
      <c r="B27" s="4">
        <v>0.1</v>
      </c>
      <c r="C27" s="2" t="s">
        <v>25</v>
      </c>
    </row>
    <row r="28" spans="1:13" ht="15.75" thickBot="1" x14ac:dyDescent="0.5">
      <c r="A28" s="12" t="s">
        <v>26</v>
      </c>
      <c r="B28" s="13">
        <v>1E-3</v>
      </c>
      <c r="C28" s="12" t="s">
        <v>27</v>
      </c>
      <c r="D28" s="12"/>
      <c r="E28" s="12"/>
      <c r="F28" s="12"/>
      <c r="G28" s="12"/>
      <c r="H28" s="18"/>
      <c r="I28" s="12"/>
    </row>
    <row r="29" spans="1:13" ht="15.75" thickTop="1" x14ac:dyDescent="0.45"/>
    <row r="30" spans="1:13" ht="18.75" x14ac:dyDescent="0.5">
      <c r="A30" s="27" t="s">
        <v>33</v>
      </c>
    </row>
    <row r="31" spans="1:13" x14ac:dyDescent="0.45">
      <c r="A31" s="1" t="s">
        <v>38</v>
      </c>
    </row>
    <row r="32" spans="1:13" x14ac:dyDescent="0.45">
      <c r="A32" s="11" t="s">
        <v>39</v>
      </c>
      <c r="B32" s="11">
        <v>1</v>
      </c>
      <c r="C32" s="11">
        <v>2</v>
      </c>
      <c r="D32" s="11">
        <v>3</v>
      </c>
      <c r="E32" s="11">
        <v>4</v>
      </c>
      <c r="F32" s="11">
        <v>5</v>
      </c>
      <c r="G32" s="11">
        <v>6</v>
      </c>
      <c r="H32" s="11">
        <v>7</v>
      </c>
      <c r="I32" s="11">
        <v>8</v>
      </c>
      <c r="J32" s="11">
        <v>9</v>
      </c>
      <c r="K32" s="11">
        <v>10</v>
      </c>
      <c r="L32" s="11">
        <v>11</v>
      </c>
      <c r="M32" s="11">
        <v>12</v>
      </c>
    </row>
    <row r="33" spans="1:13" x14ac:dyDescent="0.45">
      <c r="A33" s="2" t="s">
        <v>41</v>
      </c>
      <c r="B33" s="5">
        <f t="shared" ref="B33:M33" si="0">(1+$B$25)^B32</f>
        <v>1.03</v>
      </c>
      <c r="C33" s="5">
        <f t="shared" si="0"/>
        <v>1.0609</v>
      </c>
      <c r="D33" s="5">
        <f t="shared" si="0"/>
        <v>1.092727</v>
      </c>
      <c r="E33" s="5">
        <f t="shared" si="0"/>
        <v>1.1255088099999999</v>
      </c>
      <c r="F33" s="5">
        <f t="shared" si="0"/>
        <v>1.1592740742999998</v>
      </c>
      <c r="G33" s="5">
        <f t="shared" si="0"/>
        <v>1.1940522965289999</v>
      </c>
      <c r="H33" s="5">
        <f t="shared" si="0"/>
        <v>1.22987386542487</v>
      </c>
      <c r="I33" s="5">
        <f t="shared" si="0"/>
        <v>1.2667700813876159</v>
      </c>
      <c r="J33" s="5">
        <f t="shared" si="0"/>
        <v>1.3047731838292445</v>
      </c>
      <c r="K33" s="5">
        <f t="shared" si="0"/>
        <v>1.3439163793441218</v>
      </c>
      <c r="L33" s="5">
        <f t="shared" si="0"/>
        <v>1.3842338707244455</v>
      </c>
      <c r="M33" s="5">
        <f t="shared" si="0"/>
        <v>1.4257608868461786</v>
      </c>
    </row>
    <row r="34" spans="1:13" x14ac:dyDescent="0.45">
      <c r="A34" s="2" t="s">
        <v>53</v>
      </c>
      <c r="B34" s="5">
        <f>(1-$B$17)</f>
        <v>0.9</v>
      </c>
      <c r="C34" s="5">
        <f t="shared" ref="C34:D34" si="1">(1-$B$17)</f>
        <v>0.9</v>
      </c>
      <c r="D34" s="5">
        <f t="shared" si="1"/>
        <v>0.9</v>
      </c>
      <c r="E34" s="5">
        <f>(1-$B$18)</f>
        <v>0.75</v>
      </c>
      <c r="F34" s="5">
        <f t="shared" ref="F34:G34" si="2">(1-$B$18)</f>
        <v>0.75</v>
      </c>
      <c r="G34" s="5">
        <f t="shared" si="2"/>
        <v>0.75</v>
      </c>
      <c r="H34" s="5">
        <f>(1-$B$19)</f>
        <v>0.55000000000000004</v>
      </c>
      <c r="I34" s="5">
        <f t="shared" ref="I34:J34" si="3">(1-$B$19)</f>
        <v>0.55000000000000004</v>
      </c>
      <c r="J34" s="5">
        <f t="shared" si="3"/>
        <v>0.55000000000000004</v>
      </c>
      <c r="K34" s="5">
        <f>(1-$B$20)</f>
        <v>0.44999999999999996</v>
      </c>
      <c r="L34" s="5">
        <f t="shared" ref="L34:M34" si="4">(1-$B$20)</f>
        <v>0.44999999999999996</v>
      </c>
      <c r="M34" s="5">
        <f t="shared" si="4"/>
        <v>0.44999999999999996</v>
      </c>
    </row>
    <row r="35" spans="1:13" x14ac:dyDescent="0.45">
      <c r="A35" s="2" t="s">
        <v>42</v>
      </c>
      <c r="B35" s="5">
        <f>(1-B22)</f>
        <v>0.99</v>
      </c>
      <c r="C35" s="5">
        <f t="shared" ref="C35:M35" si="5">B35*(1-$B$23)</f>
        <v>0.98455500000000007</v>
      </c>
      <c r="D35" s="5">
        <f t="shared" si="5"/>
        <v>0.97913994750000011</v>
      </c>
      <c r="E35" s="5">
        <f t="shared" si="5"/>
        <v>0.97375467778875013</v>
      </c>
      <c r="F35" s="5">
        <f t="shared" si="5"/>
        <v>0.96839902706091208</v>
      </c>
      <c r="G35" s="5">
        <f t="shared" si="5"/>
        <v>0.96307283241207708</v>
      </c>
      <c r="H35" s="5">
        <f t="shared" si="5"/>
        <v>0.95777593183381071</v>
      </c>
      <c r="I35" s="5">
        <f t="shared" si="5"/>
        <v>0.95250816420872475</v>
      </c>
      <c r="J35" s="5">
        <f t="shared" si="5"/>
        <v>0.94726936930557681</v>
      </c>
      <c r="K35" s="5">
        <f t="shared" si="5"/>
        <v>0.94205938777439624</v>
      </c>
      <c r="L35" s="5">
        <f t="shared" si="5"/>
        <v>0.93687806114163708</v>
      </c>
      <c r="M35" s="5">
        <f t="shared" si="5"/>
        <v>0.93172523180535816</v>
      </c>
    </row>
    <row r="37" spans="1:13" x14ac:dyDescent="0.45">
      <c r="A37" s="1" t="s">
        <v>44</v>
      </c>
    </row>
    <row r="38" spans="1:13" x14ac:dyDescent="0.45">
      <c r="A38" s="11" t="s">
        <v>39</v>
      </c>
      <c r="B38" s="11">
        <v>1</v>
      </c>
      <c r="C38" s="11">
        <v>2</v>
      </c>
      <c r="D38" s="11">
        <v>3</v>
      </c>
      <c r="E38" s="11">
        <v>4</v>
      </c>
      <c r="F38" s="11">
        <v>5</v>
      </c>
      <c r="G38" s="11">
        <v>6</v>
      </c>
      <c r="H38" s="11">
        <v>7</v>
      </c>
      <c r="I38" s="11">
        <v>8</v>
      </c>
      <c r="J38" s="11">
        <v>9</v>
      </c>
      <c r="K38" s="11">
        <v>10</v>
      </c>
      <c r="L38" s="11">
        <v>11</v>
      </c>
      <c r="M38" s="11">
        <v>12</v>
      </c>
    </row>
    <row r="39" spans="1:13" x14ac:dyDescent="0.45">
      <c r="A39" s="2" t="s">
        <v>48</v>
      </c>
      <c r="B39" s="6">
        <f t="shared" ref="B39:M39" si="6">$B$21*67.19192*B35</f>
        <v>89802.001079999987</v>
      </c>
      <c r="C39" s="6">
        <f t="shared" si="6"/>
        <v>89308.09007405999</v>
      </c>
      <c r="D39" s="6">
        <f t="shared" si="6"/>
        <v>88816.895578652664</v>
      </c>
      <c r="E39" s="6">
        <f t="shared" si="6"/>
        <v>88328.402652970079</v>
      </c>
      <c r="F39" s="6">
        <f t="shared" si="6"/>
        <v>87842.59643837875</v>
      </c>
      <c r="G39" s="6">
        <f t="shared" si="6"/>
        <v>87359.462157967675</v>
      </c>
      <c r="H39" s="6">
        <f t="shared" si="6"/>
        <v>86878.985116098862</v>
      </c>
      <c r="I39" s="6">
        <f t="shared" si="6"/>
        <v>86401.150697960315</v>
      </c>
      <c r="J39" s="6">
        <f t="shared" si="6"/>
        <v>85925.944369121527</v>
      </c>
      <c r="K39" s="6">
        <f t="shared" si="6"/>
        <v>85453.35167509137</v>
      </c>
      <c r="L39" s="6">
        <f t="shared" si="6"/>
        <v>84983.35824087837</v>
      </c>
      <c r="M39" s="6">
        <f t="shared" si="6"/>
        <v>84515.949770553547</v>
      </c>
    </row>
    <row r="40" spans="1:13" x14ac:dyDescent="0.45">
      <c r="A40" s="2" t="s">
        <v>49</v>
      </c>
      <c r="B40" s="6">
        <f>B39*81.1786%</f>
        <v>72900.007248728871</v>
      </c>
      <c r="C40" s="6">
        <f t="shared" ref="C40:M40" si="7">C39*81.1786%</f>
        <v>72499.057208860861</v>
      </c>
      <c r="D40" s="6">
        <f t="shared" si="7"/>
        <v>72100.312394212131</v>
      </c>
      <c r="E40" s="6">
        <f t="shared" si="7"/>
        <v>71703.760676043967</v>
      </c>
      <c r="F40" s="6">
        <f t="shared" si="7"/>
        <v>71309.389992325727</v>
      </c>
      <c r="G40" s="6">
        <f t="shared" si="7"/>
        <v>70917.188347367948</v>
      </c>
      <c r="H40" s="6">
        <f t="shared" si="7"/>
        <v>70527.143811457427</v>
      </c>
      <c r="I40" s="6">
        <f t="shared" si="7"/>
        <v>70139.244520494409</v>
      </c>
      <c r="J40" s="6">
        <f t="shared" si="7"/>
        <v>69753.47867563169</v>
      </c>
      <c r="K40" s="6">
        <f t="shared" si="7"/>
        <v>69369.83454291572</v>
      </c>
      <c r="L40" s="6">
        <f t="shared" si="7"/>
        <v>68988.300452929689</v>
      </c>
      <c r="M40" s="6">
        <f t="shared" si="7"/>
        <v>68608.864800438576</v>
      </c>
    </row>
    <row r="41" spans="1:13" x14ac:dyDescent="0.45">
      <c r="A41" s="2" t="s">
        <v>107</v>
      </c>
      <c r="B41" s="6">
        <f>B39-B40</f>
        <v>16901.993831271117</v>
      </c>
      <c r="C41" s="6">
        <f t="shared" ref="C41:M41" si="8">C39-C40</f>
        <v>16809.032865199129</v>
      </c>
      <c r="D41" s="6">
        <f t="shared" si="8"/>
        <v>16716.583184440533</v>
      </c>
      <c r="E41" s="6">
        <f t="shared" si="8"/>
        <v>16624.641976926112</v>
      </c>
      <c r="F41" s="6">
        <f t="shared" si="8"/>
        <v>16533.206446053024</v>
      </c>
      <c r="G41" s="6">
        <f t="shared" si="8"/>
        <v>16442.273810599727</v>
      </c>
      <c r="H41" s="6">
        <f t="shared" si="8"/>
        <v>16351.841304641435</v>
      </c>
      <c r="I41" s="6">
        <f t="shared" si="8"/>
        <v>16261.906177465906</v>
      </c>
      <c r="J41" s="6">
        <f t="shared" si="8"/>
        <v>16172.465693489838</v>
      </c>
      <c r="K41" s="6">
        <f t="shared" si="8"/>
        <v>16083.51713217565</v>
      </c>
      <c r="L41" s="6">
        <f t="shared" si="8"/>
        <v>15995.057787948681</v>
      </c>
      <c r="M41" s="6">
        <f t="shared" si="8"/>
        <v>15907.084970114971</v>
      </c>
    </row>
    <row r="43" spans="1:13" x14ac:dyDescent="0.45">
      <c r="A43" s="1" t="s">
        <v>85</v>
      </c>
    </row>
    <row r="44" spans="1:13" x14ac:dyDescent="0.45">
      <c r="A44" s="11" t="s">
        <v>39</v>
      </c>
      <c r="B44" s="11">
        <v>1</v>
      </c>
      <c r="C44" s="11">
        <v>2</v>
      </c>
      <c r="D44" s="11">
        <v>3</v>
      </c>
      <c r="E44" s="11">
        <v>4</v>
      </c>
      <c r="F44" s="11">
        <v>5</v>
      </c>
      <c r="G44" s="11">
        <v>6</v>
      </c>
      <c r="H44" s="11">
        <v>7</v>
      </c>
      <c r="I44" s="11">
        <v>8</v>
      </c>
      <c r="J44" s="11">
        <v>9</v>
      </c>
      <c r="K44" s="11">
        <v>10</v>
      </c>
      <c r="L44" s="11">
        <v>11</v>
      </c>
      <c r="M44" s="11">
        <v>12</v>
      </c>
    </row>
    <row r="45" spans="1:13" x14ac:dyDescent="0.45">
      <c r="A45" s="2" t="s">
        <v>51</v>
      </c>
      <c r="B45" s="6">
        <f>B14</f>
        <v>3501</v>
      </c>
      <c r="C45" s="6">
        <f t="shared" ref="C45:M45" si="9">$B$14*B33</f>
        <v>3606.03</v>
      </c>
      <c r="D45" s="6">
        <f t="shared" si="9"/>
        <v>3714.2109</v>
      </c>
      <c r="E45" s="6">
        <f t="shared" si="9"/>
        <v>3825.6372270000002</v>
      </c>
      <c r="F45" s="6">
        <f t="shared" si="9"/>
        <v>3940.4063438099997</v>
      </c>
      <c r="G45" s="6">
        <f t="shared" si="9"/>
        <v>4058.6185341242995</v>
      </c>
      <c r="H45" s="6">
        <f t="shared" si="9"/>
        <v>4180.3770901480284</v>
      </c>
      <c r="I45" s="6">
        <f t="shared" si="9"/>
        <v>4305.7884028524695</v>
      </c>
      <c r="J45" s="6">
        <f t="shared" si="9"/>
        <v>4434.9620549380434</v>
      </c>
      <c r="K45" s="6">
        <f t="shared" si="9"/>
        <v>4568.010916586185</v>
      </c>
      <c r="L45" s="6">
        <f t="shared" si="9"/>
        <v>4705.0512440837701</v>
      </c>
      <c r="M45" s="6">
        <f t="shared" si="9"/>
        <v>4846.202781406284</v>
      </c>
    </row>
    <row r="46" spans="1:13" x14ac:dyDescent="0.45">
      <c r="A46" s="2" t="s">
        <v>52</v>
      </c>
      <c r="B46" s="6">
        <f>B15</f>
        <v>5422</v>
      </c>
      <c r="C46" s="6">
        <f t="shared" ref="C46:M46" si="10">$B$15*B33</f>
        <v>5584.66</v>
      </c>
      <c r="D46" s="6">
        <f t="shared" si="10"/>
        <v>5752.1997999999994</v>
      </c>
      <c r="E46" s="6">
        <f t="shared" si="10"/>
        <v>5924.7657939999999</v>
      </c>
      <c r="F46" s="6">
        <f t="shared" si="10"/>
        <v>6102.5087678199998</v>
      </c>
      <c r="G46" s="6">
        <f t="shared" si="10"/>
        <v>6285.5840308545994</v>
      </c>
      <c r="H46" s="6">
        <f t="shared" si="10"/>
        <v>6474.1515517802372</v>
      </c>
      <c r="I46" s="6">
        <f t="shared" si="10"/>
        <v>6668.3760983336451</v>
      </c>
      <c r="J46" s="6">
        <f t="shared" si="10"/>
        <v>6868.4273812836536</v>
      </c>
      <c r="K46" s="6">
        <f t="shared" si="10"/>
        <v>7074.4802027221631</v>
      </c>
      <c r="L46" s="6">
        <f t="shared" si="10"/>
        <v>7286.714608803828</v>
      </c>
      <c r="M46" s="6">
        <f t="shared" si="10"/>
        <v>7505.3160470679431</v>
      </c>
    </row>
    <row r="47" spans="1:13" x14ac:dyDescent="0.45">
      <c r="A47" s="2" t="s">
        <v>55</v>
      </c>
      <c r="B47" s="6">
        <f t="shared" ref="B47:M47" si="11">B40*B45*B34/1000000</f>
        <v>229.70063284001978</v>
      </c>
      <c r="C47" s="6">
        <f t="shared" si="11"/>
        <v>235.29039774018167</v>
      </c>
      <c r="D47" s="6">
        <f t="shared" si="11"/>
        <v>241.01618956918904</v>
      </c>
      <c r="E47" s="6">
        <f t="shared" si="11"/>
        <v>205.73443211862937</v>
      </c>
      <c r="F47" s="6">
        <f t="shared" si="11"/>
        <v>210.7409795242362</v>
      </c>
      <c r="G47" s="6">
        <f t="shared" si="11"/>
        <v>215.86936126095853</v>
      </c>
      <c r="H47" s="6">
        <f t="shared" si="11"/>
        <v>162.15653092264557</v>
      </c>
      <c r="I47" s="6">
        <f t="shared" si="11"/>
        <v>166.10261010264813</v>
      </c>
      <c r="J47" s="6">
        <f t="shared" si="11"/>
        <v>170.14471711949608</v>
      </c>
      <c r="K47" s="6">
        <f t="shared" si="11"/>
        <v>142.5969726632174</v>
      </c>
      <c r="L47" s="6">
        <f t="shared" si="11"/>
        <v>146.0670699929768</v>
      </c>
      <c r="M47" s="6">
        <f t="shared" si="11"/>
        <v>149.62161214125589</v>
      </c>
    </row>
    <row r="48" spans="1:13" x14ac:dyDescent="0.45">
      <c r="A48" s="2" t="s">
        <v>108</v>
      </c>
      <c r="B48" s="6">
        <f t="shared" ref="B48:M48" si="12">B41*B46*B34/1000000</f>
        <v>82.478349497836803</v>
      </c>
      <c r="C48" s="6">
        <f t="shared" si="12"/>
        <v>84.485460132866663</v>
      </c>
      <c r="D48" s="6">
        <f t="shared" si="12"/>
        <v>86.54141380519998</v>
      </c>
      <c r="E48" s="6">
        <f t="shared" si="12"/>
        <v>73.872832591791266</v>
      </c>
      <c r="F48" s="6">
        <f t="shared" si="12"/>
        <v>75.670527972912538</v>
      </c>
      <c r="G48" s="6">
        <f t="shared" si="12"/>
        <v>77.511970271133336</v>
      </c>
      <c r="H48" s="6">
        <f t="shared" si="12"/>
        <v>58.225364316299689</v>
      </c>
      <c r="I48" s="6">
        <f t="shared" si="12"/>
        <v>59.642278556936851</v>
      </c>
      <c r="J48" s="6">
        <f t="shared" si="12"/>
        <v>61.093673405619882</v>
      </c>
      <c r="K48" s="6">
        <f t="shared" si="12"/>
        <v>51.202135593773718</v>
      </c>
      <c r="L48" s="6">
        <f t="shared" si="12"/>
        <v>52.448139563448194</v>
      </c>
      <c r="M48" s="6">
        <f t="shared" si="12"/>
        <v>53.724465039724727</v>
      </c>
    </row>
    <row r="49" spans="1:13" x14ac:dyDescent="0.45">
      <c r="A49" s="2" t="s">
        <v>59</v>
      </c>
      <c r="B49" s="6">
        <f>B47+B48</f>
        <v>312.17898233785661</v>
      </c>
      <c r="C49" s="6">
        <f t="shared" ref="C49:M49" si="13">C47+C48</f>
        <v>319.77585787304832</v>
      </c>
      <c r="D49" s="6">
        <f t="shared" si="13"/>
        <v>327.55760337438903</v>
      </c>
      <c r="E49" s="6">
        <f t="shared" si="13"/>
        <v>279.60726471042062</v>
      </c>
      <c r="F49" s="6">
        <f t="shared" si="13"/>
        <v>286.4115074971487</v>
      </c>
      <c r="G49" s="6">
        <f t="shared" si="13"/>
        <v>293.38133153209185</v>
      </c>
      <c r="H49" s="6">
        <f t="shared" si="13"/>
        <v>220.38189523894528</v>
      </c>
      <c r="I49" s="6">
        <f t="shared" si="13"/>
        <v>225.74488865958497</v>
      </c>
      <c r="J49" s="6">
        <f t="shared" si="13"/>
        <v>231.23839052511596</v>
      </c>
      <c r="K49" s="6">
        <f t="shared" si="13"/>
        <v>193.79910825699113</v>
      </c>
      <c r="L49" s="6">
        <f t="shared" si="13"/>
        <v>198.51520955642499</v>
      </c>
      <c r="M49" s="6">
        <f t="shared" si="13"/>
        <v>203.34607718098061</v>
      </c>
    </row>
    <row r="51" spans="1:13" x14ac:dyDescent="0.45">
      <c r="A51" s="1" t="s">
        <v>68</v>
      </c>
    </row>
    <row r="52" spans="1:13" x14ac:dyDescent="0.45">
      <c r="A52" s="11" t="s">
        <v>39</v>
      </c>
      <c r="B52" s="11">
        <v>1</v>
      </c>
      <c r="C52" s="11">
        <v>2</v>
      </c>
      <c r="D52" s="11">
        <v>3</v>
      </c>
      <c r="E52" s="11">
        <v>4</v>
      </c>
      <c r="F52" s="11">
        <v>5</v>
      </c>
      <c r="G52" s="11">
        <v>6</v>
      </c>
      <c r="H52" s="11">
        <v>7</v>
      </c>
      <c r="I52" s="11">
        <v>8</v>
      </c>
      <c r="J52" s="11">
        <v>9</v>
      </c>
      <c r="K52" s="11">
        <v>10</v>
      </c>
      <c r="L52" s="11">
        <v>11</v>
      </c>
      <c r="M52" s="11">
        <v>12</v>
      </c>
    </row>
    <row r="53" spans="1:13" x14ac:dyDescent="0.45">
      <c r="A53" s="2" t="s">
        <v>61</v>
      </c>
      <c r="B53" s="6">
        <f>B49</f>
        <v>312.17898233785661</v>
      </c>
      <c r="C53" s="6">
        <f t="shared" ref="C53:M53" si="14">C49</f>
        <v>319.77585787304832</v>
      </c>
      <c r="D53" s="6">
        <f t="shared" si="14"/>
        <v>327.55760337438903</v>
      </c>
      <c r="E53" s="6">
        <f t="shared" si="14"/>
        <v>279.60726471042062</v>
      </c>
      <c r="F53" s="6">
        <f t="shared" si="14"/>
        <v>286.4115074971487</v>
      </c>
      <c r="G53" s="6">
        <f t="shared" si="14"/>
        <v>293.38133153209185</v>
      </c>
      <c r="H53" s="6">
        <f t="shared" si="14"/>
        <v>220.38189523894528</v>
      </c>
      <c r="I53" s="6">
        <f t="shared" si="14"/>
        <v>225.74488865958497</v>
      </c>
      <c r="J53" s="6">
        <f t="shared" si="14"/>
        <v>231.23839052511596</v>
      </c>
      <c r="K53" s="6">
        <f t="shared" si="14"/>
        <v>193.79910825699113</v>
      </c>
      <c r="L53" s="6">
        <f t="shared" si="14"/>
        <v>198.51520955642499</v>
      </c>
      <c r="M53" s="6">
        <f t="shared" si="14"/>
        <v>203.34607718098061</v>
      </c>
    </row>
    <row r="54" spans="1:13" x14ac:dyDescent="0.45">
      <c r="A54" s="3" t="s">
        <v>62</v>
      </c>
      <c r="B54" s="6">
        <f t="shared" ref="B54:M54" si="15">$B$27*B53</f>
        <v>31.217898233785661</v>
      </c>
      <c r="C54" s="6">
        <f t="shared" si="15"/>
        <v>31.977585787304832</v>
      </c>
      <c r="D54" s="6">
        <f t="shared" si="15"/>
        <v>32.755760337438907</v>
      </c>
      <c r="E54" s="6">
        <f t="shared" si="15"/>
        <v>27.960726471042065</v>
      </c>
      <c r="F54" s="6">
        <f t="shared" si="15"/>
        <v>28.641150749714871</v>
      </c>
      <c r="G54" s="6">
        <f t="shared" si="15"/>
        <v>29.338133153209185</v>
      </c>
      <c r="H54" s="6">
        <f t="shared" si="15"/>
        <v>22.03818952389453</v>
      </c>
      <c r="I54" s="6">
        <f t="shared" si="15"/>
        <v>22.5744888659585</v>
      </c>
      <c r="J54" s="6">
        <f t="shared" si="15"/>
        <v>23.123839052511599</v>
      </c>
      <c r="K54" s="6">
        <f t="shared" si="15"/>
        <v>19.379910825699113</v>
      </c>
      <c r="L54" s="6">
        <f t="shared" si="15"/>
        <v>19.851520955642499</v>
      </c>
      <c r="M54" s="6">
        <f t="shared" si="15"/>
        <v>20.334607718098063</v>
      </c>
    </row>
    <row r="55" spans="1:13" x14ac:dyDescent="0.45">
      <c r="A55" s="3" t="s">
        <v>26</v>
      </c>
      <c r="B55" s="5">
        <f t="shared" ref="B55:M55" si="16">$B$28*$B$6</f>
        <v>0.76800000000000002</v>
      </c>
      <c r="C55" s="5">
        <f t="shared" si="16"/>
        <v>0.76800000000000002</v>
      </c>
      <c r="D55" s="5">
        <f t="shared" si="16"/>
        <v>0.76800000000000002</v>
      </c>
      <c r="E55" s="5">
        <f t="shared" si="16"/>
        <v>0.76800000000000002</v>
      </c>
      <c r="F55" s="5">
        <f t="shared" si="16"/>
        <v>0.76800000000000002</v>
      </c>
      <c r="G55" s="5">
        <f t="shared" si="16"/>
        <v>0.76800000000000002</v>
      </c>
      <c r="H55" s="5">
        <f t="shared" si="16"/>
        <v>0.76800000000000002</v>
      </c>
      <c r="I55" s="5">
        <f t="shared" si="16"/>
        <v>0.76800000000000002</v>
      </c>
      <c r="J55" s="5">
        <f t="shared" si="16"/>
        <v>0.76800000000000002</v>
      </c>
      <c r="K55" s="5">
        <f t="shared" si="16"/>
        <v>0.76800000000000002</v>
      </c>
      <c r="L55" s="5">
        <f t="shared" si="16"/>
        <v>0.76800000000000002</v>
      </c>
      <c r="M55" s="5">
        <f t="shared" si="16"/>
        <v>0.76800000000000002</v>
      </c>
    </row>
    <row r="56" spans="1:13" x14ac:dyDescent="0.45">
      <c r="A56" s="3" t="s">
        <v>63</v>
      </c>
      <c r="B56" s="6">
        <f>B54+B55</f>
        <v>31.985898233785662</v>
      </c>
      <c r="C56" s="6">
        <f t="shared" ref="C56:M56" si="17">C54+C55</f>
        <v>32.745585787304833</v>
      </c>
      <c r="D56" s="6">
        <f t="shared" si="17"/>
        <v>33.523760337438908</v>
      </c>
      <c r="E56" s="6">
        <f t="shared" si="17"/>
        <v>28.728726471042066</v>
      </c>
      <c r="F56" s="6">
        <f t="shared" si="17"/>
        <v>29.409150749714872</v>
      </c>
      <c r="G56" s="6">
        <f t="shared" si="17"/>
        <v>30.106133153209186</v>
      </c>
      <c r="H56" s="6">
        <f t="shared" si="17"/>
        <v>22.806189523894531</v>
      </c>
      <c r="I56" s="6">
        <f t="shared" si="17"/>
        <v>23.342488865958501</v>
      </c>
      <c r="J56" s="6">
        <f t="shared" si="17"/>
        <v>23.8918390525116</v>
      </c>
      <c r="K56" s="6">
        <f t="shared" si="17"/>
        <v>20.147910825699114</v>
      </c>
      <c r="L56" s="6">
        <f t="shared" si="17"/>
        <v>20.6195209556425</v>
      </c>
      <c r="M56" s="6">
        <f t="shared" si="17"/>
        <v>21.102607718098064</v>
      </c>
    </row>
    <row r="57" spans="1:13" x14ac:dyDescent="0.45">
      <c r="A57" s="2" t="s">
        <v>64</v>
      </c>
      <c r="B57" s="6">
        <f>B53-B56</f>
        <v>280.19308410407098</v>
      </c>
      <c r="C57" s="6">
        <f t="shared" ref="C57:M57" si="18">C53-C56</f>
        <v>287.03027208574349</v>
      </c>
      <c r="D57" s="6">
        <f t="shared" si="18"/>
        <v>294.03384303695015</v>
      </c>
      <c r="E57" s="6">
        <f t="shared" si="18"/>
        <v>250.87853823937854</v>
      </c>
      <c r="F57" s="6">
        <f t="shared" si="18"/>
        <v>257.00235674743385</v>
      </c>
      <c r="G57" s="6">
        <f t="shared" si="18"/>
        <v>263.27519837888269</v>
      </c>
      <c r="H57" s="6">
        <f t="shared" si="18"/>
        <v>197.57570571505073</v>
      </c>
      <c r="I57" s="6">
        <f t="shared" si="18"/>
        <v>202.40239979362647</v>
      </c>
      <c r="J57" s="6">
        <f t="shared" si="18"/>
        <v>207.34655147260435</v>
      </c>
      <c r="K57" s="6">
        <f t="shared" si="18"/>
        <v>173.65119743129202</v>
      </c>
      <c r="L57" s="6">
        <f t="shared" si="18"/>
        <v>177.89568860078248</v>
      </c>
      <c r="M57" s="6">
        <f t="shared" si="18"/>
        <v>182.24346946288256</v>
      </c>
    </row>
    <row r="58" spans="1:13" x14ac:dyDescent="0.45">
      <c r="A58" s="3" t="s">
        <v>65</v>
      </c>
      <c r="B58" s="2">
        <f>$B$6/$B$7</f>
        <v>256</v>
      </c>
      <c r="C58" s="2">
        <f t="shared" ref="C58:D58" si="19">$B$6/$B$7</f>
        <v>256</v>
      </c>
      <c r="D58" s="2">
        <f t="shared" si="19"/>
        <v>256</v>
      </c>
    </row>
    <row r="59" spans="1:13" x14ac:dyDescent="0.45">
      <c r="A59" s="3" t="s">
        <v>66</v>
      </c>
      <c r="B59" s="2">
        <v>0</v>
      </c>
      <c r="C59" s="2">
        <v>0</v>
      </c>
      <c r="D59" s="2">
        <v>0</v>
      </c>
      <c r="E59" s="2">
        <v>0</v>
      </c>
      <c r="F59" s="2">
        <v>0</v>
      </c>
      <c r="G59" s="2">
        <v>0</v>
      </c>
      <c r="H59" s="2">
        <v>0</v>
      </c>
      <c r="I59" s="2">
        <v>0</v>
      </c>
      <c r="J59" s="2">
        <v>0</v>
      </c>
      <c r="K59" s="2">
        <v>0</v>
      </c>
      <c r="L59" s="2">
        <v>0</v>
      </c>
      <c r="M59" s="2">
        <v>0</v>
      </c>
    </row>
    <row r="60" spans="1:13" x14ac:dyDescent="0.45">
      <c r="A60" s="2" t="s">
        <v>67</v>
      </c>
      <c r="B60" s="6">
        <f>B57-B58-B59</f>
        <v>24.193084104070977</v>
      </c>
      <c r="C60" s="6">
        <f t="shared" ref="C60:M60" si="20">C57-C58-C59</f>
        <v>31.030272085743491</v>
      </c>
      <c r="D60" s="6">
        <f t="shared" si="20"/>
        <v>38.033843036950145</v>
      </c>
      <c r="E60" s="6">
        <f t="shared" si="20"/>
        <v>250.87853823937854</v>
      </c>
      <c r="F60" s="6">
        <f t="shared" si="20"/>
        <v>257.00235674743385</v>
      </c>
      <c r="G60" s="6">
        <f t="shared" si="20"/>
        <v>263.27519837888269</v>
      </c>
      <c r="H60" s="6">
        <f t="shared" si="20"/>
        <v>197.57570571505073</v>
      </c>
      <c r="I60" s="6">
        <f t="shared" si="20"/>
        <v>202.40239979362647</v>
      </c>
      <c r="J60" s="6">
        <f t="shared" si="20"/>
        <v>207.34655147260435</v>
      </c>
      <c r="K60" s="6">
        <f t="shared" si="20"/>
        <v>173.65119743129202</v>
      </c>
      <c r="L60" s="6">
        <f t="shared" si="20"/>
        <v>177.89568860078248</v>
      </c>
      <c r="M60" s="6">
        <f t="shared" si="20"/>
        <v>182.24346946288256</v>
      </c>
    </row>
    <row r="61" spans="1:13" x14ac:dyDescent="0.45">
      <c r="A61" s="3" t="s">
        <v>57</v>
      </c>
      <c r="B61" s="6">
        <f>B60*20%</f>
        <v>4.8386168208141953</v>
      </c>
      <c r="C61" s="6">
        <f t="shared" ref="C61:M61" si="21">C60*20%</f>
        <v>6.2060544171486987</v>
      </c>
      <c r="D61" s="6">
        <f t="shared" si="21"/>
        <v>7.6067686073900296</v>
      </c>
      <c r="E61" s="6">
        <f t="shared" si="21"/>
        <v>50.175707647875711</v>
      </c>
      <c r="F61" s="6">
        <f t="shared" si="21"/>
        <v>51.400471349486772</v>
      </c>
      <c r="G61" s="6">
        <f t="shared" si="21"/>
        <v>52.655039675776543</v>
      </c>
      <c r="H61" s="6">
        <f t="shared" si="21"/>
        <v>39.515141143010148</v>
      </c>
      <c r="I61" s="6">
        <f t="shared" si="21"/>
        <v>40.480479958725297</v>
      </c>
      <c r="J61" s="6">
        <f t="shared" si="21"/>
        <v>41.469310294520874</v>
      </c>
      <c r="K61" s="6">
        <f t="shared" si="21"/>
        <v>34.730239486258405</v>
      </c>
      <c r="L61" s="6">
        <f t="shared" si="21"/>
        <v>35.579137720156496</v>
      </c>
      <c r="M61" s="6">
        <f t="shared" si="21"/>
        <v>36.448693892576514</v>
      </c>
    </row>
    <row r="62" spans="1:13" x14ac:dyDescent="0.45">
      <c r="A62" s="2" t="s">
        <v>69</v>
      </c>
      <c r="B62" s="6">
        <f>B60-B61</f>
        <v>19.354467283256781</v>
      </c>
      <c r="C62" s="6">
        <f t="shared" ref="C62:M62" si="22">C60-C61</f>
        <v>24.824217668594791</v>
      </c>
      <c r="D62" s="6">
        <f t="shared" si="22"/>
        <v>30.427074429560115</v>
      </c>
      <c r="E62" s="6">
        <f t="shared" si="22"/>
        <v>200.70283059150285</v>
      </c>
      <c r="F62" s="6">
        <f t="shared" si="22"/>
        <v>205.60188539794709</v>
      </c>
      <c r="G62" s="6">
        <f t="shared" si="22"/>
        <v>210.62015870310614</v>
      </c>
      <c r="H62" s="6">
        <f t="shared" si="22"/>
        <v>158.06056457204059</v>
      </c>
      <c r="I62" s="6">
        <f t="shared" si="22"/>
        <v>161.92191983490119</v>
      </c>
      <c r="J62" s="6">
        <f t="shared" si="22"/>
        <v>165.87724117808347</v>
      </c>
      <c r="K62" s="6">
        <f t="shared" si="22"/>
        <v>138.92095794503362</v>
      </c>
      <c r="L62" s="6">
        <f t="shared" si="22"/>
        <v>142.31655088062598</v>
      </c>
      <c r="M62" s="6">
        <f t="shared" si="22"/>
        <v>145.79477557030606</v>
      </c>
    </row>
    <row r="64" spans="1:13" x14ac:dyDescent="0.45">
      <c r="A64" s="1" t="s">
        <v>70</v>
      </c>
    </row>
    <row r="65" spans="1:13" x14ac:dyDescent="0.45">
      <c r="A65" s="11" t="s">
        <v>39</v>
      </c>
      <c r="B65" s="11">
        <v>1</v>
      </c>
      <c r="C65" s="11">
        <v>2</v>
      </c>
      <c r="D65" s="11">
        <v>3</v>
      </c>
      <c r="E65" s="11">
        <v>4</v>
      </c>
      <c r="F65" s="11">
        <v>5</v>
      </c>
      <c r="G65" s="11">
        <v>6</v>
      </c>
      <c r="H65" s="11">
        <v>7</v>
      </c>
      <c r="I65" s="11">
        <v>8</v>
      </c>
      <c r="J65" s="11">
        <v>9</v>
      </c>
      <c r="K65" s="11">
        <v>10</v>
      </c>
      <c r="L65" s="11">
        <v>11</v>
      </c>
      <c r="M65" s="11">
        <v>12</v>
      </c>
    </row>
    <row r="66" spans="1:13" x14ac:dyDescent="0.45">
      <c r="A66" s="1" t="s">
        <v>76</v>
      </c>
    </row>
    <row r="67" spans="1:13" x14ac:dyDescent="0.45">
      <c r="A67" s="3" t="s">
        <v>61</v>
      </c>
      <c r="B67" s="6">
        <f>B49</f>
        <v>312.17898233785661</v>
      </c>
      <c r="C67" s="6">
        <f t="shared" ref="C67:M67" si="23">C49</f>
        <v>319.77585787304832</v>
      </c>
      <c r="D67" s="6">
        <f t="shared" si="23"/>
        <v>327.55760337438903</v>
      </c>
      <c r="E67" s="6">
        <f t="shared" si="23"/>
        <v>279.60726471042062</v>
      </c>
      <c r="F67" s="6">
        <f t="shared" si="23"/>
        <v>286.4115074971487</v>
      </c>
      <c r="G67" s="6">
        <f t="shared" si="23"/>
        <v>293.38133153209185</v>
      </c>
      <c r="H67" s="6">
        <f t="shared" si="23"/>
        <v>220.38189523894528</v>
      </c>
      <c r="I67" s="6">
        <f t="shared" si="23"/>
        <v>225.74488865958497</v>
      </c>
      <c r="J67" s="6">
        <f t="shared" si="23"/>
        <v>231.23839052511596</v>
      </c>
      <c r="K67" s="6">
        <f t="shared" si="23"/>
        <v>193.79910825699113</v>
      </c>
      <c r="L67" s="6">
        <f t="shared" si="23"/>
        <v>198.51520955642499</v>
      </c>
      <c r="M67" s="6">
        <f t="shared" si="23"/>
        <v>203.34607718098061</v>
      </c>
    </row>
    <row r="68" spans="1:13" x14ac:dyDescent="0.45">
      <c r="A68" s="1" t="s">
        <v>77</v>
      </c>
    </row>
    <row r="69" spans="1:13" x14ac:dyDescent="0.45">
      <c r="A69" s="3" t="s">
        <v>73</v>
      </c>
      <c r="B69" s="2">
        <f>B6</f>
        <v>768</v>
      </c>
    </row>
    <row r="70" spans="1:13" x14ac:dyDescent="0.45">
      <c r="A70" s="3" t="s">
        <v>86</v>
      </c>
      <c r="B70" s="2">
        <v>0</v>
      </c>
      <c r="C70" s="2">
        <v>0</v>
      </c>
      <c r="D70" s="2">
        <v>0</v>
      </c>
      <c r="E70" s="2">
        <v>0</v>
      </c>
      <c r="F70" s="2">
        <v>0</v>
      </c>
      <c r="G70" s="2">
        <v>0</v>
      </c>
      <c r="H70" s="2">
        <v>0</v>
      </c>
      <c r="I70" s="2">
        <v>0</v>
      </c>
      <c r="J70" s="2">
        <v>0</v>
      </c>
      <c r="K70" s="2">
        <v>0</v>
      </c>
      <c r="L70" s="2">
        <v>0</v>
      </c>
      <c r="M70" s="2">
        <v>0</v>
      </c>
    </row>
    <row r="71" spans="1:13" x14ac:dyDescent="0.45">
      <c r="A71" s="3" t="s">
        <v>74</v>
      </c>
      <c r="B71" s="6">
        <f t="shared" ref="B71:M71" si="24">B56</f>
        <v>31.985898233785662</v>
      </c>
      <c r="C71" s="6">
        <f t="shared" si="24"/>
        <v>32.745585787304833</v>
      </c>
      <c r="D71" s="6">
        <f t="shared" si="24"/>
        <v>33.523760337438908</v>
      </c>
      <c r="E71" s="6">
        <f t="shared" si="24"/>
        <v>28.728726471042066</v>
      </c>
      <c r="F71" s="6">
        <f t="shared" si="24"/>
        <v>29.409150749714872</v>
      </c>
      <c r="G71" s="6">
        <f t="shared" si="24"/>
        <v>30.106133153209186</v>
      </c>
      <c r="H71" s="6">
        <f t="shared" si="24"/>
        <v>22.806189523894531</v>
      </c>
      <c r="I71" s="6">
        <f t="shared" si="24"/>
        <v>23.342488865958501</v>
      </c>
      <c r="J71" s="6">
        <f t="shared" si="24"/>
        <v>23.8918390525116</v>
      </c>
      <c r="K71" s="6">
        <f t="shared" si="24"/>
        <v>20.147910825699114</v>
      </c>
      <c r="L71" s="6">
        <f t="shared" si="24"/>
        <v>20.6195209556425</v>
      </c>
      <c r="M71" s="6">
        <f t="shared" si="24"/>
        <v>21.102607718098064</v>
      </c>
    </row>
    <row r="72" spans="1:13" x14ac:dyDescent="0.45">
      <c r="A72" s="3" t="s">
        <v>87</v>
      </c>
      <c r="B72" s="6">
        <v>0</v>
      </c>
      <c r="C72" s="6">
        <v>0</v>
      </c>
      <c r="D72" s="6">
        <v>0</v>
      </c>
      <c r="E72" s="6">
        <v>0</v>
      </c>
      <c r="F72" s="6">
        <v>0</v>
      </c>
      <c r="G72" s="6">
        <v>0</v>
      </c>
      <c r="H72" s="6">
        <v>0</v>
      </c>
      <c r="I72" s="6">
        <v>0</v>
      </c>
      <c r="J72" s="6">
        <v>0</v>
      </c>
      <c r="K72" s="6">
        <v>0</v>
      </c>
      <c r="L72" s="6">
        <v>0</v>
      </c>
      <c r="M72" s="6">
        <v>0</v>
      </c>
    </row>
    <row r="73" spans="1:13" x14ac:dyDescent="0.45">
      <c r="A73" s="3" t="s">
        <v>57</v>
      </c>
      <c r="B73" s="6">
        <f t="shared" ref="B73:M73" si="25">B61</f>
        <v>4.8386168208141953</v>
      </c>
      <c r="C73" s="6">
        <f t="shared" si="25"/>
        <v>6.2060544171486987</v>
      </c>
      <c r="D73" s="6">
        <f t="shared" si="25"/>
        <v>7.6067686073900296</v>
      </c>
      <c r="E73" s="6">
        <f t="shared" si="25"/>
        <v>50.175707647875711</v>
      </c>
      <c r="F73" s="6">
        <f t="shared" si="25"/>
        <v>51.400471349486772</v>
      </c>
      <c r="G73" s="6">
        <f t="shared" si="25"/>
        <v>52.655039675776543</v>
      </c>
      <c r="H73" s="6">
        <f t="shared" si="25"/>
        <v>39.515141143010148</v>
      </c>
      <c r="I73" s="6">
        <f t="shared" si="25"/>
        <v>40.480479958725297</v>
      </c>
      <c r="J73" s="6">
        <f t="shared" si="25"/>
        <v>41.469310294520874</v>
      </c>
      <c r="K73" s="6">
        <f t="shared" si="25"/>
        <v>34.730239486258405</v>
      </c>
      <c r="L73" s="6">
        <f t="shared" si="25"/>
        <v>35.579137720156496</v>
      </c>
      <c r="M73" s="6">
        <f t="shared" si="25"/>
        <v>36.448693892576514</v>
      </c>
    </row>
    <row r="74" spans="1:13" x14ac:dyDescent="0.45">
      <c r="A74" s="3" t="s">
        <v>88</v>
      </c>
      <c r="B74" s="6">
        <f>SUM(B69:B73)</f>
        <v>804.82451505459983</v>
      </c>
      <c r="C74" s="6">
        <f t="shared" ref="C74:M74" si="26">SUM(C69:C73)</f>
        <v>38.951640204453533</v>
      </c>
      <c r="D74" s="6">
        <f t="shared" si="26"/>
        <v>41.130528944828939</v>
      </c>
      <c r="E74" s="6">
        <f t="shared" si="26"/>
        <v>78.904434118917777</v>
      </c>
      <c r="F74" s="6">
        <f t="shared" si="26"/>
        <v>80.809622099201647</v>
      </c>
      <c r="G74" s="6">
        <f t="shared" si="26"/>
        <v>82.761172828985735</v>
      </c>
      <c r="H74" s="6">
        <f t="shared" si="26"/>
        <v>62.321330666904679</v>
      </c>
      <c r="I74" s="6">
        <f t="shared" si="26"/>
        <v>63.822968824683798</v>
      </c>
      <c r="J74" s="6">
        <f t="shared" si="26"/>
        <v>65.361149347032466</v>
      </c>
      <c r="K74" s="6">
        <f t="shared" si="26"/>
        <v>54.878150311957519</v>
      </c>
      <c r="L74" s="6">
        <f t="shared" si="26"/>
        <v>56.198658675798995</v>
      </c>
      <c r="M74" s="6">
        <f t="shared" si="26"/>
        <v>57.551301610674578</v>
      </c>
    </row>
    <row r="75" spans="1:13" x14ac:dyDescent="0.45">
      <c r="A75" s="1" t="s">
        <v>78</v>
      </c>
      <c r="B75" s="6">
        <f>B67-B74</f>
        <v>-492.64553271674322</v>
      </c>
      <c r="C75" s="6">
        <f t="shared" ref="C75:M75" si="27">C67-C74</f>
        <v>280.82421766859477</v>
      </c>
      <c r="D75" s="6">
        <f t="shared" si="27"/>
        <v>286.42707442956009</v>
      </c>
      <c r="E75" s="6">
        <f t="shared" si="27"/>
        <v>200.70283059150285</v>
      </c>
      <c r="F75" s="6">
        <f t="shared" si="27"/>
        <v>205.60188539794706</v>
      </c>
      <c r="G75" s="6">
        <f t="shared" si="27"/>
        <v>210.62015870310611</v>
      </c>
      <c r="H75" s="6">
        <f t="shared" si="27"/>
        <v>158.06056457204059</v>
      </c>
      <c r="I75" s="6">
        <f t="shared" si="27"/>
        <v>161.92191983490119</v>
      </c>
      <c r="J75" s="6">
        <f t="shared" si="27"/>
        <v>165.87724117808349</v>
      </c>
      <c r="K75" s="6">
        <f t="shared" si="27"/>
        <v>138.92095794503362</v>
      </c>
      <c r="L75" s="6">
        <f t="shared" si="27"/>
        <v>142.31655088062598</v>
      </c>
      <c r="M75" s="6">
        <f t="shared" si="27"/>
        <v>145.79477557030603</v>
      </c>
    </row>
    <row r="76" spans="1:13" x14ac:dyDescent="0.45">
      <c r="A76" s="2" t="s">
        <v>75</v>
      </c>
      <c r="B76" s="2">
        <v>1</v>
      </c>
      <c r="C76" s="5">
        <f t="shared" ref="C76:M76" si="28">(1+$B$10)^-B65</f>
        <v>0.92592592592592582</v>
      </c>
      <c r="D76" s="5">
        <f t="shared" si="28"/>
        <v>0.85733882030178321</v>
      </c>
      <c r="E76" s="5">
        <f t="shared" si="28"/>
        <v>0.79383224102016958</v>
      </c>
      <c r="F76" s="5">
        <f t="shared" si="28"/>
        <v>0.73502985279645328</v>
      </c>
      <c r="G76" s="5">
        <f t="shared" si="28"/>
        <v>0.68058319703375303</v>
      </c>
      <c r="H76" s="5">
        <f t="shared" si="28"/>
        <v>0.63016962688310452</v>
      </c>
      <c r="I76" s="5">
        <f t="shared" si="28"/>
        <v>0.58349039526213387</v>
      </c>
      <c r="J76" s="5">
        <f t="shared" si="28"/>
        <v>0.54026888450197574</v>
      </c>
      <c r="K76" s="5">
        <f t="shared" si="28"/>
        <v>0.50024896713145905</v>
      </c>
      <c r="L76" s="5">
        <f t="shared" si="28"/>
        <v>0.46319348808468425</v>
      </c>
      <c r="M76" s="5">
        <f t="shared" si="28"/>
        <v>0.42888285933767062</v>
      </c>
    </row>
    <row r="77" spans="1:13" x14ac:dyDescent="0.45">
      <c r="A77" s="2" t="s">
        <v>79</v>
      </c>
      <c r="B77" s="20">
        <f>B75*B76</f>
        <v>-492.64553271674322</v>
      </c>
      <c r="C77" s="20">
        <f t="shared" ref="C77:M77" si="29">C75*C76</f>
        <v>260.02242376721733</v>
      </c>
      <c r="D77" s="20">
        <f t="shared" si="29"/>
        <v>245.5650500939301</v>
      </c>
      <c r="E77" s="20">
        <f t="shared" si="29"/>
        <v>159.32437778754417</v>
      </c>
      <c r="F77" s="20">
        <f t="shared" si="29"/>
        <v>151.12352355872628</v>
      </c>
      <c r="G77" s="20">
        <f t="shared" si="29"/>
        <v>143.34454096991641</v>
      </c>
      <c r="H77" s="20">
        <f t="shared" si="29"/>
        <v>99.604967001295662</v>
      </c>
      <c r="I77" s="20">
        <f t="shared" si="29"/>
        <v>94.479885006070049</v>
      </c>
      <c r="J77" s="20">
        <f t="shared" si="29"/>
        <v>89.618312055548373</v>
      </c>
      <c r="K77" s="20">
        <f t="shared" si="29"/>
        <v>69.495065724915932</v>
      </c>
      <c r="L77" s="20">
        <f t="shared" si="29"/>
        <v>65.920099614578589</v>
      </c>
      <c r="M77" s="20">
        <f t="shared" si="29"/>
        <v>62.528880223086816</v>
      </c>
    </row>
    <row r="78" spans="1:13" x14ac:dyDescent="0.45">
      <c r="A78" s="2" t="s">
        <v>80</v>
      </c>
      <c r="B78" s="6">
        <f>B75</f>
        <v>-492.64553271674322</v>
      </c>
      <c r="C78" s="6">
        <f>B78+C75</f>
        <v>-211.82131504814845</v>
      </c>
      <c r="D78" s="6">
        <f t="shared" ref="D78:M78" si="30">C78+D75</f>
        <v>74.605759381411644</v>
      </c>
      <c r="E78" s="6">
        <f t="shared" si="30"/>
        <v>275.30858997291449</v>
      </c>
      <c r="F78" s="6">
        <f t="shared" si="30"/>
        <v>480.91047537086155</v>
      </c>
      <c r="G78" s="6">
        <f t="shared" si="30"/>
        <v>691.53063407396769</v>
      </c>
      <c r="H78" s="6">
        <f t="shared" si="30"/>
        <v>849.59119864600825</v>
      </c>
      <c r="I78" s="6">
        <f t="shared" si="30"/>
        <v>1011.5131184809095</v>
      </c>
      <c r="J78" s="6">
        <f t="shared" si="30"/>
        <v>1177.390359658993</v>
      </c>
      <c r="K78" s="6">
        <f t="shared" si="30"/>
        <v>1316.3113176040267</v>
      </c>
      <c r="L78" s="6">
        <f t="shared" si="30"/>
        <v>1458.6278684846527</v>
      </c>
      <c r="M78" s="6">
        <f t="shared" si="30"/>
        <v>1604.4226440549587</v>
      </c>
    </row>
    <row r="79" spans="1:13" x14ac:dyDescent="0.45">
      <c r="A79" s="2" t="s">
        <v>81</v>
      </c>
      <c r="B79" s="6">
        <f>B77</f>
        <v>-492.64553271674322</v>
      </c>
      <c r="C79" s="6">
        <f>B79+C77</f>
        <v>-232.62310894952589</v>
      </c>
      <c r="D79" s="6">
        <f t="shared" ref="D79:M79" si="31">C79+D77</f>
        <v>12.941941144404211</v>
      </c>
      <c r="E79" s="6">
        <f t="shared" si="31"/>
        <v>172.26631893194838</v>
      </c>
      <c r="F79" s="6">
        <f t="shared" si="31"/>
        <v>323.38984249067465</v>
      </c>
      <c r="G79" s="6">
        <f t="shared" si="31"/>
        <v>466.73438346059106</v>
      </c>
      <c r="H79" s="6">
        <f t="shared" si="31"/>
        <v>566.33935046188674</v>
      </c>
      <c r="I79" s="6">
        <f t="shared" si="31"/>
        <v>660.81923546795679</v>
      </c>
      <c r="J79" s="6">
        <f t="shared" si="31"/>
        <v>750.43754752350515</v>
      </c>
      <c r="K79" s="6">
        <f t="shared" si="31"/>
        <v>819.93261324842103</v>
      </c>
      <c r="L79" s="6">
        <f t="shared" si="31"/>
        <v>885.85271286299962</v>
      </c>
      <c r="M79" s="6">
        <f t="shared" si="31"/>
        <v>948.38159308608647</v>
      </c>
    </row>
    <row r="80" spans="1:13" x14ac:dyDescent="0.45">
      <c r="A80" s="38" t="s">
        <v>82</v>
      </c>
      <c r="B80" s="41">
        <f>SUM(B77:M77)</f>
        <v>948.38159308608647</v>
      </c>
    </row>
    <row r="81" spans="1:2" x14ac:dyDescent="0.45">
      <c r="A81" s="38" t="s">
        <v>83</v>
      </c>
      <c r="B81" s="51">
        <f>IRR(B77:M77)</f>
        <v>0.37452311250423032</v>
      </c>
    </row>
    <row r="83" spans="1:2" x14ac:dyDescent="0.45">
      <c r="A83" s="25" t="s">
        <v>89</v>
      </c>
    </row>
    <row r="84" spans="1:2" x14ac:dyDescent="0.45">
      <c r="A84" s="24" t="s">
        <v>90</v>
      </c>
    </row>
  </sheetData>
  <mergeCells count="2">
    <mergeCell ref="A1:I1"/>
    <mergeCell ref="A2:I2"/>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881C-F8B1-4F5A-9F86-0822A784326B}">
  <dimension ref="A1:AA101"/>
  <sheetViews>
    <sheetView workbookViewId="0">
      <selection activeCell="C23" sqref="C23"/>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118</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3</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768</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14">
        <v>0</v>
      </c>
    </row>
    <row r="20" spans="1:15" x14ac:dyDescent="0.45">
      <c r="A20" s="3" t="s">
        <v>13</v>
      </c>
      <c r="B20" s="4">
        <v>0.55000000000000004</v>
      </c>
      <c r="E20" s="2" t="s">
        <v>36</v>
      </c>
      <c r="H20" s="14">
        <v>0</v>
      </c>
      <c r="I20" s="2" t="s">
        <v>98</v>
      </c>
    </row>
    <row r="21" spans="1:15" x14ac:dyDescent="0.45">
      <c r="A21" s="3" t="s">
        <v>54</v>
      </c>
      <c r="B21" s="14">
        <v>1</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0.08</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24</v>
      </c>
      <c r="B28" s="4">
        <v>0.1</v>
      </c>
      <c r="C28" s="2" t="s">
        <v>25</v>
      </c>
      <c r="E28" s="2" t="s">
        <v>57</v>
      </c>
      <c r="H28" s="14">
        <v>0.2</v>
      </c>
      <c r="N28" s="4"/>
      <c r="O28" s="9"/>
    </row>
    <row r="29" spans="1:15" ht="15.75" thickBot="1" x14ac:dyDescent="0.5">
      <c r="A29" s="12" t="s">
        <v>26</v>
      </c>
      <c r="B29" s="30">
        <v>1E-3</v>
      </c>
      <c r="C29" s="12" t="s">
        <v>27</v>
      </c>
      <c r="D29" s="12"/>
      <c r="E29" s="12" t="s">
        <v>58</v>
      </c>
      <c r="F29" s="12"/>
      <c r="G29" s="12"/>
      <c r="H29" s="18">
        <v>1000000</v>
      </c>
      <c r="I29" s="12"/>
    </row>
    <row r="30" spans="1:15" ht="15.75" thickTop="1" x14ac:dyDescent="0.45"/>
    <row r="31" spans="1:15" ht="18.75" x14ac:dyDescent="0.5">
      <c r="A31" s="27" t="s">
        <v>33</v>
      </c>
    </row>
    <row r="32" spans="1:15" x14ac:dyDescent="0.45">
      <c r="A32" s="1" t="s">
        <v>38</v>
      </c>
    </row>
    <row r="33" spans="1:27" x14ac:dyDescent="0.45">
      <c r="A33" s="11" t="s">
        <v>39</v>
      </c>
      <c r="B33" s="11">
        <v>0</v>
      </c>
      <c r="C33" s="11">
        <v>1</v>
      </c>
      <c r="D33" s="11">
        <v>2</v>
      </c>
      <c r="E33" s="11">
        <v>3</v>
      </c>
      <c r="F33" s="11">
        <v>4</v>
      </c>
      <c r="G33" s="11">
        <v>5</v>
      </c>
      <c r="H33" s="11">
        <v>6</v>
      </c>
      <c r="I33" s="11">
        <v>7</v>
      </c>
      <c r="J33" s="11">
        <v>8</v>
      </c>
      <c r="K33" s="11">
        <v>9</v>
      </c>
      <c r="L33" s="11">
        <v>10</v>
      </c>
      <c r="M33" s="11">
        <v>11</v>
      </c>
      <c r="N33" s="11">
        <v>12</v>
      </c>
      <c r="O33" s="11">
        <v>13</v>
      </c>
      <c r="P33" s="11">
        <v>14</v>
      </c>
      <c r="Q33" s="11">
        <v>15</v>
      </c>
      <c r="R33" s="11">
        <v>16</v>
      </c>
      <c r="S33" s="11">
        <v>17</v>
      </c>
      <c r="T33" s="11">
        <v>18</v>
      </c>
      <c r="U33" s="11">
        <v>19</v>
      </c>
      <c r="V33" s="11">
        <v>20</v>
      </c>
      <c r="W33" s="11">
        <v>21</v>
      </c>
      <c r="X33" s="11">
        <v>22</v>
      </c>
      <c r="Y33" s="11">
        <v>23</v>
      </c>
      <c r="Z33" s="11">
        <v>24</v>
      </c>
      <c r="AA33" s="11">
        <v>25</v>
      </c>
    </row>
    <row r="34" spans="1:27" x14ac:dyDescent="0.45">
      <c r="A34" s="2" t="s">
        <v>40</v>
      </c>
      <c r="B34" s="5">
        <f t="shared" ref="B34:AA34" si="0">(1+$B$27)^B33</f>
        <v>1</v>
      </c>
      <c r="C34" s="5">
        <f t="shared" si="0"/>
        <v>1.03</v>
      </c>
      <c r="D34" s="5">
        <f t="shared" si="0"/>
        <v>1.0609</v>
      </c>
      <c r="E34" s="5">
        <f t="shared" si="0"/>
        <v>1.092727</v>
      </c>
      <c r="F34" s="5">
        <f t="shared" si="0"/>
        <v>1.1255088099999999</v>
      </c>
      <c r="G34" s="5">
        <f t="shared" si="0"/>
        <v>1.1592740742999998</v>
      </c>
      <c r="H34" s="5">
        <f t="shared" si="0"/>
        <v>1.1940522965289999</v>
      </c>
      <c r="I34" s="5">
        <f t="shared" si="0"/>
        <v>1.22987386542487</v>
      </c>
      <c r="J34" s="5">
        <f t="shared" si="0"/>
        <v>1.2667700813876159</v>
      </c>
      <c r="K34" s="5">
        <f t="shared" si="0"/>
        <v>1.3047731838292445</v>
      </c>
      <c r="L34" s="5">
        <f t="shared" si="0"/>
        <v>1.3439163793441218</v>
      </c>
      <c r="M34" s="5">
        <f t="shared" si="0"/>
        <v>1.3842338707244455</v>
      </c>
      <c r="N34" s="5">
        <f t="shared" si="0"/>
        <v>1.4257608868461786</v>
      </c>
      <c r="O34" s="5">
        <f t="shared" si="0"/>
        <v>1.4685337134515639</v>
      </c>
      <c r="P34" s="5">
        <f t="shared" si="0"/>
        <v>1.512589724855111</v>
      </c>
      <c r="Q34" s="5">
        <f t="shared" si="0"/>
        <v>1.5579674166007644</v>
      </c>
      <c r="R34" s="5">
        <f t="shared" si="0"/>
        <v>1.6047064390987871</v>
      </c>
      <c r="S34" s="5">
        <f t="shared" si="0"/>
        <v>1.6528476322717507</v>
      </c>
      <c r="T34" s="5">
        <f t="shared" si="0"/>
        <v>1.7024330612399032</v>
      </c>
      <c r="U34" s="5">
        <f t="shared" si="0"/>
        <v>1.7535060530771003</v>
      </c>
      <c r="V34" s="5">
        <f t="shared" si="0"/>
        <v>1.8061112346694133</v>
      </c>
      <c r="W34" s="5">
        <f t="shared" si="0"/>
        <v>1.8602945717094954</v>
      </c>
      <c r="X34" s="5">
        <f t="shared" si="0"/>
        <v>1.9161034088607805</v>
      </c>
      <c r="Y34" s="5">
        <f t="shared" si="0"/>
        <v>1.973586511126604</v>
      </c>
      <c r="Z34" s="5">
        <f t="shared" si="0"/>
        <v>2.0327941064604018</v>
      </c>
      <c r="AA34" s="5">
        <f t="shared" si="0"/>
        <v>2.0937779296542138</v>
      </c>
    </row>
    <row r="35" spans="1:27" x14ac:dyDescent="0.45">
      <c r="A35" s="2" t="s">
        <v>41</v>
      </c>
      <c r="B35" s="5">
        <f t="shared" ref="B35:AA35" si="1">(1+$B$26)^B33</f>
        <v>1</v>
      </c>
      <c r="C35" s="5">
        <f t="shared" si="1"/>
        <v>1.03</v>
      </c>
      <c r="D35" s="5">
        <f t="shared" si="1"/>
        <v>1.0609</v>
      </c>
      <c r="E35" s="5">
        <f t="shared" si="1"/>
        <v>1.092727</v>
      </c>
      <c r="F35" s="5">
        <f t="shared" si="1"/>
        <v>1.1255088099999999</v>
      </c>
      <c r="G35" s="5">
        <f t="shared" si="1"/>
        <v>1.1592740742999998</v>
      </c>
      <c r="H35" s="5">
        <f t="shared" si="1"/>
        <v>1.1940522965289999</v>
      </c>
      <c r="I35" s="5">
        <f t="shared" si="1"/>
        <v>1.22987386542487</v>
      </c>
      <c r="J35" s="5">
        <f t="shared" si="1"/>
        <v>1.2667700813876159</v>
      </c>
      <c r="K35" s="5">
        <f t="shared" si="1"/>
        <v>1.3047731838292445</v>
      </c>
      <c r="L35" s="5">
        <f t="shared" si="1"/>
        <v>1.3439163793441218</v>
      </c>
      <c r="M35" s="5">
        <f t="shared" si="1"/>
        <v>1.3842338707244455</v>
      </c>
      <c r="N35" s="5">
        <f t="shared" si="1"/>
        <v>1.4257608868461786</v>
      </c>
      <c r="O35" s="5">
        <f t="shared" si="1"/>
        <v>1.4685337134515639</v>
      </c>
      <c r="P35" s="5">
        <f t="shared" si="1"/>
        <v>1.512589724855111</v>
      </c>
      <c r="Q35" s="5">
        <f t="shared" si="1"/>
        <v>1.5579674166007644</v>
      </c>
      <c r="R35" s="5">
        <f t="shared" si="1"/>
        <v>1.6047064390987871</v>
      </c>
      <c r="S35" s="5">
        <f t="shared" si="1"/>
        <v>1.6528476322717507</v>
      </c>
      <c r="T35" s="5">
        <f t="shared" si="1"/>
        <v>1.7024330612399032</v>
      </c>
      <c r="U35" s="5">
        <f t="shared" si="1"/>
        <v>1.7535060530771003</v>
      </c>
      <c r="V35" s="5">
        <f t="shared" si="1"/>
        <v>1.8061112346694133</v>
      </c>
      <c r="W35" s="5">
        <f t="shared" si="1"/>
        <v>1.8602945717094954</v>
      </c>
      <c r="X35" s="5">
        <f t="shared" si="1"/>
        <v>1.9161034088607805</v>
      </c>
      <c r="Y35" s="5">
        <f t="shared" si="1"/>
        <v>1.973586511126604</v>
      </c>
      <c r="Z35" s="5">
        <f t="shared" si="1"/>
        <v>2.0327941064604018</v>
      </c>
      <c r="AA35" s="5">
        <f t="shared" si="1"/>
        <v>2.0937779296542138</v>
      </c>
    </row>
    <row r="36" spans="1:27" x14ac:dyDescent="0.45">
      <c r="A36" s="2" t="s">
        <v>53</v>
      </c>
      <c r="B36" s="5">
        <f t="shared" ref="B36" si="2">(1-$B$17)</f>
        <v>0.9</v>
      </c>
      <c r="C36" s="5">
        <f>(1-$B$17)</f>
        <v>0.9</v>
      </c>
      <c r="D36" s="5">
        <f t="shared" ref="D36" si="3">(1-$B$17)</f>
        <v>0.9</v>
      </c>
      <c r="E36" s="5">
        <f t="shared" ref="E36" si="4">(1-$B$18)</f>
        <v>0.75</v>
      </c>
      <c r="F36" s="5">
        <f>(1-$B$18)</f>
        <v>0.75</v>
      </c>
      <c r="G36" s="5">
        <f t="shared" ref="G36" si="5">(1-$B$18)</f>
        <v>0.75</v>
      </c>
      <c r="H36" s="5">
        <f t="shared" ref="H36" si="6">(1-$B$19)</f>
        <v>0.55000000000000004</v>
      </c>
      <c r="I36" s="5">
        <f>(1-$B$19)</f>
        <v>0.55000000000000004</v>
      </c>
      <c r="J36" s="5">
        <f t="shared" ref="J36" si="7">(1-$B$19)</f>
        <v>0.55000000000000004</v>
      </c>
      <c r="K36" s="5">
        <f t="shared" ref="K36" si="8">(1-$B$20)</f>
        <v>0.44999999999999996</v>
      </c>
      <c r="L36" s="5">
        <f>(1-$B$20)</f>
        <v>0.44999999999999996</v>
      </c>
      <c r="M36" s="5">
        <f t="shared" ref="M36" si="9">(1-$B$20)</f>
        <v>0.44999999999999996</v>
      </c>
      <c r="N36" s="32">
        <f t="shared" ref="N36" si="10">(1-$B$21)</f>
        <v>0</v>
      </c>
      <c r="O36" s="32">
        <f>(1-$B$21)</f>
        <v>0</v>
      </c>
      <c r="P36" s="32">
        <f t="shared" ref="P36:AA36" si="11">(1-$B$21)</f>
        <v>0</v>
      </c>
      <c r="Q36" s="32">
        <f t="shared" si="11"/>
        <v>0</v>
      </c>
      <c r="R36" s="32">
        <f t="shared" si="11"/>
        <v>0</v>
      </c>
      <c r="S36" s="32">
        <f t="shared" si="11"/>
        <v>0</v>
      </c>
      <c r="T36" s="32">
        <f t="shared" si="11"/>
        <v>0</v>
      </c>
      <c r="U36" s="32">
        <f t="shared" si="11"/>
        <v>0</v>
      </c>
      <c r="V36" s="32">
        <f t="shared" si="11"/>
        <v>0</v>
      </c>
      <c r="W36" s="32">
        <f t="shared" si="11"/>
        <v>0</v>
      </c>
      <c r="X36" s="32">
        <f t="shared" si="11"/>
        <v>0</v>
      </c>
      <c r="Y36" s="32">
        <f t="shared" si="11"/>
        <v>0</v>
      </c>
      <c r="Z36" s="32">
        <f t="shared" si="11"/>
        <v>0</v>
      </c>
      <c r="AA36" s="32">
        <f t="shared" si="11"/>
        <v>0</v>
      </c>
    </row>
    <row r="37" spans="1:27" x14ac:dyDescent="0.45">
      <c r="A37" s="2" t="s">
        <v>42</v>
      </c>
      <c r="B37" s="5">
        <f>1-B23</f>
        <v>0.99</v>
      </c>
      <c r="C37" s="5">
        <f t="shared" ref="C37:AA37" si="12">B37*(1-$B$24)</f>
        <v>0.98455500000000007</v>
      </c>
      <c r="D37" s="5">
        <f t="shared" si="12"/>
        <v>0.97913994750000011</v>
      </c>
      <c r="E37" s="5">
        <f t="shared" si="12"/>
        <v>0.97375467778875013</v>
      </c>
      <c r="F37" s="5">
        <f t="shared" si="12"/>
        <v>0.96839902706091208</v>
      </c>
      <c r="G37" s="5">
        <f t="shared" si="12"/>
        <v>0.96307283241207708</v>
      </c>
      <c r="H37" s="5">
        <f t="shared" si="12"/>
        <v>0.95777593183381071</v>
      </c>
      <c r="I37" s="5">
        <f t="shared" si="12"/>
        <v>0.95250816420872475</v>
      </c>
      <c r="J37" s="5">
        <f t="shared" si="12"/>
        <v>0.94726936930557681</v>
      </c>
      <c r="K37" s="5">
        <f t="shared" si="12"/>
        <v>0.94205938777439624</v>
      </c>
      <c r="L37" s="5">
        <f t="shared" si="12"/>
        <v>0.93687806114163708</v>
      </c>
      <c r="M37" s="5">
        <f t="shared" si="12"/>
        <v>0.93172523180535816</v>
      </c>
      <c r="N37" s="5">
        <f t="shared" si="12"/>
        <v>0.92660074303042872</v>
      </c>
      <c r="O37" s="5">
        <f t="shared" si="12"/>
        <v>0.92150443894376144</v>
      </c>
      <c r="P37" s="5">
        <f t="shared" si="12"/>
        <v>0.91643616452957077</v>
      </c>
      <c r="Q37" s="5">
        <f t="shared" si="12"/>
        <v>0.91139576562465818</v>
      </c>
      <c r="R37" s="5">
        <f t="shared" si="12"/>
        <v>0.90638308891372266</v>
      </c>
      <c r="S37" s="5">
        <f t="shared" si="12"/>
        <v>0.90139798192469722</v>
      </c>
      <c r="T37" s="5">
        <f t="shared" si="12"/>
        <v>0.89644029302411143</v>
      </c>
      <c r="U37" s="5">
        <f t="shared" si="12"/>
        <v>0.89150987141247884</v>
      </c>
      <c r="V37" s="5">
        <f t="shared" si="12"/>
        <v>0.8866065671197102</v>
      </c>
      <c r="W37" s="5">
        <f t="shared" si="12"/>
        <v>0.88173023100055181</v>
      </c>
      <c r="X37" s="5">
        <f t="shared" si="12"/>
        <v>0.8768807147300488</v>
      </c>
      <c r="Y37" s="5">
        <f t="shared" si="12"/>
        <v>0.87205787079903363</v>
      </c>
      <c r="Z37" s="5">
        <f t="shared" si="12"/>
        <v>0.86726155250963899</v>
      </c>
      <c r="AA37" s="5">
        <f t="shared" si="12"/>
        <v>0.86249161397083607</v>
      </c>
    </row>
    <row r="39" spans="1:27" x14ac:dyDescent="0.45">
      <c r="A39" s="1" t="s">
        <v>44</v>
      </c>
    </row>
    <row r="40" spans="1:27" x14ac:dyDescent="0.45">
      <c r="A40" s="11" t="s">
        <v>39</v>
      </c>
      <c r="B40" s="11">
        <v>0</v>
      </c>
      <c r="C40" s="11">
        <v>1</v>
      </c>
      <c r="D40" s="11">
        <v>2</v>
      </c>
      <c r="E40" s="11">
        <v>3</v>
      </c>
      <c r="F40" s="11">
        <v>4</v>
      </c>
      <c r="G40" s="11">
        <v>5</v>
      </c>
      <c r="H40" s="11">
        <v>6</v>
      </c>
      <c r="I40" s="11">
        <v>7</v>
      </c>
      <c r="J40" s="11">
        <v>8</v>
      </c>
      <c r="K40" s="11">
        <v>9</v>
      </c>
      <c r="L40" s="11">
        <v>10</v>
      </c>
      <c r="M40" s="11">
        <v>11</v>
      </c>
      <c r="N40" s="11">
        <v>12</v>
      </c>
      <c r="O40" s="11">
        <v>13</v>
      </c>
      <c r="P40" s="11">
        <v>14</v>
      </c>
      <c r="Q40" s="11">
        <v>15</v>
      </c>
      <c r="R40" s="11">
        <v>16</v>
      </c>
      <c r="S40" s="11">
        <v>17</v>
      </c>
      <c r="T40" s="11">
        <v>18</v>
      </c>
      <c r="U40" s="11">
        <v>19</v>
      </c>
      <c r="V40" s="11">
        <v>20</v>
      </c>
      <c r="W40" s="11">
        <v>21</v>
      </c>
      <c r="X40" s="11">
        <v>22</v>
      </c>
      <c r="Y40" s="11">
        <v>23</v>
      </c>
      <c r="Z40" s="11">
        <v>24</v>
      </c>
      <c r="AA40" s="11">
        <v>25</v>
      </c>
    </row>
    <row r="41" spans="1:27" x14ac:dyDescent="0.45">
      <c r="A41" s="2" t="s">
        <v>48</v>
      </c>
      <c r="B41" s="6">
        <f t="shared" ref="B41:AA41" si="13">$H$25*$B$25*B37</f>
        <v>89801.91</v>
      </c>
      <c r="C41" s="6">
        <f t="shared" si="13"/>
        <v>89307.999495000011</v>
      </c>
      <c r="D41" s="6">
        <f t="shared" si="13"/>
        <v>88816.805497777503</v>
      </c>
      <c r="E41" s="6">
        <f t="shared" si="13"/>
        <v>88328.313067539741</v>
      </c>
      <c r="F41" s="6">
        <f t="shared" si="13"/>
        <v>87842.507345668273</v>
      </c>
      <c r="G41" s="6">
        <f t="shared" si="13"/>
        <v>87359.373555267099</v>
      </c>
      <c r="H41" s="6">
        <f t="shared" si="13"/>
        <v>86878.897000713143</v>
      </c>
      <c r="I41" s="6">
        <f t="shared" si="13"/>
        <v>86401.063067209208</v>
      </c>
      <c r="J41" s="6">
        <f t="shared" si="13"/>
        <v>85925.857220339574</v>
      </c>
      <c r="K41" s="6">
        <f t="shared" si="13"/>
        <v>85453.265005627705</v>
      </c>
      <c r="L41" s="6">
        <f t="shared" si="13"/>
        <v>84983.272048096755</v>
      </c>
      <c r="M41" s="6">
        <f t="shared" si="13"/>
        <v>84515.864051832235</v>
      </c>
      <c r="N41" s="6">
        <f t="shared" si="13"/>
        <v>84051.026799547166</v>
      </c>
      <c r="O41" s="6">
        <f t="shared" si="13"/>
        <v>83588.746152149659</v>
      </c>
      <c r="P41" s="6">
        <f t="shared" si="13"/>
        <v>83129.00804831284</v>
      </c>
      <c r="Q41" s="6">
        <f t="shared" si="13"/>
        <v>82671.798504047125</v>
      </c>
      <c r="R41" s="6">
        <f t="shared" si="13"/>
        <v>82217.103612274863</v>
      </c>
      <c r="S41" s="6">
        <f t="shared" si="13"/>
        <v>81764.90954240736</v>
      </c>
      <c r="T41" s="6">
        <f t="shared" si="13"/>
        <v>81315.202539924125</v>
      </c>
      <c r="U41" s="6">
        <f t="shared" si="13"/>
        <v>80867.968925954541</v>
      </c>
      <c r="V41" s="6">
        <f t="shared" si="13"/>
        <v>80423.195096861789</v>
      </c>
      <c r="W41" s="6">
        <f t="shared" si="13"/>
        <v>79980.86752382906</v>
      </c>
      <c r="X41" s="6">
        <f t="shared" si="13"/>
        <v>79540.972752447997</v>
      </c>
      <c r="Y41" s="6">
        <f t="shared" si="13"/>
        <v>79103.497402309542</v>
      </c>
      <c r="Z41" s="6">
        <f t="shared" si="13"/>
        <v>78668.428166596845</v>
      </c>
      <c r="AA41" s="6">
        <f t="shared" si="13"/>
        <v>78235.751811680573</v>
      </c>
    </row>
    <row r="42" spans="1:27" x14ac:dyDescent="0.45">
      <c r="A42" s="2" t="s">
        <v>49</v>
      </c>
      <c r="B42" s="6">
        <f t="shared" ref="B42:AA42" si="14">B41*$H$26</f>
        <v>72899.926939266399</v>
      </c>
      <c r="C42" s="6">
        <f t="shared" si="14"/>
        <v>72498.977341100443</v>
      </c>
      <c r="D42" s="6">
        <f t="shared" si="14"/>
        <v>72100.232965724383</v>
      </c>
      <c r="E42" s="6">
        <f t="shared" si="14"/>
        <v>71703.681684412906</v>
      </c>
      <c r="F42" s="6">
        <f t="shared" si="14"/>
        <v>71309.311435148644</v>
      </c>
      <c r="G42" s="6">
        <f t="shared" si="14"/>
        <v>70917.110222255316</v>
      </c>
      <c r="H42" s="6">
        <f t="shared" si="14"/>
        <v>70527.066116032933</v>
      </c>
      <c r="I42" s="6">
        <f t="shared" si="14"/>
        <v>70139.167252394735</v>
      </c>
      <c r="J42" s="6">
        <f t="shared" si="14"/>
        <v>69753.401832506584</v>
      </c>
      <c r="K42" s="6">
        <f t="shared" si="14"/>
        <v>69369.758122427796</v>
      </c>
      <c r="L42" s="6">
        <f t="shared" si="14"/>
        <v>68988.224452754439</v>
      </c>
      <c r="M42" s="6">
        <f t="shared" si="14"/>
        <v>68608.789218264297</v>
      </c>
      <c r="N42" s="6">
        <f t="shared" si="14"/>
        <v>68231.440877563859</v>
      </c>
      <c r="O42" s="6">
        <f t="shared" si="14"/>
        <v>67856.167952737262</v>
      </c>
      <c r="P42" s="6">
        <f t="shared" si="14"/>
        <v>67482.959028997197</v>
      </c>
      <c r="Q42" s="6">
        <f t="shared" si="14"/>
        <v>67111.802754337725</v>
      </c>
      <c r="R42" s="6">
        <f t="shared" si="14"/>
        <v>66742.68783918886</v>
      </c>
      <c r="S42" s="6">
        <f t="shared" si="14"/>
        <v>66375.603056073334</v>
      </c>
      <c r="T42" s="6">
        <f t="shared" si="14"/>
        <v>66010.53723926493</v>
      </c>
      <c r="U42" s="6">
        <f t="shared" si="14"/>
        <v>65647.479284448971</v>
      </c>
      <c r="V42" s="6">
        <f t="shared" si="14"/>
        <v>65286.418148384502</v>
      </c>
      <c r="W42" s="6">
        <f t="shared" si="14"/>
        <v>64927.342848568398</v>
      </c>
      <c r="X42" s="6">
        <f t="shared" si="14"/>
        <v>64570.242462901268</v>
      </c>
      <c r="Y42" s="6">
        <f t="shared" si="14"/>
        <v>64215.106129355321</v>
      </c>
      <c r="Z42" s="6">
        <f t="shared" si="14"/>
        <v>63861.923045643867</v>
      </c>
      <c r="AA42" s="6">
        <f t="shared" si="14"/>
        <v>63510.682468892839</v>
      </c>
    </row>
    <row r="43" spans="1:27" x14ac:dyDescent="0.45">
      <c r="A43" s="2" t="s">
        <v>50</v>
      </c>
      <c r="B43" s="6">
        <f>B41-B42</f>
        <v>16901.983060733604</v>
      </c>
      <c r="C43" s="6">
        <f t="shared" ref="C43:AA43" si="15">C41-C42</f>
        <v>16809.022153899568</v>
      </c>
      <c r="D43" s="6">
        <f t="shared" si="15"/>
        <v>16716.57253205312</v>
      </c>
      <c r="E43" s="6">
        <f t="shared" si="15"/>
        <v>16624.631383126834</v>
      </c>
      <c r="F43" s="6">
        <f t="shared" si="15"/>
        <v>16533.195910519629</v>
      </c>
      <c r="G43" s="6">
        <f t="shared" si="15"/>
        <v>16442.263333011782</v>
      </c>
      <c r="H43" s="6">
        <f t="shared" si="15"/>
        <v>16351.83088468021</v>
      </c>
      <c r="I43" s="6">
        <f t="shared" si="15"/>
        <v>16261.895814814474</v>
      </c>
      <c r="J43" s="6">
        <f t="shared" si="15"/>
        <v>16172.45538783299</v>
      </c>
      <c r="K43" s="6">
        <f t="shared" si="15"/>
        <v>16083.506883199909</v>
      </c>
      <c r="L43" s="6">
        <f t="shared" si="15"/>
        <v>15995.047595342316</v>
      </c>
      <c r="M43" s="6">
        <f t="shared" si="15"/>
        <v>15907.074833567938</v>
      </c>
      <c r="N43" s="6">
        <f t="shared" si="15"/>
        <v>15819.585921983307</v>
      </c>
      <c r="O43" s="6">
        <f t="shared" si="15"/>
        <v>15732.578199412397</v>
      </c>
      <c r="P43" s="6">
        <f t="shared" si="15"/>
        <v>15646.049019315644</v>
      </c>
      <c r="Q43" s="6">
        <f t="shared" si="15"/>
        <v>15559.9957497094</v>
      </c>
      <c r="R43" s="6">
        <f t="shared" si="15"/>
        <v>15474.415773086002</v>
      </c>
      <c r="S43" s="6">
        <f t="shared" si="15"/>
        <v>15389.306486334026</v>
      </c>
      <c r="T43" s="6">
        <f t="shared" si="15"/>
        <v>15304.665300659195</v>
      </c>
      <c r="U43" s="6">
        <f t="shared" si="15"/>
        <v>15220.48964150557</v>
      </c>
      <c r="V43" s="6">
        <f t="shared" si="15"/>
        <v>15136.776948477287</v>
      </c>
      <c r="W43" s="6">
        <f t="shared" si="15"/>
        <v>15053.524675260662</v>
      </c>
      <c r="X43" s="6">
        <f t="shared" si="15"/>
        <v>14970.730289546729</v>
      </c>
      <c r="Y43" s="6">
        <f t="shared" si="15"/>
        <v>14888.391272954221</v>
      </c>
      <c r="Z43" s="6">
        <f t="shared" si="15"/>
        <v>14806.505120952977</v>
      </c>
      <c r="AA43" s="6">
        <f t="shared" si="15"/>
        <v>14725.069342787734</v>
      </c>
    </row>
    <row r="45" spans="1:27" x14ac:dyDescent="0.45">
      <c r="A45" s="1" t="s">
        <v>60</v>
      </c>
    </row>
    <row r="46" spans="1:27" x14ac:dyDescent="0.45">
      <c r="A46" s="11" t="s">
        <v>39</v>
      </c>
      <c r="B46" s="11">
        <v>0</v>
      </c>
      <c r="C46" s="11">
        <v>1</v>
      </c>
      <c r="D46" s="11">
        <v>2</v>
      </c>
      <c r="E46" s="11">
        <v>3</v>
      </c>
      <c r="F46" s="11">
        <v>4</v>
      </c>
      <c r="G46" s="11">
        <v>5</v>
      </c>
      <c r="H46" s="11">
        <v>6</v>
      </c>
      <c r="I46" s="11">
        <v>7</v>
      </c>
      <c r="J46" s="11">
        <v>8</v>
      </c>
      <c r="K46" s="11">
        <v>9</v>
      </c>
      <c r="L46" s="11">
        <v>10</v>
      </c>
      <c r="M46" s="11">
        <v>11</v>
      </c>
      <c r="N46" s="11">
        <v>12</v>
      </c>
      <c r="O46" s="11">
        <v>13</v>
      </c>
      <c r="P46" s="11">
        <v>14</v>
      </c>
      <c r="Q46" s="11">
        <v>15</v>
      </c>
      <c r="R46" s="11">
        <v>16</v>
      </c>
      <c r="S46" s="11">
        <v>17</v>
      </c>
      <c r="T46" s="11">
        <v>18</v>
      </c>
      <c r="U46" s="11">
        <v>19</v>
      </c>
      <c r="V46" s="11">
        <v>20</v>
      </c>
      <c r="W46" s="11">
        <v>21</v>
      </c>
      <c r="X46" s="11">
        <v>22</v>
      </c>
      <c r="Y46" s="11">
        <v>23</v>
      </c>
      <c r="Z46" s="11">
        <v>24</v>
      </c>
      <c r="AA46" s="11">
        <v>25</v>
      </c>
    </row>
    <row r="47" spans="1:27" x14ac:dyDescent="0.45">
      <c r="A47" s="2" t="s">
        <v>51</v>
      </c>
      <c r="B47" s="2">
        <f>B14</f>
        <v>3501</v>
      </c>
      <c r="C47" s="6">
        <f>$B$14*C35</f>
        <v>3606.03</v>
      </c>
      <c r="D47" s="6">
        <f t="shared" ref="D47:AA47" si="16">$B$14*D35</f>
        <v>3714.2109</v>
      </c>
      <c r="E47" s="6">
        <f t="shared" si="16"/>
        <v>3825.6372270000002</v>
      </c>
      <c r="F47" s="6">
        <f t="shared" si="16"/>
        <v>3940.4063438099997</v>
      </c>
      <c r="G47" s="6">
        <f t="shared" si="16"/>
        <v>4058.6185341242995</v>
      </c>
      <c r="H47" s="6">
        <f t="shared" si="16"/>
        <v>4180.3770901480284</v>
      </c>
      <c r="I47" s="6">
        <f t="shared" si="16"/>
        <v>4305.7884028524695</v>
      </c>
      <c r="J47" s="6">
        <f t="shared" si="16"/>
        <v>4434.9620549380434</v>
      </c>
      <c r="K47" s="6">
        <f t="shared" si="16"/>
        <v>4568.010916586185</v>
      </c>
      <c r="L47" s="6">
        <f t="shared" si="16"/>
        <v>4705.0512440837701</v>
      </c>
      <c r="M47" s="6">
        <f t="shared" si="16"/>
        <v>4846.202781406284</v>
      </c>
      <c r="N47" s="6">
        <f t="shared" si="16"/>
        <v>4991.5888648484715</v>
      </c>
      <c r="O47" s="6">
        <f t="shared" si="16"/>
        <v>5141.3365307939257</v>
      </c>
      <c r="P47" s="6">
        <f t="shared" si="16"/>
        <v>5295.5766267177432</v>
      </c>
      <c r="Q47" s="6">
        <f t="shared" si="16"/>
        <v>5454.4439255192765</v>
      </c>
      <c r="R47" s="6">
        <f t="shared" si="16"/>
        <v>5618.0772432848535</v>
      </c>
      <c r="S47" s="6">
        <f t="shared" si="16"/>
        <v>5786.6195605833991</v>
      </c>
      <c r="T47" s="6">
        <f t="shared" si="16"/>
        <v>5960.2181474009012</v>
      </c>
      <c r="U47" s="6">
        <f t="shared" si="16"/>
        <v>6139.0246918229277</v>
      </c>
      <c r="V47" s="6">
        <f t="shared" si="16"/>
        <v>6323.195432577616</v>
      </c>
      <c r="W47" s="6">
        <f t="shared" si="16"/>
        <v>6512.8912955549431</v>
      </c>
      <c r="X47" s="6">
        <f t="shared" si="16"/>
        <v>6708.2780344215926</v>
      </c>
      <c r="Y47" s="6">
        <f t="shared" si="16"/>
        <v>6909.5263754542402</v>
      </c>
      <c r="Z47" s="6">
        <f t="shared" si="16"/>
        <v>7116.8121667178666</v>
      </c>
      <c r="AA47" s="6">
        <f t="shared" si="16"/>
        <v>7330.3165317194025</v>
      </c>
    </row>
    <row r="48" spans="1:27" x14ac:dyDescent="0.45">
      <c r="A48" s="2" t="s">
        <v>52</v>
      </c>
      <c r="B48" s="2">
        <f>B15</f>
        <v>5422</v>
      </c>
      <c r="C48" s="6">
        <f>$B$15*C35</f>
        <v>5584.66</v>
      </c>
      <c r="D48" s="6">
        <f t="shared" ref="D48:AA48" si="17">$B$15*D35</f>
        <v>5752.1997999999994</v>
      </c>
      <c r="E48" s="6">
        <f t="shared" si="17"/>
        <v>5924.7657939999999</v>
      </c>
      <c r="F48" s="6">
        <f t="shared" si="17"/>
        <v>6102.5087678199998</v>
      </c>
      <c r="G48" s="6">
        <f t="shared" si="17"/>
        <v>6285.5840308545994</v>
      </c>
      <c r="H48" s="6">
        <f t="shared" si="17"/>
        <v>6474.1515517802372</v>
      </c>
      <c r="I48" s="6">
        <f t="shared" si="17"/>
        <v>6668.3760983336451</v>
      </c>
      <c r="J48" s="6">
        <f t="shared" si="17"/>
        <v>6868.4273812836536</v>
      </c>
      <c r="K48" s="6">
        <f t="shared" si="17"/>
        <v>7074.4802027221631</v>
      </c>
      <c r="L48" s="6">
        <f t="shared" si="17"/>
        <v>7286.714608803828</v>
      </c>
      <c r="M48" s="6">
        <f t="shared" si="17"/>
        <v>7505.3160470679431</v>
      </c>
      <c r="N48" s="6">
        <f t="shared" si="17"/>
        <v>7730.4755284799803</v>
      </c>
      <c r="O48" s="6">
        <f t="shared" si="17"/>
        <v>7962.38979433438</v>
      </c>
      <c r="P48" s="6">
        <f t="shared" si="17"/>
        <v>8201.2614881644113</v>
      </c>
      <c r="Q48" s="6">
        <f t="shared" si="17"/>
        <v>8447.2993328093453</v>
      </c>
      <c r="R48" s="6">
        <f t="shared" si="17"/>
        <v>8700.7183127936241</v>
      </c>
      <c r="S48" s="6">
        <f t="shared" si="17"/>
        <v>8961.7398621774319</v>
      </c>
      <c r="T48" s="6">
        <f t="shared" si="17"/>
        <v>9230.5920580427555</v>
      </c>
      <c r="U48" s="6">
        <f t="shared" si="17"/>
        <v>9507.509819784038</v>
      </c>
      <c r="V48" s="6">
        <f t="shared" si="17"/>
        <v>9792.7351143775595</v>
      </c>
      <c r="W48" s="6">
        <f t="shared" si="17"/>
        <v>10086.517167808885</v>
      </c>
      <c r="X48" s="6">
        <f t="shared" si="17"/>
        <v>10389.112682843152</v>
      </c>
      <c r="Y48" s="6">
        <f t="shared" si="17"/>
        <v>10700.786063328447</v>
      </c>
      <c r="Z48" s="6">
        <f t="shared" si="17"/>
        <v>11021.809645228299</v>
      </c>
      <c r="AA48" s="6">
        <f t="shared" si="17"/>
        <v>11352.463934585146</v>
      </c>
    </row>
    <row r="49" spans="1:27" x14ac:dyDescent="0.45">
      <c r="A49" s="2" t="s">
        <v>55</v>
      </c>
      <c r="B49" s="19">
        <f t="shared" ref="B49:AA49" si="18">B42*B47*B36/$H$29</f>
        <v>229.70037979293448</v>
      </c>
      <c r="C49" s="19">
        <f t="shared" si="18"/>
        <v>235.29013853519558</v>
      </c>
      <c r="D49" s="19">
        <f t="shared" si="18"/>
        <v>241.01592405644956</v>
      </c>
      <c r="E49" s="19">
        <f t="shared" si="18"/>
        <v>205.73420547363608</v>
      </c>
      <c r="F49" s="19">
        <f t="shared" si="18"/>
        <v>210.74074736383702</v>
      </c>
      <c r="G49" s="19">
        <f t="shared" si="18"/>
        <v>215.86912345093589</v>
      </c>
      <c r="H49" s="19">
        <f t="shared" si="18"/>
        <v>162.15635228475068</v>
      </c>
      <c r="I49" s="19">
        <f t="shared" si="18"/>
        <v>166.10242711760003</v>
      </c>
      <c r="J49" s="19">
        <f t="shared" si="18"/>
        <v>170.1445296815069</v>
      </c>
      <c r="K49" s="19">
        <f t="shared" si="18"/>
        <v>142.59681557288701</v>
      </c>
      <c r="L49" s="19">
        <f t="shared" si="18"/>
        <v>146.06690907985319</v>
      </c>
      <c r="M49" s="19">
        <f t="shared" si="18"/>
        <v>149.62144731231146</v>
      </c>
      <c r="N49" s="19">
        <f t="shared" si="18"/>
        <v>0</v>
      </c>
      <c r="O49" s="19">
        <f t="shared" si="18"/>
        <v>0</v>
      </c>
      <c r="P49" s="19">
        <f t="shared" si="18"/>
        <v>0</v>
      </c>
      <c r="Q49" s="19">
        <f t="shared" si="18"/>
        <v>0</v>
      </c>
      <c r="R49" s="19">
        <f t="shared" si="18"/>
        <v>0</v>
      </c>
      <c r="S49" s="19">
        <f t="shared" si="18"/>
        <v>0</v>
      </c>
      <c r="T49" s="19">
        <f t="shared" si="18"/>
        <v>0</v>
      </c>
      <c r="U49" s="19">
        <f t="shared" si="18"/>
        <v>0</v>
      </c>
      <c r="V49" s="19">
        <f t="shared" si="18"/>
        <v>0</v>
      </c>
      <c r="W49" s="19">
        <f t="shared" si="18"/>
        <v>0</v>
      </c>
      <c r="X49" s="19">
        <f t="shared" si="18"/>
        <v>0</v>
      </c>
      <c r="Y49" s="19">
        <f t="shared" si="18"/>
        <v>0</v>
      </c>
      <c r="Z49" s="19">
        <f t="shared" si="18"/>
        <v>0</v>
      </c>
      <c r="AA49" s="19">
        <f t="shared" si="18"/>
        <v>0</v>
      </c>
    </row>
    <row r="50" spans="1:27" x14ac:dyDescent="0.45">
      <c r="A50" s="2" t="s">
        <v>56</v>
      </c>
      <c r="B50" s="19">
        <f t="shared" ref="B50:AA50" si="19">B43*B48*B36/$H$29</f>
        <v>82.478296939767858</v>
      </c>
      <c r="C50" s="19">
        <f t="shared" si="19"/>
        <v>84.485406295797091</v>
      </c>
      <c r="D50" s="19">
        <f t="shared" si="19"/>
        <v>86.541358658005294</v>
      </c>
      <c r="E50" s="19">
        <f t="shared" si="19"/>
        <v>73.872785517456592</v>
      </c>
      <c r="F50" s="19">
        <f t="shared" si="19"/>
        <v>75.670479753023869</v>
      </c>
      <c r="G50" s="19">
        <f t="shared" si="19"/>
        <v>77.511920877813722</v>
      </c>
      <c r="H50" s="19">
        <f t="shared" si="19"/>
        <v>58.225327213075211</v>
      </c>
      <c r="I50" s="19">
        <f t="shared" si="19"/>
        <v>59.642240550805425</v>
      </c>
      <c r="J50" s="19">
        <f t="shared" si="19"/>
        <v>61.09363447460926</v>
      </c>
      <c r="K50" s="19">
        <f t="shared" si="19"/>
        <v>51.20210296599452</v>
      </c>
      <c r="L50" s="19">
        <f t="shared" si="19"/>
        <v>52.448106141672021</v>
      </c>
      <c r="M50" s="19">
        <f t="shared" si="19"/>
        <v>53.724430804629634</v>
      </c>
      <c r="N50" s="19">
        <f t="shared" si="19"/>
        <v>0</v>
      </c>
      <c r="O50" s="19">
        <f t="shared" si="19"/>
        <v>0</v>
      </c>
      <c r="P50" s="19">
        <f t="shared" si="19"/>
        <v>0</v>
      </c>
      <c r="Q50" s="19">
        <f t="shared" si="19"/>
        <v>0</v>
      </c>
      <c r="R50" s="19">
        <f t="shared" si="19"/>
        <v>0</v>
      </c>
      <c r="S50" s="19">
        <f t="shared" si="19"/>
        <v>0</v>
      </c>
      <c r="T50" s="19">
        <f t="shared" si="19"/>
        <v>0</v>
      </c>
      <c r="U50" s="19">
        <f t="shared" si="19"/>
        <v>0</v>
      </c>
      <c r="V50" s="19">
        <f t="shared" si="19"/>
        <v>0</v>
      </c>
      <c r="W50" s="19">
        <f t="shared" si="19"/>
        <v>0</v>
      </c>
      <c r="X50" s="19">
        <f t="shared" si="19"/>
        <v>0</v>
      </c>
      <c r="Y50" s="19">
        <f t="shared" si="19"/>
        <v>0</v>
      </c>
      <c r="Z50" s="19">
        <f t="shared" si="19"/>
        <v>0</v>
      </c>
      <c r="AA50" s="19">
        <f t="shared" si="19"/>
        <v>0</v>
      </c>
    </row>
    <row r="51" spans="1:27" x14ac:dyDescent="0.45">
      <c r="A51" s="2" t="s">
        <v>59</v>
      </c>
      <c r="B51" s="19">
        <f>B49+B50</f>
        <v>312.17867673270234</v>
      </c>
      <c r="C51" s="19">
        <f t="shared" ref="C51:AA51" si="20">C49+C50</f>
        <v>319.77554483099266</v>
      </c>
      <c r="D51" s="19">
        <f t="shared" si="20"/>
        <v>327.55728271445486</v>
      </c>
      <c r="E51" s="19">
        <f t="shared" si="20"/>
        <v>279.60699099109269</v>
      </c>
      <c r="F51" s="19">
        <f t="shared" si="20"/>
        <v>286.41122711686091</v>
      </c>
      <c r="G51" s="19">
        <f t="shared" si="20"/>
        <v>293.38104432874962</v>
      </c>
      <c r="H51" s="19">
        <f t="shared" si="20"/>
        <v>220.3816794978259</v>
      </c>
      <c r="I51" s="19">
        <f t="shared" si="20"/>
        <v>225.74466766840544</v>
      </c>
      <c r="J51" s="19">
        <f t="shared" si="20"/>
        <v>231.23816415611617</v>
      </c>
      <c r="K51" s="19">
        <f t="shared" si="20"/>
        <v>193.79891853888154</v>
      </c>
      <c r="L51" s="19">
        <f t="shared" si="20"/>
        <v>198.5150152215252</v>
      </c>
      <c r="M51" s="19">
        <f t="shared" si="20"/>
        <v>203.34587811694109</v>
      </c>
      <c r="N51" s="19">
        <f t="shared" si="20"/>
        <v>0</v>
      </c>
      <c r="O51" s="19">
        <f t="shared" si="20"/>
        <v>0</v>
      </c>
      <c r="P51" s="19">
        <f t="shared" si="20"/>
        <v>0</v>
      </c>
      <c r="Q51" s="19">
        <f t="shared" si="20"/>
        <v>0</v>
      </c>
      <c r="R51" s="19">
        <f t="shared" si="20"/>
        <v>0</v>
      </c>
      <c r="S51" s="19">
        <f t="shared" si="20"/>
        <v>0</v>
      </c>
      <c r="T51" s="19">
        <f t="shared" si="20"/>
        <v>0</v>
      </c>
      <c r="U51" s="19">
        <f t="shared" si="20"/>
        <v>0</v>
      </c>
      <c r="V51" s="19">
        <f t="shared" si="20"/>
        <v>0</v>
      </c>
      <c r="W51" s="19">
        <f t="shared" si="20"/>
        <v>0</v>
      </c>
      <c r="X51" s="19">
        <f t="shared" si="20"/>
        <v>0</v>
      </c>
      <c r="Y51" s="19">
        <f t="shared" si="20"/>
        <v>0</v>
      </c>
      <c r="Z51" s="19">
        <f t="shared" si="20"/>
        <v>0</v>
      </c>
      <c r="AA51" s="19">
        <f t="shared" si="20"/>
        <v>0</v>
      </c>
    </row>
    <row r="52" spans="1:27" x14ac:dyDescent="0.4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x14ac:dyDescent="0.45">
      <c r="A53" s="1" t="s">
        <v>99</v>
      </c>
    </row>
    <row r="54" spans="1:27" x14ac:dyDescent="0.45">
      <c r="A54" s="11" t="s">
        <v>39</v>
      </c>
      <c r="B54" s="11">
        <v>0</v>
      </c>
      <c r="C54" s="11">
        <v>1</v>
      </c>
      <c r="D54" s="11">
        <v>2</v>
      </c>
      <c r="E54" s="11">
        <v>3</v>
      </c>
      <c r="F54" s="11">
        <v>4</v>
      </c>
      <c r="G54" s="11">
        <v>5</v>
      </c>
      <c r="H54" s="11">
        <v>6</v>
      </c>
      <c r="I54" s="11">
        <v>7</v>
      </c>
      <c r="J54" s="11">
        <v>8</v>
      </c>
      <c r="K54" s="11">
        <v>9</v>
      </c>
      <c r="L54" s="11">
        <v>10</v>
      </c>
      <c r="M54" s="11">
        <v>11</v>
      </c>
      <c r="N54" s="11">
        <v>12</v>
      </c>
      <c r="O54" s="11">
        <v>13</v>
      </c>
      <c r="P54" s="11">
        <v>14</v>
      </c>
      <c r="Q54" s="11">
        <v>15</v>
      </c>
      <c r="R54" s="11">
        <v>16</v>
      </c>
      <c r="S54" s="11">
        <v>17</v>
      </c>
      <c r="T54" s="11">
        <v>18</v>
      </c>
      <c r="U54" s="11">
        <v>19</v>
      </c>
      <c r="V54" s="11">
        <v>20</v>
      </c>
      <c r="W54" s="11">
        <v>21</v>
      </c>
      <c r="X54" s="11">
        <v>22</v>
      </c>
      <c r="Y54" s="11">
        <v>23</v>
      </c>
      <c r="Z54" s="11">
        <v>24</v>
      </c>
      <c r="AA54" s="11">
        <v>25</v>
      </c>
    </row>
    <row r="55" spans="1:27" x14ac:dyDescent="0.45">
      <c r="A55" s="2" t="s">
        <v>100</v>
      </c>
      <c r="B55" s="19">
        <f>H20*B8</f>
        <v>0</v>
      </c>
      <c r="C55" s="19">
        <f>B60</f>
        <v>0</v>
      </c>
      <c r="D55" s="19">
        <f t="shared" ref="D55:F55" si="21">C60</f>
        <v>0</v>
      </c>
      <c r="E55" s="19">
        <f t="shared" si="21"/>
        <v>0</v>
      </c>
      <c r="F55" s="19">
        <f t="shared" si="21"/>
        <v>0</v>
      </c>
      <c r="G55" s="19"/>
      <c r="H55" s="19"/>
      <c r="I55" s="19"/>
      <c r="J55" s="19"/>
      <c r="K55" s="19"/>
      <c r="L55" s="19"/>
      <c r="M55" s="19"/>
      <c r="N55" s="19"/>
      <c r="O55" s="19"/>
      <c r="P55" s="19"/>
      <c r="Q55" s="19"/>
      <c r="R55" s="19"/>
      <c r="S55" s="19"/>
      <c r="T55" s="19"/>
      <c r="U55" s="19"/>
      <c r="V55" s="19"/>
      <c r="W55" s="19"/>
      <c r="X55" s="19"/>
      <c r="Y55" s="19"/>
      <c r="Z55" s="19"/>
      <c r="AA55" s="19"/>
    </row>
    <row r="56" spans="1:27" x14ac:dyDescent="0.45">
      <c r="A56" s="2" t="s">
        <v>101</v>
      </c>
      <c r="B56" s="19">
        <f>B55*$H$21</f>
        <v>0</v>
      </c>
      <c r="C56" s="19">
        <f>C55*$H$21</f>
        <v>0</v>
      </c>
      <c r="D56" s="19">
        <f>D55*$H$21</f>
        <v>0</v>
      </c>
      <c r="E56" s="19">
        <f>E55*$H$21</f>
        <v>0</v>
      </c>
      <c r="F56" s="19">
        <f>F55*$H$21</f>
        <v>0</v>
      </c>
      <c r="G56" s="19"/>
      <c r="H56" s="19"/>
      <c r="I56" s="19"/>
      <c r="J56" s="19"/>
      <c r="K56" s="19"/>
      <c r="L56" s="19"/>
      <c r="M56" s="19"/>
      <c r="N56" s="19"/>
      <c r="O56" s="19"/>
      <c r="P56" s="19"/>
      <c r="Q56" s="19"/>
      <c r="R56" s="19"/>
      <c r="S56" s="19"/>
      <c r="T56" s="19"/>
      <c r="U56" s="19"/>
      <c r="V56" s="19"/>
      <c r="W56" s="19"/>
      <c r="X56" s="19"/>
      <c r="Y56" s="19"/>
      <c r="Z56" s="19"/>
      <c r="AA56" s="19"/>
    </row>
    <row r="57" spans="1:27" x14ac:dyDescent="0.45">
      <c r="A57" s="2" t="s">
        <v>102</v>
      </c>
      <c r="B57" s="19">
        <f>-PMT($H$21,$H$22,$B$55)</f>
        <v>0</v>
      </c>
      <c r="C57" s="19">
        <f>-PMT($H$21,$H$22,$B$55)</f>
        <v>0</v>
      </c>
      <c r="D57" s="19">
        <f>-PMT($H$21,$H$22,$B$55)</f>
        <v>0</v>
      </c>
      <c r="E57" s="19">
        <f>-PMT($H$21,$H$22,$B$55)</f>
        <v>0</v>
      </c>
      <c r="F57" s="19">
        <f>-PMT($H$21,$H$22,$B$55)</f>
        <v>0</v>
      </c>
      <c r="G57" s="19"/>
      <c r="H57" s="19"/>
      <c r="I57" s="19"/>
      <c r="J57" s="19"/>
      <c r="K57" s="19"/>
      <c r="L57" s="19"/>
      <c r="M57" s="19"/>
      <c r="N57" s="19"/>
      <c r="O57" s="19"/>
      <c r="P57" s="19"/>
      <c r="Q57" s="19"/>
      <c r="R57" s="19"/>
      <c r="S57" s="19"/>
      <c r="T57" s="19"/>
      <c r="U57" s="19"/>
      <c r="V57" s="19"/>
      <c r="W57" s="19"/>
      <c r="X57" s="19"/>
      <c r="Y57" s="19"/>
      <c r="Z57" s="19"/>
      <c r="AA57" s="19"/>
    </row>
    <row r="58" spans="1:27" x14ac:dyDescent="0.45">
      <c r="A58" s="3" t="s">
        <v>103</v>
      </c>
      <c r="B58" s="19">
        <f>B57-B59</f>
        <v>0</v>
      </c>
      <c r="C58" s="19">
        <f t="shared" ref="C58:F58" si="22">C57-C59</f>
        <v>0</v>
      </c>
      <c r="D58" s="19">
        <f t="shared" si="22"/>
        <v>0</v>
      </c>
      <c r="E58" s="19">
        <f t="shared" si="22"/>
        <v>0</v>
      </c>
      <c r="F58" s="19">
        <f t="shared" si="22"/>
        <v>0</v>
      </c>
      <c r="G58" s="19"/>
      <c r="H58" s="19"/>
      <c r="I58" s="19"/>
      <c r="J58" s="19"/>
      <c r="K58" s="19"/>
      <c r="L58" s="19"/>
      <c r="M58" s="19"/>
      <c r="N58" s="19"/>
      <c r="O58" s="19"/>
      <c r="P58" s="19"/>
      <c r="Q58" s="19"/>
      <c r="R58" s="19"/>
      <c r="S58" s="19"/>
      <c r="T58" s="19"/>
      <c r="U58" s="19"/>
      <c r="V58" s="19"/>
      <c r="W58" s="19"/>
      <c r="X58" s="19"/>
      <c r="Y58" s="19"/>
      <c r="Z58" s="19"/>
      <c r="AA58" s="19"/>
    </row>
    <row r="59" spans="1:27" x14ac:dyDescent="0.45">
      <c r="A59" s="3" t="s">
        <v>104</v>
      </c>
      <c r="B59" s="19">
        <f>B56</f>
        <v>0</v>
      </c>
      <c r="C59" s="19">
        <f t="shared" ref="C59:F59" si="23">C56</f>
        <v>0</v>
      </c>
      <c r="D59" s="19">
        <f t="shared" si="23"/>
        <v>0</v>
      </c>
      <c r="E59" s="19">
        <f t="shared" si="23"/>
        <v>0</v>
      </c>
      <c r="F59" s="19">
        <f t="shared" si="23"/>
        <v>0</v>
      </c>
      <c r="G59" s="19"/>
      <c r="H59" s="19"/>
      <c r="I59" s="19"/>
      <c r="J59" s="19"/>
      <c r="K59" s="19"/>
      <c r="L59" s="19"/>
      <c r="M59" s="19"/>
      <c r="N59" s="19"/>
      <c r="O59" s="19"/>
      <c r="P59" s="19"/>
      <c r="Q59" s="19"/>
      <c r="R59" s="19"/>
      <c r="S59" s="19"/>
      <c r="T59" s="19"/>
      <c r="U59" s="19"/>
      <c r="V59" s="19"/>
      <c r="W59" s="19"/>
      <c r="X59" s="19"/>
      <c r="Y59" s="19"/>
      <c r="Z59" s="19"/>
      <c r="AA59" s="19"/>
    </row>
    <row r="60" spans="1:27" x14ac:dyDescent="0.45">
      <c r="A60" s="2" t="s">
        <v>105</v>
      </c>
      <c r="B60" s="19">
        <f>B55+B56-B57</f>
        <v>0</v>
      </c>
      <c r="C60" s="19">
        <f t="shared" ref="C60:F60" si="24">C55+C56-C57</f>
        <v>0</v>
      </c>
      <c r="D60" s="19">
        <f t="shared" si="24"/>
        <v>0</v>
      </c>
      <c r="E60" s="19">
        <f t="shared" si="24"/>
        <v>0</v>
      </c>
      <c r="F60" s="19">
        <f t="shared" si="24"/>
        <v>0</v>
      </c>
      <c r="G60" s="19"/>
      <c r="H60" s="19"/>
      <c r="I60" s="19"/>
      <c r="J60" s="19"/>
      <c r="K60" s="19"/>
      <c r="L60" s="19"/>
      <c r="M60" s="19"/>
      <c r="N60" s="19"/>
      <c r="O60" s="19"/>
      <c r="P60" s="19"/>
      <c r="Q60" s="19"/>
      <c r="R60" s="19"/>
      <c r="S60" s="19"/>
      <c r="T60" s="19"/>
      <c r="U60" s="19"/>
      <c r="V60" s="19"/>
      <c r="W60" s="19"/>
      <c r="X60" s="19"/>
      <c r="Y60" s="19"/>
      <c r="Z60" s="19"/>
      <c r="AA60" s="19"/>
    </row>
    <row r="62" spans="1:27" x14ac:dyDescent="0.45">
      <c r="A62" s="1" t="s">
        <v>68</v>
      </c>
    </row>
    <row r="63" spans="1:27" x14ac:dyDescent="0.45">
      <c r="A63" s="11" t="s">
        <v>39</v>
      </c>
      <c r="B63" s="11">
        <v>0</v>
      </c>
      <c r="C63" s="11">
        <v>1</v>
      </c>
      <c r="D63" s="11">
        <v>2</v>
      </c>
      <c r="E63" s="11">
        <v>3</v>
      </c>
      <c r="F63" s="11">
        <v>4</v>
      </c>
      <c r="G63" s="11">
        <v>5</v>
      </c>
      <c r="H63" s="11">
        <v>6</v>
      </c>
      <c r="I63" s="11">
        <v>7</v>
      </c>
      <c r="J63" s="11">
        <v>8</v>
      </c>
      <c r="K63" s="11">
        <v>9</v>
      </c>
      <c r="L63" s="11">
        <v>10</v>
      </c>
      <c r="M63" s="11">
        <v>11</v>
      </c>
      <c r="N63" s="11">
        <v>12</v>
      </c>
      <c r="O63" s="11">
        <v>13</v>
      </c>
      <c r="P63" s="11">
        <v>14</v>
      </c>
      <c r="Q63" s="11">
        <v>15</v>
      </c>
      <c r="R63" s="11">
        <v>16</v>
      </c>
      <c r="S63" s="11">
        <v>17</v>
      </c>
      <c r="T63" s="11">
        <v>18</v>
      </c>
      <c r="U63" s="11">
        <v>19</v>
      </c>
      <c r="V63" s="11">
        <v>20</v>
      </c>
      <c r="W63" s="11">
        <v>21</v>
      </c>
      <c r="X63" s="11">
        <v>22</v>
      </c>
      <c r="Y63" s="11">
        <v>23</v>
      </c>
      <c r="Z63" s="11">
        <v>24</v>
      </c>
      <c r="AA63" s="11">
        <v>25</v>
      </c>
    </row>
    <row r="64" spans="1:27" x14ac:dyDescent="0.45">
      <c r="A64" s="2" t="s">
        <v>61</v>
      </c>
      <c r="B64" s="19">
        <f>B51</f>
        <v>312.17867673270234</v>
      </c>
      <c r="C64" s="19">
        <f t="shared" ref="C64:M64" si="25">C51</f>
        <v>319.77554483099266</v>
      </c>
      <c r="D64" s="19">
        <f t="shared" si="25"/>
        <v>327.55728271445486</v>
      </c>
      <c r="E64" s="19">
        <f t="shared" si="25"/>
        <v>279.60699099109269</v>
      </c>
      <c r="F64" s="19">
        <f t="shared" si="25"/>
        <v>286.41122711686091</v>
      </c>
      <c r="G64" s="19">
        <f t="shared" si="25"/>
        <v>293.38104432874962</v>
      </c>
      <c r="H64" s="19">
        <f t="shared" si="25"/>
        <v>220.3816794978259</v>
      </c>
      <c r="I64" s="19">
        <f t="shared" si="25"/>
        <v>225.74466766840544</v>
      </c>
      <c r="J64" s="19">
        <f t="shared" si="25"/>
        <v>231.23816415611617</v>
      </c>
      <c r="K64" s="19">
        <f t="shared" si="25"/>
        <v>193.79891853888154</v>
      </c>
      <c r="L64" s="19">
        <f t="shared" si="25"/>
        <v>198.5150152215252</v>
      </c>
      <c r="M64" s="19">
        <f t="shared" si="25"/>
        <v>203.34587811694109</v>
      </c>
      <c r="N64" s="6"/>
      <c r="O64" s="6"/>
      <c r="P64" s="6"/>
      <c r="Q64" s="6"/>
      <c r="R64" s="6"/>
      <c r="S64" s="6"/>
      <c r="T64" s="6"/>
      <c r="U64" s="6"/>
      <c r="V64" s="6"/>
      <c r="W64" s="6"/>
      <c r="X64" s="6"/>
      <c r="Y64" s="6"/>
      <c r="Z64" s="6"/>
      <c r="AA64" s="6"/>
    </row>
    <row r="65" spans="1:27" x14ac:dyDescent="0.45">
      <c r="A65" s="3" t="s">
        <v>62</v>
      </c>
      <c r="B65" s="19">
        <f t="shared" ref="B65:M65" si="26">$B$28*B64</f>
        <v>31.217867673270234</v>
      </c>
      <c r="C65" s="19">
        <f t="shared" si="26"/>
        <v>31.977554483099269</v>
      </c>
      <c r="D65" s="19">
        <f t="shared" si="26"/>
        <v>32.755728271445484</v>
      </c>
      <c r="E65" s="19">
        <f t="shared" si="26"/>
        <v>27.96069909910927</v>
      </c>
      <c r="F65" s="19">
        <f t="shared" si="26"/>
        <v>28.641122711686094</v>
      </c>
      <c r="G65" s="19">
        <f t="shared" si="26"/>
        <v>29.338104432874964</v>
      </c>
      <c r="H65" s="19">
        <f t="shared" si="26"/>
        <v>22.03816794978259</v>
      </c>
      <c r="I65" s="19">
        <f t="shared" si="26"/>
        <v>22.574466766840544</v>
      </c>
      <c r="J65" s="19">
        <f t="shared" si="26"/>
        <v>23.123816415611618</v>
      </c>
      <c r="K65" s="19">
        <f t="shared" si="26"/>
        <v>19.379891853888154</v>
      </c>
      <c r="L65" s="19">
        <f t="shared" si="26"/>
        <v>19.851501522152521</v>
      </c>
      <c r="M65" s="19">
        <f t="shared" si="26"/>
        <v>20.33458781169411</v>
      </c>
      <c r="N65" s="6"/>
      <c r="O65" s="6"/>
      <c r="P65" s="6"/>
      <c r="Q65" s="6"/>
      <c r="R65" s="6"/>
      <c r="S65" s="6"/>
      <c r="T65" s="6"/>
      <c r="U65" s="6"/>
      <c r="V65" s="6"/>
      <c r="W65" s="6"/>
      <c r="X65" s="6"/>
      <c r="Y65" s="6"/>
      <c r="Z65" s="6"/>
      <c r="AA65" s="6"/>
    </row>
    <row r="66" spans="1:27" x14ac:dyDescent="0.45">
      <c r="A66" s="3" t="s">
        <v>26</v>
      </c>
      <c r="B66" s="19">
        <f t="shared" ref="B66:M66" si="27">$B$29*$B$6*B34</f>
        <v>0.76800000000000002</v>
      </c>
      <c r="C66" s="19">
        <f t="shared" si="27"/>
        <v>0.79104000000000008</v>
      </c>
      <c r="D66" s="19">
        <f t="shared" si="27"/>
        <v>0.81477120000000003</v>
      </c>
      <c r="E66" s="19">
        <f t="shared" si="27"/>
        <v>0.83921433600000006</v>
      </c>
      <c r="F66" s="19">
        <f t="shared" si="27"/>
        <v>0.86439076607999998</v>
      </c>
      <c r="G66" s="19">
        <f t="shared" si="27"/>
        <v>0.89032248906239986</v>
      </c>
      <c r="H66" s="19">
        <f t="shared" si="27"/>
        <v>0.91703216373427199</v>
      </c>
      <c r="I66" s="19">
        <f t="shared" si="27"/>
        <v>0.94454312864630019</v>
      </c>
      <c r="J66" s="19">
        <f t="shared" si="27"/>
        <v>0.97287942250568904</v>
      </c>
      <c r="K66" s="19">
        <f t="shared" si="27"/>
        <v>1.0020658051808597</v>
      </c>
      <c r="L66" s="19">
        <f t="shared" si="27"/>
        <v>1.0321277793362855</v>
      </c>
      <c r="M66" s="19">
        <f t="shared" si="27"/>
        <v>1.0630916127163741</v>
      </c>
      <c r="N66" s="19"/>
      <c r="O66" s="19"/>
      <c r="P66" s="19"/>
      <c r="Q66" s="19"/>
      <c r="R66" s="19"/>
      <c r="S66" s="19"/>
      <c r="T66" s="19"/>
      <c r="U66" s="19"/>
      <c r="V66" s="19"/>
      <c r="W66" s="19"/>
      <c r="X66" s="19"/>
      <c r="Y66" s="19"/>
      <c r="Z66" s="19"/>
      <c r="AA66" s="19"/>
    </row>
    <row r="67" spans="1:27" x14ac:dyDescent="0.45">
      <c r="A67" s="3" t="s">
        <v>63</v>
      </c>
      <c r="B67" s="19">
        <f>B65+B66</f>
        <v>31.985867673270235</v>
      </c>
      <c r="C67" s="19">
        <f t="shared" ref="C67:M67" si="28">C65+C66</f>
        <v>32.768594483099271</v>
      </c>
      <c r="D67" s="19">
        <f t="shared" si="28"/>
        <v>33.570499471445487</v>
      </c>
      <c r="E67" s="19">
        <f t="shared" si="28"/>
        <v>28.799913435109271</v>
      </c>
      <c r="F67" s="19">
        <f t="shared" si="28"/>
        <v>29.505513477766094</v>
      </c>
      <c r="G67" s="19">
        <f t="shared" si="28"/>
        <v>30.228426921937363</v>
      </c>
      <c r="H67" s="19">
        <f t="shared" si="28"/>
        <v>22.955200113516863</v>
      </c>
      <c r="I67" s="19">
        <f t="shared" si="28"/>
        <v>23.519009895486846</v>
      </c>
      <c r="J67" s="19">
        <f t="shared" si="28"/>
        <v>24.096695838117306</v>
      </c>
      <c r="K67" s="19">
        <f t="shared" si="28"/>
        <v>20.381957659069013</v>
      </c>
      <c r="L67" s="19">
        <f t="shared" si="28"/>
        <v>20.883629301488806</v>
      </c>
      <c r="M67" s="19">
        <f t="shared" si="28"/>
        <v>21.397679424410484</v>
      </c>
      <c r="N67" s="6"/>
      <c r="O67" s="6"/>
      <c r="P67" s="6"/>
      <c r="Q67" s="6"/>
      <c r="R67" s="6"/>
      <c r="S67" s="6"/>
      <c r="T67" s="6"/>
      <c r="U67" s="6"/>
      <c r="V67" s="6"/>
      <c r="W67" s="6"/>
      <c r="X67" s="6"/>
      <c r="Y67" s="6"/>
      <c r="Z67" s="6"/>
      <c r="AA67" s="6"/>
    </row>
    <row r="68" spans="1:27" x14ac:dyDescent="0.45">
      <c r="A68" s="2" t="s">
        <v>64</v>
      </c>
      <c r="B68" s="19">
        <f>B64-B67</f>
        <v>280.19280905943208</v>
      </c>
      <c r="C68" s="19">
        <f t="shared" ref="C68:M68" si="29">C64-C67</f>
        <v>287.00695034789339</v>
      </c>
      <c r="D68" s="19">
        <f t="shared" si="29"/>
        <v>293.98678324300937</v>
      </c>
      <c r="E68" s="19">
        <f t="shared" si="29"/>
        <v>250.80707755598343</v>
      </c>
      <c r="F68" s="19">
        <f t="shared" si="29"/>
        <v>256.90571363909481</v>
      </c>
      <c r="G68" s="19">
        <f t="shared" si="29"/>
        <v>263.15261740681228</v>
      </c>
      <c r="H68" s="19">
        <f t="shared" si="29"/>
        <v>197.42647938430903</v>
      </c>
      <c r="I68" s="19">
        <f t="shared" si="29"/>
        <v>202.22565777291859</v>
      </c>
      <c r="J68" s="19">
        <f t="shared" si="29"/>
        <v>207.14146831799886</v>
      </c>
      <c r="K68" s="19">
        <f t="shared" si="29"/>
        <v>173.41696087981254</v>
      </c>
      <c r="L68" s="19">
        <f t="shared" si="29"/>
        <v>177.63138592003639</v>
      </c>
      <c r="M68" s="19">
        <f t="shared" si="29"/>
        <v>181.94819869253061</v>
      </c>
      <c r="N68" s="6"/>
      <c r="O68" s="6"/>
      <c r="P68" s="6"/>
      <c r="Q68" s="6"/>
      <c r="R68" s="6"/>
      <c r="S68" s="6"/>
      <c r="T68" s="6"/>
      <c r="U68" s="6"/>
      <c r="V68" s="6"/>
      <c r="W68" s="6"/>
      <c r="X68" s="6"/>
      <c r="Y68" s="6"/>
      <c r="Z68" s="6"/>
      <c r="AA68" s="6"/>
    </row>
    <row r="69" spans="1:27" x14ac:dyDescent="0.45">
      <c r="A69" s="3" t="s">
        <v>65</v>
      </c>
      <c r="B69" s="19">
        <f>$B$6/$B$7</f>
        <v>256</v>
      </c>
      <c r="C69" s="19">
        <f t="shared" ref="C69:D69" si="30">$B$6/$B$7</f>
        <v>256</v>
      </c>
      <c r="D69" s="19">
        <f t="shared" si="30"/>
        <v>256</v>
      </c>
      <c r="E69" s="19"/>
      <c r="F69" s="19"/>
      <c r="G69" s="19"/>
      <c r="H69" s="19"/>
      <c r="I69" s="19"/>
      <c r="J69" s="19"/>
      <c r="K69" s="19"/>
      <c r="L69" s="19"/>
      <c r="M69" s="19"/>
    </row>
    <row r="70" spans="1:27" x14ac:dyDescent="0.45">
      <c r="A70" s="3" t="s">
        <v>66</v>
      </c>
      <c r="B70" s="19">
        <f>B59</f>
        <v>0</v>
      </c>
      <c r="C70" s="19">
        <f t="shared" ref="C70:F70" si="31">C59</f>
        <v>0</v>
      </c>
      <c r="D70" s="19">
        <f t="shared" si="31"/>
        <v>0</v>
      </c>
      <c r="E70" s="19">
        <f t="shared" si="31"/>
        <v>0</v>
      </c>
      <c r="F70" s="19">
        <f t="shared" si="31"/>
        <v>0</v>
      </c>
    </row>
    <row r="71" spans="1:27" x14ac:dyDescent="0.45">
      <c r="A71" s="2" t="s">
        <v>67</v>
      </c>
      <c r="B71" s="19">
        <f>B68-B69-B70</f>
        <v>24.192809059432079</v>
      </c>
      <c r="C71" s="19">
        <f t="shared" ref="C71:M71" si="32">C68-C69-C70</f>
        <v>31.006950347893394</v>
      </c>
      <c r="D71" s="19">
        <f t="shared" si="32"/>
        <v>37.98678324300937</v>
      </c>
      <c r="E71" s="19">
        <f t="shared" si="32"/>
        <v>250.80707755598343</v>
      </c>
      <c r="F71" s="19">
        <f t="shared" si="32"/>
        <v>256.90571363909481</v>
      </c>
      <c r="G71" s="19">
        <f t="shared" si="32"/>
        <v>263.15261740681228</v>
      </c>
      <c r="H71" s="19">
        <f t="shared" si="32"/>
        <v>197.42647938430903</v>
      </c>
      <c r="I71" s="19">
        <f t="shared" si="32"/>
        <v>202.22565777291859</v>
      </c>
      <c r="J71" s="19">
        <f t="shared" si="32"/>
        <v>207.14146831799886</v>
      </c>
      <c r="K71" s="19">
        <f t="shared" si="32"/>
        <v>173.41696087981254</v>
      </c>
      <c r="L71" s="19">
        <f t="shared" si="32"/>
        <v>177.63138592003639</v>
      </c>
      <c r="M71" s="19">
        <f t="shared" si="32"/>
        <v>181.94819869253061</v>
      </c>
      <c r="N71" s="6"/>
      <c r="O71" s="6"/>
      <c r="P71" s="6"/>
      <c r="Q71" s="6"/>
      <c r="R71" s="6"/>
      <c r="S71" s="6"/>
      <c r="T71" s="6"/>
      <c r="U71" s="6"/>
      <c r="V71" s="6"/>
      <c r="W71" s="6"/>
      <c r="X71" s="6"/>
      <c r="Y71" s="6"/>
      <c r="Z71" s="6"/>
      <c r="AA71" s="6"/>
    </row>
    <row r="72" spans="1:27" x14ac:dyDescent="0.45">
      <c r="A72" s="3" t="s">
        <v>57</v>
      </c>
      <c r="B72" s="19">
        <f t="shared" ref="B72:M72" si="33">B71*$H$28</f>
        <v>4.8385618118864162</v>
      </c>
      <c r="C72" s="19">
        <f t="shared" si="33"/>
        <v>6.2013900695786788</v>
      </c>
      <c r="D72" s="19">
        <f t="shared" si="33"/>
        <v>7.597356648601874</v>
      </c>
      <c r="E72" s="19">
        <f t="shared" si="33"/>
        <v>50.161415511196687</v>
      </c>
      <c r="F72" s="19">
        <f t="shared" si="33"/>
        <v>51.381142727818968</v>
      </c>
      <c r="G72" s="19">
        <f t="shared" si="33"/>
        <v>52.630523481362459</v>
      </c>
      <c r="H72" s="19">
        <f t="shared" si="33"/>
        <v>39.485295876861812</v>
      </c>
      <c r="I72" s="19">
        <f t="shared" si="33"/>
        <v>40.445131554583725</v>
      </c>
      <c r="J72" s="19">
        <f t="shared" si="33"/>
        <v>41.428293663599774</v>
      </c>
      <c r="K72" s="19">
        <f t="shared" si="33"/>
        <v>34.68339217596251</v>
      </c>
      <c r="L72" s="19">
        <f t="shared" si="33"/>
        <v>35.526277184007277</v>
      </c>
      <c r="M72" s="19">
        <f t="shared" si="33"/>
        <v>36.389639738506126</v>
      </c>
      <c r="N72" s="6"/>
      <c r="O72" s="6"/>
      <c r="P72" s="6"/>
      <c r="Q72" s="6"/>
      <c r="R72" s="6"/>
      <c r="S72" s="6"/>
      <c r="T72" s="6"/>
      <c r="U72" s="6"/>
      <c r="V72" s="6"/>
      <c r="W72" s="6"/>
      <c r="X72" s="6"/>
      <c r="Y72" s="6"/>
      <c r="Z72" s="6"/>
      <c r="AA72" s="6"/>
    </row>
    <row r="73" spans="1:27" x14ac:dyDescent="0.45">
      <c r="A73" s="2" t="s">
        <v>69</v>
      </c>
      <c r="B73" s="19">
        <f>B71-B72</f>
        <v>19.354247247545665</v>
      </c>
      <c r="C73" s="19">
        <f t="shared" ref="C73:M73" si="34">C71-C72</f>
        <v>24.805560278314715</v>
      </c>
      <c r="D73" s="19">
        <f t="shared" si="34"/>
        <v>30.389426594407496</v>
      </c>
      <c r="E73" s="19">
        <f t="shared" si="34"/>
        <v>200.64566204478675</v>
      </c>
      <c r="F73" s="19">
        <f t="shared" si="34"/>
        <v>205.52457091127584</v>
      </c>
      <c r="G73" s="19">
        <f t="shared" si="34"/>
        <v>210.52209392544984</v>
      </c>
      <c r="H73" s="19">
        <f t="shared" si="34"/>
        <v>157.94118350744722</v>
      </c>
      <c r="I73" s="19">
        <f t="shared" si="34"/>
        <v>161.78052621833487</v>
      </c>
      <c r="J73" s="19">
        <f t="shared" si="34"/>
        <v>165.7131746543991</v>
      </c>
      <c r="K73" s="19">
        <f t="shared" si="34"/>
        <v>138.73356870385004</v>
      </c>
      <c r="L73" s="19">
        <f t="shared" si="34"/>
        <v>142.10510873602911</v>
      </c>
      <c r="M73" s="19">
        <f t="shared" si="34"/>
        <v>145.55855895402448</v>
      </c>
      <c r="N73" s="6"/>
      <c r="O73" s="6"/>
      <c r="P73" s="6"/>
      <c r="Q73" s="6"/>
      <c r="R73" s="6"/>
      <c r="S73" s="6"/>
      <c r="T73" s="6"/>
      <c r="U73" s="6"/>
      <c r="V73" s="6"/>
      <c r="W73" s="6"/>
      <c r="X73" s="6"/>
      <c r="Y73" s="6"/>
      <c r="Z73" s="6"/>
      <c r="AA73" s="6"/>
    </row>
    <row r="75" spans="1:27" x14ac:dyDescent="0.45">
      <c r="A75" s="1" t="s">
        <v>95</v>
      </c>
    </row>
    <row r="76" spans="1:27" x14ac:dyDescent="0.45">
      <c r="A76" s="11" t="s">
        <v>39</v>
      </c>
      <c r="B76" s="11">
        <v>0</v>
      </c>
      <c r="C76" s="11">
        <v>1</v>
      </c>
      <c r="D76" s="11">
        <v>2</v>
      </c>
      <c r="E76" s="11">
        <v>3</v>
      </c>
      <c r="F76" s="11">
        <v>4</v>
      </c>
      <c r="G76" s="11">
        <v>5</v>
      </c>
      <c r="H76" s="11">
        <v>6</v>
      </c>
      <c r="I76" s="11">
        <v>7</v>
      </c>
      <c r="J76" s="11">
        <v>8</v>
      </c>
      <c r="K76" s="11">
        <v>9</v>
      </c>
      <c r="L76" s="11">
        <v>10</v>
      </c>
      <c r="M76" s="11">
        <v>11</v>
      </c>
      <c r="N76" s="11">
        <v>12</v>
      </c>
      <c r="O76" s="11">
        <v>13</v>
      </c>
      <c r="P76" s="11">
        <v>14</v>
      </c>
      <c r="Q76" s="11">
        <v>15</v>
      </c>
      <c r="R76" s="11">
        <v>16</v>
      </c>
      <c r="S76" s="11">
        <v>17</v>
      </c>
      <c r="T76" s="11">
        <v>18</v>
      </c>
      <c r="U76" s="11">
        <v>19</v>
      </c>
      <c r="V76" s="11">
        <v>20</v>
      </c>
      <c r="W76" s="11">
        <v>21</v>
      </c>
      <c r="X76" s="11">
        <v>22</v>
      </c>
      <c r="Y76" s="11">
        <v>23</v>
      </c>
      <c r="Z76" s="11">
        <v>24</v>
      </c>
      <c r="AA76" s="11">
        <v>25</v>
      </c>
    </row>
    <row r="77" spans="1:27" x14ac:dyDescent="0.45">
      <c r="A77" s="1" t="s">
        <v>71</v>
      </c>
      <c r="B77" s="35">
        <f>B78</f>
        <v>312.17867673270234</v>
      </c>
      <c r="C77" s="35">
        <f t="shared" ref="C77:M77" si="35">C78</f>
        <v>319.77554483099266</v>
      </c>
      <c r="D77" s="35">
        <f t="shared" si="35"/>
        <v>327.55728271445486</v>
      </c>
      <c r="E77" s="35">
        <f t="shared" si="35"/>
        <v>279.60699099109269</v>
      </c>
      <c r="F77" s="35">
        <f t="shared" si="35"/>
        <v>286.41122711686091</v>
      </c>
      <c r="G77" s="35">
        <f t="shared" si="35"/>
        <v>293.38104432874962</v>
      </c>
      <c r="H77" s="35">
        <f t="shared" si="35"/>
        <v>220.3816794978259</v>
      </c>
      <c r="I77" s="35">
        <f t="shared" si="35"/>
        <v>225.74466766840544</v>
      </c>
      <c r="J77" s="35">
        <f t="shared" si="35"/>
        <v>231.23816415611617</v>
      </c>
      <c r="K77" s="35">
        <f t="shared" si="35"/>
        <v>193.79891853888154</v>
      </c>
      <c r="L77" s="35">
        <f t="shared" si="35"/>
        <v>198.5150152215252</v>
      </c>
      <c r="M77" s="35">
        <f t="shared" si="35"/>
        <v>203.34587811694109</v>
      </c>
    </row>
    <row r="78" spans="1:27" x14ac:dyDescent="0.45">
      <c r="A78" s="3" t="s">
        <v>61</v>
      </c>
      <c r="B78" s="33">
        <f>B51</f>
        <v>312.17867673270234</v>
      </c>
      <c r="C78" s="33">
        <f t="shared" ref="C78:M78" si="36">C51</f>
        <v>319.77554483099266</v>
      </c>
      <c r="D78" s="33">
        <f t="shared" si="36"/>
        <v>327.55728271445486</v>
      </c>
      <c r="E78" s="33">
        <f t="shared" si="36"/>
        <v>279.60699099109269</v>
      </c>
      <c r="F78" s="33">
        <f t="shared" si="36"/>
        <v>286.41122711686091</v>
      </c>
      <c r="G78" s="33">
        <f t="shared" si="36"/>
        <v>293.38104432874962</v>
      </c>
      <c r="H78" s="33">
        <f t="shared" si="36"/>
        <v>220.3816794978259</v>
      </c>
      <c r="I78" s="33">
        <f t="shared" si="36"/>
        <v>225.74466766840544</v>
      </c>
      <c r="J78" s="33">
        <f t="shared" si="36"/>
        <v>231.23816415611617</v>
      </c>
      <c r="K78" s="33">
        <f t="shared" si="36"/>
        <v>193.79891853888154</v>
      </c>
      <c r="L78" s="33">
        <f t="shared" si="36"/>
        <v>198.5150152215252</v>
      </c>
      <c r="M78" s="33">
        <f t="shared" si="36"/>
        <v>203.34587811694109</v>
      </c>
      <c r="N78" s="6"/>
      <c r="O78" s="6"/>
      <c r="P78" s="6"/>
      <c r="Q78" s="6"/>
      <c r="R78" s="6"/>
      <c r="S78" s="6"/>
      <c r="T78" s="6"/>
      <c r="U78" s="6"/>
      <c r="V78" s="6"/>
      <c r="W78" s="6"/>
      <c r="X78" s="6"/>
      <c r="Y78" s="6"/>
      <c r="Z78" s="6"/>
      <c r="AA78" s="6"/>
    </row>
    <row r="79" spans="1:27" x14ac:dyDescent="0.45">
      <c r="A79" s="1" t="s">
        <v>72</v>
      </c>
      <c r="B79" s="35">
        <f>B80+B81</f>
        <v>799.98586767327026</v>
      </c>
      <c r="C79" s="35">
        <f t="shared" ref="C79:M79" si="37">C80+C81</f>
        <v>32.768594483099271</v>
      </c>
      <c r="D79" s="35">
        <f t="shared" si="37"/>
        <v>33.570499471445487</v>
      </c>
      <c r="E79" s="35">
        <f t="shared" si="37"/>
        <v>28.799913435109271</v>
      </c>
      <c r="F79" s="35">
        <f t="shared" si="37"/>
        <v>29.505513477766094</v>
      </c>
      <c r="G79" s="35">
        <f t="shared" si="37"/>
        <v>30.228426921937363</v>
      </c>
      <c r="H79" s="35">
        <f t="shared" si="37"/>
        <v>22.955200113516863</v>
      </c>
      <c r="I79" s="35">
        <f t="shared" si="37"/>
        <v>23.519009895486846</v>
      </c>
      <c r="J79" s="35">
        <f t="shared" si="37"/>
        <v>24.096695838117306</v>
      </c>
      <c r="K79" s="35">
        <f t="shared" si="37"/>
        <v>20.381957659069013</v>
      </c>
      <c r="L79" s="35">
        <f t="shared" si="37"/>
        <v>20.883629301488806</v>
      </c>
      <c r="M79" s="35">
        <f t="shared" si="37"/>
        <v>21.397679424410484</v>
      </c>
    </row>
    <row r="80" spans="1:27" x14ac:dyDescent="0.45">
      <c r="A80" s="3" t="s">
        <v>73</v>
      </c>
      <c r="B80" s="34">
        <f>B6</f>
        <v>768</v>
      </c>
      <c r="C80" s="34"/>
      <c r="D80" s="34"/>
      <c r="E80" s="34"/>
      <c r="F80" s="34"/>
      <c r="G80" s="34"/>
      <c r="H80" s="34"/>
      <c r="I80" s="34"/>
      <c r="J80" s="34"/>
      <c r="K80" s="34"/>
      <c r="L80" s="34"/>
      <c r="M80" s="34"/>
    </row>
    <row r="81" spans="1:27" x14ac:dyDescent="0.45">
      <c r="A81" s="3" t="s">
        <v>74</v>
      </c>
      <c r="B81" s="33">
        <f>B67</f>
        <v>31.985867673270235</v>
      </c>
      <c r="C81" s="33">
        <f t="shared" ref="C81:M81" si="38">C67</f>
        <v>32.768594483099271</v>
      </c>
      <c r="D81" s="33">
        <f t="shared" si="38"/>
        <v>33.570499471445487</v>
      </c>
      <c r="E81" s="33">
        <f t="shared" si="38"/>
        <v>28.799913435109271</v>
      </c>
      <c r="F81" s="33">
        <f t="shared" si="38"/>
        <v>29.505513477766094</v>
      </c>
      <c r="G81" s="33">
        <f t="shared" si="38"/>
        <v>30.228426921937363</v>
      </c>
      <c r="H81" s="33">
        <f t="shared" si="38"/>
        <v>22.955200113516863</v>
      </c>
      <c r="I81" s="33">
        <f t="shared" si="38"/>
        <v>23.519009895486846</v>
      </c>
      <c r="J81" s="33">
        <f t="shared" si="38"/>
        <v>24.096695838117306</v>
      </c>
      <c r="K81" s="33">
        <f t="shared" si="38"/>
        <v>20.381957659069013</v>
      </c>
      <c r="L81" s="33">
        <f t="shared" si="38"/>
        <v>20.883629301488806</v>
      </c>
      <c r="M81" s="33">
        <f t="shared" si="38"/>
        <v>21.397679424410484</v>
      </c>
      <c r="N81" s="6"/>
      <c r="O81" s="6"/>
      <c r="P81" s="6"/>
      <c r="Q81" s="6"/>
      <c r="R81" s="6"/>
      <c r="S81" s="6"/>
      <c r="T81" s="6"/>
      <c r="U81" s="6"/>
      <c r="V81" s="6"/>
      <c r="W81" s="6"/>
      <c r="X81" s="6"/>
      <c r="Y81" s="6"/>
      <c r="Z81" s="6"/>
      <c r="AA81" s="6"/>
    </row>
    <row r="82" spans="1:27" x14ac:dyDescent="0.45">
      <c r="A82" s="36" t="s">
        <v>93</v>
      </c>
      <c r="B82" s="35">
        <f>B77-B79</f>
        <v>-487.80719094056792</v>
      </c>
      <c r="C82" s="35">
        <f t="shared" ref="C82:M82" si="39">C77-C79</f>
        <v>287.00695034789339</v>
      </c>
      <c r="D82" s="35">
        <f t="shared" si="39"/>
        <v>293.98678324300937</v>
      </c>
      <c r="E82" s="35">
        <f t="shared" si="39"/>
        <v>250.80707755598343</v>
      </c>
      <c r="F82" s="35">
        <f t="shared" si="39"/>
        <v>256.90571363909481</v>
      </c>
      <c r="G82" s="35">
        <f t="shared" si="39"/>
        <v>263.15261740681228</v>
      </c>
      <c r="H82" s="35">
        <f t="shared" si="39"/>
        <v>197.42647938430903</v>
      </c>
      <c r="I82" s="35">
        <f t="shared" si="39"/>
        <v>202.22565777291859</v>
      </c>
      <c r="J82" s="35">
        <f t="shared" si="39"/>
        <v>207.14146831799886</v>
      </c>
      <c r="K82" s="35">
        <f t="shared" si="39"/>
        <v>173.41696087981254</v>
      </c>
      <c r="L82" s="35">
        <f t="shared" si="39"/>
        <v>177.63138592003639</v>
      </c>
      <c r="M82" s="35">
        <f t="shared" si="39"/>
        <v>181.94819869253061</v>
      </c>
      <c r="N82" s="6"/>
      <c r="O82" s="6"/>
      <c r="P82" s="6"/>
      <c r="Q82" s="6"/>
      <c r="R82" s="6"/>
      <c r="S82" s="6"/>
      <c r="T82" s="6"/>
      <c r="U82" s="6"/>
      <c r="V82" s="6"/>
      <c r="W82" s="6"/>
      <c r="X82" s="6"/>
      <c r="Y82" s="6"/>
      <c r="Z82" s="6"/>
      <c r="AA82" s="6"/>
    </row>
    <row r="83" spans="1:27" x14ac:dyDescent="0.45">
      <c r="A83" s="3" t="s">
        <v>57</v>
      </c>
      <c r="B83" s="33">
        <f>B72</f>
        <v>4.8385618118864162</v>
      </c>
      <c r="C83" s="33">
        <f t="shared" ref="C83:M83" si="40">C72</f>
        <v>6.2013900695786788</v>
      </c>
      <c r="D83" s="33">
        <f t="shared" si="40"/>
        <v>7.597356648601874</v>
      </c>
      <c r="E83" s="33">
        <f t="shared" si="40"/>
        <v>50.161415511196687</v>
      </c>
      <c r="F83" s="33">
        <f t="shared" si="40"/>
        <v>51.381142727818968</v>
      </c>
      <c r="G83" s="33">
        <f t="shared" si="40"/>
        <v>52.630523481362459</v>
      </c>
      <c r="H83" s="33">
        <f t="shared" si="40"/>
        <v>39.485295876861812</v>
      </c>
      <c r="I83" s="33">
        <f t="shared" si="40"/>
        <v>40.445131554583725</v>
      </c>
      <c r="J83" s="33">
        <f t="shared" si="40"/>
        <v>41.428293663599774</v>
      </c>
      <c r="K83" s="33">
        <f t="shared" si="40"/>
        <v>34.68339217596251</v>
      </c>
      <c r="L83" s="33">
        <f t="shared" si="40"/>
        <v>35.526277184007277</v>
      </c>
      <c r="M83" s="33">
        <f t="shared" si="40"/>
        <v>36.389639738506126</v>
      </c>
      <c r="N83" s="6"/>
      <c r="O83" s="6"/>
      <c r="P83" s="6"/>
      <c r="Q83" s="6"/>
      <c r="R83" s="6"/>
      <c r="S83" s="6"/>
      <c r="T83" s="6"/>
      <c r="U83" s="6"/>
      <c r="V83" s="6"/>
      <c r="W83" s="6"/>
      <c r="X83" s="6"/>
      <c r="Y83" s="6"/>
      <c r="Z83" s="6"/>
      <c r="AA83" s="6"/>
    </row>
    <row r="84" spans="1:27" x14ac:dyDescent="0.45">
      <c r="A84" s="1" t="s">
        <v>96</v>
      </c>
      <c r="B84" s="35">
        <f>B82-B83</f>
        <v>-492.64575275245431</v>
      </c>
      <c r="C84" s="35">
        <f t="shared" ref="C84:M84" si="41">C82-C83</f>
        <v>280.80556027831472</v>
      </c>
      <c r="D84" s="35">
        <f t="shared" si="41"/>
        <v>286.3894265944075</v>
      </c>
      <c r="E84" s="35">
        <f t="shared" si="41"/>
        <v>200.64566204478675</v>
      </c>
      <c r="F84" s="35">
        <f t="shared" si="41"/>
        <v>205.52457091127584</v>
      </c>
      <c r="G84" s="35">
        <f t="shared" si="41"/>
        <v>210.52209392544984</v>
      </c>
      <c r="H84" s="35">
        <f t="shared" si="41"/>
        <v>157.94118350744722</v>
      </c>
      <c r="I84" s="35">
        <f t="shared" si="41"/>
        <v>161.78052621833487</v>
      </c>
      <c r="J84" s="35">
        <f t="shared" si="41"/>
        <v>165.7131746543991</v>
      </c>
      <c r="K84" s="35">
        <f t="shared" si="41"/>
        <v>138.73356870385004</v>
      </c>
      <c r="L84" s="35">
        <f t="shared" si="41"/>
        <v>142.10510873602911</v>
      </c>
      <c r="M84" s="35">
        <f t="shared" si="41"/>
        <v>145.55855895402448</v>
      </c>
      <c r="N84" s="6"/>
      <c r="O84" s="6"/>
      <c r="P84" s="6"/>
      <c r="Q84" s="6"/>
      <c r="R84" s="6"/>
      <c r="S84" s="6"/>
      <c r="T84" s="6"/>
      <c r="U84" s="6"/>
      <c r="V84" s="6"/>
      <c r="W84" s="6"/>
      <c r="X84" s="6"/>
      <c r="Y84" s="6"/>
      <c r="Z84" s="6"/>
      <c r="AA84" s="6"/>
    </row>
    <row r="85" spans="1:27" x14ac:dyDescent="0.45">
      <c r="A85" s="2" t="s">
        <v>75</v>
      </c>
      <c r="B85" s="5">
        <f t="shared" ref="B85:M85" si="42">(1+$H$23)^-B76</f>
        <v>1</v>
      </c>
      <c r="C85" s="5">
        <f t="shared" si="42"/>
        <v>0.92592592592592582</v>
      </c>
      <c r="D85" s="5">
        <f t="shared" si="42"/>
        <v>0.85733882030178321</v>
      </c>
      <c r="E85" s="5">
        <f t="shared" si="42"/>
        <v>0.79383224102016958</v>
      </c>
      <c r="F85" s="5">
        <f t="shared" si="42"/>
        <v>0.73502985279645328</v>
      </c>
      <c r="G85" s="5">
        <f t="shared" si="42"/>
        <v>0.68058319703375303</v>
      </c>
      <c r="H85" s="5">
        <f t="shared" si="42"/>
        <v>0.63016962688310452</v>
      </c>
      <c r="I85" s="5">
        <f t="shared" si="42"/>
        <v>0.58349039526213387</v>
      </c>
      <c r="J85" s="5">
        <f t="shared" si="42"/>
        <v>0.54026888450197574</v>
      </c>
      <c r="K85" s="5">
        <f t="shared" si="42"/>
        <v>0.50024896713145905</v>
      </c>
      <c r="L85" s="5">
        <f t="shared" si="42"/>
        <v>0.46319348808468425</v>
      </c>
      <c r="M85" s="5">
        <f t="shared" si="42"/>
        <v>0.42888285933767062</v>
      </c>
      <c r="N85" s="5"/>
      <c r="O85" s="5"/>
      <c r="P85" s="5"/>
      <c r="Q85" s="5"/>
      <c r="R85" s="5"/>
      <c r="S85" s="5"/>
      <c r="T85" s="5"/>
      <c r="U85" s="5"/>
      <c r="V85" s="5"/>
      <c r="W85" s="5"/>
      <c r="X85" s="5"/>
      <c r="Y85" s="5"/>
      <c r="Z85" s="5"/>
      <c r="AA85" s="5"/>
    </row>
    <row r="86" spans="1:27" x14ac:dyDescent="0.45">
      <c r="A86" s="2" t="s">
        <v>79</v>
      </c>
      <c r="B86" s="19">
        <f>B84*B85</f>
        <v>-492.64575275245431</v>
      </c>
      <c r="C86" s="19">
        <f t="shared" ref="C86:M86" si="43">C84*C85</f>
        <v>260.00514840584691</v>
      </c>
      <c r="D86" s="19">
        <f t="shared" si="43"/>
        <v>245.53277314335347</v>
      </c>
      <c r="E86" s="19">
        <f t="shared" si="43"/>
        <v>159.27899555198866</v>
      </c>
      <c r="F86" s="19">
        <f t="shared" si="43"/>
        <v>151.06669510296931</v>
      </c>
      <c r="G86" s="19">
        <f t="shared" si="43"/>
        <v>143.27779973002268</v>
      </c>
      <c r="H86" s="19">
        <f t="shared" si="43"/>
        <v>99.529736680363953</v>
      </c>
      <c r="I86" s="19">
        <f t="shared" si="43"/>
        <v>94.397383188852231</v>
      </c>
      <c r="J86" s="19">
        <f t="shared" si="43"/>
        <v>89.529672017813283</v>
      </c>
      <c r="K86" s="19">
        <f t="shared" si="43"/>
        <v>69.401324450562299</v>
      </c>
      <c r="L86" s="19">
        <f t="shared" si="43"/>
        <v>65.822160990094659</v>
      </c>
      <c r="M86" s="19">
        <f t="shared" si="43"/>
        <v>62.427570965272913</v>
      </c>
      <c r="N86" s="6"/>
      <c r="O86" s="6"/>
      <c r="P86" s="6"/>
      <c r="Q86" s="6"/>
      <c r="R86" s="6"/>
      <c r="S86" s="6"/>
      <c r="T86" s="6"/>
      <c r="U86" s="6"/>
      <c r="V86" s="6"/>
      <c r="W86" s="6"/>
      <c r="X86" s="6"/>
      <c r="Y86" s="6"/>
      <c r="Z86" s="6"/>
      <c r="AA86" s="6"/>
    </row>
    <row r="87" spans="1:27" x14ac:dyDescent="0.45">
      <c r="A87" s="2" t="s">
        <v>80</v>
      </c>
      <c r="B87" s="19">
        <f>B84</f>
        <v>-492.64575275245431</v>
      </c>
      <c r="C87" s="6">
        <f>B87+C84</f>
        <v>-211.8401924741396</v>
      </c>
      <c r="D87" s="6">
        <f t="shared" ref="D87:M87" si="44">C87+D84</f>
        <v>74.549234120267897</v>
      </c>
      <c r="E87" s="6">
        <f t="shared" si="44"/>
        <v>275.19489616505462</v>
      </c>
      <c r="F87" s="6">
        <f t="shared" si="44"/>
        <v>480.71946707633049</v>
      </c>
      <c r="G87" s="6">
        <f t="shared" si="44"/>
        <v>691.24156100178038</v>
      </c>
      <c r="H87" s="6">
        <f t="shared" si="44"/>
        <v>849.18274450922763</v>
      </c>
      <c r="I87" s="6">
        <f t="shared" si="44"/>
        <v>1010.9632707275625</v>
      </c>
      <c r="J87" s="6">
        <f t="shared" si="44"/>
        <v>1176.6764453819617</v>
      </c>
      <c r="K87" s="6">
        <f t="shared" si="44"/>
        <v>1315.4100140858118</v>
      </c>
      <c r="L87" s="6">
        <f t="shared" si="44"/>
        <v>1457.5151228218408</v>
      </c>
      <c r="M87" s="6">
        <f t="shared" si="44"/>
        <v>1603.0736817758652</v>
      </c>
      <c r="N87" s="6"/>
      <c r="O87" s="6"/>
      <c r="P87" s="6"/>
      <c r="Q87" s="6"/>
      <c r="R87" s="6"/>
      <c r="S87" s="6"/>
      <c r="T87" s="6"/>
      <c r="U87" s="6"/>
      <c r="V87" s="6"/>
      <c r="W87" s="6"/>
      <c r="X87" s="6"/>
      <c r="Y87" s="6"/>
      <c r="Z87" s="6"/>
      <c r="AA87" s="6"/>
    </row>
    <row r="88" spans="1:27" x14ac:dyDescent="0.45">
      <c r="A88" s="2" t="s">
        <v>81</v>
      </c>
      <c r="B88" s="19">
        <f>B86</f>
        <v>-492.64575275245431</v>
      </c>
      <c r="C88" s="6">
        <f>B88+C86</f>
        <v>-232.6406043466074</v>
      </c>
      <c r="D88" s="6">
        <f t="shared" ref="D88:M88" si="45">C88+D86</f>
        <v>12.892168796746063</v>
      </c>
      <c r="E88" s="6">
        <f t="shared" si="45"/>
        <v>172.17116434873472</v>
      </c>
      <c r="F88" s="6">
        <f t="shared" si="45"/>
        <v>323.23785945170403</v>
      </c>
      <c r="G88" s="6">
        <f t="shared" si="45"/>
        <v>466.51565918172673</v>
      </c>
      <c r="H88" s="6">
        <f t="shared" si="45"/>
        <v>566.04539586209069</v>
      </c>
      <c r="I88" s="6">
        <f t="shared" si="45"/>
        <v>660.44277905094293</v>
      </c>
      <c r="J88" s="6">
        <f t="shared" si="45"/>
        <v>749.97245106875619</v>
      </c>
      <c r="K88" s="6">
        <f t="shared" si="45"/>
        <v>819.37377551931854</v>
      </c>
      <c r="L88" s="6">
        <f t="shared" si="45"/>
        <v>885.19593650941317</v>
      </c>
      <c r="M88" s="6">
        <f t="shared" si="45"/>
        <v>947.62350747468611</v>
      </c>
      <c r="N88" s="6"/>
      <c r="O88" s="6"/>
      <c r="P88" s="6"/>
      <c r="Q88" s="6"/>
      <c r="R88" s="6"/>
      <c r="S88" s="6"/>
      <c r="T88" s="6"/>
      <c r="U88" s="6"/>
      <c r="V88" s="6"/>
      <c r="W88" s="6"/>
      <c r="X88" s="6"/>
      <c r="Y88" s="6"/>
      <c r="Z88" s="6"/>
      <c r="AA88" s="6"/>
    </row>
    <row r="89" spans="1:27" x14ac:dyDescent="0.45">
      <c r="B89" s="19"/>
      <c r="C89" s="6"/>
      <c r="D89" s="6"/>
      <c r="E89" s="6"/>
      <c r="F89" s="6"/>
      <c r="G89" s="6"/>
      <c r="H89" s="6"/>
      <c r="I89" s="6"/>
      <c r="J89" s="6"/>
      <c r="K89" s="6"/>
      <c r="L89" s="6"/>
      <c r="M89" s="6"/>
      <c r="N89" s="6"/>
      <c r="O89" s="6"/>
      <c r="P89" s="6"/>
      <c r="Q89" s="6"/>
      <c r="R89" s="6"/>
      <c r="S89" s="6"/>
      <c r="T89" s="6"/>
      <c r="U89" s="6"/>
      <c r="V89" s="6"/>
      <c r="W89" s="6"/>
      <c r="X89" s="6"/>
      <c r="Y89" s="6"/>
      <c r="Z89" s="6"/>
      <c r="AA89" s="6"/>
    </row>
    <row r="90" spans="1:27" x14ac:dyDescent="0.45">
      <c r="A90" s="38" t="s">
        <v>115</v>
      </c>
      <c r="B90" s="39">
        <f>SUM(B86:M86)</f>
        <v>947.62350747468611</v>
      </c>
      <c r="C90" s="6"/>
    </row>
    <row r="91" spans="1:27" x14ac:dyDescent="0.45">
      <c r="A91" s="38" t="s">
        <v>116</v>
      </c>
      <c r="B91" s="50">
        <f>IRR(B84:M84)</f>
        <v>0.4843465976463428</v>
      </c>
      <c r="C91" s="4"/>
    </row>
    <row r="93" spans="1:27" x14ac:dyDescent="0.45">
      <c r="A93" s="1" t="s">
        <v>94</v>
      </c>
    </row>
    <row r="94" spans="1:27" x14ac:dyDescent="0.45">
      <c r="A94" s="11" t="s">
        <v>39</v>
      </c>
      <c r="B94" s="11">
        <v>0</v>
      </c>
      <c r="C94" s="11">
        <v>1</v>
      </c>
      <c r="D94" s="11">
        <v>2</v>
      </c>
      <c r="E94" s="11">
        <v>3</v>
      </c>
      <c r="F94" s="11">
        <v>4</v>
      </c>
      <c r="G94" s="11">
        <v>5</v>
      </c>
      <c r="H94" s="11">
        <v>6</v>
      </c>
      <c r="I94" s="11">
        <v>7</v>
      </c>
      <c r="J94" s="11">
        <v>8</v>
      </c>
      <c r="K94" s="11">
        <v>9</v>
      </c>
      <c r="L94" s="11">
        <v>10</v>
      </c>
      <c r="M94" s="11">
        <v>11</v>
      </c>
      <c r="N94" s="11">
        <v>12</v>
      </c>
      <c r="O94" s="11">
        <v>13</v>
      </c>
      <c r="P94" s="11">
        <v>14</v>
      </c>
      <c r="Q94" s="11">
        <v>15</v>
      </c>
      <c r="R94" s="11">
        <v>16</v>
      </c>
      <c r="S94" s="11">
        <v>17</v>
      </c>
      <c r="T94" s="11">
        <v>18</v>
      </c>
      <c r="U94" s="11">
        <v>19</v>
      </c>
      <c r="V94" s="11">
        <v>20</v>
      </c>
      <c r="W94" s="11">
        <v>21</v>
      </c>
      <c r="X94" s="11">
        <v>22</v>
      </c>
      <c r="Y94" s="11">
        <v>23</v>
      </c>
      <c r="Z94" s="11">
        <v>24</v>
      </c>
      <c r="AA94" s="11">
        <v>25</v>
      </c>
    </row>
    <row r="95" spans="1:27" x14ac:dyDescent="0.45">
      <c r="A95" s="1" t="s">
        <v>96</v>
      </c>
      <c r="B95" s="35">
        <f>B84</f>
        <v>-492.64575275245431</v>
      </c>
      <c r="C95" s="35">
        <f t="shared" ref="C95:M95" si="46">C84</f>
        <v>280.80556027831472</v>
      </c>
      <c r="D95" s="35">
        <f t="shared" si="46"/>
        <v>286.3894265944075</v>
      </c>
      <c r="E95" s="35">
        <f t="shared" si="46"/>
        <v>200.64566204478675</v>
      </c>
      <c r="F95" s="35">
        <f t="shared" si="46"/>
        <v>205.52457091127584</v>
      </c>
      <c r="G95" s="35">
        <f t="shared" si="46"/>
        <v>210.52209392544984</v>
      </c>
      <c r="H95" s="35">
        <f t="shared" si="46"/>
        <v>157.94118350744722</v>
      </c>
      <c r="I95" s="35">
        <f t="shared" si="46"/>
        <v>161.78052621833487</v>
      </c>
      <c r="J95" s="35">
        <f t="shared" si="46"/>
        <v>165.7131746543991</v>
      </c>
      <c r="K95" s="35">
        <f t="shared" si="46"/>
        <v>138.73356870385004</v>
      </c>
      <c r="L95" s="35">
        <f t="shared" si="46"/>
        <v>142.10510873602911</v>
      </c>
      <c r="M95" s="35">
        <f t="shared" si="46"/>
        <v>145.55855895402448</v>
      </c>
    </row>
    <row r="96" spans="1:27" x14ac:dyDescent="0.45">
      <c r="A96" s="3" t="s">
        <v>112</v>
      </c>
      <c r="B96" s="33">
        <f>B55</f>
        <v>0</v>
      </c>
      <c r="C96" s="33"/>
      <c r="D96" s="33"/>
      <c r="E96" s="33"/>
      <c r="F96" s="33"/>
      <c r="G96" s="33"/>
      <c r="H96" s="33"/>
      <c r="I96" s="33"/>
      <c r="J96" s="33"/>
      <c r="K96" s="33"/>
      <c r="L96" s="33"/>
      <c r="M96" s="33"/>
      <c r="N96" s="6"/>
      <c r="O96" s="6"/>
      <c r="P96" s="6"/>
      <c r="Q96" s="6"/>
      <c r="R96" s="6"/>
      <c r="S96" s="6"/>
      <c r="T96" s="6"/>
      <c r="U96" s="6"/>
      <c r="V96" s="6"/>
      <c r="W96" s="6"/>
      <c r="X96" s="6"/>
      <c r="Y96" s="6"/>
      <c r="Z96" s="6"/>
      <c r="AA96" s="6"/>
    </row>
    <row r="97" spans="1:27" x14ac:dyDescent="0.45">
      <c r="A97" s="3" t="s">
        <v>102</v>
      </c>
      <c r="B97" s="19">
        <f>B57</f>
        <v>0</v>
      </c>
      <c r="C97" s="19">
        <f t="shared" ref="C97:F97" si="47">C57</f>
        <v>0</v>
      </c>
      <c r="D97" s="19">
        <f t="shared" si="47"/>
        <v>0</v>
      </c>
      <c r="E97" s="19">
        <f t="shared" si="47"/>
        <v>0</v>
      </c>
      <c r="F97" s="19">
        <f t="shared" si="47"/>
        <v>0</v>
      </c>
      <c r="G97" s="35"/>
      <c r="H97" s="35"/>
      <c r="I97" s="35"/>
      <c r="J97" s="35"/>
      <c r="K97" s="35"/>
      <c r="L97" s="35"/>
      <c r="M97" s="35"/>
    </row>
    <row r="98" spans="1:27" x14ac:dyDescent="0.45">
      <c r="A98" s="36" t="s">
        <v>113</v>
      </c>
      <c r="B98" s="35">
        <f>B95+B96-B97</f>
        <v>-492.64575275245431</v>
      </c>
      <c r="C98" s="35">
        <f t="shared" ref="C98:M98" si="48">C95+C96-C97</f>
        <v>280.80556027831472</v>
      </c>
      <c r="D98" s="35">
        <f t="shared" si="48"/>
        <v>286.3894265944075</v>
      </c>
      <c r="E98" s="35">
        <f t="shared" si="48"/>
        <v>200.64566204478675</v>
      </c>
      <c r="F98" s="35">
        <f t="shared" si="48"/>
        <v>205.52457091127584</v>
      </c>
      <c r="G98" s="35">
        <f t="shared" si="48"/>
        <v>210.52209392544984</v>
      </c>
      <c r="H98" s="35">
        <f t="shared" si="48"/>
        <v>157.94118350744722</v>
      </c>
      <c r="I98" s="35">
        <f t="shared" si="48"/>
        <v>161.78052621833487</v>
      </c>
      <c r="J98" s="35">
        <f t="shared" si="48"/>
        <v>165.7131746543991</v>
      </c>
      <c r="K98" s="35">
        <f t="shared" si="48"/>
        <v>138.73356870385004</v>
      </c>
      <c r="L98" s="35">
        <f t="shared" si="48"/>
        <v>142.10510873602911</v>
      </c>
      <c r="M98" s="35">
        <f t="shared" si="48"/>
        <v>145.55855895402448</v>
      </c>
      <c r="N98" s="6"/>
      <c r="O98" s="6"/>
      <c r="P98" s="6"/>
      <c r="Q98" s="6"/>
      <c r="R98" s="6"/>
      <c r="S98" s="6"/>
      <c r="T98" s="6"/>
      <c r="U98" s="6"/>
      <c r="V98" s="6"/>
      <c r="W98" s="6"/>
      <c r="X98" s="6"/>
      <c r="Y98" s="6"/>
      <c r="Z98" s="6"/>
      <c r="AA98" s="6"/>
    </row>
    <row r="99" spans="1:27" x14ac:dyDescent="0.45">
      <c r="A99" s="36"/>
      <c r="B99" s="35"/>
      <c r="C99" s="35"/>
      <c r="D99" s="35"/>
      <c r="E99" s="35"/>
      <c r="F99" s="35"/>
      <c r="G99" s="35"/>
      <c r="H99" s="35"/>
      <c r="I99" s="35"/>
      <c r="J99" s="35"/>
      <c r="K99" s="35"/>
      <c r="L99" s="35"/>
      <c r="M99" s="35"/>
      <c r="N99" s="6"/>
      <c r="O99" s="6"/>
      <c r="P99" s="6"/>
      <c r="Q99" s="6"/>
      <c r="R99" s="6"/>
      <c r="S99" s="6"/>
      <c r="T99" s="6"/>
      <c r="U99" s="6"/>
      <c r="V99" s="6"/>
      <c r="W99" s="6"/>
      <c r="X99" s="6"/>
      <c r="Y99" s="6"/>
      <c r="Z99" s="6"/>
      <c r="AA99" s="6"/>
    </row>
    <row r="100" spans="1:27" x14ac:dyDescent="0.45">
      <c r="A100" s="40" t="s">
        <v>117</v>
      </c>
      <c r="B100" s="39">
        <f>NPV(B10,C98:M98)+B98</f>
        <v>947.62350747468611</v>
      </c>
      <c r="C100" s="35"/>
      <c r="D100" s="35"/>
      <c r="E100" s="35"/>
      <c r="F100" s="35"/>
      <c r="G100" s="35"/>
      <c r="H100" s="35"/>
      <c r="I100" s="35"/>
      <c r="J100" s="35"/>
      <c r="K100" s="35"/>
      <c r="L100" s="35"/>
      <c r="M100" s="35"/>
      <c r="N100" s="6"/>
      <c r="O100" s="6"/>
      <c r="P100" s="6"/>
      <c r="Q100" s="6"/>
      <c r="R100" s="6"/>
      <c r="S100" s="6"/>
      <c r="T100" s="6"/>
      <c r="U100" s="6"/>
      <c r="V100" s="6"/>
      <c r="W100" s="6"/>
      <c r="X100" s="6"/>
      <c r="Y100" s="6"/>
      <c r="Z100" s="6"/>
      <c r="AA100" s="6"/>
    </row>
    <row r="101" spans="1:27" x14ac:dyDescent="0.45">
      <c r="A101" s="38" t="s">
        <v>114</v>
      </c>
      <c r="B101" s="50">
        <f>IRR(B98:M98)</f>
        <v>0.4843465976463428</v>
      </c>
    </row>
  </sheetData>
  <mergeCells count="2">
    <mergeCell ref="A1:I1"/>
    <mergeCell ref="A2:I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7E92F-4639-476B-9A4D-CD9BC8516302}">
  <dimension ref="A1:AA105"/>
  <sheetViews>
    <sheetView topLeftCell="A88" workbookViewId="0">
      <selection activeCell="A104" sqref="A104:A105"/>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118</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3</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384</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14">
        <v>0</v>
      </c>
    </row>
    <row r="20" spans="1:15" x14ac:dyDescent="0.45">
      <c r="A20" s="3" t="s">
        <v>13</v>
      </c>
      <c r="B20" s="4">
        <v>0.55000000000000004</v>
      </c>
      <c r="E20" s="2" t="s">
        <v>36</v>
      </c>
      <c r="H20" s="14">
        <v>0.5</v>
      </c>
      <c r="I20" s="2" t="s">
        <v>98</v>
      </c>
    </row>
    <row r="21" spans="1:15" x14ac:dyDescent="0.45">
      <c r="A21" s="3" t="s">
        <v>54</v>
      </c>
      <c r="B21" s="14">
        <v>1</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0.09</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24</v>
      </c>
      <c r="B28" s="4">
        <v>0.1</v>
      </c>
      <c r="C28" s="2" t="s">
        <v>25</v>
      </c>
      <c r="E28" s="2" t="s">
        <v>57</v>
      </c>
      <c r="H28" s="14">
        <v>0.2</v>
      </c>
      <c r="N28" s="4"/>
      <c r="O28" s="9"/>
    </row>
    <row r="29" spans="1:15" ht="15.75" thickBot="1" x14ac:dyDescent="0.5">
      <c r="A29" s="12" t="s">
        <v>26</v>
      </c>
      <c r="B29" s="30">
        <v>1E-3</v>
      </c>
      <c r="C29" s="12" t="s">
        <v>27</v>
      </c>
      <c r="D29" s="12"/>
      <c r="E29" s="12" t="s">
        <v>58</v>
      </c>
      <c r="F29" s="12"/>
      <c r="G29" s="12"/>
      <c r="H29" s="18">
        <v>1000000</v>
      </c>
      <c r="I29" s="12"/>
    </row>
    <row r="30" spans="1:15" ht="15.75" thickTop="1" x14ac:dyDescent="0.45"/>
    <row r="32" spans="1:15" ht="18.75" x14ac:dyDescent="0.5">
      <c r="A32" s="27" t="s">
        <v>33</v>
      </c>
    </row>
    <row r="33" spans="1:27" x14ac:dyDescent="0.45">
      <c r="A33" s="1" t="s">
        <v>38</v>
      </c>
    </row>
    <row r="34" spans="1:27" x14ac:dyDescent="0.45">
      <c r="A34" s="11" t="s">
        <v>39</v>
      </c>
      <c r="B34" s="11">
        <v>0</v>
      </c>
      <c r="C34" s="11">
        <v>1</v>
      </c>
      <c r="D34" s="11">
        <v>2</v>
      </c>
      <c r="E34" s="11">
        <v>3</v>
      </c>
      <c r="F34" s="11">
        <v>4</v>
      </c>
      <c r="G34" s="11">
        <v>5</v>
      </c>
      <c r="H34" s="11">
        <v>6</v>
      </c>
      <c r="I34" s="11">
        <v>7</v>
      </c>
      <c r="J34" s="11">
        <v>8</v>
      </c>
      <c r="K34" s="11">
        <v>9</v>
      </c>
      <c r="L34" s="11">
        <v>10</v>
      </c>
      <c r="M34" s="11">
        <v>11</v>
      </c>
      <c r="N34" s="11">
        <v>12</v>
      </c>
      <c r="O34" s="11">
        <v>13</v>
      </c>
      <c r="P34" s="11">
        <v>14</v>
      </c>
      <c r="Q34" s="11">
        <v>15</v>
      </c>
      <c r="R34" s="11">
        <v>16</v>
      </c>
      <c r="S34" s="11">
        <v>17</v>
      </c>
      <c r="T34" s="11">
        <v>18</v>
      </c>
      <c r="U34" s="11">
        <v>19</v>
      </c>
      <c r="V34" s="11">
        <v>20</v>
      </c>
      <c r="W34" s="11">
        <v>21</v>
      </c>
      <c r="X34" s="11">
        <v>22</v>
      </c>
      <c r="Y34" s="11">
        <v>23</v>
      </c>
      <c r="Z34" s="11">
        <v>24</v>
      </c>
      <c r="AA34" s="11">
        <v>25</v>
      </c>
    </row>
    <row r="35" spans="1:27" x14ac:dyDescent="0.45">
      <c r="A35" s="2" t="s">
        <v>40</v>
      </c>
      <c r="B35" s="5">
        <f t="shared" ref="B35:AA35" si="0">(1+$B$27)^B34</f>
        <v>1</v>
      </c>
      <c r="C35" s="5">
        <f t="shared" si="0"/>
        <v>1.03</v>
      </c>
      <c r="D35" s="5">
        <f t="shared" si="0"/>
        <v>1.0609</v>
      </c>
      <c r="E35" s="5">
        <f t="shared" si="0"/>
        <v>1.092727</v>
      </c>
      <c r="F35" s="5">
        <f t="shared" si="0"/>
        <v>1.1255088099999999</v>
      </c>
      <c r="G35" s="5">
        <f t="shared" si="0"/>
        <v>1.1592740742999998</v>
      </c>
      <c r="H35" s="5">
        <f t="shared" si="0"/>
        <v>1.1940522965289999</v>
      </c>
      <c r="I35" s="5">
        <f t="shared" si="0"/>
        <v>1.22987386542487</v>
      </c>
      <c r="J35" s="5">
        <f t="shared" si="0"/>
        <v>1.2667700813876159</v>
      </c>
      <c r="K35" s="5">
        <f t="shared" si="0"/>
        <v>1.3047731838292445</v>
      </c>
      <c r="L35" s="5">
        <f t="shared" si="0"/>
        <v>1.3439163793441218</v>
      </c>
      <c r="M35" s="5">
        <f t="shared" si="0"/>
        <v>1.3842338707244455</v>
      </c>
      <c r="N35" s="5">
        <f t="shared" si="0"/>
        <v>1.4257608868461786</v>
      </c>
      <c r="O35" s="5">
        <f t="shared" si="0"/>
        <v>1.4685337134515639</v>
      </c>
      <c r="P35" s="5">
        <f t="shared" si="0"/>
        <v>1.512589724855111</v>
      </c>
      <c r="Q35" s="5">
        <f t="shared" si="0"/>
        <v>1.5579674166007644</v>
      </c>
      <c r="R35" s="5">
        <f t="shared" si="0"/>
        <v>1.6047064390987871</v>
      </c>
      <c r="S35" s="5">
        <f t="shared" si="0"/>
        <v>1.6528476322717507</v>
      </c>
      <c r="T35" s="5">
        <f t="shared" si="0"/>
        <v>1.7024330612399032</v>
      </c>
      <c r="U35" s="5">
        <f t="shared" si="0"/>
        <v>1.7535060530771003</v>
      </c>
      <c r="V35" s="5">
        <f t="shared" si="0"/>
        <v>1.8061112346694133</v>
      </c>
      <c r="W35" s="5">
        <f t="shared" si="0"/>
        <v>1.8602945717094954</v>
      </c>
      <c r="X35" s="5">
        <f t="shared" si="0"/>
        <v>1.9161034088607805</v>
      </c>
      <c r="Y35" s="5">
        <f t="shared" si="0"/>
        <v>1.973586511126604</v>
      </c>
      <c r="Z35" s="5">
        <f t="shared" si="0"/>
        <v>2.0327941064604018</v>
      </c>
      <c r="AA35" s="5">
        <f t="shared" si="0"/>
        <v>2.0937779296542138</v>
      </c>
    </row>
    <row r="36" spans="1:27" x14ac:dyDescent="0.45">
      <c r="A36" s="2" t="s">
        <v>41</v>
      </c>
      <c r="B36" s="5">
        <f t="shared" ref="B36:AA36" si="1">(1+$B$26)^B34</f>
        <v>1</v>
      </c>
      <c r="C36" s="5">
        <f t="shared" si="1"/>
        <v>1.03</v>
      </c>
      <c r="D36" s="5">
        <f t="shared" si="1"/>
        <v>1.0609</v>
      </c>
      <c r="E36" s="5">
        <f t="shared" si="1"/>
        <v>1.092727</v>
      </c>
      <c r="F36" s="5">
        <f t="shared" si="1"/>
        <v>1.1255088099999999</v>
      </c>
      <c r="G36" s="5">
        <f t="shared" si="1"/>
        <v>1.1592740742999998</v>
      </c>
      <c r="H36" s="5">
        <f t="shared" si="1"/>
        <v>1.1940522965289999</v>
      </c>
      <c r="I36" s="5">
        <f t="shared" si="1"/>
        <v>1.22987386542487</v>
      </c>
      <c r="J36" s="5">
        <f t="shared" si="1"/>
        <v>1.2667700813876159</v>
      </c>
      <c r="K36" s="5">
        <f t="shared" si="1"/>
        <v>1.3047731838292445</v>
      </c>
      <c r="L36" s="5">
        <f t="shared" si="1"/>
        <v>1.3439163793441218</v>
      </c>
      <c r="M36" s="5">
        <f t="shared" si="1"/>
        <v>1.3842338707244455</v>
      </c>
      <c r="N36" s="5">
        <f t="shared" si="1"/>
        <v>1.4257608868461786</v>
      </c>
      <c r="O36" s="5">
        <f t="shared" si="1"/>
        <v>1.4685337134515639</v>
      </c>
      <c r="P36" s="5">
        <f t="shared" si="1"/>
        <v>1.512589724855111</v>
      </c>
      <c r="Q36" s="5">
        <f t="shared" si="1"/>
        <v>1.5579674166007644</v>
      </c>
      <c r="R36" s="5">
        <f t="shared" si="1"/>
        <v>1.6047064390987871</v>
      </c>
      <c r="S36" s="5">
        <f t="shared" si="1"/>
        <v>1.6528476322717507</v>
      </c>
      <c r="T36" s="5">
        <f t="shared" si="1"/>
        <v>1.7024330612399032</v>
      </c>
      <c r="U36" s="5">
        <f t="shared" si="1"/>
        <v>1.7535060530771003</v>
      </c>
      <c r="V36" s="5">
        <f t="shared" si="1"/>
        <v>1.8061112346694133</v>
      </c>
      <c r="W36" s="5">
        <f t="shared" si="1"/>
        <v>1.8602945717094954</v>
      </c>
      <c r="X36" s="5">
        <f t="shared" si="1"/>
        <v>1.9161034088607805</v>
      </c>
      <c r="Y36" s="5">
        <f t="shared" si="1"/>
        <v>1.973586511126604</v>
      </c>
      <c r="Z36" s="5">
        <f t="shared" si="1"/>
        <v>2.0327941064604018</v>
      </c>
      <c r="AA36" s="5">
        <f t="shared" si="1"/>
        <v>2.0937779296542138</v>
      </c>
    </row>
    <row r="37" spans="1:27" x14ac:dyDescent="0.45">
      <c r="A37" s="2" t="s">
        <v>53</v>
      </c>
      <c r="B37" s="5">
        <f t="shared" ref="B37" si="2">(1-$B$17)</f>
        <v>0.9</v>
      </c>
      <c r="C37" s="5">
        <f>(1-$B$17)</f>
        <v>0.9</v>
      </c>
      <c r="D37" s="5">
        <f t="shared" ref="D37" si="3">(1-$B$17)</f>
        <v>0.9</v>
      </c>
      <c r="E37" s="5">
        <f t="shared" ref="E37" si="4">(1-$B$18)</f>
        <v>0.75</v>
      </c>
      <c r="F37" s="5">
        <f>(1-$B$18)</f>
        <v>0.75</v>
      </c>
      <c r="G37" s="5">
        <f t="shared" ref="G37" si="5">(1-$B$18)</f>
        <v>0.75</v>
      </c>
      <c r="H37" s="5">
        <f t="shared" ref="H37" si="6">(1-$B$19)</f>
        <v>0.55000000000000004</v>
      </c>
      <c r="I37" s="5">
        <f>(1-$B$19)</f>
        <v>0.55000000000000004</v>
      </c>
      <c r="J37" s="5">
        <f t="shared" ref="J37" si="7">(1-$B$19)</f>
        <v>0.55000000000000004</v>
      </c>
      <c r="K37" s="5">
        <f t="shared" ref="K37" si="8">(1-$B$20)</f>
        <v>0.44999999999999996</v>
      </c>
      <c r="L37" s="5">
        <f>(1-$B$20)</f>
        <v>0.44999999999999996</v>
      </c>
      <c r="M37" s="5">
        <f t="shared" ref="M37" si="9">(1-$B$20)</f>
        <v>0.44999999999999996</v>
      </c>
      <c r="N37" s="32">
        <f t="shared" ref="N37" si="10">(1-$B$21)</f>
        <v>0</v>
      </c>
      <c r="O37" s="32">
        <f>(1-$B$21)</f>
        <v>0</v>
      </c>
      <c r="P37" s="32">
        <f t="shared" ref="P37:AA37" si="11">(1-$B$21)</f>
        <v>0</v>
      </c>
      <c r="Q37" s="32">
        <f t="shared" si="11"/>
        <v>0</v>
      </c>
      <c r="R37" s="32">
        <f t="shared" si="11"/>
        <v>0</v>
      </c>
      <c r="S37" s="32">
        <f t="shared" si="11"/>
        <v>0</v>
      </c>
      <c r="T37" s="32">
        <f t="shared" si="11"/>
        <v>0</v>
      </c>
      <c r="U37" s="32">
        <f t="shared" si="11"/>
        <v>0</v>
      </c>
      <c r="V37" s="32">
        <f t="shared" si="11"/>
        <v>0</v>
      </c>
      <c r="W37" s="32">
        <f t="shared" si="11"/>
        <v>0</v>
      </c>
      <c r="X37" s="32">
        <f t="shared" si="11"/>
        <v>0</v>
      </c>
      <c r="Y37" s="32">
        <f t="shared" si="11"/>
        <v>0</v>
      </c>
      <c r="Z37" s="32">
        <f t="shared" si="11"/>
        <v>0</v>
      </c>
      <c r="AA37" s="32">
        <f t="shared" si="11"/>
        <v>0</v>
      </c>
    </row>
    <row r="38" spans="1:27" x14ac:dyDescent="0.45">
      <c r="A38" s="2" t="s">
        <v>42</v>
      </c>
      <c r="B38" s="5">
        <f>1-B23</f>
        <v>0.99</v>
      </c>
      <c r="C38" s="5">
        <f t="shared" ref="C38:AA38" si="12">B38*(1-$B$24)</f>
        <v>0.98455500000000007</v>
      </c>
      <c r="D38" s="5">
        <f t="shared" si="12"/>
        <v>0.97913994750000011</v>
      </c>
      <c r="E38" s="5">
        <f t="shared" si="12"/>
        <v>0.97375467778875013</v>
      </c>
      <c r="F38" s="5">
        <f t="shared" si="12"/>
        <v>0.96839902706091208</v>
      </c>
      <c r="G38" s="5">
        <f t="shared" si="12"/>
        <v>0.96307283241207708</v>
      </c>
      <c r="H38" s="5">
        <f t="shared" si="12"/>
        <v>0.95777593183381071</v>
      </c>
      <c r="I38" s="5">
        <f t="shared" si="12"/>
        <v>0.95250816420872475</v>
      </c>
      <c r="J38" s="5">
        <f t="shared" si="12"/>
        <v>0.94726936930557681</v>
      </c>
      <c r="K38" s="5">
        <f t="shared" si="12"/>
        <v>0.94205938777439624</v>
      </c>
      <c r="L38" s="5">
        <f t="shared" si="12"/>
        <v>0.93687806114163708</v>
      </c>
      <c r="M38" s="5">
        <f t="shared" si="12"/>
        <v>0.93172523180535816</v>
      </c>
      <c r="N38" s="5">
        <f t="shared" si="12"/>
        <v>0.92660074303042872</v>
      </c>
      <c r="O38" s="5">
        <f t="shared" si="12"/>
        <v>0.92150443894376144</v>
      </c>
      <c r="P38" s="5">
        <f t="shared" si="12"/>
        <v>0.91643616452957077</v>
      </c>
      <c r="Q38" s="5">
        <f t="shared" si="12"/>
        <v>0.91139576562465818</v>
      </c>
      <c r="R38" s="5">
        <f t="shared" si="12"/>
        <v>0.90638308891372266</v>
      </c>
      <c r="S38" s="5">
        <f t="shared" si="12"/>
        <v>0.90139798192469722</v>
      </c>
      <c r="T38" s="5">
        <f t="shared" si="12"/>
        <v>0.89644029302411143</v>
      </c>
      <c r="U38" s="5">
        <f t="shared" si="12"/>
        <v>0.89150987141247884</v>
      </c>
      <c r="V38" s="5">
        <f t="shared" si="12"/>
        <v>0.8866065671197102</v>
      </c>
      <c r="W38" s="5">
        <f t="shared" si="12"/>
        <v>0.88173023100055181</v>
      </c>
      <c r="X38" s="5">
        <f t="shared" si="12"/>
        <v>0.8768807147300488</v>
      </c>
      <c r="Y38" s="5">
        <f t="shared" si="12"/>
        <v>0.87205787079903363</v>
      </c>
      <c r="Z38" s="5">
        <f t="shared" si="12"/>
        <v>0.86726155250963899</v>
      </c>
      <c r="AA38" s="5">
        <f t="shared" si="12"/>
        <v>0.86249161397083607</v>
      </c>
    </row>
    <row r="40" spans="1:27" x14ac:dyDescent="0.45">
      <c r="A40" s="1" t="s">
        <v>44</v>
      </c>
    </row>
    <row r="41" spans="1:27" x14ac:dyDescent="0.45">
      <c r="A41" s="11" t="s">
        <v>39</v>
      </c>
      <c r="B41" s="11">
        <v>0</v>
      </c>
      <c r="C41" s="11">
        <v>1</v>
      </c>
      <c r="D41" s="11">
        <v>2</v>
      </c>
      <c r="E41" s="11">
        <v>3</v>
      </c>
      <c r="F41" s="11">
        <v>4</v>
      </c>
      <c r="G41" s="11">
        <v>5</v>
      </c>
      <c r="H41" s="11">
        <v>6</v>
      </c>
      <c r="I41" s="11">
        <v>7</v>
      </c>
      <c r="J41" s="11">
        <v>8</v>
      </c>
      <c r="K41" s="11">
        <v>9</v>
      </c>
      <c r="L41" s="11">
        <v>10</v>
      </c>
      <c r="M41" s="11">
        <v>11</v>
      </c>
      <c r="N41" s="11">
        <v>12</v>
      </c>
      <c r="O41" s="11">
        <v>13</v>
      </c>
      <c r="P41" s="11">
        <v>14</v>
      </c>
      <c r="Q41" s="11">
        <v>15</v>
      </c>
      <c r="R41" s="11">
        <v>16</v>
      </c>
      <c r="S41" s="11">
        <v>17</v>
      </c>
      <c r="T41" s="11">
        <v>18</v>
      </c>
      <c r="U41" s="11">
        <v>19</v>
      </c>
      <c r="V41" s="11">
        <v>20</v>
      </c>
      <c r="W41" s="11">
        <v>21</v>
      </c>
      <c r="X41" s="11">
        <v>22</v>
      </c>
      <c r="Y41" s="11">
        <v>23</v>
      </c>
      <c r="Z41" s="11">
        <v>24</v>
      </c>
      <c r="AA41" s="11">
        <v>25</v>
      </c>
    </row>
    <row r="42" spans="1:27" x14ac:dyDescent="0.45">
      <c r="A42" s="2" t="s">
        <v>48</v>
      </c>
      <c r="B42" s="6">
        <f t="shared" ref="B42:AA42" si="13">$H$25*$B$25*B38</f>
        <v>89801.91</v>
      </c>
      <c r="C42" s="6">
        <f t="shared" si="13"/>
        <v>89307.999495000011</v>
      </c>
      <c r="D42" s="6">
        <f t="shared" si="13"/>
        <v>88816.805497777503</v>
      </c>
      <c r="E42" s="6">
        <f t="shared" si="13"/>
        <v>88328.313067539741</v>
      </c>
      <c r="F42" s="6">
        <f t="shared" si="13"/>
        <v>87842.507345668273</v>
      </c>
      <c r="G42" s="6">
        <f t="shared" si="13"/>
        <v>87359.373555267099</v>
      </c>
      <c r="H42" s="6">
        <f t="shared" si="13"/>
        <v>86878.897000713143</v>
      </c>
      <c r="I42" s="6">
        <f t="shared" si="13"/>
        <v>86401.063067209208</v>
      </c>
      <c r="J42" s="6">
        <f t="shared" si="13"/>
        <v>85925.857220339574</v>
      </c>
      <c r="K42" s="6">
        <f t="shared" si="13"/>
        <v>85453.265005627705</v>
      </c>
      <c r="L42" s="6">
        <f t="shared" si="13"/>
        <v>84983.272048096755</v>
      </c>
      <c r="M42" s="6">
        <f t="shared" si="13"/>
        <v>84515.864051832235</v>
      </c>
      <c r="N42" s="6">
        <f t="shared" si="13"/>
        <v>84051.026799547166</v>
      </c>
      <c r="O42" s="6">
        <f t="shared" si="13"/>
        <v>83588.746152149659</v>
      </c>
      <c r="P42" s="6">
        <f t="shared" si="13"/>
        <v>83129.00804831284</v>
      </c>
      <c r="Q42" s="6">
        <f t="shared" si="13"/>
        <v>82671.798504047125</v>
      </c>
      <c r="R42" s="6">
        <f t="shared" si="13"/>
        <v>82217.103612274863</v>
      </c>
      <c r="S42" s="6">
        <f t="shared" si="13"/>
        <v>81764.90954240736</v>
      </c>
      <c r="T42" s="6">
        <f t="shared" si="13"/>
        <v>81315.202539924125</v>
      </c>
      <c r="U42" s="6">
        <f t="shared" si="13"/>
        <v>80867.968925954541</v>
      </c>
      <c r="V42" s="6">
        <f t="shared" si="13"/>
        <v>80423.195096861789</v>
      </c>
      <c r="W42" s="6">
        <f t="shared" si="13"/>
        <v>79980.86752382906</v>
      </c>
      <c r="X42" s="6">
        <f t="shared" si="13"/>
        <v>79540.972752447997</v>
      </c>
      <c r="Y42" s="6">
        <f t="shared" si="13"/>
        <v>79103.497402309542</v>
      </c>
      <c r="Z42" s="6">
        <f t="shared" si="13"/>
        <v>78668.428166596845</v>
      </c>
      <c r="AA42" s="6">
        <f t="shared" si="13"/>
        <v>78235.751811680573</v>
      </c>
    </row>
    <row r="43" spans="1:27" x14ac:dyDescent="0.45">
      <c r="A43" s="2" t="s">
        <v>49</v>
      </c>
      <c r="B43" s="6">
        <f t="shared" ref="B43:AA43" si="14">B42*$H$26</f>
        <v>72899.926939266399</v>
      </c>
      <c r="C43" s="6">
        <f t="shared" si="14"/>
        <v>72498.977341100443</v>
      </c>
      <c r="D43" s="6">
        <f t="shared" si="14"/>
        <v>72100.232965724383</v>
      </c>
      <c r="E43" s="6">
        <f t="shared" si="14"/>
        <v>71703.681684412906</v>
      </c>
      <c r="F43" s="6">
        <f t="shared" si="14"/>
        <v>71309.311435148644</v>
      </c>
      <c r="G43" s="6">
        <f t="shared" si="14"/>
        <v>70917.110222255316</v>
      </c>
      <c r="H43" s="6">
        <f t="shared" si="14"/>
        <v>70527.066116032933</v>
      </c>
      <c r="I43" s="6">
        <f t="shared" si="14"/>
        <v>70139.167252394735</v>
      </c>
      <c r="J43" s="6">
        <f t="shared" si="14"/>
        <v>69753.401832506584</v>
      </c>
      <c r="K43" s="6">
        <f t="shared" si="14"/>
        <v>69369.758122427796</v>
      </c>
      <c r="L43" s="6">
        <f t="shared" si="14"/>
        <v>68988.224452754439</v>
      </c>
      <c r="M43" s="6">
        <f t="shared" si="14"/>
        <v>68608.789218264297</v>
      </c>
      <c r="N43" s="6">
        <f t="shared" si="14"/>
        <v>68231.440877563859</v>
      </c>
      <c r="O43" s="6">
        <f t="shared" si="14"/>
        <v>67856.167952737262</v>
      </c>
      <c r="P43" s="6">
        <f t="shared" si="14"/>
        <v>67482.959028997197</v>
      </c>
      <c r="Q43" s="6">
        <f t="shared" si="14"/>
        <v>67111.802754337725</v>
      </c>
      <c r="R43" s="6">
        <f t="shared" si="14"/>
        <v>66742.68783918886</v>
      </c>
      <c r="S43" s="6">
        <f t="shared" si="14"/>
        <v>66375.603056073334</v>
      </c>
      <c r="T43" s="6">
        <f t="shared" si="14"/>
        <v>66010.53723926493</v>
      </c>
      <c r="U43" s="6">
        <f t="shared" si="14"/>
        <v>65647.479284448971</v>
      </c>
      <c r="V43" s="6">
        <f t="shared" si="14"/>
        <v>65286.418148384502</v>
      </c>
      <c r="W43" s="6">
        <f t="shared" si="14"/>
        <v>64927.342848568398</v>
      </c>
      <c r="X43" s="6">
        <f t="shared" si="14"/>
        <v>64570.242462901268</v>
      </c>
      <c r="Y43" s="6">
        <f t="shared" si="14"/>
        <v>64215.106129355321</v>
      </c>
      <c r="Z43" s="6">
        <f t="shared" si="14"/>
        <v>63861.923045643867</v>
      </c>
      <c r="AA43" s="6">
        <f t="shared" si="14"/>
        <v>63510.682468892839</v>
      </c>
    </row>
    <row r="44" spans="1:27" x14ac:dyDescent="0.45">
      <c r="A44" s="2" t="s">
        <v>50</v>
      </c>
      <c r="B44" s="6">
        <f>B42-B43</f>
        <v>16901.983060733604</v>
      </c>
      <c r="C44" s="6">
        <f t="shared" ref="C44:AA44" si="15">C42-C43</f>
        <v>16809.022153899568</v>
      </c>
      <c r="D44" s="6">
        <f t="shared" si="15"/>
        <v>16716.57253205312</v>
      </c>
      <c r="E44" s="6">
        <f t="shared" si="15"/>
        <v>16624.631383126834</v>
      </c>
      <c r="F44" s="6">
        <f t="shared" si="15"/>
        <v>16533.195910519629</v>
      </c>
      <c r="G44" s="6">
        <f t="shared" si="15"/>
        <v>16442.263333011782</v>
      </c>
      <c r="H44" s="6">
        <f t="shared" si="15"/>
        <v>16351.83088468021</v>
      </c>
      <c r="I44" s="6">
        <f t="shared" si="15"/>
        <v>16261.895814814474</v>
      </c>
      <c r="J44" s="6">
        <f t="shared" si="15"/>
        <v>16172.45538783299</v>
      </c>
      <c r="K44" s="6">
        <f t="shared" si="15"/>
        <v>16083.506883199909</v>
      </c>
      <c r="L44" s="6">
        <f t="shared" si="15"/>
        <v>15995.047595342316</v>
      </c>
      <c r="M44" s="6">
        <f t="shared" si="15"/>
        <v>15907.074833567938</v>
      </c>
      <c r="N44" s="6">
        <f t="shared" si="15"/>
        <v>15819.585921983307</v>
      </c>
      <c r="O44" s="6">
        <f t="shared" si="15"/>
        <v>15732.578199412397</v>
      </c>
      <c r="P44" s="6">
        <f t="shared" si="15"/>
        <v>15646.049019315644</v>
      </c>
      <c r="Q44" s="6">
        <f t="shared" si="15"/>
        <v>15559.9957497094</v>
      </c>
      <c r="R44" s="6">
        <f t="shared" si="15"/>
        <v>15474.415773086002</v>
      </c>
      <c r="S44" s="6">
        <f t="shared" si="15"/>
        <v>15389.306486334026</v>
      </c>
      <c r="T44" s="6">
        <f t="shared" si="15"/>
        <v>15304.665300659195</v>
      </c>
      <c r="U44" s="6">
        <f t="shared" si="15"/>
        <v>15220.48964150557</v>
      </c>
      <c r="V44" s="6">
        <f t="shared" si="15"/>
        <v>15136.776948477287</v>
      </c>
      <c r="W44" s="6">
        <f t="shared" si="15"/>
        <v>15053.524675260662</v>
      </c>
      <c r="X44" s="6">
        <f t="shared" si="15"/>
        <v>14970.730289546729</v>
      </c>
      <c r="Y44" s="6">
        <f t="shared" si="15"/>
        <v>14888.391272954221</v>
      </c>
      <c r="Z44" s="6">
        <f t="shared" si="15"/>
        <v>14806.505120952977</v>
      </c>
      <c r="AA44" s="6">
        <f t="shared" si="15"/>
        <v>14725.069342787734</v>
      </c>
    </row>
    <row r="46" spans="1:27" x14ac:dyDescent="0.45">
      <c r="A46" s="1" t="s">
        <v>60</v>
      </c>
    </row>
    <row r="47" spans="1:27" x14ac:dyDescent="0.45">
      <c r="A47" s="11" t="s">
        <v>39</v>
      </c>
      <c r="B47" s="11">
        <v>0</v>
      </c>
      <c r="C47" s="11">
        <v>1</v>
      </c>
      <c r="D47" s="11">
        <v>2</v>
      </c>
      <c r="E47" s="11">
        <v>3</v>
      </c>
      <c r="F47" s="11">
        <v>4</v>
      </c>
      <c r="G47" s="11">
        <v>5</v>
      </c>
      <c r="H47" s="11">
        <v>6</v>
      </c>
      <c r="I47" s="11">
        <v>7</v>
      </c>
      <c r="J47" s="11">
        <v>8</v>
      </c>
      <c r="K47" s="11">
        <v>9</v>
      </c>
      <c r="L47" s="11">
        <v>10</v>
      </c>
      <c r="M47" s="11">
        <v>11</v>
      </c>
      <c r="N47" s="11">
        <v>12</v>
      </c>
      <c r="O47" s="11">
        <v>13</v>
      </c>
      <c r="P47" s="11">
        <v>14</v>
      </c>
      <c r="Q47" s="11">
        <v>15</v>
      </c>
      <c r="R47" s="11">
        <v>16</v>
      </c>
      <c r="S47" s="11">
        <v>17</v>
      </c>
      <c r="T47" s="11">
        <v>18</v>
      </c>
      <c r="U47" s="11">
        <v>19</v>
      </c>
      <c r="V47" s="11">
        <v>20</v>
      </c>
      <c r="W47" s="11">
        <v>21</v>
      </c>
      <c r="X47" s="11">
        <v>22</v>
      </c>
      <c r="Y47" s="11">
        <v>23</v>
      </c>
      <c r="Z47" s="11">
        <v>24</v>
      </c>
      <c r="AA47" s="11">
        <v>25</v>
      </c>
    </row>
    <row r="48" spans="1:27" x14ac:dyDescent="0.45">
      <c r="A48" s="2" t="s">
        <v>51</v>
      </c>
      <c r="B48" s="2">
        <f>B14</f>
        <v>3501</v>
      </c>
      <c r="C48" s="6">
        <f>$B$14*C36</f>
        <v>3606.03</v>
      </c>
      <c r="D48" s="6">
        <f t="shared" ref="D48:AA48" si="16">$B$14*D36</f>
        <v>3714.2109</v>
      </c>
      <c r="E48" s="6">
        <f t="shared" si="16"/>
        <v>3825.6372270000002</v>
      </c>
      <c r="F48" s="6">
        <f t="shared" si="16"/>
        <v>3940.4063438099997</v>
      </c>
      <c r="G48" s="6">
        <f t="shared" si="16"/>
        <v>4058.6185341242995</v>
      </c>
      <c r="H48" s="6">
        <f t="shared" si="16"/>
        <v>4180.3770901480284</v>
      </c>
      <c r="I48" s="6">
        <f t="shared" si="16"/>
        <v>4305.7884028524695</v>
      </c>
      <c r="J48" s="6">
        <f t="shared" si="16"/>
        <v>4434.9620549380434</v>
      </c>
      <c r="K48" s="6">
        <f t="shared" si="16"/>
        <v>4568.010916586185</v>
      </c>
      <c r="L48" s="6">
        <f t="shared" si="16"/>
        <v>4705.0512440837701</v>
      </c>
      <c r="M48" s="6">
        <f t="shared" si="16"/>
        <v>4846.202781406284</v>
      </c>
      <c r="N48" s="6">
        <f t="shared" si="16"/>
        <v>4991.5888648484715</v>
      </c>
      <c r="O48" s="6">
        <f t="shared" si="16"/>
        <v>5141.3365307939257</v>
      </c>
      <c r="P48" s="6">
        <f t="shared" si="16"/>
        <v>5295.5766267177432</v>
      </c>
      <c r="Q48" s="6">
        <f t="shared" si="16"/>
        <v>5454.4439255192765</v>
      </c>
      <c r="R48" s="6">
        <f t="shared" si="16"/>
        <v>5618.0772432848535</v>
      </c>
      <c r="S48" s="6">
        <f t="shared" si="16"/>
        <v>5786.6195605833991</v>
      </c>
      <c r="T48" s="6">
        <f t="shared" si="16"/>
        <v>5960.2181474009012</v>
      </c>
      <c r="U48" s="6">
        <f t="shared" si="16"/>
        <v>6139.0246918229277</v>
      </c>
      <c r="V48" s="6">
        <f t="shared" si="16"/>
        <v>6323.195432577616</v>
      </c>
      <c r="W48" s="6">
        <f t="shared" si="16"/>
        <v>6512.8912955549431</v>
      </c>
      <c r="X48" s="6">
        <f t="shared" si="16"/>
        <v>6708.2780344215926</v>
      </c>
      <c r="Y48" s="6">
        <f t="shared" si="16"/>
        <v>6909.5263754542402</v>
      </c>
      <c r="Z48" s="6">
        <f t="shared" si="16"/>
        <v>7116.8121667178666</v>
      </c>
      <c r="AA48" s="6">
        <f t="shared" si="16"/>
        <v>7330.3165317194025</v>
      </c>
    </row>
    <row r="49" spans="1:27" x14ac:dyDescent="0.45">
      <c r="A49" s="2" t="s">
        <v>52</v>
      </c>
      <c r="B49" s="2">
        <f>B15</f>
        <v>5422</v>
      </c>
      <c r="C49" s="6">
        <f>$B$15*C36</f>
        <v>5584.66</v>
      </c>
      <c r="D49" s="6">
        <f t="shared" ref="D49:AA49" si="17">$B$15*D36</f>
        <v>5752.1997999999994</v>
      </c>
      <c r="E49" s="6">
        <f t="shared" si="17"/>
        <v>5924.7657939999999</v>
      </c>
      <c r="F49" s="6">
        <f t="shared" si="17"/>
        <v>6102.5087678199998</v>
      </c>
      <c r="G49" s="6">
        <f t="shared" si="17"/>
        <v>6285.5840308545994</v>
      </c>
      <c r="H49" s="6">
        <f t="shared" si="17"/>
        <v>6474.1515517802372</v>
      </c>
      <c r="I49" s="6">
        <f t="shared" si="17"/>
        <v>6668.3760983336451</v>
      </c>
      <c r="J49" s="6">
        <f t="shared" si="17"/>
        <v>6868.4273812836536</v>
      </c>
      <c r="K49" s="6">
        <f t="shared" si="17"/>
        <v>7074.4802027221631</v>
      </c>
      <c r="L49" s="6">
        <f t="shared" si="17"/>
        <v>7286.714608803828</v>
      </c>
      <c r="M49" s="6">
        <f t="shared" si="17"/>
        <v>7505.3160470679431</v>
      </c>
      <c r="N49" s="6">
        <f t="shared" si="17"/>
        <v>7730.4755284799803</v>
      </c>
      <c r="O49" s="6">
        <f t="shared" si="17"/>
        <v>7962.38979433438</v>
      </c>
      <c r="P49" s="6">
        <f t="shared" si="17"/>
        <v>8201.2614881644113</v>
      </c>
      <c r="Q49" s="6">
        <f t="shared" si="17"/>
        <v>8447.2993328093453</v>
      </c>
      <c r="R49" s="6">
        <f t="shared" si="17"/>
        <v>8700.7183127936241</v>
      </c>
      <c r="S49" s="6">
        <f t="shared" si="17"/>
        <v>8961.7398621774319</v>
      </c>
      <c r="T49" s="6">
        <f t="shared" si="17"/>
        <v>9230.5920580427555</v>
      </c>
      <c r="U49" s="6">
        <f t="shared" si="17"/>
        <v>9507.509819784038</v>
      </c>
      <c r="V49" s="6">
        <f t="shared" si="17"/>
        <v>9792.7351143775595</v>
      </c>
      <c r="W49" s="6">
        <f t="shared" si="17"/>
        <v>10086.517167808885</v>
      </c>
      <c r="X49" s="6">
        <f t="shared" si="17"/>
        <v>10389.112682843152</v>
      </c>
      <c r="Y49" s="6">
        <f t="shared" si="17"/>
        <v>10700.786063328447</v>
      </c>
      <c r="Z49" s="6">
        <f t="shared" si="17"/>
        <v>11021.809645228299</v>
      </c>
      <c r="AA49" s="6">
        <f t="shared" si="17"/>
        <v>11352.463934585146</v>
      </c>
    </row>
    <row r="50" spans="1:27" x14ac:dyDescent="0.45">
      <c r="A50" s="2" t="s">
        <v>55</v>
      </c>
      <c r="B50" s="19">
        <f t="shared" ref="B50:AA50" si="18">B43*B48*B37/$H$29</f>
        <v>229.70037979293448</v>
      </c>
      <c r="C50" s="19">
        <f t="shared" si="18"/>
        <v>235.29013853519558</v>
      </c>
      <c r="D50" s="19">
        <f t="shared" si="18"/>
        <v>241.01592405644956</v>
      </c>
      <c r="E50" s="19">
        <f t="shared" si="18"/>
        <v>205.73420547363608</v>
      </c>
      <c r="F50" s="19">
        <f t="shared" si="18"/>
        <v>210.74074736383702</v>
      </c>
      <c r="G50" s="19">
        <f t="shared" si="18"/>
        <v>215.86912345093589</v>
      </c>
      <c r="H50" s="19">
        <f t="shared" si="18"/>
        <v>162.15635228475068</v>
      </c>
      <c r="I50" s="19">
        <f t="shared" si="18"/>
        <v>166.10242711760003</v>
      </c>
      <c r="J50" s="19">
        <f t="shared" si="18"/>
        <v>170.1445296815069</v>
      </c>
      <c r="K50" s="19">
        <f t="shared" si="18"/>
        <v>142.59681557288701</v>
      </c>
      <c r="L50" s="19">
        <f t="shared" si="18"/>
        <v>146.06690907985319</v>
      </c>
      <c r="M50" s="19">
        <f t="shared" si="18"/>
        <v>149.62144731231146</v>
      </c>
      <c r="N50" s="19">
        <f t="shared" si="18"/>
        <v>0</v>
      </c>
      <c r="O50" s="19">
        <f t="shared" si="18"/>
        <v>0</v>
      </c>
      <c r="P50" s="19">
        <f t="shared" si="18"/>
        <v>0</v>
      </c>
      <c r="Q50" s="19">
        <f t="shared" si="18"/>
        <v>0</v>
      </c>
      <c r="R50" s="19">
        <f t="shared" si="18"/>
        <v>0</v>
      </c>
      <c r="S50" s="19">
        <f t="shared" si="18"/>
        <v>0</v>
      </c>
      <c r="T50" s="19">
        <f t="shared" si="18"/>
        <v>0</v>
      </c>
      <c r="U50" s="19">
        <f t="shared" si="18"/>
        <v>0</v>
      </c>
      <c r="V50" s="19">
        <f t="shared" si="18"/>
        <v>0</v>
      </c>
      <c r="W50" s="19">
        <f t="shared" si="18"/>
        <v>0</v>
      </c>
      <c r="X50" s="19">
        <f t="shared" si="18"/>
        <v>0</v>
      </c>
      <c r="Y50" s="19">
        <f t="shared" si="18"/>
        <v>0</v>
      </c>
      <c r="Z50" s="19">
        <f t="shared" si="18"/>
        <v>0</v>
      </c>
      <c r="AA50" s="19">
        <f t="shared" si="18"/>
        <v>0</v>
      </c>
    </row>
    <row r="51" spans="1:27" x14ac:dyDescent="0.45">
      <c r="A51" s="2" t="s">
        <v>56</v>
      </c>
      <c r="B51" s="19">
        <f t="shared" ref="B51:AA51" si="19">B44*B49*B37/$H$29</f>
        <v>82.478296939767858</v>
      </c>
      <c r="C51" s="19">
        <f t="shared" si="19"/>
        <v>84.485406295797091</v>
      </c>
      <c r="D51" s="19">
        <f t="shared" si="19"/>
        <v>86.541358658005294</v>
      </c>
      <c r="E51" s="19">
        <f t="shared" si="19"/>
        <v>73.872785517456592</v>
      </c>
      <c r="F51" s="19">
        <f t="shared" si="19"/>
        <v>75.670479753023869</v>
      </c>
      <c r="G51" s="19">
        <f t="shared" si="19"/>
        <v>77.511920877813722</v>
      </c>
      <c r="H51" s="19">
        <f t="shared" si="19"/>
        <v>58.225327213075211</v>
      </c>
      <c r="I51" s="19">
        <f t="shared" si="19"/>
        <v>59.642240550805425</v>
      </c>
      <c r="J51" s="19">
        <f t="shared" si="19"/>
        <v>61.09363447460926</v>
      </c>
      <c r="K51" s="19">
        <f t="shared" si="19"/>
        <v>51.20210296599452</v>
      </c>
      <c r="L51" s="19">
        <f t="shared" si="19"/>
        <v>52.448106141672021</v>
      </c>
      <c r="M51" s="19">
        <f t="shared" si="19"/>
        <v>53.724430804629634</v>
      </c>
      <c r="N51" s="19">
        <f t="shared" si="19"/>
        <v>0</v>
      </c>
      <c r="O51" s="19">
        <f t="shared" si="19"/>
        <v>0</v>
      </c>
      <c r="P51" s="19">
        <f t="shared" si="19"/>
        <v>0</v>
      </c>
      <c r="Q51" s="19">
        <f t="shared" si="19"/>
        <v>0</v>
      </c>
      <c r="R51" s="19">
        <f t="shared" si="19"/>
        <v>0</v>
      </c>
      <c r="S51" s="19">
        <f t="shared" si="19"/>
        <v>0</v>
      </c>
      <c r="T51" s="19">
        <f t="shared" si="19"/>
        <v>0</v>
      </c>
      <c r="U51" s="19">
        <f t="shared" si="19"/>
        <v>0</v>
      </c>
      <c r="V51" s="19">
        <f t="shared" si="19"/>
        <v>0</v>
      </c>
      <c r="W51" s="19">
        <f t="shared" si="19"/>
        <v>0</v>
      </c>
      <c r="X51" s="19">
        <f t="shared" si="19"/>
        <v>0</v>
      </c>
      <c r="Y51" s="19">
        <f t="shared" si="19"/>
        <v>0</v>
      </c>
      <c r="Z51" s="19">
        <f t="shared" si="19"/>
        <v>0</v>
      </c>
      <c r="AA51" s="19">
        <f t="shared" si="19"/>
        <v>0</v>
      </c>
    </row>
    <row r="52" spans="1:27" x14ac:dyDescent="0.45">
      <c r="A52" s="2" t="s">
        <v>59</v>
      </c>
      <c r="B52" s="19">
        <f>B50+B51</f>
        <v>312.17867673270234</v>
      </c>
      <c r="C52" s="19">
        <f t="shared" ref="C52:AA52" si="20">C50+C51</f>
        <v>319.77554483099266</v>
      </c>
      <c r="D52" s="19">
        <f t="shared" si="20"/>
        <v>327.55728271445486</v>
      </c>
      <c r="E52" s="19">
        <f t="shared" si="20"/>
        <v>279.60699099109269</v>
      </c>
      <c r="F52" s="19">
        <f t="shared" si="20"/>
        <v>286.41122711686091</v>
      </c>
      <c r="G52" s="19">
        <f t="shared" si="20"/>
        <v>293.38104432874962</v>
      </c>
      <c r="H52" s="19">
        <f t="shared" si="20"/>
        <v>220.3816794978259</v>
      </c>
      <c r="I52" s="19">
        <f t="shared" si="20"/>
        <v>225.74466766840544</v>
      </c>
      <c r="J52" s="19">
        <f t="shared" si="20"/>
        <v>231.23816415611617</v>
      </c>
      <c r="K52" s="19">
        <f t="shared" si="20"/>
        <v>193.79891853888154</v>
      </c>
      <c r="L52" s="19">
        <f t="shared" si="20"/>
        <v>198.5150152215252</v>
      </c>
      <c r="M52" s="19">
        <f t="shared" si="20"/>
        <v>203.34587811694109</v>
      </c>
      <c r="N52" s="19">
        <f t="shared" si="20"/>
        <v>0</v>
      </c>
      <c r="O52" s="19">
        <f t="shared" si="20"/>
        <v>0</v>
      </c>
      <c r="P52" s="19">
        <f t="shared" si="20"/>
        <v>0</v>
      </c>
      <c r="Q52" s="19">
        <f t="shared" si="20"/>
        <v>0</v>
      </c>
      <c r="R52" s="19">
        <f t="shared" si="20"/>
        <v>0</v>
      </c>
      <c r="S52" s="19">
        <f t="shared" si="20"/>
        <v>0</v>
      </c>
      <c r="T52" s="19">
        <f t="shared" si="20"/>
        <v>0</v>
      </c>
      <c r="U52" s="19">
        <f t="shared" si="20"/>
        <v>0</v>
      </c>
      <c r="V52" s="19">
        <f t="shared" si="20"/>
        <v>0</v>
      </c>
      <c r="W52" s="19">
        <f t="shared" si="20"/>
        <v>0</v>
      </c>
      <c r="X52" s="19">
        <f t="shared" si="20"/>
        <v>0</v>
      </c>
      <c r="Y52" s="19">
        <f t="shared" si="20"/>
        <v>0</v>
      </c>
      <c r="Z52" s="19">
        <f t="shared" si="20"/>
        <v>0</v>
      </c>
      <c r="AA52" s="19">
        <f t="shared" si="20"/>
        <v>0</v>
      </c>
    </row>
    <row r="53" spans="1:27" x14ac:dyDescent="0.4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x14ac:dyDescent="0.45">
      <c r="A54" s="1" t="s">
        <v>99</v>
      </c>
    </row>
    <row r="55" spans="1:27" x14ac:dyDescent="0.45">
      <c r="A55" s="11" t="s">
        <v>39</v>
      </c>
      <c r="B55" s="11">
        <v>0</v>
      </c>
      <c r="C55" s="11">
        <v>1</v>
      </c>
      <c r="D55" s="11">
        <v>2</v>
      </c>
      <c r="E55" s="11">
        <v>3</v>
      </c>
      <c r="F55" s="11">
        <v>4</v>
      </c>
      <c r="G55" s="11">
        <v>5</v>
      </c>
      <c r="H55" s="11">
        <v>6</v>
      </c>
      <c r="I55" s="11">
        <v>7</v>
      </c>
      <c r="J55" s="11">
        <v>8</v>
      </c>
      <c r="K55" s="11">
        <v>9</v>
      </c>
      <c r="L55" s="11">
        <v>10</v>
      </c>
      <c r="M55" s="11">
        <v>11</v>
      </c>
      <c r="N55" s="11">
        <v>12</v>
      </c>
      <c r="O55" s="11">
        <v>13</v>
      </c>
      <c r="P55" s="11">
        <v>14</v>
      </c>
      <c r="Q55" s="11">
        <v>15</v>
      </c>
      <c r="R55" s="11">
        <v>16</v>
      </c>
      <c r="S55" s="11">
        <v>17</v>
      </c>
      <c r="T55" s="11">
        <v>18</v>
      </c>
      <c r="U55" s="11">
        <v>19</v>
      </c>
      <c r="V55" s="11">
        <v>20</v>
      </c>
      <c r="W55" s="11">
        <v>21</v>
      </c>
      <c r="X55" s="11">
        <v>22</v>
      </c>
      <c r="Y55" s="11">
        <v>23</v>
      </c>
      <c r="Z55" s="11">
        <v>24</v>
      </c>
      <c r="AA55" s="11">
        <v>25</v>
      </c>
    </row>
    <row r="56" spans="1:27" x14ac:dyDescent="0.45">
      <c r="A56" s="2" t="s">
        <v>100</v>
      </c>
      <c r="B56" s="19">
        <f>H20*B8</f>
        <v>384</v>
      </c>
      <c r="C56" s="19">
        <f>B61</f>
        <v>321.10176737481777</v>
      </c>
      <c r="D56" s="19">
        <f t="shared" ref="D56:F56" si="21">C61</f>
        <v>251.9137114871173</v>
      </c>
      <c r="E56" s="19">
        <f t="shared" si="21"/>
        <v>175.8068500106468</v>
      </c>
      <c r="F56" s="19">
        <f t="shared" si="21"/>
        <v>92.089302386529226</v>
      </c>
      <c r="G56" s="19"/>
      <c r="H56" s="19"/>
      <c r="I56" s="19"/>
      <c r="J56" s="19"/>
      <c r="K56" s="19"/>
      <c r="L56" s="19"/>
      <c r="M56" s="19"/>
      <c r="N56" s="19"/>
      <c r="O56" s="19"/>
      <c r="P56" s="19"/>
      <c r="Q56" s="19"/>
      <c r="R56" s="19"/>
      <c r="S56" s="19"/>
      <c r="T56" s="19"/>
      <c r="U56" s="19"/>
      <c r="V56" s="19"/>
      <c r="W56" s="19"/>
      <c r="X56" s="19"/>
      <c r="Y56" s="19"/>
      <c r="Z56" s="19"/>
      <c r="AA56" s="19"/>
    </row>
    <row r="57" spans="1:27" x14ac:dyDescent="0.45">
      <c r="A57" s="2" t="s">
        <v>101</v>
      </c>
      <c r="B57" s="19">
        <f>B56*$H$21</f>
        <v>38.400000000000006</v>
      </c>
      <c r="C57" s="19">
        <f>C56*$H$21</f>
        <v>32.11017673748178</v>
      </c>
      <c r="D57" s="19">
        <f>D56*$H$21</f>
        <v>25.191371148711731</v>
      </c>
      <c r="E57" s="19">
        <f>E56*$H$21</f>
        <v>17.58068500106468</v>
      </c>
      <c r="F57" s="19">
        <f>F56*$H$21</f>
        <v>9.2089302386529237</v>
      </c>
      <c r="G57" s="19"/>
      <c r="H57" s="19"/>
      <c r="I57" s="19"/>
      <c r="J57" s="19"/>
      <c r="K57" s="19"/>
      <c r="L57" s="19"/>
      <c r="M57" s="19"/>
      <c r="N57" s="19"/>
      <c r="O57" s="19"/>
      <c r="P57" s="19"/>
      <c r="Q57" s="19"/>
      <c r="R57" s="19"/>
      <c r="S57" s="19"/>
      <c r="T57" s="19"/>
      <c r="U57" s="19"/>
      <c r="V57" s="19"/>
      <c r="W57" s="19"/>
      <c r="X57" s="19"/>
      <c r="Y57" s="19"/>
      <c r="Z57" s="19"/>
      <c r="AA57" s="19"/>
    </row>
    <row r="58" spans="1:27" x14ac:dyDescent="0.45">
      <c r="A58" s="2" t="s">
        <v>102</v>
      </c>
      <c r="B58" s="19">
        <f>-PMT($H$21,$H$22,$B$56)</f>
        <v>101.29823262518224</v>
      </c>
      <c r="C58" s="19">
        <f>-PMT($H$21,$H$22,$B$56)</f>
        <v>101.29823262518224</v>
      </c>
      <c r="D58" s="19">
        <f>-PMT($H$21,$H$22,$B$56)</f>
        <v>101.29823262518224</v>
      </c>
      <c r="E58" s="19">
        <f>-PMT($H$21,$H$22,$B$56)</f>
        <v>101.29823262518224</v>
      </c>
      <c r="F58" s="19">
        <f>-PMT($H$21,$H$22,$B$56)</f>
        <v>101.29823262518224</v>
      </c>
      <c r="G58" s="19"/>
      <c r="H58" s="19"/>
      <c r="I58" s="19"/>
      <c r="J58" s="19"/>
      <c r="K58" s="19"/>
      <c r="L58" s="19"/>
      <c r="M58" s="19"/>
      <c r="N58" s="19"/>
      <c r="O58" s="19"/>
      <c r="P58" s="19"/>
      <c r="Q58" s="19"/>
      <c r="R58" s="19"/>
      <c r="S58" s="19"/>
      <c r="T58" s="19"/>
      <c r="U58" s="19"/>
      <c r="V58" s="19"/>
      <c r="W58" s="19"/>
      <c r="X58" s="19"/>
      <c r="Y58" s="19"/>
      <c r="Z58" s="19"/>
      <c r="AA58" s="19"/>
    </row>
    <row r="59" spans="1:27" x14ac:dyDescent="0.45">
      <c r="A59" s="3" t="s">
        <v>103</v>
      </c>
      <c r="B59" s="19">
        <f>B58-B60</f>
        <v>62.898232625182231</v>
      </c>
      <c r="C59" s="19">
        <f t="shared" ref="C59:F59" si="22">C58-C60</f>
        <v>69.188055887700457</v>
      </c>
      <c r="D59" s="19">
        <f t="shared" si="22"/>
        <v>76.106861476470499</v>
      </c>
      <c r="E59" s="19">
        <f t="shared" si="22"/>
        <v>83.717547624117557</v>
      </c>
      <c r="F59" s="19">
        <f t="shared" si="22"/>
        <v>92.089302386529312</v>
      </c>
      <c r="G59" s="19"/>
      <c r="H59" s="19"/>
      <c r="I59" s="19"/>
      <c r="J59" s="19"/>
      <c r="K59" s="19"/>
      <c r="L59" s="19"/>
      <c r="M59" s="19"/>
      <c r="N59" s="19"/>
      <c r="O59" s="19"/>
      <c r="P59" s="19"/>
      <c r="Q59" s="19"/>
      <c r="R59" s="19"/>
      <c r="S59" s="19"/>
      <c r="T59" s="19"/>
      <c r="U59" s="19"/>
      <c r="V59" s="19"/>
      <c r="W59" s="19"/>
      <c r="X59" s="19"/>
      <c r="Y59" s="19"/>
      <c r="Z59" s="19"/>
      <c r="AA59" s="19"/>
    </row>
    <row r="60" spans="1:27" x14ac:dyDescent="0.45">
      <c r="A60" s="3" t="s">
        <v>104</v>
      </c>
      <c r="B60" s="19">
        <f>B57</f>
        <v>38.400000000000006</v>
      </c>
      <c r="C60" s="19">
        <f t="shared" ref="C60:F60" si="23">C57</f>
        <v>32.11017673748178</v>
      </c>
      <c r="D60" s="19">
        <f t="shared" si="23"/>
        <v>25.191371148711731</v>
      </c>
      <c r="E60" s="19">
        <f t="shared" si="23"/>
        <v>17.58068500106468</v>
      </c>
      <c r="F60" s="19">
        <f t="shared" si="23"/>
        <v>9.2089302386529237</v>
      </c>
      <c r="G60" s="19"/>
      <c r="H60" s="19"/>
      <c r="I60" s="19"/>
      <c r="J60" s="19"/>
      <c r="K60" s="19"/>
      <c r="L60" s="19"/>
      <c r="M60" s="19"/>
      <c r="N60" s="19"/>
      <c r="O60" s="19"/>
      <c r="P60" s="19"/>
      <c r="Q60" s="19"/>
      <c r="R60" s="19"/>
      <c r="S60" s="19"/>
      <c r="T60" s="19"/>
      <c r="U60" s="19"/>
      <c r="V60" s="19"/>
      <c r="W60" s="19"/>
      <c r="X60" s="19"/>
      <c r="Y60" s="19"/>
      <c r="Z60" s="19"/>
      <c r="AA60" s="19"/>
    </row>
    <row r="61" spans="1:27" x14ac:dyDescent="0.45">
      <c r="A61" s="2" t="s">
        <v>105</v>
      </c>
      <c r="B61" s="19">
        <f>B56+B57-B58</f>
        <v>321.10176737481777</v>
      </c>
      <c r="C61" s="19">
        <f t="shared" ref="C61:F61" si="24">C56+C57-C58</f>
        <v>251.9137114871173</v>
      </c>
      <c r="D61" s="19">
        <f t="shared" si="24"/>
        <v>175.8068500106468</v>
      </c>
      <c r="E61" s="19">
        <f t="shared" si="24"/>
        <v>92.089302386529226</v>
      </c>
      <c r="F61" s="19">
        <f t="shared" si="24"/>
        <v>0</v>
      </c>
      <c r="G61" s="19"/>
      <c r="H61" s="19"/>
      <c r="I61" s="19"/>
      <c r="J61" s="19"/>
      <c r="K61" s="19"/>
      <c r="L61" s="19"/>
      <c r="M61" s="19"/>
      <c r="N61" s="19"/>
      <c r="O61" s="19"/>
      <c r="P61" s="19"/>
      <c r="Q61" s="19"/>
      <c r="R61" s="19"/>
      <c r="S61" s="19"/>
      <c r="T61" s="19"/>
      <c r="U61" s="19"/>
      <c r="V61" s="19"/>
      <c r="W61" s="19"/>
      <c r="X61" s="19"/>
      <c r="Y61" s="19"/>
      <c r="Z61" s="19"/>
      <c r="AA61" s="19"/>
    </row>
    <row r="63" spans="1:27" x14ac:dyDescent="0.45">
      <c r="A63" s="1" t="s">
        <v>68</v>
      </c>
    </row>
    <row r="64" spans="1:27" x14ac:dyDescent="0.45">
      <c r="A64" s="11" t="s">
        <v>39</v>
      </c>
      <c r="B64" s="11">
        <v>0</v>
      </c>
      <c r="C64" s="11">
        <v>1</v>
      </c>
      <c r="D64" s="11">
        <v>2</v>
      </c>
      <c r="E64" s="11">
        <v>3</v>
      </c>
      <c r="F64" s="11">
        <v>4</v>
      </c>
      <c r="G64" s="11">
        <v>5</v>
      </c>
      <c r="H64" s="11">
        <v>6</v>
      </c>
      <c r="I64" s="11">
        <v>7</v>
      </c>
      <c r="J64" s="11">
        <v>8</v>
      </c>
      <c r="K64" s="11">
        <v>9</v>
      </c>
      <c r="L64" s="11">
        <v>10</v>
      </c>
      <c r="M64" s="11">
        <v>11</v>
      </c>
      <c r="N64" s="11">
        <v>12</v>
      </c>
      <c r="O64" s="11">
        <v>13</v>
      </c>
      <c r="P64" s="11">
        <v>14</v>
      </c>
      <c r="Q64" s="11">
        <v>15</v>
      </c>
      <c r="R64" s="11">
        <v>16</v>
      </c>
      <c r="S64" s="11">
        <v>17</v>
      </c>
      <c r="T64" s="11">
        <v>18</v>
      </c>
      <c r="U64" s="11">
        <v>19</v>
      </c>
      <c r="V64" s="11">
        <v>20</v>
      </c>
      <c r="W64" s="11">
        <v>21</v>
      </c>
      <c r="X64" s="11">
        <v>22</v>
      </c>
      <c r="Y64" s="11">
        <v>23</v>
      </c>
      <c r="Z64" s="11">
        <v>24</v>
      </c>
      <c r="AA64" s="11">
        <v>25</v>
      </c>
    </row>
    <row r="65" spans="1:27" x14ac:dyDescent="0.45">
      <c r="A65" s="2" t="s">
        <v>61</v>
      </c>
      <c r="B65" s="19">
        <f>B52</f>
        <v>312.17867673270234</v>
      </c>
      <c r="C65" s="19">
        <f t="shared" ref="C65:M65" si="25">C52</f>
        <v>319.77554483099266</v>
      </c>
      <c r="D65" s="19">
        <f t="shared" si="25"/>
        <v>327.55728271445486</v>
      </c>
      <c r="E65" s="19">
        <f t="shared" si="25"/>
        <v>279.60699099109269</v>
      </c>
      <c r="F65" s="19">
        <f t="shared" si="25"/>
        <v>286.41122711686091</v>
      </c>
      <c r="G65" s="19">
        <f t="shared" si="25"/>
        <v>293.38104432874962</v>
      </c>
      <c r="H65" s="19">
        <f t="shared" si="25"/>
        <v>220.3816794978259</v>
      </c>
      <c r="I65" s="19">
        <f t="shared" si="25"/>
        <v>225.74466766840544</v>
      </c>
      <c r="J65" s="19">
        <f t="shared" si="25"/>
        <v>231.23816415611617</v>
      </c>
      <c r="K65" s="19">
        <f t="shared" si="25"/>
        <v>193.79891853888154</v>
      </c>
      <c r="L65" s="19">
        <f t="shared" si="25"/>
        <v>198.5150152215252</v>
      </c>
      <c r="M65" s="19">
        <f t="shared" si="25"/>
        <v>203.34587811694109</v>
      </c>
      <c r="N65" s="6"/>
      <c r="O65" s="6"/>
      <c r="P65" s="6"/>
      <c r="Q65" s="6"/>
      <c r="R65" s="6"/>
      <c r="S65" s="6"/>
      <c r="T65" s="6"/>
      <c r="U65" s="6"/>
      <c r="V65" s="6"/>
      <c r="W65" s="6"/>
      <c r="X65" s="6"/>
      <c r="Y65" s="6"/>
      <c r="Z65" s="6"/>
      <c r="AA65" s="6"/>
    </row>
    <row r="66" spans="1:27" x14ac:dyDescent="0.45">
      <c r="A66" s="3" t="s">
        <v>62</v>
      </c>
      <c r="B66" s="19">
        <f t="shared" ref="B66:M66" si="26">$B$28*B65</f>
        <v>31.217867673270234</v>
      </c>
      <c r="C66" s="19">
        <f t="shared" si="26"/>
        <v>31.977554483099269</v>
      </c>
      <c r="D66" s="19">
        <f t="shared" si="26"/>
        <v>32.755728271445484</v>
      </c>
      <c r="E66" s="19">
        <f t="shared" si="26"/>
        <v>27.96069909910927</v>
      </c>
      <c r="F66" s="19">
        <f t="shared" si="26"/>
        <v>28.641122711686094</v>
      </c>
      <c r="G66" s="19">
        <f t="shared" si="26"/>
        <v>29.338104432874964</v>
      </c>
      <c r="H66" s="19">
        <f t="shared" si="26"/>
        <v>22.03816794978259</v>
      </c>
      <c r="I66" s="19">
        <f t="shared" si="26"/>
        <v>22.574466766840544</v>
      </c>
      <c r="J66" s="19">
        <f t="shared" si="26"/>
        <v>23.123816415611618</v>
      </c>
      <c r="K66" s="19">
        <f t="shared" si="26"/>
        <v>19.379891853888154</v>
      </c>
      <c r="L66" s="19">
        <f t="shared" si="26"/>
        <v>19.851501522152521</v>
      </c>
      <c r="M66" s="19">
        <f t="shared" si="26"/>
        <v>20.33458781169411</v>
      </c>
      <c r="N66" s="6"/>
      <c r="O66" s="6"/>
      <c r="P66" s="6"/>
      <c r="Q66" s="6"/>
      <c r="R66" s="6"/>
      <c r="S66" s="6"/>
      <c r="T66" s="6"/>
      <c r="U66" s="6"/>
      <c r="V66" s="6"/>
      <c r="W66" s="6"/>
      <c r="X66" s="6"/>
      <c r="Y66" s="6"/>
      <c r="Z66" s="6"/>
      <c r="AA66" s="6"/>
    </row>
    <row r="67" spans="1:27" x14ac:dyDescent="0.45">
      <c r="A67" s="3" t="s">
        <v>26</v>
      </c>
      <c r="B67" s="19">
        <f t="shared" ref="B67:M67" si="27">$B$29*$B$6*B35</f>
        <v>0.76800000000000002</v>
      </c>
      <c r="C67" s="19">
        <f t="shared" si="27"/>
        <v>0.79104000000000008</v>
      </c>
      <c r="D67" s="19">
        <f t="shared" si="27"/>
        <v>0.81477120000000003</v>
      </c>
      <c r="E67" s="19">
        <f t="shared" si="27"/>
        <v>0.83921433600000006</v>
      </c>
      <c r="F67" s="19">
        <f t="shared" si="27"/>
        <v>0.86439076607999998</v>
      </c>
      <c r="G67" s="19">
        <f t="shared" si="27"/>
        <v>0.89032248906239986</v>
      </c>
      <c r="H67" s="19">
        <f t="shared" si="27"/>
        <v>0.91703216373427199</v>
      </c>
      <c r="I67" s="19">
        <f t="shared" si="27"/>
        <v>0.94454312864630019</v>
      </c>
      <c r="J67" s="19">
        <f t="shared" si="27"/>
        <v>0.97287942250568904</v>
      </c>
      <c r="K67" s="19">
        <f t="shared" si="27"/>
        <v>1.0020658051808597</v>
      </c>
      <c r="L67" s="19">
        <f t="shared" si="27"/>
        <v>1.0321277793362855</v>
      </c>
      <c r="M67" s="19">
        <f t="shared" si="27"/>
        <v>1.0630916127163741</v>
      </c>
      <c r="N67" s="19"/>
      <c r="O67" s="19"/>
      <c r="P67" s="19"/>
      <c r="Q67" s="19"/>
      <c r="R67" s="19"/>
      <c r="S67" s="19"/>
      <c r="T67" s="19"/>
      <c r="U67" s="19"/>
      <c r="V67" s="19"/>
      <c r="W67" s="19"/>
      <c r="X67" s="19"/>
      <c r="Y67" s="19"/>
      <c r="Z67" s="19"/>
      <c r="AA67" s="19"/>
    </row>
    <row r="68" spans="1:27" x14ac:dyDescent="0.45">
      <c r="A68" s="3" t="s">
        <v>63</v>
      </c>
      <c r="B68" s="19">
        <f>B66+B67</f>
        <v>31.985867673270235</v>
      </c>
      <c r="C68" s="19">
        <f t="shared" ref="C68:M68" si="28">C66+C67</f>
        <v>32.768594483099271</v>
      </c>
      <c r="D68" s="19">
        <f t="shared" si="28"/>
        <v>33.570499471445487</v>
      </c>
      <c r="E68" s="19">
        <f t="shared" si="28"/>
        <v>28.799913435109271</v>
      </c>
      <c r="F68" s="19">
        <f t="shared" si="28"/>
        <v>29.505513477766094</v>
      </c>
      <c r="G68" s="19">
        <f t="shared" si="28"/>
        <v>30.228426921937363</v>
      </c>
      <c r="H68" s="19">
        <f t="shared" si="28"/>
        <v>22.955200113516863</v>
      </c>
      <c r="I68" s="19">
        <f t="shared" si="28"/>
        <v>23.519009895486846</v>
      </c>
      <c r="J68" s="19">
        <f t="shared" si="28"/>
        <v>24.096695838117306</v>
      </c>
      <c r="K68" s="19">
        <f t="shared" si="28"/>
        <v>20.381957659069013</v>
      </c>
      <c r="L68" s="19">
        <f t="shared" si="28"/>
        <v>20.883629301488806</v>
      </c>
      <c r="M68" s="19">
        <f t="shared" si="28"/>
        <v>21.397679424410484</v>
      </c>
      <c r="N68" s="6"/>
      <c r="O68" s="6"/>
      <c r="P68" s="6"/>
      <c r="Q68" s="6"/>
      <c r="R68" s="6"/>
      <c r="S68" s="6"/>
      <c r="T68" s="6"/>
      <c r="U68" s="6"/>
      <c r="V68" s="6"/>
      <c r="W68" s="6"/>
      <c r="X68" s="6"/>
      <c r="Y68" s="6"/>
      <c r="Z68" s="6"/>
      <c r="AA68" s="6"/>
    </row>
    <row r="69" spans="1:27" x14ac:dyDescent="0.45">
      <c r="A69" s="2" t="s">
        <v>64</v>
      </c>
      <c r="B69" s="19">
        <f>B65-B68</f>
        <v>280.19280905943208</v>
      </c>
      <c r="C69" s="19">
        <f t="shared" ref="C69:M69" si="29">C65-C68</f>
        <v>287.00695034789339</v>
      </c>
      <c r="D69" s="19">
        <f t="shared" si="29"/>
        <v>293.98678324300937</v>
      </c>
      <c r="E69" s="19">
        <f t="shared" si="29"/>
        <v>250.80707755598343</v>
      </c>
      <c r="F69" s="19">
        <f t="shared" si="29"/>
        <v>256.90571363909481</v>
      </c>
      <c r="G69" s="19">
        <f t="shared" si="29"/>
        <v>263.15261740681228</v>
      </c>
      <c r="H69" s="19">
        <f t="shared" si="29"/>
        <v>197.42647938430903</v>
      </c>
      <c r="I69" s="19">
        <f t="shared" si="29"/>
        <v>202.22565777291859</v>
      </c>
      <c r="J69" s="19">
        <f t="shared" si="29"/>
        <v>207.14146831799886</v>
      </c>
      <c r="K69" s="19">
        <f t="shared" si="29"/>
        <v>173.41696087981254</v>
      </c>
      <c r="L69" s="19">
        <f t="shared" si="29"/>
        <v>177.63138592003639</v>
      </c>
      <c r="M69" s="19">
        <f t="shared" si="29"/>
        <v>181.94819869253061</v>
      </c>
      <c r="N69" s="6"/>
      <c r="O69" s="6"/>
      <c r="P69" s="6"/>
      <c r="Q69" s="6"/>
      <c r="R69" s="6"/>
      <c r="S69" s="6"/>
      <c r="T69" s="6"/>
      <c r="U69" s="6"/>
      <c r="V69" s="6"/>
      <c r="W69" s="6"/>
      <c r="X69" s="6"/>
      <c r="Y69" s="6"/>
      <c r="Z69" s="6"/>
      <c r="AA69" s="6"/>
    </row>
    <row r="70" spans="1:27" x14ac:dyDescent="0.45">
      <c r="A70" s="3" t="s">
        <v>65</v>
      </c>
      <c r="B70" s="19">
        <f>$B$6/$B$7</f>
        <v>256</v>
      </c>
      <c r="C70" s="19">
        <f t="shared" ref="C70:D70" si="30">$B$6/$B$7</f>
        <v>256</v>
      </c>
      <c r="D70" s="19">
        <f t="shared" si="30"/>
        <v>256</v>
      </c>
      <c r="E70" s="19"/>
      <c r="F70" s="19"/>
      <c r="G70" s="19"/>
      <c r="H70" s="19"/>
      <c r="I70" s="19"/>
      <c r="J70" s="19"/>
      <c r="K70" s="19"/>
      <c r="L70" s="19"/>
      <c r="M70" s="19"/>
    </row>
    <row r="71" spans="1:27" x14ac:dyDescent="0.45">
      <c r="A71" s="3" t="s">
        <v>66</v>
      </c>
      <c r="B71" s="19">
        <f>B60</f>
        <v>38.400000000000006</v>
      </c>
      <c r="C71" s="19">
        <f t="shared" ref="C71:F71" si="31">C60</f>
        <v>32.11017673748178</v>
      </c>
      <c r="D71" s="19">
        <f t="shared" si="31"/>
        <v>25.191371148711731</v>
      </c>
      <c r="E71" s="19">
        <f t="shared" si="31"/>
        <v>17.58068500106468</v>
      </c>
      <c r="F71" s="19">
        <f t="shared" si="31"/>
        <v>9.2089302386529237</v>
      </c>
    </row>
    <row r="72" spans="1:27" x14ac:dyDescent="0.45">
      <c r="A72" s="2" t="s">
        <v>67</v>
      </c>
      <c r="B72" s="19">
        <f>B69-B70-B71</f>
        <v>-14.207190940567926</v>
      </c>
      <c r="C72" s="19">
        <f t="shared" ref="C72:M72" si="32">C69-C70-C71</f>
        <v>-1.1032263895883858</v>
      </c>
      <c r="D72" s="19">
        <f t="shared" si="32"/>
        <v>12.795412094297639</v>
      </c>
      <c r="E72" s="19">
        <f t="shared" si="32"/>
        <v>233.22639255491873</v>
      </c>
      <c r="F72" s="19">
        <f t="shared" si="32"/>
        <v>247.69678340044189</v>
      </c>
      <c r="G72" s="19">
        <f t="shared" si="32"/>
        <v>263.15261740681228</v>
      </c>
      <c r="H72" s="19">
        <f t="shared" si="32"/>
        <v>197.42647938430903</v>
      </c>
      <c r="I72" s="19">
        <f t="shared" si="32"/>
        <v>202.22565777291859</v>
      </c>
      <c r="J72" s="19">
        <f t="shared" si="32"/>
        <v>207.14146831799886</v>
      </c>
      <c r="K72" s="19">
        <f t="shared" si="32"/>
        <v>173.41696087981254</v>
      </c>
      <c r="L72" s="19">
        <f t="shared" si="32"/>
        <v>177.63138592003639</v>
      </c>
      <c r="M72" s="19">
        <f t="shared" si="32"/>
        <v>181.94819869253061</v>
      </c>
      <c r="N72" s="6"/>
      <c r="O72" s="6"/>
      <c r="P72" s="6"/>
      <c r="Q72" s="6"/>
      <c r="R72" s="6"/>
      <c r="S72" s="6"/>
      <c r="T72" s="6"/>
      <c r="U72" s="6"/>
      <c r="V72" s="6"/>
      <c r="W72" s="6"/>
      <c r="X72" s="6"/>
      <c r="Y72" s="6"/>
      <c r="Z72" s="6"/>
      <c r="AA72" s="6"/>
    </row>
    <row r="73" spans="1:27" x14ac:dyDescent="0.45">
      <c r="A73" s="3" t="s">
        <v>57</v>
      </c>
      <c r="B73" s="19">
        <f t="shared" ref="B73:M73" si="33">B72*$H$28</f>
        <v>-2.8414381881135853</v>
      </c>
      <c r="C73" s="19">
        <f t="shared" si="33"/>
        <v>-0.22064527791767719</v>
      </c>
      <c r="D73" s="19">
        <f t="shared" si="33"/>
        <v>2.559082418859528</v>
      </c>
      <c r="E73" s="19">
        <f t="shared" si="33"/>
        <v>46.645278510983751</v>
      </c>
      <c r="F73" s="19">
        <f t="shared" si="33"/>
        <v>49.539356680088382</v>
      </c>
      <c r="G73" s="19">
        <f t="shared" si="33"/>
        <v>52.630523481362459</v>
      </c>
      <c r="H73" s="19">
        <f t="shared" si="33"/>
        <v>39.485295876861812</v>
      </c>
      <c r="I73" s="19">
        <f t="shared" si="33"/>
        <v>40.445131554583725</v>
      </c>
      <c r="J73" s="19">
        <f t="shared" si="33"/>
        <v>41.428293663599774</v>
      </c>
      <c r="K73" s="19">
        <f t="shared" si="33"/>
        <v>34.68339217596251</v>
      </c>
      <c r="L73" s="19">
        <f t="shared" si="33"/>
        <v>35.526277184007277</v>
      </c>
      <c r="M73" s="19">
        <f t="shared" si="33"/>
        <v>36.389639738506126</v>
      </c>
      <c r="N73" s="6"/>
      <c r="O73" s="6"/>
      <c r="P73" s="6"/>
      <c r="Q73" s="6"/>
      <c r="R73" s="6"/>
      <c r="S73" s="6"/>
      <c r="T73" s="6"/>
      <c r="U73" s="6"/>
      <c r="V73" s="6"/>
      <c r="W73" s="6"/>
      <c r="X73" s="6"/>
      <c r="Y73" s="6"/>
      <c r="Z73" s="6"/>
      <c r="AA73" s="6"/>
    </row>
    <row r="74" spans="1:27" x14ac:dyDescent="0.45">
      <c r="A74" s="2" t="s">
        <v>69</v>
      </c>
      <c r="B74" s="19">
        <f>B72-B73</f>
        <v>-11.365752752454341</v>
      </c>
      <c r="C74" s="19">
        <f t="shared" ref="C74:M74" si="34">C72-C73</f>
        <v>-0.88258111167070863</v>
      </c>
      <c r="D74" s="19">
        <f t="shared" si="34"/>
        <v>10.23632967543811</v>
      </c>
      <c r="E74" s="19">
        <f t="shared" si="34"/>
        <v>186.58111404393497</v>
      </c>
      <c r="F74" s="19">
        <f t="shared" si="34"/>
        <v>198.1574267203535</v>
      </c>
      <c r="G74" s="19">
        <f t="shared" si="34"/>
        <v>210.52209392544984</v>
      </c>
      <c r="H74" s="19">
        <f t="shared" si="34"/>
        <v>157.94118350744722</v>
      </c>
      <c r="I74" s="19">
        <f t="shared" si="34"/>
        <v>161.78052621833487</v>
      </c>
      <c r="J74" s="19">
        <f t="shared" si="34"/>
        <v>165.7131746543991</v>
      </c>
      <c r="K74" s="19">
        <f t="shared" si="34"/>
        <v>138.73356870385004</v>
      </c>
      <c r="L74" s="19">
        <f t="shared" si="34"/>
        <v>142.10510873602911</v>
      </c>
      <c r="M74" s="19">
        <f t="shared" si="34"/>
        <v>145.55855895402448</v>
      </c>
      <c r="N74" s="6"/>
      <c r="O74" s="6"/>
      <c r="P74" s="6"/>
      <c r="Q74" s="6"/>
      <c r="R74" s="6"/>
      <c r="S74" s="6"/>
      <c r="T74" s="6"/>
      <c r="U74" s="6"/>
      <c r="V74" s="6"/>
      <c r="W74" s="6"/>
      <c r="X74" s="6"/>
      <c r="Y74" s="6"/>
      <c r="Z74" s="6"/>
      <c r="AA74" s="6"/>
    </row>
    <row r="76" spans="1:27" x14ac:dyDescent="0.45">
      <c r="A76" s="1" t="s">
        <v>95</v>
      </c>
    </row>
    <row r="77" spans="1:27" x14ac:dyDescent="0.45">
      <c r="A77" s="11" t="s">
        <v>39</v>
      </c>
      <c r="B77" s="11">
        <v>0</v>
      </c>
      <c r="C77" s="11">
        <v>1</v>
      </c>
      <c r="D77" s="11">
        <v>2</v>
      </c>
      <c r="E77" s="11">
        <v>3</v>
      </c>
      <c r="F77" s="11">
        <v>4</v>
      </c>
      <c r="G77" s="11">
        <v>5</v>
      </c>
      <c r="H77" s="11">
        <v>6</v>
      </c>
      <c r="I77" s="11">
        <v>7</v>
      </c>
      <c r="J77" s="11">
        <v>8</v>
      </c>
      <c r="K77" s="11">
        <v>9</v>
      </c>
      <c r="L77" s="11">
        <v>10</v>
      </c>
      <c r="M77" s="11">
        <v>11</v>
      </c>
      <c r="N77" s="11">
        <v>12</v>
      </c>
      <c r="O77" s="11">
        <v>13</v>
      </c>
      <c r="P77" s="11">
        <v>14</v>
      </c>
      <c r="Q77" s="11">
        <v>15</v>
      </c>
      <c r="R77" s="11">
        <v>16</v>
      </c>
      <c r="S77" s="11">
        <v>17</v>
      </c>
      <c r="T77" s="11">
        <v>18</v>
      </c>
      <c r="U77" s="11">
        <v>19</v>
      </c>
      <c r="V77" s="11">
        <v>20</v>
      </c>
      <c r="W77" s="11">
        <v>21</v>
      </c>
      <c r="X77" s="11">
        <v>22</v>
      </c>
      <c r="Y77" s="11">
        <v>23</v>
      </c>
      <c r="Z77" s="11">
        <v>24</v>
      </c>
      <c r="AA77" s="11">
        <v>25</v>
      </c>
    </row>
    <row r="78" spans="1:27" x14ac:dyDescent="0.45">
      <c r="A78" s="1" t="s">
        <v>71</v>
      </c>
      <c r="B78" s="35">
        <f>B79</f>
        <v>312.17867673270234</v>
      </c>
      <c r="C78" s="35">
        <f t="shared" ref="C78:M78" si="35">C79</f>
        <v>319.77554483099266</v>
      </c>
      <c r="D78" s="35">
        <f t="shared" si="35"/>
        <v>327.55728271445486</v>
      </c>
      <c r="E78" s="35">
        <f t="shared" si="35"/>
        <v>279.60699099109269</v>
      </c>
      <c r="F78" s="35">
        <f t="shared" si="35"/>
        <v>286.41122711686091</v>
      </c>
      <c r="G78" s="35">
        <f t="shared" si="35"/>
        <v>293.38104432874962</v>
      </c>
      <c r="H78" s="35">
        <f t="shared" si="35"/>
        <v>220.3816794978259</v>
      </c>
      <c r="I78" s="35">
        <f t="shared" si="35"/>
        <v>225.74466766840544</v>
      </c>
      <c r="J78" s="35">
        <f t="shared" si="35"/>
        <v>231.23816415611617</v>
      </c>
      <c r="K78" s="35">
        <f t="shared" si="35"/>
        <v>193.79891853888154</v>
      </c>
      <c r="L78" s="35">
        <f t="shared" si="35"/>
        <v>198.5150152215252</v>
      </c>
      <c r="M78" s="35">
        <f t="shared" si="35"/>
        <v>203.34587811694109</v>
      </c>
    </row>
    <row r="79" spans="1:27" x14ac:dyDescent="0.45">
      <c r="A79" s="3" t="s">
        <v>61</v>
      </c>
      <c r="B79" s="33">
        <f>B52</f>
        <v>312.17867673270234</v>
      </c>
      <c r="C79" s="33">
        <f t="shared" ref="C79:M79" si="36">C52</f>
        <v>319.77554483099266</v>
      </c>
      <c r="D79" s="33">
        <f t="shared" si="36"/>
        <v>327.55728271445486</v>
      </c>
      <c r="E79" s="33">
        <f t="shared" si="36"/>
        <v>279.60699099109269</v>
      </c>
      <c r="F79" s="33">
        <f t="shared" si="36"/>
        <v>286.41122711686091</v>
      </c>
      <c r="G79" s="33">
        <f t="shared" si="36"/>
        <v>293.38104432874962</v>
      </c>
      <c r="H79" s="33">
        <f t="shared" si="36"/>
        <v>220.3816794978259</v>
      </c>
      <c r="I79" s="33">
        <f t="shared" si="36"/>
        <v>225.74466766840544</v>
      </c>
      <c r="J79" s="33">
        <f t="shared" si="36"/>
        <v>231.23816415611617</v>
      </c>
      <c r="K79" s="33">
        <f t="shared" si="36"/>
        <v>193.79891853888154</v>
      </c>
      <c r="L79" s="33">
        <f t="shared" si="36"/>
        <v>198.5150152215252</v>
      </c>
      <c r="M79" s="33">
        <f t="shared" si="36"/>
        <v>203.34587811694109</v>
      </c>
      <c r="N79" s="6"/>
      <c r="O79" s="6"/>
      <c r="P79" s="6"/>
      <c r="Q79" s="6"/>
      <c r="R79" s="6"/>
      <c r="S79" s="6"/>
      <c r="T79" s="6"/>
      <c r="U79" s="6"/>
      <c r="V79" s="6"/>
      <c r="W79" s="6"/>
      <c r="X79" s="6"/>
      <c r="Y79" s="6"/>
      <c r="Z79" s="6"/>
      <c r="AA79" s="6"/>
    </row>
    <row r="80" spans="1:27" x14ac:dyDescent="0.45">
      <c r="A80" s="1" t="s">
        <v>72</v>
      </c>
      <c r="B80" s="35">
        <f>B81+B82</f>
        <v>799.98586767327026</v>
      </c>
      <c r="C80" s="35">
        <f t="shared" ref="C80:M80" si="37">C81+C82</f>
        <v>32.768594483099271</v>
      </c>
      <c r="D80" s="35">
        <f t="shared" si="37"/>
        <v>33.570499471445487</v>
      </c>
      <c r="E80" s="35">
        <f t="shared" si="37"/>
        <v>28.799913435109271</v>
      </c>
      <c r="F80" s="35">
        <f t="shared" si="37"/>
        <v>29.505513477766094</v>
      </c>
      <c r="G80" s="35">
        <f t="shared" si="37"/>
        <v>30.228426921937363</v>
      </c>
      <c r="H80" s="35">
        <f t="shared" si="37"/>
        <v>22.955200113516863</v>
      </c>
      <c r="I80" s="35">
        <f t="shared" si="37"/>
        <v>23.519009895486846</v>
      </c>
      <c r="J80" s="35">
        <f t="shared" si="37"/>
        <v>24.096695838117306</v>
      </c>
      <c r="K80" s="35">
        <f t="shared" si="37"/>
        <v>20.381957659069013</v>
      </c>
      <c r="L80" s="35">
        <f t="shared" si="37"/>
        <v>20.883629301488806</v>
      </c>
      <c r="M80" s="35">
        <f t="shared" si="37"/>
        <v>21.397679424410484</v>
      </c>
    </row>
    <row r="81" spans="1:27" x14ac:dyDescent="0.45">
      <c r="A81" s="3" t="s">
        <v>73</v>
      </c>
      <c r="B81" s="34">
        <f>B6</f>
        <v>768</v>
      </c>
      <c r="C81" s="34"/>
      <c r="D81" s="34"/>
      <c r="E81" s="34"/>
      <c r="F81" s="34"/>
      <c r="G81" s="34"/>
      <c r="H81" s="34"/>
      <c r="I81" s="34"/>
      <c r="J81" s="34"/>
      <c r="K81" s="34"/>
      <c r="L81" s="34"/>
      <c r="M81" s="34"/>
    </row>
    <row r="82" spans="1:27" x14ac:dyDescent="0.45">
      <c r="A82" s="3" t="s">
        <v>74</v>
      </c>
      <c r="B82" s="33">
        <f>B68</f>
        <v>31.985867673270235</v>
      </c>
      <c r="C82" s="33">
        <f t="shared" ref="C82:M82" si="38">C68</f>
        <v>32.768594483099271</v>
      </c>
      <c r="D82" s="33">
        <f t="shared" si="38"/>
        <v>33.570499471445487</v>
      </c>
      <c r="E82" s="33">
        <f t="shared" si="38"/>
        <v>28.799913435109271</v>
      </c>
      <c r="F82" s="33">
        <f t="shared" si="38"/>
        <v>29.505513477766094</v>
      </c>
      <c r="G82" s="33">
        <f t="shared" si="38"/>
        <v>30.228426921937363</v>
      </c>
      <c r="H82" s="33">
        <f t="shared" si="38"/>
        <v>22.955200113516863</v>
      </c>
      <c r="I82" s="33">
        <f t="shared" si="38"/>
        <v>23.519009895486846</v>
      </c>
      <c r="J82" s="33">
        <f t="shared" si="38"/>
        <v>24.096695838117306</v>
      </c>
      <c r="K82" s="33">
        <f t="shared" si="38"/>
        <v>20.381957659069013</v>
      </c>
      <c r="L82" s="33">
        <f t="shared" si="38"/>
        <v>20.883629301488806</v>
      </c>
      <c r="M82" s="33">
        <f t="shared" si="38"/>
        <v>21.397679424410484</v>
      </c>
      <c r="N82" s="6"/>
      <c r="O82" s="6"/>
      <c r="P82" s="6"/>
      <c r="Q82" s="6"/>
      <c r="R82" s="6"/>
      <c r="S82" s="6"/>
      <c r="T82" s="6"/>
      <c r="U82" s="6"/>
      <c r="V82" s="6"/>
      <c r="W82" s="6"/>
      <c r="X82" s="6"/>
      <c r="Y82" s="6"/>
      <c r="Z82" s="6"/>
      <c r="AA82" s="6"/>
    </row>
    <row r="83" spans="1:27" x14ac:dyDescent="0.45">
      <c r="A83" s="36" t="s">
        <v>93</v>
      </c>
      <c r="B83" s="35">
        <f>B78-B80</f>
        <v>-487.80719094056792</v>
      </c>
      <c r="C83" s="35">
        <f t="shared" ref="C83:M83" si="39">C78-C80</f>
        <v>287.00695034789339</v>
      </c>
      <c r="D83" s="35">
        <f t="shared" si="39"/>
        <v>293.98678324300937</v>
      </c>
      <c r="E83" s="35">
        <f t="shared" si="39"/>
        <v>250.80707755598343</v>
      </c>
      <c r="F83" s="35">
        <f t="shared" si="39"/>
        <v>256.90571363909481</v>
      </c>
      <c r="G83" s="35">
        <f t="shared" si="39"/>
        <v>263.15261740681228</v>
      </c>
      <c r="H83" s="35">
        <f t="shared" si="39"/>
        <v>197.42647938430903</v>
      </c>
      <c r="I83" s="35">
        <f t="shared" si="39"/>
        <v>202.22565777291859</v>
      </c>
      <c r="J83" s="35">
        <f t="shared" si="39"/>
        <v>207.14146831799886</v>
      </c>
      <c r="K83" s="35">
        <f t="shared" si="39"/>
        <v>173.41696087981254</v>
      </c>
      <c r="L83" s="35">
        <f t="shared" si="39"/>
        <v>177.63138592003639</v>
      </c>
      <c r="M83" s="35">
        <f t="shared" si="39"/>
        <v>181.94819869253061</v>
      </c>
      <c r="N83" s="6"/>
      <c r="O83" s="6"/>
      <c r="P83" s="6"/>
      <c r="Q83" s="6"/>
      <c r="R83" s="6"/>
      <c r="S83" s="6"/>
      <c r="T83" s="6"/>
      <c r="U83" s="6"/>
      <c r="V83" s="6"/>
      <c r="W83" s="6"/>
      <c r="X83" s="6"/>
      <c r="Y83" s="6"/>
      <c r="Z83" s="6"/>
      <c r="AA83" s="6"/>
    </row>
    <row r="84" spans="1:27" x14ac:dyDescent="0.45">
      <c r="A84" s="3" t="s">
        <v>57</v>
      </c>
      <c r="B84" s="33">
        <f>B73</f>
        <v>-2.8414381881135853</v>
      </c>
      <c r="C84" s="33">
        <f t="shared" ref="C84:M84" si="40">C73</f>
        <v>-0.22064527791767719</v>
      </c>
      <c r="D84" s="33">
        <f t="shared" si="40"/>
        <v>2.559082418859528</v>
      </c>
      <c r="E84" s="33">
        <f t="shared" si="40"/>
        <v>46.645278510983751</v>
      </c>
      <c r="F84" s="33">
        <f t="shared" si="40"/>
        <v>49.539356680088382</v>
      </c>
      <c r="G84" s="33">
        <f t="shared" si="40"/>
        <v>52.630523481362459</v>
      </c>
      <c r="H84" s="33">
        <f t="shared" si="40"/>
        <v>39.485295876861812</v>
      </c>
      <c r="I84" s="33">
        <f t="shared" si="40"/>
        <v>40.445131554583725</v>
      </c>
      <c r="J84" s="33">
        <f t="shared" si="40"/>
        <v>41.428293663599774</v>
      </c>
      <c r="K84" s="33">
        <f t="shared" si="40"/>
        <v>34.68339217596251</v>
      </c>
      <c r="L84" s="33">
        <f t="shared" si="40"/>
        <v>35.526277184007277</v>
      </c>
      <c r="M84" s="33">
        <f t="shared" si="40"/>
        <v>36.389639738506126</v>
      </c>
      <c r="N84" s="6"/>
      <c r="O84" s="6"/>
      <c r="P84" s="6"/>
      <c r="Q84" s="6"/>
      <c r="R84" s="6"/>
      <c r="S84" s="6"/>
      <c r="T84" s="6"/>
      <c r="U84" s="6"/>
      <c r="V84" s="6"/>
      <c r="W84" s="6"/>
      <c r="X84" s="6"/>
      <c r="Y84" s="6"/>
      <c r="Z84" s="6"/>
      <c r="AA84" s="6"/>
    </row>
    <row r="85" spans="1:27" x14ac:dyDescent="0.45">
      <c r="A85" s="1" t="s">
        <v>96</v>
      </c>
      <c r="B85" s="35">
        <f>B83-B84</f>
        <v>-484.96575275245436</v>
      </c>
      <c r="C85" s="35">
        <f t="shared" ref="C85:M85" si="41">C83-C84</f>
        <v>287.22759562581109</v>
      </c>
      <c r="D85" s="35">
        <f t="shared" si="41"/>
        <v>291.42770082414984</v>
      </c>
      <c r="E85" s="35">
        <f t="shared" si="41"/>
        <v>204.16179904499967</v>
      </c>
      <c r="F85" s="35">
        <f t="shared" si="41"/>
        <v>207.36635695900642</v>
      </c>
      <c r="G85" s="35">
        <f t="shared" si="41"/>
        <v>210.52209392544984</v>
      </c>
      <c r="H85" s="35">
        <f t="shared" si="41"/>
        <v>157.94118350744722</v>
      </c>
      <c r="I85" s="35">
        <f t="shared" si="41"/>
        <v>161.78052621833487</v>
      </c>
      <c r="J85" s="35">
        <f t="shared" si="41"/>
        <v>165.7131746543991</v>
      </c>
      <c r="K85" s="35">
        <f t="shared" si="41"/>
        <v>138.73356870385004</v>
      </c>
      <c r="L85" s="35">
        <f t="shared" si="41"/>
        <v>142.10510873602911</v>
      </c>
      <c r="M85" s="35">
        <f t="shared" si="41"/>
        <v>145.55855895402448</v>
      </c>
      <c r="N85" s="6"/>
      <c r="O85" s="6"/>
      <c r="P85" s="6"/>
      <c r="Q85" s="6"/>
      <c r="R85" s="6"/>
      <c r="S85" s="6"/>
      <c r="T85" s="6"/>
      <c r="U85" s="6"/>
      <c r="V85" s="6"/>
      <c r="W85" s="6"/>
      <c r="X85" s="6"/>
      <c r="Y85" s="6"/>
      <c r="Z85" s="6"/>
      <c r="AA85" s="6"/>
    </row>
    <row r="86" spans="1:27" x14ac:dyDescent="0.45">
      <c r="A86" s="2" t="s">
        <v>75</v>
      </c>
      <c r="B86" s="5">
        <f t="shared" ref="B86:M86" si="42">(1+$H$23)^-B77</f>
        <v>1</v>
      </c>
      <c r="C86" s="5">
        <f t="shared" si="42"/>
        <v>0.9174311926605504</v>
      </c>
      <c r="D86" s="5">
        <f t="shared" si="42"/>
        <v>0.84167999326655996</v>
      </c>
      <c r="E86" s="5">
        <f t="shared" si="42"/>
        <v>0.77218348006106419</v>
      </c>
      <c r="F86" s="5">
        <f t="shared" si="42"/>
        <v>0.7084252110651964</v>
      </c>
      <c r="G86" s="5">
        <f t="shared" si="42"/>
        <v>0.64993138629834524</v>
      </c>
      <c r="H86" s="5">
        <f t="shared" si="42"/>
        <v>0.5962673268792158</v>
      </c>
      <c r="I86" s="5">
        <f t="shared" si="42"/>
        <v>0.54703424484331731</v>
      </c>
      <c r="J86" s="5">
        <f t="shared" si="42"/>
        <v>0.50186627967276809</v>
      </c>
      <c r="K86" s="5">
        <f t="shared" si="42"/>
        <v>0.46042777951630098</v>
      </c>
      <c r="L86" s="5">
        <f t="shared" si="42"/>
        <v>0.42241080689568894</v>
      </c>
      <c r="M86" s="5">
        <f t="shared" si="42"/>
        <v>0.38753285036301738</v>
      </c>
      <c r="N86" s="5"/>
      <c r="O86" s="5"/>
      <c r="P86" s="5"/>
      <c r="Q86" s="5"/>
      <c r="R86" s="5"/>
      <c r="S86" s="5"/>
      <c r="T86" s="5"/>
      <c r="U86" s="5"/>
      <c r="V86" s="5"/>
      <c r="W86" s="5"/>
      <c r="X86" s="5"/>
      <c r="Y86" s="5"/>
      <c r="Z86" s="5"/>
      <c r="AA86" s="5"/>
    </row>
    <row r="87" spans="1:27" x14ac:dyDescent="0.45">
      <c r="A87" s="2" t="s">
        <v>79</v>
      </c>
      <c r="B87" s="19">
        <f>B85*B86</f>
        <v>-484.96575275245436</v>
      </c>
      <c r="C87" s="19">
        <f t="shared" ref="C87:M87" si="43">C85*C86</f>
        <v>263.51155562001014</v>
      </c>
      <c r="D87" s="19">
        <f t="shared" si="43"/>
        <v>245.28886526735948</v>
      </c>
      <c r="E87" s="19">
        <f t="shared" si="43"/>
        <v>157.6503684820955</v>
      </c>
      <c r="F87" s="19">
        <f t="shared" si="43"/>
        <v>146.90355519650498</v>
      </c>
      <c r="G87" s="19">
        <f t="shared" si="43"/>
        <v>136.82491635139806</v>
      </c>
      <c r="H87" s="19">
        <f t="shared" si="43"/>
        <v>94.175167294125245</v>
      </c>
      <c r="I87" s="19">
        <f t="shared" si="43"/>
        <v>88.499487990201317</v>
      </c>
      <c r="J87" s="19">
        <f t="shared" si="43"/>
        <v>83.165854456566919</v>
      </c>
      <c r="K87" s="19">
        <f t="shared" si="43"/>
        <v>63.876788982685859</v>
      </c>
      <c r="L87" s="19">
        <f t="shared" si="43"/>
        <v>60.026733645185672</v>
      </c>
      <c r="M87" s="19">
        <f t="shared" si="43"/>
        <v>56.408723246186412</v>
      </c>
      <c r="N87" s="6"/>
      <c r="O87" s="6"/>
      <c r="P87" s="6"/>
      <c r="Q87" s="6"/>
      <c r="R87" s="6"/>
      <c r="S87" s="6"/>
      <c r="T87" s="6"/>
      <c r="U87" s="6"/>
      <c r="V87" s="6"/>
      <c r="W87" s="6"/>
      <c r="X87" s="6"/>
      <c r="Y87" s="6"/>
      <c r="Z87" s="6"/>
      <c r="AA87" s="6"/>
    </row>
    <row r="88" spans="1:27" x14ac:dyDescent="0.45">
      <c r="A88" s="2" t="s">
        <v>80</v>
      </c>
      <c r="B88" s="19">
        <f>B85</f>
        <v>-484.96575275245436</v>
      </c>
      <c r="C88" s="6">
        <f>B88+C85</f>
        <v>-197.73815712664327</v>
      </c>
      <c r="D88" s="6">
        <f t="shared" ref="D88:M88" si="44">C88+D85</f>
        <v>93.689543697506565</v>
      </c>
      <c r="E88" s="6">
        <f t="shared" si="44"/>
        <v>297.85134274250623</v>
      </c>
      <c r="F88" s="6">
        <f t="shared" si="44"/>
        <v>505.21769970151263</v>
      </c>
      <c r="G88" s="6">
        <f t="shared" si="44"/>
        <v>715.73979362696241</v>
      </c>
      <c r="H88" s="6">
        <f t="shared" si="44"/>
        <v>873.68097713440966</v>
      </c>
      <c r="I88" s="6">
        <f t="shared" si="44"/>
        <v>1035.4615033527446</v>
      </c>
      <c r="J88" s="6">
        <f t="shared" si="44"/>
        <v>1201.1746780071437</v>
      </c>
      <c r="K88" s="6">
        <f t="shared" si="44"/>
        <v>1339.9082467109938</v>
      </c>
      <c r="L88" s="6">
        <f t="shared" si="44"/>
        <v>1482.0133554470228</v>
      </c>
      <c r="M88" s="6">
        <f t="shared" si="44"/>
        <v>1627.5719144010473</v>
      </c>
      <c r="N88" s="6"/>
      <c r="O88" s="6"/>
      <c r="P88" s="6"/>
      <c r="Q88" s="6"/>
      <c r="R88" s="6"/>
      <c r="S88" s="6"/>
      <c r="T88" s="6"/>
      <c r="U88" s="6"/>
      <c r="V88" s="6"/>
      <c r="W88" s="6"/>
      <c r="X88" s="6"/>
      <c r="Y88" s="6"/>
      <c r="Z88" s="6"/>
      <c r="AA88" s="6"/>
    </row>
    <row r="89" spans="1:27" x14ac:dyDescent="0.45">
      <c r="A89" s="2" t="s">
        <v>81</v>
      </c>
      <c r="B89" s="19">
        <f>B87</f>
        <v>-484.96575275245436</v>
      </c>
      <c r="C89" s="6">
        <f>B89+C87</f>
        <v>-221.45419713244422</v>
      </c>
      <c r="D89" s="6">
        <f t="shared" ref="D89:M89" si="45">C89+D87</f>
        <v>23.834668134915262</v>
      </c>
      <c r="E89" s="6">
        <f t="shared" si="45"/>
        <v>181.48503661701076</v>
      </c>
      <c r="F89" s="6">
        <f t="shared" si="45"/>
        <v>328.38859181351575</v>
      </c>
      <c r="G89" s="6">
        <f t="shared" si="45"/>
        <v>465.21350816491383</v>
      </c>
      <c r="H89" s="6">
        <f t="shared" si="45"/>
        <v>559.38867545903906</v>
      </c>
      <c r="I89" s="6">
        <f t="shared" si="45"/>
        <v>647.88816344924044</v>
      </c>
      <c r="J89" s="6">
        <f t="shared" si="45"/>
        <v>731.05401790580731</v>
      </c>
      <c r="K89" s="6">
        <f t="shared" si="45"/>
        <v>794.93080688849318</v>
      </c>
      <c r="L89" s="6">
        <f t="shared" si="45"/>
        <v>854.95754053367887</v>
      </c>
      <c r="M89" s="6">
        <f t="shared" si="45"/>
        <v>911.36626377986522</v>
      </c>
      <c r="N89" s="6"/>
      <c r="O89" s="6"/>
      <c r="P89" s="6"/>
      <c r="Q89" s="6"/>
      <c r="R89" s="6"/>
      <c r="S89" s="6"/>
      <c r="T89" s="6"/>
      <c r="U89" s="6"/>
      <c r="V89" s="6"/>
      <c r="W89" s="6"/>
      <c r="X89" s="6"/>
      <c r="Y89" s="6"/>
      <c r="Z89" s="6"/>
      <c r="AA89" s="6"/>
    </row>
    <row r="90" spans="1:27" x14ac:dyDescent="0.45">
      <c r="B90" s="19"/>
      <c r="C90" s="6"/>
      <c r="D90" s="6"/>
      <c r="E90" s="6"/>
      <c r="F90" s="6"/>
      <c r="G90" s="6"/>
      <c r="H90" s="6"/>
      <c r="I90" s="6"/>
      <c r="J90" s="6"/>
      <c r="K90" s="6"/>
      <c r="L90" s="6"/>
      <c r="M90" s="6"/>
      <c r="N90" s="6"/>
      <c r="O90" s="6"/>
      <c r="P90" s="6"/>
      <c r="Q90" s="6"/>
      <c r="R90" s="6"/>
      <c r="S90" s="6"/>
      <c r="T90" s="6"/>
      <c r="U90" s="6"/>
      <c r="V90" s="6"/>
      <c r="W90" s="6"/>
      <c r="X90" s="6"/>
      <c r="Y90" s="6"/>
      <c r="Z90" s="6"/>
      <c r="AA90" s="6"/>
    </row>
    <row r="91" spans="1:27" x14ac:dyDescent="0.45">
      <c r="A91" s="38" t="s">
        <v>115</v>
      </c>
      <c r="B91" s="39">
        <f>SUM(B87:M87)</f>
        <v>911.36626377986522</v>
      </c>
      <c r="C91" s="6"/>
    </row>
    <row r="92" spans="1:27" x14ac:dyDescent="0.45">
      <c r="A92" s="38" t="s">
        <v>116</v>
      </c>
      <c r="B92" s="50">
        <f>IRR(B85:M85)</f>
        <v>0.50345670782769503</v>
      </c>
      <c r="C92" s="4"/>
    </row>
    <row r="94" spans="1:27" x14ac:dyDescent="0.45">
      <c r="A94" s="1" t="s">
        <v>94</v>
      </c>
    </row>
    <row r="95" spans="1:27" x14ac:dyDescent="0.45">
      <c r="A95" s="11" t="s">
        <v>39</v>
      </c>
      <c r="B95" s="11">
        <v>0</v>
      </c>
      <c r="C95" s="11">
        <v>1</v>
      </c>
      <c r="D95" s="11">
        <v>2</v>
      </c>
      <c r="E95" s="11">
        <v>3</v>
      </c>
      <c r="F95" s="11">
        <v>4</v>
      </c>
      <c r="G95" s="11">
        <v>5</v>
      </c>
      <c r="H95" s="11">
        <v>6</v>
      </c>
      <c r="I95" s="11">
        <v>7</v>
      </c>
      <c r="J95" s="11">
        <v>8</v>
      </c>
      <c r="K95" s="11">
        <v>9</v>
      </c>
      <c r="L95" s="11">
        <v>10</v>
      </c>
      <c r="M95" s="11">
        <v>11</v>
      </c>
      <c r="N95" s="11">
        <v>12</v>
      </c>
      <c r="O95" s="11">
        <v>13</v>
      </c>
      <c r="P95" s="11">
        <v>14</v>
      </c>
      <c r="Q95" s="11">
        <v>15</v>
      </c>
      <c r="R95" s="11">
        <v>16</v>
      </c>
      <c r="S95" s="11">
        <v>17</v>
      </c>
      <c r="T95" s="11">
        <v>18</v>
      </c>
      <c r="U95" s="11">
        <v>19</v>
      </c>
      <c r="V95" s="11">
        <v>20</v>
      </c>
      <c r="W95" s="11">
        <v>21</v>
      </c>
      <c r="X95" s="11">
        <v>22</v>
      </c>
      <c r="Y95" s="11">
        <v>23</v>
      </c>
      <c r="Z95" s="11">
        <v>24</v>
      </c>
      <c r="AA95" s="11">
        <v>25</v>
      </c>
    </row>
    <row r="96" spans="1:27" x14ac:dyDescent="0.45">
      <c r="A96" s="1" t="s">
        <v>96</v>
      </c>
      <c r="B96" s="35">
        <f>B85</f>
        <v>-484.96575275245436</v>
      </c>
      <c r="C96" s="35">
        <f t="shared" ref="C96:M96" si="46">C85</f>
        <v>287.22759562581109</v>
      </c>
      <c r="D96" s="35">
        <f t="shared" si="46"/>
        <v>291.42770082414984</v>
      </c>
      <c r="E96" s="35">
        <f t="shared" si="46"/>
        <v>204.16179904499967</v>
      </c>
      <c r="F96" s="35">
        <f t="shared" si="46"/>
        <v>207.36635695900642</v>
      </c>
      <c r="G96" s="35">
        <f t="shared" si="46"/>
        <v>210.52209392544984</v>
      </c>
      <c r="H96" s="35">
        <f t="shared" si="46"/>
        <v>157.94118350744722</v>
      </c>
      <c r="I96" s="35">
        <f t="shared" si="46"/>
        <v>161.78052621833487</v>
      </c>
      <c r="J96" s="35">
        <f t="shared" si="46"/>
        <v>165.7131746543991</v>
      </c>
      <c r="K96" s="35">
        <f t="shared" si="46"/>
        <v>138.73356870385004</v>
      </c>
      <c r="L96" s="35">
        <f t="shared" si="46"/>
        <v>142.10510873602911</v>
      </c>
      <c r="M96" s="35">
        <f t="shared" si="46"/>
        <v>145.55855895402448</v>
      </c>
    </row>
    <row r="97" spans="1:27" x14ac:dyDescent="0.45">
      <c r="A97" s="3" t="s">
        <v>112</v>
      </c>
      <c r="B97" s="33">
        <f>B56</f>
        <v>384</v>
      </c>
      <c r="C97" s="33"/>
      <c r="D97" s="33"/>
      <c r="E97" s="33"/>
      <c r="F97" s="33"/>
      <c r="G97" s="33"/>
      <c r="H97" s="33"/>
      <c r="I97" s="33"/>
      <c r="J97" s="33"/>
      <c r="K97" s="33"/>
      <c r="L97" s="33"/>
      <c r="M97" s="33"/>
      <c r="N97" s="6"/>
      <c r="O97" s="6"/>
      <c r="P97" s="6"/>
      <c r="Q97" s="6"/>
      <c r="R97" s="6"/>
      <c r="S97" s="6"/>
      <c r="T97" s="6"/>
      <c r="U97" s="6"/>
      <c r="V97" s="6"/>
      <c r="W97" s="6"/>
      <c r="X97" s="6"/>
      <c r="Y97" s="6"/>
      <c r="Z97" s="6"/>
      <c r="AA97" s="6"/>
    </row>
    <row r="98" spans="1:27" x14ac:dyDescent="0.45">
      <c r="A98" s="3" t="s">
        <v>102</v>
      </c>
      <c r="B98" s="19">
        <f>B58</f>
        <v>101.29823262518224</v>
      </c>
      <c r="C98" s="19">
        <f t="shared" ref="C98:F98" si="47">C58</f>
        <v>101.29823262518224</v>
      </c>
      <c r="D98" s="19">
        <f t="shared" si="47"/>
        <v>101.29823262518224</v>
      </c>
      <c r="E98" s="19">
        <f t="shared" si="47"/>
        <v>101.29823262518224</v>
      </c>
      <c r="F98" s="19">
        <f t="shared" si="47"/>
        <v>101.29823262518224</v>
      </c>
      <c r="G98" s="35"/>
      <c r="H98" s="35"/>
      <c r="I98" s="35"/>
      <c r="J98" s="35"/>
      <c r="K98" s="35"/>
      <c r="L98" s="35"/>
      <c r="M98" s="35"/>
    </row>
    <row r="99" spans="1:27" x14ac:dyDescent="0.45">
      <c r="A99" s="36" t="s">
        <v>113</v>
      </c>
      <c r="B99" s="35">
        <f>B96+B97-B98</f>
        <v>-202.2639853776366</v>
      </c>
      <c r="C99" s="35">
        <f t="shared" ref="C99:M99" si="48">C96+C97-C98</f>
        <v>185.92936300062885</v>
      </c>
      <c r="D99" s="35">
        <f t="shared" si="48"/>
        <v>190.1294681989676</v>
      </c>
      <c r="E99" s="35">
        <f t="shared" si="48"/>
        <v>102.86356641981743</v>
      </c>
      <c r="F99" s="35">
        <f t="shared" si="48"/>
        <v>106.06812433382419</v>
      </c>
      <c r="G99" s="35">
        <f t="shared" si="48"/>
        <v>210.52209392544984</v>
      </c>
      <c r="H99" s="35">
        <f t="shared" si="48"/>
        <v>157.94118350744722</v>
      </c>
      <c r="I99" s="35">
        <f t="shared" si="48"/>
        <v>161.78052621833487</v>
      </c>
      <c r="J99" s="35">
        <f t="shared" si="48"/>
        <v>165.7131746543991</v>
      </c>
      <c r="K99" s="35">
        <f t="shared" si="48"/>
        <v>138.73356870385004</v>
      </c>
      <c r="L99" s="35">
        <f t="shared" si="48"/>
        <v>142.10510873602911</v>
      </c>
      <c r="M99" s="35">
        <f t="shared" si="48"/>
        <v>145.55855895402448</v>
      </c>
      <c r="N99" s="6"/>
      <c r="O99" s="6"/>
      <c r="P99" s="6"/>
      <c r="Q99" s="6"/>
      <c r="R99" s="6"/>
      <c r="S99" s="6"/>
      <c r="T99" s="6"/>
      <c r="U99" s="6"/>
      <c r="V99" s="6"/>
      <c r="W99" s="6"/>
      <c r="X99" s="6"/>
      <c r="Y99" s="6"/>
      <c r="Z99" s="6"/>
      <c r="AA99" s="6"/>
    </row>
    <row r="100" spans="1:27" x14ac:dyDescent="0.45">
      <c r="A100" s="36"/>
      <c r="B100" s="35"/>
      <c r="C100" s="35"/>
      <c r="D100" s="35"/>
      <c r="E100" s="35"/>
      <c r="F100" s="35"/>
      <c r="G100" s="35"/>
      <c r="H100" s="35"/>
      <c r="I100" s="35"/>
      <c r="J100" s="35"/>
      <c r="K100" s="35"/>
      <c r="L100" s="35"/>
      <c r="M100" s="35"/>
      <c r="N100" s="6"/>
      <c r="O100" s="6"/>
      <c r="P100" s="6"/>
      <c r="Q100" s="6"/>
      <c r="R100" s="6"/>
      <c r="S100" s="6"/>
      <c r="T100" s="6"/>
      <c r="U100" s="6"/>
      <c r="V100" s="6"/>
      <c r="W100" s="6"/>
      <c r="X100" s="6"/>
      <c r="Y100" s="6"/>
      <c r="Z100" s="6"/>
      <c r="AA100" s="6"/>
    </row>
    <row r="101" spans="1:27" x14ac:dyDescent="0.45">
      <c r="A101" s="40" t="s">
        <v>117</v>
      </c>
      <c r="B101" s="39">
        <f>NPV(B10,C99:M99)+B99</f>
        <v>916.90350747468597</v>
      </c>
      <c r="C101" s="35"/>
      <c r="D101" s="35"/>
      <c r="E101" s="35"/>
      <c r="F101" s="35"/>
      <c r="G101" s="35"/>
      <c r="H101" s="35"/>
      <c r="I101" s="35"/>
      <c r="J101" s="35"/>
      <c r="K101" s="35"/>
      <c r="L101" s="35"/>
      <c r="M101" s="35"/>
      <c r="N101" s="6"/>
      <c r="O101" s="6"/>
      <c r="P101" s="6"/>
      <c r="Q101" s="6"/>
      <c r="R101" s="6"/>
      <c r="S101" s="6"/>
      <c r="T101" s="6"/>
      <c r="U101" s="6"/>
      <c r="V101" s="6"/>
      <c r="W101" s="6"/>
      <c r="X101" s="6"/>
      <c r="Y101" s="6"/>
      <c r="Z101" s="6"/>
      <c r="AA101" s="6"/>
    </row>
    <row r="102" spans="1:27" x14ac:dyDescent="0.45">
      <c r="A102" s="38" t="s">
        <v>114</v>
      </c>
      <c r="B102" s="50">
        <f>IRR(B99:M99)</f>
        <v>0.837135199255854</v>
      </c>
    </row>
    <row r="104" spans="1:27" x14ac:dyDescent="0.45">
      <c r="A104" s="25" t="s">
        <v>89</v>
      </c>
    </row>
    <row r="105" spans="1:27" x14ac:dyDescent="0.45">
      <c r="A105" s="24" t="s">
        <v>122</v>
      </c>
    </row>
  </sheetData>
  <mergeCells count="2">
    <mergeCell ref="A1:I1"/>
    <mergeCell ref="A2:I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68C1-0BAB-4010-86D0-58E1E2A0B874}">
  <dimension ref="A1:AA105"/>
  <sheetViews>
    <sheetView topLeftCell="A83" workbookViewId="0">
      <selection activeCell="B92" sqref="B92"/>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118</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12</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384</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14">
        <v>0</v>
      </c>
    </row>
    <row r="20" spans="1:15" x14ac:dyDescent="0.45">
      <c r="A20" s="3" t="s">
        <v>13</v>
      </c>
      <c r="B20" s="4">
        <v>0.55000000000000004</v>
      </c>
      <c r="E20" s="2" t="s">
        <v>36</v>
      </c>
      <c r="H20" s="14">
        <v>0.5</v>
      </c>
      <c r="I20" s="2" t="s">
        <v>98</v>
      </c>
    </row>
    <row r="21" spans="1:15" x14ac:dyDescent="0.45">
      <c r="A21" s="3" t="s">
        <v>54</v>
      </c>
      <c r="B21" s="14">
        <v>1</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0.09</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24</v>
      </c>
      <c r="B28" s="4">
        <v>0.1</v>
      </c>
      <c r="C28" s="2" t="s">
        <v>25</v>
      </c>
      <c r="E28" s="2" t="s">
        <v>57</v>
      </c>
      <c r="H28" s="14">
        <v>0.2</v>
      </c>
      <c r="N28" s="4"/>
      <c r="O28" s="9"/>
    </row>
    <row r="29" spans="1:15" ht="15.75" thickBot="1" x14ac:dyDescent="0.5">
      <c r="A29" s="12" t="s">
        <v>26</v>
      </c>
      <c r="B29" s="30">
        <v>1E-3</v>
      </c>
      <c r="C29" s="12" t="s">
        <v>27</v>
      </c>
      <c r="D29" s="12"/>
      <c r="E29" s="12" t="s">
        <v>58</v>
      </c>
      <c r="F29" s="12"/>
      <c r="G29" s="12"/>
      <c r="H29" s="18">
        <v>1000000</v>
      </c>
      <c r="I29" s="12"/>
    </row>
    <row r="30" spans="1:15" ht="15.75" thickTop="1" x14ac:dyDescent="0.45"/>
    <row r="32" spans="1:15" ht="18.75" x14ac:dyDescent="0.5">
      <c r="A32" s="27" t="s">
        <v>33</v>
      </c>
    </row>
    <row r="33" spans="1:27" x14ac:dyDescent="0.45">
      <c r="A33" s="1" t="s">
        <v>38</v>
      </c>
    </row>
    <row r="34" spans="1:27" x14ac:dyDescent="0.45">
      <c r="A34" s="11" t="s">
        <v>39</v>
      </c>
      <c r="B34" s="11">
        <v>0</v>
      </c>
      <c r="C34" s="11">
        <v>1</v>
      </c>
      <c r="D34" s="11">
        <v>2</v>
      </c>
      <c r="E34" s="11">
        <v>3</v>
      </c>
      <c r="F34" s="11">
        <v>4</v>
      </c>
      <c r="G34" s="11">
        <v>5</v>
      </c>
      <c r="H34" s="11">
        <v>6</v>
      </c>
      <c r="I34" s="11">
        <v>7</v>
      </c>
      <c r="J34" s="11">
        <v>8</v>
      </c>
      <c r="K34" s="11">
        <v>9</v>
      </c>
      <c r="L34" s="11">
        <v>10</v>
      </c>
      <c r="M34" s="11">
        <v>11</v>
      </c>
      <c r="N34" s="11">
        <v>12</v>
      </c>
      <c r="O34" s="11">
        <v>13</v>
      </c>
      <c r="P34" s="11">
        <v>14</v>
      </c>
      <c r="Q34" s="11">
        <v>15</v>
      </c>
      <c r="R34" s="11">
        <v>16</v>
      </c>
      <c r="S34" s="11">
        <v>17</v>
      </c>
      <c r="T34" s="11">
        <v>18</v>
      </c>
      <c r="U34" s="11">
        <v>19</v>
      </c>
      <c r="V34" s="11">
        <v>20</v>
      </c>
      <c r="W34" s="11">
        <v>21</v>
      </c>
      <c r="X34" s="11">
        <v>22</v>
      </c>
      <c r="Y34" s="11">
        <v>23</v>
      </c>
      <c r="Z34" s="11">
        <v>24</v>
      </c>
      <c r="AA34" s="11">
        <v>25</v>
      </c>
    </row>
    <row r="35" spans="1:27" x14ac:dyDescent="0.45">
      <c r="A35" s="2" t="s">
        <v>40</v>
      </c>
      <c r="B35" s="5">
        <f t="shared" ref="B35:AA35" si="0">(1+$B$27)^B34</f>
        <v>1</v>
      </c>
      <c r="C35" s="5">
        <f t="shared" si="0"/>
        <v>1.03</v>
      </c>
      <c r="D35" s="5">
        <f t="shared" si="0"/>
        <v>1.0609</v>
      </c>
      <c r="E35" s="5">
        <f t="shared" si="0"/>
        <v>1.092727</v>
      </c>
      <c r="F35" s="5">
        <f t="shared" si="0"/>
        <v>1.1255088099999999</v>
      </c>
      <c r="G35" s="5">
        <f t="shared" si="0"/>
        <v>1.1592740742999998</v>
      </c>
      <c r="H35" s="5">
        <f t="shared" si="0"/>
        <v>1.1940522965289999</v>
      </c>
      <c r="I35" s="5">
        <f t="shared" si="0"/>
        <v>1.22987386542487</v>
      </c>
      <c r="J35" s="5">
        <f t="shared" si="0"/>
        <v>1.2667700813876159</v>
      </c>
      <c r="K35" s="5">
        <f t="shared" si="0"/>
        <v>1.3047731838292445</v>
      </c>
      <c r="L35" s="5">
        <f t="shared" si="0"/>
        <v>1.3439163793441218</v>
      </c>
      <c r="M35" s="5">
        <f t="shared" si="0"/>
        <v>1.3842338707244455</v>
      </c>
      <c r="N35" s="5">
        <f t="shared" si="0"/>
        <v>1.4257608868461786</v>
      </c>
      <c r="O35" s="5">
        <f t="shared" si="0"/>
        <v>1.4685337134515639</v>
      </c>
      <c r="P35" s="5">
        <f t="shared" si="0"/>
        <v>1.512589724855111</v>
      </c>
      <c r="Q35" s="5">
        <f t="shared" si="0"/>
        <v>1.5579674166007644</v>
      </c>
      <c r="R35" s="5">
        <f t="shared" si="0"/>
        <v>1.6047064390987871</v>
      </c>
      <c r="S35" s="5">
        <f t="shared" si="0"/>
        <v>1.6528476322717507</v>
      </c>
      <c r="T35" s="5">
        <f t="shared" si="0"/>
        <v>1.7024330612399032</v>
      </c>
      <c r="U35" s="5">
        <f t="shared" si="0"/>
        <v>1.7535060530771003</v>
      </c>
      <c r="V35" s="5">
        <f t="shared" si="0"/>
        <v>1.8061112346694133</v>
      </c>
      <c r="W35" s="5">
        <f t="shared" si="0"/>
        <v>1.8602945717094954</v>
      </c>
      <c r="X35" s="5">
        <f t="shared" si="0"/>
        <v>1.9161034088607805</v>
      </c>
      <c r="Y35" s="5">
        <f t="shared" si="0"/>
        <v>1.973586511126604</v>
      </c>
      <c r="Z35" s="5">
        <f t="shared" si="0"/>
        <v>2.0327941064604018</v>
      </c>
      <c r="AA35" s="5">
        <f t="shared" si="0"/>
        <v>2.0937779296542138</v>
      </c>
    </row>
    <row r="36" spans="1:27" x14ac:dyDescent="0.45">
      <c r="A36" s="2" t="s">
        <v>41</v>
      </c>
      <c r="B36" s="5">
        <f t="shared" ref="B36:AA36" si="1">(1+$B$26)^B34</f>
        <v>1</v>
      </c>
      <c r="C36" s="5">
        <f t="shared" si="1"/>
        <v>1.03</v>
      </c>
      <c r="D36" s="5">
        <f t="shared" si="1"/>
        <v>1.0609</v>
      </c>
      <c r="E36" s="5">
        <f t="shared" si="1"/>
        <v>1.092727</v>
      </c>
      <c r="F36" s="5">
        <f t="shared" si="1"/>
        <v>1.1255088099999999</v>
      </c>
      <c r="G36" s="5">
        <f t="shared" si="1"/>
        <v>1.1592740742999998</v>
      </c>
      <c r="H36" s="5">
        <f t="shared" si="1"/>
        <v>1.1940522965289999</v>
      </c>
      <c r="I36" s="5">
        <f t="shared" si="1"/>
        <v>1.22987386542487</v>
      </c>
      <c r="J36" s="5">
        <f t="shared" si="1"/>
        <v>1.2667700813876159</v>
      </c>
      <c r="K36" s="5">
        <f t="shared" si="1"/>
        <v>1.3047731838292445</v>
      </c>
      <c r="L36" s="5">
        <f t="shared" si="1"/>
        <v>1.3439163793441218</v>
      </c>
      <c r="M36" s="5">
        <f t="shared" si="1"/>
        <v>1.3842338707244455</v>
      </c>
      <c r="N36" s="5">
        <f t="shared" si="1"/>
        <v>1.4257608868461786</v>
      </c>
      <c r="O36" s="5">
        <f t="shared" si="1"/>
        <v>1.4685337134515639</v>
      </c>
      <c r="P36" s="5">
        <f t="shared" si="1"/>
        <v>1.512589724855111</v>
      </c>
      <c r="Q36" s="5">
        <f t="shared" si="1"/>
        <v>1.5579674166007644</v>
      </c>
      <c r="R36" s="5">
        <f t="shared" si="1"/>
        <v>1.6047064390987871</v>
      </c>
      <c r="S36" s="5">
        <f t="shared" si="1"/>
        <v>1.6528476322717507</v>
      </c>
      <c r="T36" s="5">
        <f t="shared" si="1"/>
        <v>1.7024330612399032</v>
      </c>
      <c r="U36" s="5">
        <f t="shared" si="1"/>
        <v>1.7535060530771003</v>
      </c>
      <c r="V36" s="5">
        <f t="shared" si="1"/>
        <v>1.8061112346694133</v>
      </c>
      <c r="W36" s="5">
        <f t="shared" si="1"/>
        <v>1.8602945717094954</v>
      </c>
      <c r="X36" s="5">
        <f t="shared" si="1"/>
        <v>1.9161034088607805</v>
      </c>
      <c r="Y36" s="5">
        <f t="shared" si="1"/>
        <v>1.973586511126604</v>
      </c>
      <c r="Z36" s="5">
        <f t="shared" si="1"/>
        <v>2.0327941064604018</v>
      </c>
      <c r="AA36" s="5">
        <f t="shared" si="1"/>
        <v>2.0937779296542138</v>
      </c>
    </row>
    <row r="37" spans="1:27" x14ac:dyDescent="0.45">
      <c r="A37" s="2" t="s">
        <v>53</v>
      </c>
      <c r="B37" s="5">
        <f t="shared" ref="B37" si="2">(1-$B$17)</f>
        <v>0.9</v>
      </c>
      <c r="C37" s="5">
        <f>(1-$B$17)</f>
        <v>0.9</v>
      </c>
      <c r="D37" s="5">
        <f t="shared" ref="D37" si="3">(1-$B$17)</f>
        <v>0.9</v>
      </c>
      <c r="E37" s="5">
        <f t="shared" ref="E37" si="4">(1-$B$18)</f>
        <v>0.75</v>
      </c>
      <c r="F37" s="5">
        <f>(1-$B$18)</f>
        <v>0.75</v>
      </c>
      <c r="G37" s="5">
        <f t="shared" ref="G37" si="5">(1-$B$18)</f>
        <v>0.75</v>
      </c>
      <c r="H37" s="5">
        <f t="shared" ref="H37" si="6">(1-$B$19)</f>
        <v>0.55000000000000004</v>
      </c>
      <c r="I37" s="5">
        <f>(1-$B$19)</f>
        <v>0.55000000000000004</v>
      </c>
      <c r="J37" s="5">
        <f t="shared" ref="J37" si="7">(1-$B$19)</f>
        <v>0.55000000000000004</v>
      </c>
      <c r="K37" s="5">
        <f t="shared" ref="K37" si="8">(1-$B$20)</f>
        <v>0.44999999999999996</v>
      </c>
      <c r="L37" s="5">
        <f>(1-$B$20)</f>
        <v>0.44999999999999996</v>
      </c>
      <c r="M37" s="5">
        <f t="shared" ref="M37" si="9">(1-$B$20)</f>
        <v>0.44999999999999996</v>
      </c>
      <c r="N37" s="32">
        <f t="shared" ref="N37" si="10">(1-$B$21)</f>
        <v>0</v>
      </c>
      <c r="O37" s="32">
        <f>(1-$B$21)</f>
        <v>0</v>
      </c>
      <c r="P37" s="32">
        <f t="shared" ref="P37:AA37" si="11">(1-$B$21)</f>
        <v>0</v>
      </c>
      <c r="Q37" s="32">
        <f t="shared" si="11"/>
        <v>0</v>
      </c>
      <c r="R37" s="32">
        <f t="shared" si="11"/>
        <v>0</v>
      </c>
      <c r="S37" s="32">
        <f t="shared" si="11"/>
        <v>0</v>
      </c>
      <c r="T37" s="32">
        <f t="shared" si="11"/>
        <v>0</v>
      </c>
      <c r="U37" s="32">
        <f t="shared" si="11"/>
        <v>0</v>
      </c>
      <c r="V37" s="32">
        <f t="shared" si="11"/>
        <v>0</v>
      </c>
      <c r="W37" s="32">
        <f t="shared" si="11"/>
        <v>0</v>
      </c>
      <c r="X37" s="32">
        <f t="shared" si="11"/>
        <v>0</v>
      </c>
      <c r="Y37" s="32">
        <f t="shared" si="11"/>
        <v>0</v>
      </c>
      <c r="Z37" s="32">
        <f t="shared" si="11"/>
        <v>0</v>
      </c>
      <c r="AA37" s="32">
        <f t="shared" si="11"/>
        <v>0</v>
      </c>
    </row>
    <row r="38" spans="1:27" x14ac:dyDescent="0.45">
      <c r="A38" s="2" t="s">
        <v>42</v>
      </c>
      <c r="B38" s="5">
        <f>1-B23</f>
        <v>0.99</v>
      </c>
      <c r="C38" s="5">
        <f t="shared" ref="C38:AA38" si="12">B38*(1-$B$24)</f>
        <v>0.98455500000000007</v>
      </c>
      <c r="D38" s="5">
        <f t="shared" si="12"/>
        <v>0.97913994750000011</v>
      </c>
      <c r="E38" s="5">
        <f t="shared" si="12"/>
        <v>0.97375467778875013</v>
      </c>
      <c r="F38" s="5">
        <f t="shared" si="12"/>
        <v>0.96839902706091208</v>
      </c>
      <c r="G38" s="5">
        <f t="shared" si="12"/>
        <v>0.96307283241207708</v>
      </c>
      <c r="H38" s="5">
        <f t="shared" si="12"/>
        <v>0.95777593183381071</v>
      </c>
      <c r="I38" s="5">
        <f t="shared" si="12"/>
        <v>0.95250816420872475</v>
      </c>
      <c r="J38" s="5">
        <f t="shared" si="12"/>
        <v>0.94726936930557681</v>
      </c>
      <c r="K38" s="5">
        <f t="shared" si="12"/>
        <v>0.94205938777439624</v>
      </c>
      <c r="L38" s="5">
        <f t="shared" si="12"/>
        <v>0.93687806114163708</v>
      </c>
      <c r="M38" s="5">
        <f t="shared" si="12"/>
        <v>0.93172523180535816</v>
      </c>
      <c r="N38" s="5">
        <f t="shared" si="12"/>
        <v>0.92660074303042872</v>
      </c>
      <c r="O38" s="5">
        <f t="shared" si="12"/>
        <v>0.92150443894376144</v>
      </c>
      <c r="P38" s="5">
        <f t="shared" si="12"/>
        <v>0.91643616452957077</v>
      </c>
      <c r="Q38" s="5">
        <f t="shared" si="12"/>
        <v>0.91139576562465818</v>
      </c>
      <c r="R38" s="5">
        <f t="shared" si="12"/>
        <v>0.90638308891372266</v>
      </c>
      <c r="S38" s="5">
        <f t="shared" si="12"/>
        <v>0.90139798192469722</v>
      </c>
      <c r="T38" s="5">
        <f t="shared" si="12"/>
        <v>0.89644029302411143</v>
      </c>
      <c r="U38" s="5">
        <f t="shared" si="12"/>
        <v>0.89150987141247884</v>
      </c>
      <c r="V38" s="5">
        <f t="shared" si="12"/>
        <v>0.8866065671197102</v>
      </c>
      <c r="W38" s="5">
        <f t="shared" si="12"/>
        <v>0.88173023100055181</v>
      </c>
      <c r="X38" s="5">
        <f t="shared" si="12"/>
        <v>0.8768807147300488</v>
      </c>
      <c r="Y38" s="5">
        <f t="shared" si="12"/>
        <v>0.87205787079903363</v>
      </c>
      <c r="Z38" s="5">
        <f t="shared" si="12"/>
        <v>0.86726155250963899</v>
      </c>
      <c r="AA38" s="5">
        <f t="shared" si="12"/>
        <v>0.86249161397083607</v>
      </c>
    </row>
    <row r="40" spans="1:27" x14ac:dyDescent="0.45">
      <c r="A40" s="1" t="s">
        <v>44</v>
      </c>
    </row>
    <row r="41" spans="1:27" x14ac:dyDescent="0.45">
      <c r="A41" s="11" t="s">
        <v>39</v>
      </c>
      <c r="B41" s="11">
        <v>0</v>
      </c>
      <c r="C41" s="11">
        <v>1</v>
      </c>
      <c r="D41" s="11">
        <v>2</v>
      </c>
      <c r="E41" s="11">
        <v>3</v>
      </c>
      <c r="F41" s="11">
        <v>4</v>
      </c>
      <c r="G41" s="11">
        <v>5</v>
      </c>
      <c r="H41" s="11">
        <v>6</v>
      </c>
      <c r="I41" s="11">
        <v>7</v>
      </c>
      <c r="J41" s="11">
        <v>8</v>
      </c>
      <c r="K41" s="11">
        <v>9</v>
      </c>
      <c r="L41" s="11">
        <v>10</v>
      </c>
      <c r="M41" s="11">
        <v>11</v>
      </c>
      <c r="N41" s="11">
        <v>12</v>
      </c>
      <c r="O41" s="11">
        <v>13</v>
      </c>
      <c r="P41" s="11">
        <v>14</v>
      </c>
      <c r="Q41" s="11">
        <v>15</v>
      </c>
      <c r="R41" s="11">
        <v>16</v>
      </c>
      <c r="S41" s="11">
        <v>17</v>
      </c>
      <c r="T41" s="11">
        <v>18</v>
      </c>
      <c r="U41" s="11">
        <v>19</v>
      </c>
      <c r="V41" s="11">
        <v>20</v>
      </c>
      <c r="W41" s="11">
        <v>21</v>
      </c>
      <c r="X41" s="11">
        <v>22</v>
      </c>
      <c r="Y41" s="11">
        <v>23</v>
      </c>
      <c r="Z41" s="11">
        <v>24</v>
      </c>
      <c r="AA41" s="11">
        <v>25</v>
      </c>
    </row>
    <row r="42" spans="1:27" x14ac:dyDescent="0.45">
      <c r="A42" s="2" t="s">
        <v>48</v>
      </c>
      <c r="B42" s="6">
        <f t="shared" ref="B42:AA42" si="13">$H$25*$B$25*B38</f>
        <v>89801.91</v>
      </c>
      <c r="C42" s="6">
        <f t="shared" si="13"/>
        <v>89307.999495000011</v>
      </c>
      <c r="D42" s="6">
        <f t="shared" si="13"/>
        <v>88816.805497777503</v>
      </c>
      <c r="E42" s="6">
        <f t="shared" si="13"/>
        <v>88328.313067539741</v>
      </c>
      <c r="F42" s="6">
        <f t="shared" si="13"/>
        <v>87842.507345668273</v>
      </c>
      <c r="G42" s="6">
        <f t="shared" si="13"/>
        <v>87359.373555267099</v>
      </c>
      <c r="H42" s="6">
        <f t="shared" si="13"/>
        <v>86878.897000713143</v>
      </c>
      <c r="I42" s="6">
        <f t="shared" si="13"/>
        <v>86401.063067209208</v>
      </c>
      <c r="J42" s="6">
        <f t="shared" si="13"/>
        <v>85925.857220339574</v>
      </c>
      <c r="K42" s="6">
        <f t="shared" si="13"/>
        <v>85453.265005627705</v>
      </c>
      <c r="L42" s="6">
        <f t="shared" si="13"/>
        <v>84983.272048096755</v>
      </c>
      <c r="M42" s="6">
        <f t="shared" si="13"/>
        <v>84515.864051832235</v>
      </c>
      <c r="N42" s="6">
        <f t="shared" si="13"/>
        <v>84051.026799547166</v>
      </c>
      <c r="O42" s="6">
        <f t="shared" si="13"/>
        <v>83588.746152149659</v>
      </c>
      <c r="P42" s="6">
        <f t="shared" si="13"/>
        <v>83129.00804831284</v>
      </c>
      <c r="Q42" s="6">
        <f t="shared" si="13"/>
        <v>82671.798504047125</v>
      </c>
      <c r="R42" s="6">
        <f t="shared" si="13"/>
        <v>82217.103612274863</v>
      </c>
      <c r="S42" s="6">
        <f t="shared" si="13"/>
        <v>81764.90954240736</v>
      </c>
      <c r="T42" s="6">
        <f t="shared" si="13"/>
        <v>81315.202539924125</v>
      </c>
      <c r="U42" s="6">
        <f t="shared" si="13"/>
        <v>80867.968925954541</v>
      </c>
      <c r="V42" s="6">
        <f t="shared" si="13"/>
        <v>80423.195096861789</v>
      </c>
      <c r="W42" s="6">
        <f t="shared" si="13"/>
        <v>79980.86752382906</v>
      </c>
      <c r="X42" s="6">
        <f t="shared" si="13"/>
        <v>79540.972752447997</v>
      </c>
      <c r="Y42" s="6">
        <f t="shared" si="13"/>
        <v>79103.497402309542</v>
      </c>
      <c r="Z42" s="6">
        <f t="shared" si="13"/>
        <v>78668.428166596845</v>
      </c>
      <c r="AA42" s="6">
        <f t="shared" si="13"/>
        <v>78235.751811680573</v>
      </c>
    </row>
    <row r="43" spans="1:27" x14ac:dyDescent="0.45">
      <c r="A43" s="2" t="s">
        <v>49</v>
      </c>
      <c r="B43" s="6">
        <f t="shared" ref="B43:AA43" si="14">B42*$H$26</f>
        <v>72899.926939266399</v>
      </c>
      <c r="C43" s="6">
        <f t="shared" si="14"/>
        <v>72498.977341100443</v>
      </c>
      <c r="D43" s="6">
        <f t="shared" si="14"/>
        <v>72100.232965724383</v>
      </c>
      <c r="E43" s="6">
        <f t="shared" si="14"/>
        <v>71703.681684412906</v>
      </c>
      <c r="F43" s="6">
        <f t="shared" si="14"/>
        <v>71309.311435148644</v>
      </c>
      <c r="G43" s="6">
        <f t="shared" si="14"/>
        <v>70917.110222255316</v>
      </c>
      <c r="H43" s="6">
        <f t="shared" si="14"/>
        <v>70527.066116032933</v>
      </c>
      <c r="I43" s="6">
        <f t="shared" si="14"/>
        <v>70139.167252394735</v>
      </c>
      <c r="J43" s="6">
        <f t="shared" si="14"/>
        <v>69753.401832506584</v>
      </c>
      <c r="K43" s="6">
        <f t="shared" si="14"/>
        <v>69369.758122427796</v>
      </c>
      <c r="L43" s="6">
        <f t="shared" si="14"/>
        <v>68988.224452754439</v>
      </c>
      <c r="M43" s="6">
        <f t="shared" si="14"/>
        <v>68608.789218264297</v>
      </c>
      <c r="N43" s="6">
        <f t="shared" si="14"/>
        <v>68231.440877563859</v>
      </c>
      <c r="O43" s="6">
        <f t="shared" si="14"/>
        <v>67856.167952737262</v>
      </c>
      <c r="P43" s="6">
        <f t="shared" si="14"/>
        <v>67482.959028997197</v>
      </c>
      <c r="Q43" s="6">
        <f t="shared" si="14"/>
        <v>67111.802754337725</v>
      </c>
      <c r="R43" s="6">
        <f t="shared" si="14"/>
        <v>66742.68783918886</v>
      </c>
      <c r="S43" s="6">
        <f t="shared" si="14"/>
        <v>66375.603056073334</v>
      </c>
      <c r="T43" s="6">
        <f t="shared" si="14"/>
        <v>66010.53723926493</v>
      </c>
      <c r="U43" s="6">
        <f t="shared" si="14"/>
        <v>65647.479284448971</v>
      </c>
      <c r="V43" s="6">
        <f t="shared" si="14"/>
        <v>65286.418148384502</v>
      </c>
      <c r="W43" s="6">
        <f t="shared" si="14"/>
        <v>64927.342848568398</v>
      </c>
      <c r="X43" s="6">
        <f t="shared" si="14"/>
        <v>64570.242462901268</v>
      </c>
      <c r="Y43" s="6">
        <f t="shared" si="14"/>
        <v>64215.106129355321</v>
      </c>
      <c r="Z43" s="6">
        <f t="shared" si="14"/>
        <v>63861.923045643867</v>
      </c>
      <c r="AA43" s="6">
        <f t="shared" si="14"/>
        <v>63510.682468892839</v>
      </c>
    </row>
    <row r="44" spans="1:27" x14ac:dyDescent="0.45">
      <c r="A44" s="2" t="s">
        <v>50</v>
      </c>
      <c r="B44" s="6">
        <f>B42-B43</f>
        <v>16901.983060733604</v>
      </c>
      <c r="C44" s="6">
        <f t="shared" ref="C44:AA44" si="15">C42-C43</f>
        <v>16809.022153899568</v>
      </c>
      <c r="D44" s="6">
        <f t="shared" si="15"/>
        <v>16716.57253205312</v>
      </c>
      <c r="E44" s="6">
        <f t="shared" si="15"/>
        <v>16624.631383126834</v>
      </c>
      <c r="F44" s="6">
        <f t="shared" si="15"/>
        <v>16533.195910519629</v>
      </c>
      <c r="G44" s="6">
        <f t="shared" si="15"/>
        <v>16442.263333011782</v>
      </c>
      <c r="H44" s="6">
        <f t="shared" si="15"/>
        <v>16351.83088468021</v>
      </c>
      <c r="I44" s="6">
        <f t="shared" si="15"/>
        <v>16261.895814814474</v>
      </c>
      <c r="J44" s="6">
        <f t="shared" si="15"/>
        <v>16172.45538783299</v>
      </c>
      <c r="K44" s="6">
        <f t="shared" si="15"/>
        <v>16083.506883199909</v>
      </c>
      <c r="L44" s="6">
        <f t="shared" si="15"/>
        <v>15995.047595342316</v>
      </c>
      <c r="M44" s="6">
        <f t="shared" si="15"/>
        <v>15907.074833567938</v>
      </c>
      <c r="N44" s="6">
        <f t="shared" si="15"/>
        <v>15819.585921983307</v>
      </c>
      <c r="O44" s="6">
        <f t="shared" si="15"/>
        <v>15732.578199412397</v>
      </c>
      <c r="P44" s="6">
        <f t="shared" si="15"/>
        <v>15646.049019315644</v>
      </c>
      <c r="Q44" s="6">
        <f t="shared" si="15"/>
        <v>15559.9957497094</v>
      </c>
      <c r="R44" s="6">
        <f t="shared" si="15"/>
        <v>15474.415773086002</v>
      </c>
      <c r="S44" s="6">
        <f t="shared" si="15"/>
        <v>15389.306486334026</v>
      </c>
      <c r="T44" s="6">
        <f t="shared" si="15"/>
        <v>15304.665300659195</v>
      </c>
      <c r="U44" s="6">
        <f t="shared" si="15"/>
        <v>15220.48964150557</v>
      </c>
      <c r="V44" s="6">
        <f t="shared" si="15"/>
        <v>15136.776948477287</v>
      </c>
      <c r="W44" s="6">
        <f t="shared" si="15"/>
        <v>15053.524675260662</v>
      </c>
      <c r="X44" s="6">
        <f t="shared" si="15"/>
        <v>14970.730289546729</v>
      </c>
      <c r="Y44" s="6">
        <f t="shared" si="15"/>
        <v>14888.391272954221</v>
      </c>
      <c r="Z44" s="6">
        <f t="shared" si="15"/>
        <v>14806.505120952977</v>
      </c>
      <c r="AA44" s="6">
        <f t="shared" si="15"/>
        <v>14725.069342787734</v>
      </c>
    </row>
    <row r="46" spans="1:27" x14ac:dyDescent="0.45">
      <c r="A46" s="1" t="s">
        <v>60</v>
      </c>
    </row>
    <row r="47" spans="1:27" x14ac:dyDescent="0.45">
      <c r="A47" s="11" t="s">
        <v>39</v>
      </c>
      <c r="B47" s="11">
        <v>0</v>
      </c>
      <c r="C47" s="11">
        <v>1</v>
      </c>
      <c r="D47" s="11">
        <v>2</v>
      </c>
      <c r="E47" s="11">
        <v>3</v>
      </c>
      <c r="F47" s="11">
        <v>4</v>
      </c>
      <c r="G47" s="11">
        <v>5</v>
      </c>
      <c r="H47" s="11">
        <v>6</v>
      </c>
      <c r="I47" s="11">
        <v>7</v>
      </c>
      <c r="J47" s="11">
        <v>8</v>
      </c>
      <c r="K47" s="11">
        <v>9</v>
      </c>
      <c r="L47" s="11">
        <v>10</v>
      </c>
      <c r="M47" s="11">
        <v>11</v>
      </c>
      <c r="N47" s="11">
        <v>12</v>
      </c>
      <c r="O47" s="11">
        <v>13</v>
      </c>
      <c r="P47" s="11">
        <v>14</v>
      </c>
      <c r="Q47" s="11">
        <v>15</v>
      </c>
      <c r="R47" s="11">
        <v>16</v>
      </c>
      <c r="S47" s="11">
        <v>17</v>
      </c>
      <c r="T47" s="11">
        <v>18</v>
      </c>
      <c r="U47" s="11">
        <v>19</v>
      </c>
      <c r="V47" s="11">
        <v>20</v>
      </c>
      <c r="W47" s="11">
        <v>21</v>
      </c>
      <c r="X47" s="11">
        <v>22</v>
      </c>
      <c r="Y47" s="11">
        <v>23</v>
      </c>
      <c r="Z47" s="11">
        <v>24</v>
      </c>
      <c r="AA47" s="11">
        <v>25</v>
      </c>
    </row>
    <row r="48" spans="1:27" x14ac:dyDescent="0.45">
      <c r="A48" s="2" t="s">
        <v>51</v>
      </c>
      <c r="B48" s="2">
        <f>B14</f>
        <v>3501</v>
      </c>
      <c r="C48" s="6">
        <f>$B$14*C36</f>
        <v>3606.03</v>
      </c>
      <c r="D48" s="6">
        <f t="shared" ref="D48:AA48" si="16">$B$14*D36</f>
        <v>3714.2109</v>
      </c>
      <c r="E48" s="6">
        <f t="shared" si="16"/>
        <v>3825.6372270000002</v>
      </c>
      <c r="F48" s="6">
        <f t="shared" si="16"/>
        <v>3940.4063438099997</v>
      </c>
      <c r="G48" s="6">
        <f t="shared" si="16"/>
        <v>4058.6185341242995</v>
      </c>
      <c r="H48" s="6">
        <f t="shared" si="16"/>
        <v>4180.3770901480284</v>
      </c>
      <c r="I48" s="6">
        <f t="shared" si="16"/>
        <v>4305.7884028524695</v>
      </c>
      <c r="J48" s="6">
        <f t="shared" si="16"/>
        <v>4434.9620549380434</v>
      </c>
      <c r="K48" s="6">
        <f t="shared" si="16"/>
        <v>4568.010916586185</v>
      </c>
      <c r="L48" s="6">
        <f t="shared" si="16"/>
        <v>4705.0512440837701</v>
      </c>
      <c r="M48" s="6">
        <f t="shared" si="16"/>
        <v>4846.202781406284</v>
      </c>
      <c r="N48" s="6">
        <f t="shared" si="16"/>
        <v>4991.5888648484715</v>
      </c>
      <c r="O48" s="6">
        <f t="shared" si="16"/>
        <v>5141.3365307939257</v>
      </c>
      <c r="P48" s="6">
        <f t="shared" si="16"/>
        <v>5295.5766267177432</v>
      </c>
      <c r="Q48" s="6">
        <f t="shared" si="16"/>
        <v>5454.4439255192765</v>
      </c>
      <c r="R48" s="6">
        <f t="shared" si="16"/>
        <v>5618.0772432848535</v>
      </c>
      <c r="S48" s="6">
        <f t="shared" si="16"/>
        <v>5786.6195605833991</v>
      </c>
      <c r="T48" s="6">
        <f t="shared" si="16"/>
        <v>5960.2181474009012</v>
      </c>
      <c r="U48" s="6">
        <f t="shared" si="16"/>
        <v>6139.0246918229277</v>
      </c>
      <c r="V48" s="6">
        <f t="shared" si="16"/>
        <v>6323.195432577616</v>
      </c>
      <c r="W48" s="6">
        <f t="shared" si="16"/>
        <v>6512.8912955549431</v>
      </c>
      <c r="X48" s="6">
        <f t="shared" si="16"/>
        <v>6708.2780344215926</v>
      </c>
      <c r="Y48" s="6">
        <f t="shared" si="16"/>
        <v>6909.5263754542402</v>
      </c>
      <c r="Z48" s="6">
        <f t="shared" si="16"/>
        <v>7116.8121667178666</v>
      </c>
      <c r="AA48" s="6">
        <f t="shared" si="16"/>
        <v>7330.3165317194025</v>
      </c>
    </row>
    <row r="49" spans="1:27" x14ac:dyDescent="0.45">
      <c r="A49" s="2" t="s">
        <v>52</v>
      </c>
      <c r="B49" s="2">
        <f>B15</f>
        <v>5422</v>
      </c>
      <c r="C49" s="6">
        <f>$B$15*C36</f>
        <v>5584.66</v>
      </c>
      <c r="D49" s="6">
        <f t="shared" ref="D49:AA49" si="17">$B$15*D36</f>
        <v>5752.1997999999994</v>
      </c>
      <c r="E49" s="6">
        <f t="shared" si="17"/>
        <v>5924.7657939999999</v>
      </c>
      <c r="F49" s="6">
        <f t="shared" si="17"/>
        <v>6102.5087678199998</v>
      </c>
      <c r="G49" s="6">
        <f t="shared" si="17"/>
        <v>6285.5840308545994</v>
      </c>
      <c r="H49" s="6">
        <f t="shared" si="17"/>
        <v>6474.1515517802372</v>
      </c>
      <c r="I49" s="6">
        <f t="shared" si="17"/>
        <v>6668.3760983336451</v>
      </c>
      <c r="J49" s="6">
        <f t="shared" si="17"/>
        <v>6868.4273812836536</v>
      </c>
      <c r="K49" s="6">
        <f t="shared" si="17"/>
        <v>7074.4802027221631</v>
      </c>
      <c r="L49" s="6">
        <f t="shared" si="17"/>
        <v>7286.714608803828</v>
      </c>
      <c r="M49" s="6">
        <f t="shared" si="17"/>
        <v>7505.3160470679431</v>
      </c>
      <c r="N49" s="6">
        <f t="shared" si="17"/>
        <v>7730.4755284799803</v>
      </c>
      <c r="O49" s="6">
        <f t="shared" si="17"/>
        <v>7962.38979433438</v>
      </c>
      <c r="P49" s="6">
        <f t="shared" si="17"/>
        <v>8201.2614881644113</v>
      </c>
      <c r="Q49" s="6">
        <f t="shared" si="17"/>
        <v>8447.2993328093453</v>
      </c>
      <c r="R49" s="6">
        <f t="shared" si="17"/>
        <v>8700.7183127936241</v>
      </c>
      <c r="S49" s="6">
        <f t="shared" si="17"/>
        <v>8961.7398621774319</v>
      </c>
      <c r="T49" s="6">
        <f t="shared" si="17"/>
        <v>9230.5920580427555</v>
      </c>
      <c r="U49" s="6">
        <f t="shared" si="17"/>
        <v>9507.509819784038</v>
      </c>
      <c r="V49" s="6">
        <f t="shared" si="17"/>
        <v>9792.7351143775595</v>
      </c>
      <c r="W49" s="6">
        <f t="shared" si="17"/>
        <v>10086.517167808885</v>
      </c>
      <c r="X49" s="6">
        <f t="shared" si="17"/>
        <v>10389.112682843152</v>
      </c>
      <c r="Y49" s="6">
        <f t="shared" si="17"/>
        <v>10700.786063328447</v>
      </c>
      <c r="Z49" s="6">
        <f t="shared" si="17"/>
        <v>11021.809645228299</v>
      </c>
      <c r="AA49" s="6">
        <f t="shared" si="17"/>
        <v>11352.463934585146</v>
      </c>
    </row>
    <row r="50" spans="1:27" x14ac:dyDescent="0.45">
      <c r="A50" s="2" t="s">
        <v>55</v>
      </c>
      <c r="B50" s="19">
        <f t="shared" ref="B50:AA50" si="18">B43*B48*B37/$H$29</f>
        <v>229.70037979293448</v>
      </c>
      <c r="C50" s="19">
        <f t="shared" si="18"/>
        <v>235.29013853519558</v>
      </c>
      <c r="D50" s="19">
        <f t="shared" si="18"/>
        <v>241.01592405644956</v>
      </c>
      <c r="E50" s="19">
        <f t="shared" si="18"/>
        <v>205.73420547363608</v>
      </c>
      <c r="F50" s="19">
        <f t="shared" si="18"/>
        <v>210.74074736383702</v>
      </c>
      <c r="G50" s="19">
        <f t="shared" si="18"/>
        <v>215.86912345093589</v>
      </c>
      <c r="H50" s="19">
        <f t="shared" si="18"/>
        <v>162.15635228475068</v>
      </c>
      <c r="I50" s="19">
        <f t="shared" si="18"/>
        <v>166.10242711760003</v>
      </c>
      <c r="J50" s="19">
        <f t="shared" si="18"/>
        <v>170.1445296815069</v>
      </c>
      <c r="K50" s="19">
        <f t="shared" si="18"/>
        <v>142.59681557288701</v>
      </c>
      <c r="L50" s="19">
        <f t="shared" si="18"/>
        <v>146.06690907985319</v>
      </c>
      <c r="M50" s="19">
        <f t="shared" si="18"/>
        <v>149.62144731231146</v>
      </c>
      <c r="N50" s="19">
        <f t="shared" si="18"/>
        <v>0</v>
      </c>
      <c r="O50" s="19">
        <f t="shared" si="18"/>
        <v>0</v>
      </c>
      <c r="P50" s="19">
        <f t="shared" si="18"/>
        <v>0</v>
      </c>
      <c r="Q50" s="19">
        <f t="shared" si="18"/>
        <v>0</v>
      </c>
      <c r="R50" s="19">
        <f t="shared" si="18"/>
        <v>0</v>
      </c>
      <c r="S50" s="19">
        <f t="shared" si="18"/>
        <v>0</v>
      </c>
      <c r="T50" s="19">
        <f t="shared" si="18"/>
        <v>0</v>
      </c>
      <c r="U50" s="19">
        <f t="shared" si="18"/>
        <v>0</v>
      </c>
      <c r="V50" s="19">
        <f t="shared" si="18"/>
        <v>0</v>
      </c>
      <c r="W50" s="19">
        <f t="shared" si="18"/>
        <v>0</v>
      </c>
      <c r="X50" s="19">
        <f t="shared" si="18"/>
        <v>0</v>
      </c>
      <c r="Y50" s="19">
        <f t="shared" si="18"/>
        <v>0</v>
      </c>
      <c r="Z50" s="19">
        <f t="shared" si="18"/>
        <v>0</v>
      </c>
      <c r="AA50" s="19">
        <f t="shared" si="18"/>
        <v>0</v>
      </c>
    </row>
    <row r="51" spans="1:27" x14ac:dyDescent="0.45">
      <c r="A51" s="2" t="s">
        <v>56</v>
      </c>
      <c r="B51" s="19">
        <f t="shared" ref="B51:AA51" si="19">B44*B49*B37/$H$29</f>
        <v>82.478296939767858</v>
      </c>
      <c r="C51" s="19">
        <f t="shared" si="19"/>
        <v>84.485406295797091</v>
      </c>
      <c r="D51" s="19">
        <f t="shared" si="19"/>
        <v>86.541358658005294</v>
      </c>
      <c r="E51" s="19">
        <f t="shared" si="19"/>
        <v>73.872785517456592</v>
      </c>
      <c r="F51" s="19">
        <f t="shared" si="19"/>
        <v>75.670479753023869</v>
      </c>
      <c r="G51" s="19">
        <f t="shared" si="19"/>
        <v>77.511920877813722</v>
      </c>
      <c r="H51" s="19">
        <f t="shared" si="19"/>
        <v>58.225327213075211</v>
      </c>
      <c r="I51" s="19">
        <f t="shared" si="19"/>
        <v>59.642240550805425</v>
      </c>
      <c r="J51" s="19">
        <f t="shared" si="19"/>
        <v>61.09363447460926</v>
      </c>
      <c r="K51" s="19">
        <f t="shared" si="19"/>
        <v>51.20210296599452</v>
      </c>
      <c r="L51" s="19">
        <f t="shared" si="19"/>
        <v>52.448106141672021</v>
      </c>
      <c r="M51" s="19">
        <f t="shared" si="19"/>
        <v>53.724430804629634</v>
      </c>
      <c r="N51" s="19">
        <f t="shared" si="19"/>
        <v>0</v>
      </c>
      <c r="O51" s="19">
        <f t="shared" si="19"/>
        <v>0</v>
      </c>
      <c r="P51" s="19">
        <f t="shared" si="19"/>
        <v>0</v>
      </c>
      <c r="Q51" s="19">
        <f t="shared" si="19"/>
        <v>0</v>
      </c>
      <c r="R51" s="19">
        <f t="shared" si="19"/>
        <v>0</v>
      </c>
      <c r="S51" s="19">
        <f t="shared" si="19"/>
        <v>0</v>
      </c>
      <c r="T51" s="19">
        <f t="shared" si="19"/>
        <v>0</v>
      </c>
      <c r="U51" s="19">
        <f t="shared" si="19"/>
        <v>0</v>
      </c>
      <c r="V51" s="19">
        <f t="shared" si="19"/>
        <v>0</v>
      </c>
      <c r="W51" s="19">
        <f t="shared" si="19"/>
        <v>0</v>
      </c>
      <c r="X51" s="19">
        <f t="shared" si="19"/>
        <v>0</v>
      </c>
      <c r="Y51" s="19">
        <f t="shared" si="19"/>
        <v>0</v>
      </c>
      <c r="Z51" s="19">
        <f t="shared" si="19"/>
        <v>0</v>
      </c>
      <c r="AA51" s="19">
        <f t="shared" si="19"/>
        <v>0</v>
      </c>
    </row>
    <row r="52" spans="1:27" x14ac:dyDescent="0.45">
      <c r="A52" s="2" t="s">
        <v>59</v>
      </c>
      <c r="B52" s="19">
        <f>B50+B51</f>
        <v>312.17867673270234</v>
      </c>
      <c r="C52" s="19">
        <f t="shared" ref="C52:AA52" si="20">C50+C51</f>
        <v>319.77554483099266</v>
      </c>
      <c r="D52" s="19">
        <f t="shared" si="20"/>
        <v>327.55728271445486</v>
      </c>
      <c r="E52" s="19">
        <f t="shared" si="20"/>
        <v>279.60699099109269</v>
      </c>
      <c r="F52" s="19">
        <f t="shared" si="20"/>
        <v>286.41122711686091</v>
      </c>
      <c r="G52" s="19">
        <f t="shared" si="20"/>
        <v>293.38104432874962</v>
      </c>
      <c r="H52" s="19">
        <f t="shared" si="20"/>
        <v>220.3816794978259</v>
      </c>
      <c r="I52" s="19">
        <f t="shared" si="20"/>
        <v>225.74466766840544</v>
      </c>
      <c r="J52" s="19">
        <f t="shared" si="20"/>
        <v>231.23816415611617</v>
      </c>
      <c r="K52" s="19">
        <f t="shared" si="20"/>
        <v>193.79891853888154</v>
      </c>
      <c r="L52" s="19">
        <f t="shared" si="20"/>
        <v>198.5150152215252</v>
      </c>
      <c r="M52" s="19">
        <f t="shared" si="20"/>
        <v>203.34587811694109</v>
      </c>
      <c r="N52" s="19">
        <f t="shared" si="20"/>
        <v>0</v>
      </c>
      <c r="O52" s="19">
        <f t="shared" si="20"/>
        <v>0</v>
      </c>
      <c r="P52" s="19">
        <f t="shared" si="20"/>
        <v>0</v>
      </c>
      <c r="Q52" s="19">
        <f t="shared" si="20"/>
        <v>0</v>
      </c>
      <c r="R52" s="19">
        <f t="shared" si="20"/>
        <v>0</v>
      </c>
      <c r="S52" s="19">
        <f t="shared" si="20"/>
        <v>0</v>
      </c>
      <c r="T52" s="19">
        <f t="shared" si="20"/>
        <v>0</v>
      </c>
      <c r="U52" s="19">
        <f t="shared" si="20"/>
        <v>0</v>
      </c>
      <c r="V52" s="19">
        <f t="shared" si="20"/>
        <v>0</v>
      </c>
      <c r="W52" s="19">
        <f t="shared" si="20"/>
        <v>0</v>
      </c>
      <c r="X52" s="19">
        <f t="shared" si="20"/>
        <v>0</v>
      </c>
      <c r="Y52" s="19">
        <f t="shared" si="20"/>
        <v>0</v>
      </c>
      <c r="Z52" s="19">
        <f t="shared" si="20"/>
        <v>0</v>
      </c>
      <c r="AA52" s="19">
        <f t="shared" si="20"/>
        <v>0</v>
      </c>
    </row>
    <row r="53" spans="1:27" x14ac:dyDescent="0.4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x14ac:dyDescent="0.45">
      <c r="A54" s="1" t="s">
        <v>99</v>
      </c>
    </row>
    <row r="55" spans="1:27" x14ac:dyDescent="0.45">
      <c r="A55" s="11" t="s">
        <v>39</v>
      </c>
      <c r="B55" s="11">
        <v>0</v>
      </c>
      <c r="C55" s="11">
        <v>1</v>
      </c>
      <c r="D55" s="11">
        <v>2</v>
      </c>
      <c r="E55" s="11">
        <v>3</v>
      </c>
      <c r="F55" s="11">
        <v>4</v>
      </c>
      <c r="G55" s="11">
        <v>5</v>
      </c>
      <c r="H55" s="11">
        <v>6</v>
      </c>
      <c r="I55" s="11">
        <v>7</v>
      </c>
      <c r="J55" s="11">
        <v>8</v>
      </c>
      <c r="K55" s="11">
        <v>9</v>
      </c>
      <c r="L55" s="11">
        <v>10</v>
      </c>
      <c r="M55" s="11">
        <v>11</v>
      </c>
      <c r="N55" s="11">
        <v>12</v>
      </c>
      <c r="O55" s="11">
        <v>13</v>
      </c>
      <c r="P55" s="11">
        <v>14</v>
      </c>
      <c r="Q55" s="11">
        <v>15</v>
      </c>
      <c r="R55" s="11">
        <v>16</v>
      </c>
      <c r="S55" s="11">
        <v>17</v>
      </c>
      <c r="T55" s="11">
        <v>18</v>
      </c>
      <c r="U55" s="11">
        <v>19</v>
      </c>
      <c r="V55" s="11">
        <v>20</v>
      </c>
      <c r="W55" s="11">
        <v>21</v>
      </c>
      <c r="X55" s="11">
        <v>22</v>
      </c>
      <c r="Y55" s="11">
        <v>23</v>
      </c>
      <c r="Z55" s="11">
        <v>24</v>
      </c>
      <c r="AA55" s="11">
        <v>25</v>
      </c>
    </row>
    <row r="56" spans="1:27" x14ac:dyDescent="0.45">
      <c r="A56" s="2" t="s">
        <v>100</v>
      </c>
      <c r="B56" s="19">
        <f>H20*B8</f>
        <v>384</v>
      </c>
      <c r="C56" s="19">
        <f>B61</f>
        <v>321.10176737481777</v>
      </c>
      <c r="D56" s="19">
        <f t="shared" ref="D56:F56" si="21">C61</f>
        <v>251.9137114871173</v>
      </c>
      <c r="E56" s="19">
        <f t="shared" si="21"/>
        <v>175.8068500106468</v>
      </c>
      <c r="F56" s="19">
        <f t="shared" si="21"/>
        <v>92.089302386529226</v>
      </c>
      <c r="G56" s="19"/>
      <c r="H56" s="19"/>
      <c r="I56" s="19"/>
      <c r="J56" s="19"/>
      <c r="K56" s="19"/>
      <c r="L56" s="19"/>
      <c r="M56" s="19"/>
      <c r="N56" s="19"/>
      <c r="O56" s="19"/>
      <c r="P56" s="19"/>
      <c r="Q56" s="19"/>
      <c r="R56" s="19"/>
      <c r="S56" s="19"/>
      <c r="T56" s="19"/>
      <c r="U56" s="19"/>
      <c r="V56" s="19"/>
      <c r="W56" s="19"/>
      <c r="X56" s="19"/>
      <c r="Y56" s="19"/>
      <c r="Z56" s="19"/>
      <c r="AA56" s="19"/>
    </row>
    <row r="57" spans="1:27" x14ac:dyDescent="0.45">
      <c r="A57" s="2" t="s">
        <v>101</v>
      </c>
      <c r="B57" s="19">
        <f>B56*$H$21</f>
        <v>38.400000000000006</v>
      </c>
      <c r="C57" s="19">
        <f>C56*$H$21</f>
        <v>32.11017673748178</v>
      </c>
      <c r="D57" s="19">
        <f>D56*$H$21</f>
        <v>25.191371148711731</v>
      </c>
      <c r="E57" s="19">
        <f>E56*$H$21</f>
        <v>17.58068500106468</v>
      </c>
      <c r="F57" s="19">
        <f>F56*$H$21</f>
        <v>9.2089302386529237</v>
      </c>
      <c r="G57" s="19"/>
      <c r="H57" s="19"/>
      <c r="I57" s="19"/>
      <c r="J57" s="19"/>
      <c r="K57" s="19"/>
      <c r="L57" s="19"/>
      <c r="M57" s="19"/>
      <c r="N57" s="19"/>
      <c r="O57" s="19"/>
      <c r="P57" s="19"/>
      <c r="Q57" s="19"/>
      <c r="R57" s="19"/>
      <c r="S57" s="19"/>
      <c r="T57" s="19"/>
      <c r="U57" s="19"/>
      <c r="V57" s="19"/>
      <c r="W57" s="19"/>
      <c r="X57" s="19"/>
      <c r="Y57" s="19"/>
      <c r="Z57" s="19"/>
      <c r="AA57" s="19"/>
    </row>
    <row r="58" spans="1:27" x14ac:dyDescent="0.45">
      <c r="A58" s="2" t="s">
        <v>102</v>
      </c>
      <c r="B58" s="19">
        <f>-PMT($H$21,$H$22,$B$56)</f>
        <v>101.29823262518224</v>
      </c>
      <c r="C58" s="19">
        <f>-PMT($H$21,$H$22,$B$56)</f>
        <v>101.29823262518224</v>
      </c>
      <c r="D58" s="19">
        <f>-PMT($H$21,$H$22,$B$56)</f>
        <v>101.29823262518224</v>
      </c>
      <c r="E58" s="19">
        <f>-PMT($H$21,$H$22,$B$56)</f>
        <v>101.29823262518224</v>
      </c>
      <c r="F58" s="19">
        <f>-PMT($H$21,$H$22,$B$56)</f>
        <v>101.29823262518224</v>
      </c>
      <c r="G58" s="19"/>
      <c r="H58" s="19"/>
      <c r="I58" s="19"/>
      <c r="J58" s="19"/>
      <c r="K58" s="19"/>
      <c r="L58" s="19"/>
      <c r="M58" s="19"/>
      <c r="N58" s="19"/>
      <c r="O58" s="19"/>
      <c r="P58" s="19"/>
      <c r="Q58" s="19"/>
      <c r="R58" s="19"/>
      <c r="S58" s="19"/>
      <c r="T58" s="19"/>
      <c r="U58" s="19"/>
      <c r="V58" s="19"/>
      <c r="W58" s="19"/>
      <c r="X58" s="19"/>
      <c r="Y58" s="19"/>
      <c r="Z58" s="19"/>
      <c r="AA58" s="19"/>
    </row>
    <row r="59" spans="1:27" x14ac:dyDescent="0.45">
      <c r="A59" s="3" t="s">
        <v>103</v>
      </c>
      <c r="B59" s="19">
        <f>B58-B60</f>
        <v>62.898232625182231</v>
      </c>
      <c r="C59" s="19">
        <f t="shared" ref="C59:F59" si="22">C58-C60</f>
        <v>69.188055887700457</v>
      </c>
      <c r="D59" s="19">
        <f t="shared" si="22"/>
        <v>76.106861476470499</v>
      </c>
      <c r="E59" s="19">
        <f t="shared" si="22"/>
        <v>83.717547624117557</v>
      </c>
      <c r="F59" s="19">
        <f t="shared" si="22"/>
        <v>92.089302386529312</v>
      </c>
      <c r="G59" s="19"/>
      <c r="H59" s="19"/>
      <c r="I59" s="19"/>
      <c r="J59" s="19"/>
      <c r="K59" s="19"/>
      <c r="L59" s="19"/>
      <c r="M59" s="19"/>
      <c r="N59" s="19"/>
      <c r="O59" s="19"/>
      <c r="P59" s="19"/>
      <c r="Q59" s="19"/>
      <c r="R59" s="19"/>
      <c r="S59" s="19"/>
      <c r="T59" s="19"/>
      <c r="U59" s="19"/>
      <c r="V59" s="19"/>
      <c r="W59" s="19"/>
      <c r="X59" s="19"/>
      <c r="Y59" s="19"/>
      <c r="Z59" s="19"/>
      <c r="AA59" s="19"/>
    </row>
    <row r="60" spans="1:27" x14ac:dyDescent="0.45">
      <c r="A60" s="3" t="s">
        <v>104</v>
      </c>
      <c r="B60" s="19">
        <f>B57</f>
        <v>38.400000000000006</v>
      </c>
      <c r="C60" s="19">
        <f t="shared" ref="C60:F60" si="23">C57</f>
        <v>32.11017673748178</v>
      </c>
      <c r="D60" s="19">
        <f t="shared" si="23"/>
        <v>25.191371148711731</v>
      </c>
      <c r="E60" s="19">
        <f t="shared" si="23"/>
        <v>17.58068500106468</v>
      </c>
      <c r="F60" s="19">
        <f t="shared" si="23"/>
        <v>9.2089302386529237</v>
      </c>
      <c r="G60" s="19"/>
      <c r="H60" s="19"/>
      <c r="I60" s="19"/>
      <c r="J60" s="19"/>
      <c r="K60" s="19"/>
      <c r="L60" s="19"/>
      <c r="M60" s="19"/>
      <c r="N60" s="19"/>
      <c r="O60" s="19"/>
      <c r="P60" s="19"/>
      <c r="Q60" s="19"/>
      <c r="R60" s="19"/>
      <c r="S60" s="19"/>
      <c r="T60" s="19"/>
      <c r="U60" s="19"/>
      <c r="V60" s="19"/>
      <c r="W60" s="19"/>
      <c r="X60" s="19"/>
      <c r="Y60" s="19"/>
      <c r="Z60" s="19"/>
      <c r="AA60" s="19"/>
    </row>
    <row r="61" spans="1:27" x14ac:dyDescent="0.45">
      <c r="A61" s="2" t="s">
        <v>105</v>
      </c>
      <c r="B61" s="19">
        <f>B56+B57-B58</f>
        <v>321.10176737481777</v>
      </c>
      <c r="C61" s="19">
        <f t="shared" ref="C61:F61" si="24">C56+C57-C58</f>
        <v>251.9137114871173</v>
      </c>
      <c r="D61" s="19">
        <f t="shared" si="24"/>
        <v>175.8068500106468</v>
      </c>
      <c r="E61" s="19">
        <f t="shared" si="24"/>
        <v>92.089302386529226</v>
      </c>
      <c r="F61" s="19">
        <f t="shared" si="24"/>
        <v>0</v>
      </c>
      <c r="G61" s="19"/>
      <c r="H61" s="19"/>
      <c r="I61" s="19"/>
      <c r="J61" s="19"/>
      <c r="K61" s="19"/>
      <c r="L61" s="19"/>
      <c r="M61" s="19"/>
      <c r="N61" s="19"/>
      <c r="O61" s="19"/>
      <c r="P61" s="19"/>
      <c r="Q61" s="19"/>
      <c r="R61" s="19"/>
      <c r="S61" s="19"/>
      <c r="T61" s="19"/>
      <c r="U61" s="19"/>
      <c r="V61" s="19"/>
      <c r="W61" s="19"/>
      <c r="X61" s="19"/>
      <c r="Y61" s="19"/>
      <c r="Z61" s="19"/>
      <c r="AA61" s="19"/>
    </row>
    <row r="63" spans="1:27" x14ac:dyDescent="0.45">
      <c r="A63" s="1" t="s">
        <v>68</v>
      </c>
    </row>
    <row r="64" spans="1:27" x14ac:dyDescent="0.45">
      <c r="A64" s="11" t="s">
        <v>39</v>
      </c>
      <c r="B64" s="11">
        <v>0</v>
      </c>
      <c r="C64" s="11">
        <v>1</v>
      </c>
      <c r="D64" s="11">
        <v>2</v>
      </c>
      <c r="E64" s="11">
        <v>3</v>
      </c>
      <c r="F64" s="11">
        <v>4</v>
      </c>
      <c r="G64" s="11">
        <v>5</v>
      </c>
      <c r="H64" s="11">
        <v>6</v>
      </c>
      <c r="I64" s="11">
        <v>7</v>
      </c>
      <c r="J64" s="11">
        <v>8</v>
      </c>
      <c r="K64" s="11">
        <v>9</v>
      </c>
      <c r="L64" s="11">
        <v>10</v>
      </c>
      <c r="M64" s="11">
        <v>11</v>
      </c>
      <c r="N64" s="11">
        <v>12</v>
      </c>
      <c r="O64" s="11">
        <v>13</v>
      </c>
      <c r="P64" s="11">
        <v>14</v>
      </c>
      <c r="Q64" s="11">
        <v>15</v>
      </c>
      <c r="R64" s="11">
        <v>16</v>
      </c>
      <c r="S64" s="11">
        <v>17</v>
      </c>
      <c r="T64" s="11">
        <v>18</v>
      </c>
      <c r="U64" s="11">
        <v>19</v>
      </c>
      <c r="V64" s="11">
        <v>20</v>
      </c>
      <c r="W64" s="11">
        <v>21</v>
      </c>
      <c r="X64" s="11">
        <v>22</v>
      </c>
      <c r="Y64" s="11">
        <v>23</v>
      </c>
      <c r="Z64" s="11">
        <v>24</v>
      </c>
      <c r="AA64" s="11">
        <v>25</v>
      </c>
    </row>
    <row r="65" spans="1:27" x14ac:dyDescent="0.45">
      <c r="A65" s="2" t="s">
        <v>61</v>
      </c>
      <c r="B65" s="19">
        <f>B52</f>
        <v>312.17867673270234</v>
      </c>
      <c r="C65" s="19">
        <f t="shared" ref="C65:M65" si="25">C52</f>
        <v>319.77554483099266</v>
      </c>
      <c r="D65" s="19">
        <f t="shared" si="25"/>
        <v>327.55728271445486</v>
      </c>
      <c r="E65" s="19">
        <f t="shared" si="25"/>
        <v>279.60699099109269</v>
      </c>
      <c r="F65" s="19">
        <f t="shared" si="25"/>
        <v>286.41122711686091</v>
      </c>
      <c r="G65" s="19">
        <f t="shared" si="25"/>
        <v>293.38104432874962</v>
      </c>
      <c r="H65" s="19">
        <f t="shared" si="25"/>
        <v>220.3816794978259</v>
      </c>
      <c r="I65" s="19">
        <f t="shared" si="25"/>
        <v>225.74466766840544</v>
      </c>
      <c r="J65" s="19">
        <f t="shared" si="25"/>
        <v>231.23816415611617</v>
      </c>
      <c r="K65" s="19">
        <f t="shared" si="25"/>
        <v>193.79891853888154</v>
      </c>
      <c r="L65" s="19">
        <f t="shared" si="25"/>
        <v>198.5150152215252</v>
      </c>
      <c r="M65" s="19">
        <f t="shared" si="25"/>
        <v>203.34587811694109</v>
      </c>
      <c r="N65" s="6"/>
      <c r="O65" s="6"/>
      <c r="P65" s="6"/>
      <c r="Q65" s="6"/>
      <c r="R65" s="6"/>
      <c r="S65" s="6"/>
      <c r="T65" s="6"/>
      <c r="U65" s="6"/>
      <c r="V65" s="6"/>
      <c r="W65" s="6"/>
      <c r="X65" s="6"/>
      <c r="Y65" s="6"/>
      <c r="Z65" s="6"/>
      <c r="AA65" s="6"/>
    </row>
    <row r="66" spans="1:27" x14ac:dyDescent="0.45">
      <c r="A66" s="3" t="s">
        <v>62</v>
      </c>
      <c r="B66" s="19">
        <f t="shared" ref="B66:M66" si="26">$B$28*B65</f>
        <v>31.217867673270234</v>
      </c>
      <c r="C66" s="19">
        <f t="shared" si="26"/>
        <v>31.977554483099269</v>
      </c>
      <c r="D66" s="19">
        <f t="shared" si="26"/>
        <v>32.755728271445484</v>
      </c>
      <c r="E66" s="19">
        <f t="shared" si="26"/>
        <v>27.96069909910927</v>
      </c>
      <c r="F66" s="19">
        <f t="shared" si="26"/>
        <v>28.641122711686094</v>
      </c>
      <c r="G66" s="19">
        <f t="shared" si="26"/>
        <v>29.338104432874964</v>
      </c>
      <c r="H66" s="19">
        <f t="shared" si="26"/>
        <v>22.03816794978259</v>
      </c>
      <c r="I66" s="19">
        <f t="shared" si="26"/>
        <v>22.574466766840544</v>
      </c>
      <c r="J66" s="19">
        <f t="shared" si="26"/>
        <v>23.123816415611618</v>
      </c>
      <c r="K66" s="19">
        <f t="shared" si="26"/>
        <v>19.379891853888154</v>
      </c>
      <c r="L66" s="19">
        <f t="shared" si="26"/>
        <v>19.851501522152521</v>
      </c>
      <c r="M66" s="19">
        <f t="shared" si="26"/>
        <v>20.33458781169411</v>
      </c>
      <c r="N66" s="6"/>
      <c r="O66" s="6"/>
      <c r="P66" s="6"/>
      <c r="Q66" s="6"/>
      <c r="R66" s="6"/>
      <c r="S66" s="6"/>
      <c r="T66" s="6"/>
      <c r="U66" s="6"/>
      <c r="V66" s="6"/>
      <c r="W66" s="6"/>
      <c r="X66" s="6"/>
      <c r="Y66" s="6"/>
      <c r="Z66" s="6"/>
      <c r="AA66" s="6"/>
    </row>
    <row r="67" spans="1:27" x14ac:dyDescent="0.45">
      <c r="A67" s="3" t="s">
        <v>26</v>
      </c>
      <c r="B67" s="19">
        <f t="shared" ref="B67:M67" si="27">$B$29*$B$6*B35</f>
        <v>0.76800000000000002</v>
      </c>
      <c r="C67" s="19">
        <f t="shared" si="27"/>
        <v>0.79104000000000008</v>
      </c>
      <c r="D67" s="19">
        <f t="shared" si="27"/>
        <v>0.81477120000000003</v>
      </c>
      <c r="E67" s="19">
        <f t="shared" si="27"/>
        <v>0.83921433600000006</v>
      </c>
      <c r="F67" s="19">
        <f t="shared" si="27"/>
        <v>0.86439076607999998</v>
      </c>
      <c r="G67" s="19">
        <f t="shared" si="27"/>
        <v>0.89032248906239986</v>
      </c>
      <c r="H67" s="19">
        <f t="shared" si="27"/>
        <v>0.91703216373427199</v>
      </c>
      <c r="I67" s="19">
        <f t="shared" si="27"/>
        <v>0.94454312864630019</v>
      </c>
      <c r="J67" s="19">
        <f t="shared" si="27"/>
        <v>0.97287942250568904</v>
      </c>
      <c r="K67" s="19">
        <f t="shared" si="27"/>
        <v>1.0020658051808597</v>
      </c>
      <c r="L67" s="19">
        <f t="shared" si="27"/>
        <v>1.0321277793362855</v>
      </c>
      <c r="M67" s="19">
        <f t="shared" si="27"/>
        <v>1.0630916127163741</v>
      </c>
      <c r="N67" s="19"/>
      <c r="O67" s="19"/>
      <c r="P67" s="19"/>
      <c r="Q67" s="19"/>
      <c r="R67" s="19"/>
      <c r="S67" s="19"/>
      <c r="T67" s="19"/>
      <c r="U67" s="19"/>
      <c r="V67" s="19"/>
      <c r="W67" s="19"/>
      <c r="X67" s="19"/>
      <c r="Y67" s="19"/>
      <c r="Z67" s="19"/>
      <c r="AA67" s="19"/>
    </row>
    <row r="68" spans="1:27" x14ac:dyDescent="0.45">
      <c r="A68" s="3" t="s">
        <v>63</v>
      </c>
      <c r="B68" s="19">
        <f>B66+B67</f>
        <v>31.985867673270235</v>
      </c>
      <c r="C68" s="19">
        <f t="shared" ref="C68:M68" si="28">C66+C67</f>
        <v>32.768594483099271</v>
      </c>
      <c r="D68" s="19">
        <f t="shared" si="28"/>
        <v>33.570499471445487</v>
      </c>
      <c r="E68" s="19">
        <f t="shared" si="28"/>
        <v>28.799913435109271</v>
      </c>
      <c r="F68" s="19">
        <f t="shared" si="28"/>
        <v>29.505513477766094</v>
      </c>
      <c r="G68" s="19">
        <f t="shared" si="28"/>
        <v>30.228426921937363</v>
      </c>
      <c r="H68" s="19">
        <f t="shared" si="28"/>
        <v>22.955200113516863</v>
      </c>
      <c r="I68" s="19">
        <f t="shared" si="28"/>
        <v>23.519009895486846</v>
      </c>
      <c r="J68" s="19">
        <f t="shared" si="28"/>
        <v>24.096695838117306</v>
      </c>
      <c r="K68" s="19">
        <f t="shared" si="28"/>
        <v>20.381957659069013</v>
      </c>
      <c r="L68" s="19">
        <f t="shared" si="28"/>
        <v>20.883629301488806</v>
      </c>
      <c r="M68" s="19">
        <f t="shared" si="28"/>
        <v>21.397679424410484</v>
      </c>
      <c r="N68" s="6"/>
      <c r="O68" s="6"/>
      <c r="P68" s="6"/>
      <c r="Q68" s="6"/>
      <c r="R68" s="6"/>
      <c r="S68" s="6"/>
      <c r="T68" s="6"/>
      <c r="U68" s="6"/>
      <c r="V68" s="6"/>
      <c r="W68" s="6"/>
      <c r="X68" s="6"/>
      <c r="Y68" s="6"/>
      <c r="Z68" s="6"/>
      <c r="AA68" s="6"/>
    </row>
    <row r="69" spans="1:27" x14ac:dyDescent="0.45">
      <c r="A69" s="2" t="s">
        <v>64</v>
      </c>
      <c r="B69" s="19">
        <f>B65-B68</f>
        <v>280.19280905943208</v>
      </c>
      <c r="C69" s="19">
        <f t="shared" ref="C69:M69" si="29">C65-C68</f>
        <v>287.00695034789339</v>
      </c>
      <c r="D69" s="19">
        <f t="shared" si="29"/>
        <v>293.98678324300937</v>
      </c>
      <c r="E69" s="19">
        <f t="shared" si="29"/>
        <v>250.80707755598343</v>
      </c>
      <c r="F69" s="19">
        <f t="shared" si="29"/>
        <v>256.90571363909481</v>
      </c>
      <c r="G69" s="19">
        <f t="shared" si="29"/>
        <v>263.15261740681228</v>
      </c>
      <c r="H69" s="19">
        <f t="shared" si="29"/>
        <v>197.42647938430903</v>
      </c>
      <c r="I69" s="19">
        <f t="shared" si="29"/>
        <v>202.22565777291859</v>
      </c>
      <c r="J69" s="19">
        <f t="shared" si="29"/>
        <v>207.14146831799886</v>
      </c>
      <c r="K69" s="19">
        <f t="shared" si="29"/>
        <v>173.41696087981254</v>
      </c>
      <c r="L69" s="19">
        <f t="shared" si="29"/>
        <v>177.63138592003639</v>
      </c>
      <c r="M69" s="19">
        <f t="shared" si="29"/>
        <v>181.94819869253061</v>
      </c>
      <c r="N69" s="6"/>
      <c r="O69" s="6"/>
      <c r="P69" s="6"/>
      <c r="Q69" s="6"/>
      <c r="R69" s="6"/>
      <c r="S69" s="6"/>
      <c r="T69" s="6"/>
      <c r="U69" s="6"/>
      <c r="V69" s="6"/>
      <c r="W69" s="6"/>
      <c r="X69" s="6"/>
      <c r="Y69" s="6"/>
      <c r="Z69" s="6"/>
      <c r="AA69" s="6"/>
    </row>
    <row r="70" spans="1:27" x14ac:dyDescent="0.45">
      <c r="A70" s="3" t="s">
        <v>65</v>
      </c>
      <c r="B70" s="19">
        <f>$B$6/$B$7</f>
        <v>64</v>
      </c>
      <c r="C70" s="19">
        <f t="shared" ref="C70:M70" si="30">$B$6/$B$7</f>
        <v>64</v>
      </c>
      <c r="D70" s="19">
        <f t="shared" si="30"/>
        <v>64</v>
      </c>
      <c r="E70" s="19">
        <f t="shared" si="30"/>
        <v>64</v>
      </c>
      <c r="F70" s="19">
        <f t="shared" si="30"/>
        <v>64</v>
      </c>
      <c r="G70" s="19">
        <f t="shared" si="30"/>
        <v>64</v>
      </c>
      <c r="H70" s="19">
        <f t="shared" si="30"/>
        <v>64</v>
      </c>
      <c r="I70" s="19">
        <f t="shared" si="30"/>
        <v>64</v>
      </c>
      <c r="J70" s="19">
        <f t="shared" si="30"/>
        <v>64</v>
      </c>
      <c r="K70" s="19">
        <f t="shared" si="30"/>
        <v>64</v>
      </c>
      <c r="L70" s="19">
        <f t="shared" si="30"/>
        <v>64</v>
      </c>
      <c r="M70" s="19">
        <f t="shared" si="30"/>
        <v>64</v>
      </c>
    </row>
    <row r="71" spans="1:27" x14ac:dyDescent="0.45">
      <c r="A71" s="3" t="s">
        <v>66</v>
      </c>
      <c r="B71" s="19">
        <f>B60</f>
        <v>38.400000000000006</v>
      </c>
      <c r="C71" s="19">
        <f t="shared" ref="C71:F71" si="31">C60</f>
        <v>32.11017673748178</v>
      </c>
      <c r="D71" s="19">
        <f t="shared" si="31"/>
        <v>25.191371148711731</v>
      </c>
      <c r="E71" s="19">
        <f t="shared" si="31"/>
        <v>17.58068500106468</v>
      </c>
      <c r="F71" s="19">
        <f t="shared" si="31"/>
        <v>9.2089302386529237</v>
      </c>
    </row>
    <row r="72" spans="1:27" x14ac:dyDescent="0.45">
      <c r="A72" s="2" t="s">
        <v>67</v>
      </c>
      <c r="B72" s="19">
        <f>B69-B70-B71</f>
        <v>177.79280905943207</v>
      </c>
      <c r="C72" s="19">
        <f t="shared" ref="C72:M72" si="32">C69-C70-C71</f>
        <v>190.89677361041163</v>
      </c>
      <c r="D72" s="19">
        <f t="shared" si="32"/>
        <v>204.79541209429763</v>
      </c>
      <c r="E72" s="19">
        <f t="shared" si="32"/>
        <v>169.22639255491873</v>
      </c>
      <c r="F72" s="19">
        <f t="shared" si="32"/>
        <v>183.69678340044189</v>
      </c>
      <c r="G72" s="19">
        <f t="shared" si="32"/>
        <v>199.15261740681228</v>
      </c>
      <c r="H72" s="19">
        <f t="shared" si="32"/>
        <v>133.42647938430903</v>
      </c>
      <c r="I72" s="19">
        <f t="shared" si="32"/>
        <v>138.22565777291859</v>
      </c>
      <c r="J72" s="19">
        <f t="shared" si="32"/>
        <v>143.14146831799886</v>
      </c>
      <c r="K72" s="19">
        <f t="shared" si="32"/>
        <v>109.41696087981254</v>
      </c>
      <c r="L72" s="19">
        <f t="shared" si="32"/>
        <v>113.63138592003639</v>
      </c>
      <c r="M72" s="19">
        <f t="shared" si="32"/>
        <v>117.94819869253061</v>
      </c>
      <c r="N72" s="6"/>
      <c r="O72" s="6"/>
      <c r="P72" s="6"/>
      <c r="Q72" s="6"/>
      <c r="R72" s="6"/>
      <c r="S72" s="6"/>
      <c r="T72" s="6"/>
      <c r="U72" s="6"/>
      <c r="V72" s="6"/>
      <c r="W72" s="6"/>
      <c r="X72" s="6"/>
      <c r="Y72" s="6"/>
      <c r="Z72" s="6"/>
      <c r="AA72" s="6"/>
    </row>
    <row r="73" spans="1:27" x14ac:dyDescent="0.45">
      <c r="A73" s="3" t="s">
        <v>57</v>
      </c>
      <c r="B73" s="19">
        <f t="shared" ref="B73:M73" si="33">B72*$H$28</f>
        <v>35.558561811886413</v>
      </c>
      <c r="C73" s="19">
        <f t="shared" si="33"/>
        <v>38.17935472208233</v>
      </c>
      <c r="D73" s="19">
        <f t="shared" si="33"/>
        <v>40.959082418859531</v>
      </c>
      <c r="E73" s="19">
        <f t="shared" si="33"/>
        <v>33.845278510983746</v>
      </c>
      <c r="F73" s="19">
        <f t="shared" si="33"/>
        <v>36.739356680088378</v>
      </c>
      <c r="G73" s="19">
        <f t="shared" si="33"/>
        <v>39.830523481362462</v>
      </c>
      <c r="H73" s="19">
        <f t="shared" si="33"/>
        <v>26.685295876861808</v>
      </c>
      <c r="I73" s="19">
        <f t="shared" si="33"/>
        <v>27.64513155458372</v>
      </c>
      <c r="J73" s="19">
        <f t="shared" si="33"/>
        <v>28.628293663599774</v>
      </c>
      <c r="K73" s="19">
        <f t="shared" si="33"/>
        <v>21.883392175962509</v>
      </c>
      <c r="L73" s="19">
        <f t="shared" si="33"/>
        <v>22.72627718400728</v>
      </c>
      <c r="M73" s="19">
        <f t="shared" si="33"/>
        <v>23.589639738506122</v>
      </c>
      <c r="N73" s="6"/>
      <c r="O73" s="6"/>
      <c r="P73" s="6"/>
      <c r="Q73" s="6"/>
      <c r="R73" s="6"/>
      <c r="S73" s="6"/>
      <c r="T73" s="6"/>
      <c r="U73" s="6"/>
      <c r="V73" s="6"/>
      <c r="W73" s="6"/>
      <c r="X73" s="6"/>
      <c r="Y73" s="6"/>
      <c r="Z73" s="6"/>
      <c r="AA73" s="6"/>
    </row>
    <row r="74" spans="1:27" x14ac:dyDescent="0.45">
      <c r="A74" s="2" t="s">
        <v>69</v>
      </c>
      <c r="B74" s="19">
        <f>B72-B73</f>
        <v>142.23424724754565</v>
      </c>
      <c r="C74" s="19">
        <f t="shared" ref="C74:M74" si="34">C72-C73</f>
        <v>152.71741888832929</v>
      </c>
      <c r="D74" s="19">
        <f t="shared" si="34"/>
        <v>163.83632967543809</v>
      </c>
      <c r="E74" s="19">
        <f t="shared" si="34"/>
        <v>135.38111404393499</v>
      </c>
      <c r="F74" s="19">
        <f t="shared" si="34"/>
        <v>146.95742672035351</v>
      </c>
      <c r="G74" s="19">
        <f t="shared" si="34"/>
        <v>159.32209392544982</v>
      </c>
      <c r="H74" s="19">
        <f t="shared" si="34"/>
        <v>106.74118350744723</v>
      </c>
      <c r="I74" s="19">
        <f t="shared" si="34"/>
        <v>110.58052621833488</v>
      </c>
      <c r="J74" s="19">
        <f t="shared" si="34"/>
        <v>114.51317465439908</v>
      </c>
      <c r="K74" s="19">
        <f t="shared" si="34"/>
        <v>87.533568703850023</v>
      </c>
      <c r="L74" s="19">
        <f t="shared" si="34"/>
        <v>90.905108736029121</v>
      </c>
      <c r="M74" s="19">
        <f t="shared" si="34"/>
        <v>94.358558954024488</v>
      </c>
      <c r="N74" s="6"/>
      <c r="O74" s="6"/>
      <c r="P74" s="6"/>
      <c r="Q74" s="6"/>
      <c r="R74" s="6"/>
      <c r="S74" s="6"/>
      <c r="T74" s="6"/>
      <c r="U74" s="6"/>
      <c r="V74" s="6"/>
      <c r="W74" s="6"/>
      <c r="X74" s="6"/>
      <c r="Y74" s="6"/>
      <c r="Z74" s="6"/>
      <c r="AA74" s="6"/>
    </row>
    <row r="76" spans="1:27" x14ac:dyDescent="0.45">
      <c r="A76" s="1" t="s">
        <v>95</v>
      </c>
    </row>
    <row r="77" spans="1:27" x14ac:dyDescent="0.45">
      <c r="A77" s="11" t="s">
        <v>39</v>
      </c>
      <c r="B77" s="11">
        <v>0</v>
      </c>
      <c r="C77" s="11">
        <v>1</v>
      </c>
      <c r="D77" s="11">
        <v>2</v>
      </c>
      <c r="E77" s="11">
        <v>3</v>
      </c>
      <c r="F77" s="11">
        <v>4</v>
      </c>
      <c r="G77" s="11">
        <v>5</v>
      </c>
      <c r="H77" s="11">
        <v>6</v>
      </c>
      <c r="I77" s="11">
        <v>7</v>
      </c>
      <c r="J77" s="11">
        <v>8</v>
      </c>
      <c r="K77" s="11">
        <v>9</v>
      </c>
      <c r="L77" s="11">
        <v>10</v>
      </c>
      <c r="M77" s="11">
        <v>11</v>
      </c>
      <c r="N77" s="11">
        <v>12</v>
      </c>
      <c r="O77" s="11">
        <v>13</v>
      </c>
      <c r="P77" s="11">
        <v>14</v>
      </c>
      <c r="Q77" s="11">
        <v>15</v>
      </c>
      <c r="R77" s="11">
        <v>16</v>
      </c>
      <c r="S77" s="11">
        <v>17</v>
      </c>
      <c r="T77" s="11">
        <v>18</v>
      </c>
      <c r="U77" s="11">
        <v>19</v>
      </c>
      <c r="V77" s="11">
        <v>20</v>
      </c>
      <c r="W77" s="11">
        <v>21</v>
      </c>
      <c r="X77" s="11">
        <v>22</v>
      </c>
      <c r="Y77" s="11">
        <v>23</v>
      </c>
      <c r="Z77" s="11">
        <v>24</v>
      </c>
      <c r="AA77" s="11">
        <v>25</v>
      </c>
    </row>
    <row r="78" spans="1:27" x14ac:dyDescent="0.45">
      <c r="A78" s="1" t="s">
        <v>71</v>
      </c>
      <c r="B78" s="35">
        <f>B79</f>
        <v>312.17867673270234</v>
      </c>
      <c r="C78" s="35">
        <f t="shared" ref="C78:M78" si="35">C79</f>
        <v>319.77554483099266</v>
      </c>
      <c r="D78" s="35">
        <f t="shared" si="35"/>
        <v>327.55728271445486</v>
      </c>
      <c r="E78" s="35">
        <f t="shared" si="35"/>
        <v>279.60699099109269</v>
      </c>
      <c r="F78" s="35">
        <f t="shared" si="35"/>
        <v>286.41122711686091</v>
      </c>
      <c r="G78" s="35">
        <f t="shared" si="35"/>
        <v>293.38104432874962</v>
      </c>
      <c r="H78" s="35">
        <f t="shared" si="35"/>
        <v>220.3816794978259</v>
      </c>
      <c r="I78" s="35">
        <f t="shared" si="35"/>
        <v>225.74466766840544</v>
      </c>
      <c r="J78" s="35">
        <f t="shared" si="35"/>
        <v>231.23816415611617</v>
      </c>
      <c r="K78" s="35">
        <f t="shared" si="35"/>
        <v>193.79891853888154</v>
      </c>
      <c r="L78" s="35">
        <f t="shared" si="35"/>
        <v>198.5150152215252</v>
      </c>
      <c r="M78" s="35">
        <f t="shared" si="35"/>
        <v>203.34587811694109</v>
      </c>
    </row>
    <row r="79" spans="1:27" x14ac:dyDescent="0.45">
      <c r="A79" s="3" t="s">
        <v>61</v>
      </c>
      <c r="B79" s="33">
        <f>B52</f>
        <v>312.17867673270234</v>
      </c>
      <c r="C79" s="33">
        <f t="shared" ref="C79:M79" si="36">C52</f>
        <v>319.77554483099266</v>
      </c>
      <c r="D79" s="33">
        <f t="shared" si="36"/>
        <v>327.55728271445486</v>
      </c>
      <c r="E79" s="33">
        <f t="shared" si="36"/>
        <v>279.60699099109269</v>
      </c>
      <c r="F79" s="33">
        <f t="shared" si="36"/>
        <v>286.41122711686091</v>
      </c>
      <c r="G79" s="33">
        <f t="shared" si="36"/>
        <v>293.38104432874962</v>
      </c>
      <c r="H79" s="33">
        <f t="shared" si="36"/>
        <v>220.3816794978259</v>
      </c>
      <c r="I79" s="33">
        <f t="shared" si="36"/>
        <v>225.74466766840544</v>
      </c>
      <c r="J79" s="33">
        <f t="shared" si="36"/>
        <v>231.23816415611617</v>
      </c>
      <c r="K79" s="33">
        <f t="shared" si="36"/>
        <v>193.79891853888154</v>
      </c>
      <c r="L79" s="33">
        <f t="shared" si="36"/>
        <v>198.5150152215252</v>
      </c>
      <c r="M79" s="33">
        <f t="shared" si="36"/>
        <v>203.34587811694109</v>
      </c>
      <c r="N79" s="6"/>
      <c r="O79" s="6"/>
      <c r="P79" s="6"/>
      <c r="Q79" s="6"/>
      <c r="R79" s="6"/>
      <c r="S79" s="6"/>
      <c r="T79" s="6"/>
      <c r="U79" s="6"/>
      <c r="V79" s="6"/>
      <c r="W79" s="6"/>
      <c r="X79" s="6"/>
      <c r="Y79" s="6"/>
      <c r="Z79" s="6"/>
      <c r="AA79" s="6"/>
    </row>
    <row r="80" spans="1:27" x14ac:dyDescent="0.45">
      <c r="A80" s="1" t="s">
        <v>72</v>
      </c>
      <c r="B80" s="35">
        <f>B81+B82</f>
        <v>799.98586767327026</v>
      </c>
      <c r="C80" s="35">
        <f t="shared" ref="C80:M80" si="37">C81+C82</f>
        <v>32.768594483099271</v>
      </c>
      <c r="D80" s="35">
        <f t="shared" si="37"/>
        <v>33.570499471445487</v>
      </c>
      <c r="E80" s="35">
        <f t="shared" si="37"/>
        <v>28.799913435109271</v>
      </c>
      <c r="F80" s="35">
        <f t="shared" si="37"/>
        <v>29.505513477766094</v>
      </c>
      <c r="G80" s="35">
        <f t="shared" si="37"/>
        <v>30.228426921937363</v>
      </c>
      <c r="H80" s="35">
        <f t="shared" si="37"/>
        <v>22.955200113516863</v>
      </c>
      <c r="I80" s="35">
        <f t="shared" si="37"/>
        <v>23.519009895486846</v>
      </c>
      <c r="J80" s="35">
        <f t="shared" si="37"/>
        <v>24.096695838117306</v>
      </c>
      <c r="K80" s="35">
        <f t="shared" si="37"/>
        <v>20.381957659069013</v>
      </c>
      <c r="L80" s="35">
        <f t="shared" si="37"/>
        <v>20.883629301488806</v>
      </c>
      <c r="M80" s="35">
        <f t="shared" si="37"/>
        <v>21.397679424410484</v>
      </c>
    </row>
    <row r="81" spans="1:27" x14ac:dyDescent="0.45">
      <c r="A81" s="3" t="s">
        <v>73</v>
      </c>
      <c r="B81" s="34">
        <f>B6</f>
        <v>768</v>
      </c>
      <c r="C81" s="34"/>
      <c r="D81" s="34"/>
      <c r="E81" s="34"/>
      <c r="F81" s="34"/>
      <c r="G81" s="34"/>
      <c r="H81" s="34"/>
      <c r="I81" s="34"/>
      <c r="J81" s="34"/>
      <c r="K81" s="34"/>
      <c r="L81" s="34"/>
      <c r="M81" s="34"/>
    </row>
    <row r="82" spans="1:27" x14ac:dyDescent="0.45">
      <c r="A82" s="3" t="s">
        <v>74</v>
      </c>
      <c r="B82" s="33">
        <f>B68</f>
        <v>31.985867673270235</v>
      </c>
      <c r="C82" s="33">
        <f t="shared" ref="C82:M82" si="38">C68</f>
        <v>32.768594483099271</v>
      </c>
      <c r="D82" s="33">
        <f t="shared" si="38"/>
        <v>33.570499471445487</v>
      </c>
      <c r="E82" s="33">
        <f t="shared" si="38"/>
        <v>28.799913435109271</v>
      </c>
      <c r="F82" s="33">
        <f t="shared" si="38"/>
        <v>29.505513477766094</v>
      </c>
      <c r="G82" s="33">
        <f t="shared" si="38"/>
        <v>30.228426921937363</v>
      </c>
      <c r="H82" s="33">
        <f t="shared" si="38"/>
        <v>22.955200113516863</v>
      </c>
      <c r="I82" s="33">
        <f t="shared" si="38"/>
        <v>23.519009895486846</v>
      </c>
      <c r="J82" s="33">
        <f t="shared" si="38"/>
        <v>24.096695838117306</v>
      </c>
      <c r="K82" s="33">
        <f t="shared" si="38"/>
        <v>20.381957659069013</v>
      </c>
      <c r="L82" s="33">
        <f t="shared" si="38"/>
        <v>20.883629301488806</v>
      </c>
      <c r="M82" s="33">
        <f t="shared" si="38"/>
        <v>21.397679424410484</v>
      </c>
      <c r="N82" s="6"/>
      <c r="O82" s="6"/>
      <c r="P82" s="6"/>
      <c r="Q82" s="6"/>
      <c r="R82" s="6"/>
      <c r="S82" s="6"/>
      <c r="T82" s="6"/>
      <c r="U82" s="6"/>
      <c r="V82" s="6"/>
      <c r="W82" s="6"/>
      <c r="X82" s="6"/>
      <c r="Y82" s="6"/>
      <c r="Z82" s="6"/>
      <c r="AA82" s="6"/>
    </row>
    <row r="83" spans="1:27" x14ac:dyDescent="0.45">
      <c r="A83" s="36" t="s">
        <v>93</v>
      </c>
      <c r="B83" s="35">
        <f>B78-B80</f>
        <v>-487.80719094056792</v>
      </c>
      <c r="C83" s="35">
        <f t="shared" ref="C83:M83" si="39">C78-C80</f>
        <v>287.00695034789339</v>
      </c>
      <c r="D83" s="35">
        <f t="shared" si="39"/>
        <v>293.98678324300937</v>
      </c>
      <c r="E83" s="35">
        <f t="shared" si="39"/>
        <v>250.80707755598343</v>
      </c>
      <c r="F83" s="35">
        <f t="shared" si="39"/>
        <v>256.90571363909481</v>
      </c>
      <c r="G83" s="35">
        <f t="shared" si="39"/>
        <v>263.15261740681228</v>
      </c>
      <c r="H83" s="35">
        <f t="shared" si="39"/>
        <v>197.42647938430903</v>
      </c>
      <c r="I83" s="35">
        <f t="shared" si="39"/>
        <v>202.22565777291859</v>
      </c>
      <c r="J83" s="35">
        <f t="shared" si="39"/>
        <v>207.14146831799886</v>
      </c>
      <c r="K83" s="35">
        <f t="shared" si="39"/>
        <v>173.41696087981254</v>
      </c>
      <c r="L83" s="35">
        <f t="shared" si="39"/>
        <v>177.63138592003639</v>
      </c>
      <c r="M83" s="35">
        <f t="shared" si="39"/>
        <v>181.94819869253061</v>
      </c>
      <c r="N83" s="6"/>
      <c r="O83" s="6"/>
      <c r="P83" s="6"/>
      <c r="Q83" s="6"/>
      <c r="R83" s="6"/>
      <c r="S83" s="6"/>
      <c r="T83" s="6"/>
      <c r="U83" s="6"/>
      <c r="V83" s="6"/>
      <c r="W83" s="6"/>
      <c r="X83" s="6"/>
      <c r="Y83" s="6"/>
      <c r="Z83" s="6"/>
      <c r="AA83" s="6"/>
    </row>
    <row r="84" spans="1:27" x14ac:dyDescent="0.45">
      <c r="A84" s="3" t="s">
        <v>57</v>
      </c>
      <c r="B84" s="33">
        <f>B73</f>
        <v>35.558561811886413</v>
      </c>
      <c r="C84" s="33">
        <f t="shared" ref="C84:M84" si="40">C73</f>
        <v>38.17935472208233</v>
      </c>
      <c r="D84" s="33">
        <f t="shared" si="40"/>
        <v>40.959082418859531</v>
      </c>
      <c r="E84" s="33">
        <f t="shared" si="40"/>
        <v>33.845278510983746</v>
      </c>
      <c r="F84" s="33">
        <f t="shared" si="40"/>
        <v>36.739356680088378</v>
      </c>
      <c r="G84" s="33">
        <f t="shared" si="40"/>
        <v>39.830523481362462</v>
      </c>
      <c r="H84" s="33">
        <f t="shared" si="40"/>
        <v>26.685295876861808</v>
      </c>
      <c r="I84" s="33">
        <f t="shared" si="40"/>
        <v>27.64513155458372</v>
      </c>
      <c r="J84" s="33">
        <f t="shared" si="40"/>
        <v>28.628293663599774</v>
      </c>
      <c r="K84" s="33">
        <f t="shared" si="40"/>
        <v>21.883392175962509</v>
      </c>
      <c r="L84" s="33">
        <f t="shared" si="40"/>
        <v>22.72627718400728</v>
      </c>
      <c r="M84" s="33">
        <f t="shared" si="40"/>
        <v>23.589639738506122</v>
      </c>
      <c r="N84" s="6"/>
      <c r="O84" s="6"/>
      <c r="P84" s="6"/>
      <c r="Q84" s="6"/>
      <c r="R84" s="6"/>
      <c r="S84" s="6"/>
      <c r="T84" s="6"/>
      <c r="U84" s="6"/>
      <c r="V84" s="6"/>
      <c r="W84" s="6"/>
      <c r="X84" s="6"/>
      <c r="Y84" s="6"/>
      <c r="Z84" s="6"/>
      <c r="AA84" s="6"/>
    </row>
    <row r="85" spans="1:27" x14ac:dyDescent="0.45">
      <c r="A85" s="1" t="s">
        <v>96</v>
      </c>
      <c r="B85" s="35">
        <f>B83-B84</f>
        <v>-523.36575275245434</v>
      </c>
      <c r="C85" s="35">
        <f t="shared" ref="C85:M85" si="41">C83-C84</f>
        <v>248.82759562581106</v>
      </c>
      <c r="D85" s="35">
        <f t="shared" si="41"/>
        <v>253.02770082414983</v>
      </c>
      <c r="E85" s="35">
        <f t="shared" si="41"/>
        <v>216.96179904499968</v>
      </c>
      <c r="F85" s="35">
        <f t="shared" si="41"/>
        <v>220.16635695900644</v>
      </c>
      <c r="G85" s="35">
        <f t="shared" si="41"/>
        <v>223.32209392544982</v>
      </c>
      <c r="H85" s="35">
        <f t="shared" si="41"/>
        <v>170.74118350744723</v>
      </c>
      <c r="I85" s="35">
        <f t="shared" si="41"/>
        <v>174.58052621833488</v>
      </c>
      <c r="J85" s="35">
        <f t="shared" si="41"/>
        <v>178.51317465439908</v>
      </c>
      <c r="K85" s="35">
        <f t="shared" si="41"/>
        <v>151.53356870385002</v>
      </c>
      <c r="L85" s="35">
        <f t="shared" si="41"/>
        <v>154.90510873602912</v>
      </c>
      <c r="M85" s="35">
        <f t="shared" si="41"/>
        <v>158.35855895402449</v>
      </c>
      <c r="N85" s="6"/>
      <c r="O85" s="6"/>
      <c r="P85" s="6"/>
      <c r="Q85" s="6"/>
      <c r="R85" s="6"/>
      <c r="S85" s="6"/>
      <c r="T85" s="6"/>
      <c r="U85" s="6"/>
      <c r="V85" s="6"/>
      <c r="W85" s="6"/>
      <c r="X85" s="6"/>
      <c r="Y85" s="6"/>
      <c r="Z85" s="6"/>
      <c r="AA85" s="6"/>
    </row>
    <row r="86" spans="1:27" x14ac:dyDescent="0.45">
      <c r="A86" s="2" t="s">
        <v>75</v>
      </c>
      <c r="B86" s="5">
        <f t="shared" ref="B86:M86" si="42">(1+$H$23)^-B77</f>
        <v>1</v>
      </c>
      <c r="C86" s="5">
        <f t="shared" si="42"/>
        <v>0.9174311926605504</v>
      </c>
      <c r="D86" s="5">
        <f t="shared" si="42"/>
        <v>0.84167999326655996</v>
      </c>
      <c r="E86" s="5">
        <f t="shared" si="42"/>
        <v>0.77218348006106419</v>
      </c>
      <c r="F86" s="5">
        <f t="shared" si="42"/>
        <v>0.7084252110651964</v>
      </c>
      <c r="G86" s="5">
        <f t="shared" si="42"/>
        <v>0.64993138629834524</v>
      </c>
      <c r="H86" s="5">
        <f t="shared" si="42"/>
        <v>0.5962673268792158</v>
      </c>
      <c r="I86" s="5">
        <f t="shared" si="42"/>
        <v>0.54703424484331731</v>
      </c>
      <c r="J86" s="5">
        <f t="shared" si="42"/>
        <v>0.50186627967276809</v>
      </c>
      <c r="K86" s="5">
        <f t="shared" si="42"/>
        <v>0.46042777951630098</v>
      </c>
      <c r="L86" s="5">
        <f t="shared" si="42"/>
        <v>0.42241080689568894</v>
      </c>
      <c r="M86" s="5">
        <f t="shared" si="42"/>
        <v>0.38753285036301738</v>
      </c>
      <c r="N86" s="5"/>
      <c r="O86" s="5"/>
      <c r="P86" s="5"/>
      <c r="Q86" s="5"/>
      <c r="R86" s="5"/>
      <c r="S86" s="5"/>
      <c r="T86" s="5"/>
      <c r="U86" s="5"/>
      <c r="V86" s="5"/>
      <c r="W86" s="5"/>
      <c r="X86" s="5"/>
      <c r="Y86" s="5"/>
      <c r="Z86" s="5"/>
      <c r="AA86" s="5"/>
    </row>
    <row r="87" spans="1:27" x14ac:dyDescent="0.45">
      <c r="A87" s="2" t="s">
        <v>79</v>
      </c>
      <c r="B87" s="19">
        <f>B85*B86</f>
        <v>-523.36575275245434</v>
      </c>
      <c r="C87" s="19">
        <f t="shared" ref="C87:M87" si="43">C85*C86</f>
        <v>228.28219782184499</v>
      </c>
      <c r="D87" s="19">
        <f t="shared" si="43"/>
        <v>212.96835352592359</v>
      </c>
      <c r="E87" s="19">
        <f t="shared" si="43"/>
        <v>167.53431702687712</v>
      </c>
      <c r="F87" s="19">
        <f t="shared" si="43"/>
        <v>155.97139789813951</v>
      </c>
      <c r="G87" s="19">
        <f t="shared" si="43"/>
        <v>145.14403809601686</v>
      </c>
      <c r="H87" s="19">
        <f t="shared" si="43"/>
        <v>101.80738907817921</v>
      </c>
      <c r="I87" s="19">
        <f t="shared" si="43"/>
        <v>95.50152632419578</v>
      </c>
      <c r="J87" s="19">
        <f t="shared" si="43"/>
        <v>89.589742836378349</v>
      </c>
      <c r="K87" s="19">
        <f t="shared" si="43"/>
        <v>69.77026456049451</v>
      </c>
      <c r="L87" s="19">
        <f t="shared" si="43"/>
        <v>65.43359197345049</v>
      </c>
      <c r="M87" s="19">
        <f t="shared" si="43"/>
        <v>61.369143730833038</v>
      </c>
      <c r="N87" s="6"/>
      <c r="O87" s="6"/>
      <c r="P87" s="6"/>
      <c r="Q87" s="6"/>
      <c r="R87" s="6"/>
      <c r="S87" s="6"/>
      <c r="T87" s="6"/>
      <c r="U87" s="6"/>
      <c r="V87" s="6"/>
      <c r="W87" s="6"/>
      <c r="X87" s="6"/>
      <c r="Y87" s="6"/>
      <c r="Z87" s="6"/>
      <c r="AA87" s="6"/>
    </row>
    <row r="88" spans="1:27" x14ac:dyDescent="0.45">
      <c r="A88" s="2" t="s">
        <v>80</v>
      </c>
      <c r="B88" s="19">
        <f>B85</f>
        <v>-523.36575275245434</v>
      </c>
      <c r="C88" s="6">
        <f>B88+C85</f>
        <v>-274.53815712664328</v>
      </c>
      <c r="D88" s="6">
        <f t="shared" ref="D88:M88" si="44">C88+D85</f>
        <v>-21.510456302493452</v>
      </c>
      <c r="E88" s="6">
        <f t="shared" si="44"/>
        <v>195.45134274250623</v>
      </c>
      <c r="F88" s="6">
        <f t="shared" si="44"/>
        <v>415.61769970151266</v>
      </c>
      <c r="G88" s="6">
        <f t="shared" si="44"/>
        <v>638.93979362696246</v>
      </c>
      <c r="H88" s="6">
        <f t="shared" si="44"/>
        <v>809.68097713440966</v>
      </c>
      <c r="I88" s="6">
        <f t="shared" si="44"/>
        <v>984.26150335274451</v>
      </c>
      <c r="J88" s="6">
        <f t="shared" si="44"/>
        <v>1162.7746780071436</v>
      </c>
      <c r="K88" s="6">
        <f t="shared" si="44"/>
        <v>1314.3082467109937</v>
      </c>
      <c r="L88" s="6">
        <f t="shared" si="44"/>
        <v>1469.2133554470229</v>
      </c>
      <c r="M88" s="6">
        <f t="shared" si="44"/>
        <v>1627.5719144010473</v>
      </c>
      <c r="N88" s="6"/>
      <c r="O88" s="6"/>
      <c r="P88" s="6"/>
      <c r="Q88" s="6"/>
      <c r="R88" s="6"/>
      <c r="S88" s="6"/>
      <c r="T88" s="6"/>
      <c r="U88" s="6"/>
      <c r="V88" s="6"/>
      <c r="W88" s="6"/>
      <c r="X88" s="6"/>
      <c r="Y88" s="6"/>
      <c r="Z88" s="6"/>
      <c r="AA88" s="6"/>
    </row>
    <row r="89" spans="1:27" x14ac:dyDescent="0.45">
      <c r="A89" s="2" t="s">
        <v>81</v>
      </c>
      <c r="B89" s="19">
        <f>B87</f>
        <v>-523.36575275245434</v>
      </c>
      <c r="C89" s="6">
        <f>B89+C87</f>
        <v>-295.08355493060935</v>
      </c>
      <c r="D89" s="6">
        <f t="shared" ref="D89:M89" si="45">C89+D87</f>
        <v>-82.115201404685763</v>
      </c>
      <c r="E89" s="6">
        <f t="shared" si="45"/>
        <v>85.419115622191356</v>
      </c>
      <c r="F89" s="6">
        <f t="shared" si="45"/>
        <v>241.39051352033087</v>
      </c>
      <c r="G89" s="6">
        <f t="shared" si="45"/>
        <v>386.5345516163477</v>
      </c>
      <c r="H89" s="6">
        <f t="shared" si="45"/>
        <v>488.3419406945269</v>
      </c>
      <c r="I89" s="6">
        <f t="shared" si="45"/>
        <v>583.84346701872266</v>
      </c>
      <c r="J89" s="6">
        <f t="shared" si="45"/>
        <v>673.43320985510104</v>
      </c>
      <c r="K89" s="6">
        <f t="shared" si="45"/>
        <v>743.20347441559557</v>
      </c>
      <c r="L89" s="6">
        <f t="shared" si="45"/>
        <v>808.63706638904603</v>
      </c>
      <c r="M89" s="6">
        <f t="shared" si="45"/>
        <v>870.00621011987903</v>
      </c>
      <c r="N89" s="6"/>
      <c r="O89" s="6"/>
      <c r="P89" s="6"/>
      <c r="Q89" s="6"/>
      <c r="R89" s="6"/>
      <c r="S89" s="6"/>
      <c r="T89" s="6"/>
      <c r="U89" s="6"/>
      <c r="V89" s="6"/>
      <c r="W89" s="6"/>
      <c r="X89" s="6"/>
      <c r="Y89" s="6"/>
      <c r="Z89" s="6"/>
      <c r="AA89" s="6"/>
    </row>
    <row r="90" spans="1:27" x14ac:dyDescent="0.45">
      <c r="B90" s="19"/>
      <c r="C90" s="6"/>
      <c r="D90" s="6"/>
      <c r="E90" s="6"/>
      <c r="F90" s="6"/>
      <c r="G90" s="6"/>
      <c r="H90" s="6"/>
      <c r="I90" s="6"/>
      <c r="J90" s="6"/>
      <c r="K90" s="6"/>
      <c r="L90" s="6"/>
      <c r="M90" s="6"/>
      <c r="N90" s="6"/>
      <c r="O90" s="6"/>
      <c r="P90" s="6"/>
      <c r="Q90" s="6"/>
      <c r="R90" s="6"/>
      <c r="S90" s="6"/>
      <c r="T90" s="6"/>
      <c r="U90" s="6"/>
      <c r="V90" s="6"/>
      <c r="W90" s="6"/>
      <c r="X90" s="6"/>
      <c r="Y90" s="6"/>
      <c r="Z90" s="6"/>
      <c r="AA90" s="6"/>
    </row>
    <row r="91" spans="1:27" x14ac:dyDescent="0.45">
      <c r="A91" s="38" t="s">
        <v>115</v>
      </c>
      <c r="B91" s="39">
        <f>SUM(B87:M87)</f>
        <v>870.00621011987903</v>
      </c>
      <c r="C91" s="6"/>
    </row>
    <row r="92" spans="1:27" x14ac:dyDescent="0.45">
      <c r="A92" s="38" t="s">
        <v>116</v>
      </c>
      <c r="B92" s="50">
        <f>IRR(B85:M85)</f>
        <v>0.42663856442532211</v>
      </c>
      <c r="C92" s="4"/>
    </row>
    <row r="94" spans="1:27" x14ac:dyDescent="0.45">
      <c r="A94" s="1" t="s">
        <v>94</v>
      </c>
    </row>
    <row r="95" spans="1:27" x14ac:dyDescent="0.45">
      <c r="A95" s="11" t="s">
        <v>39</v>
      </c>
      <c r="B95" s="11">
        <v>0</v>
      </c>
      <c r="C95" s="11">
        <v>1</v>
      </c>
      <c r="D95" s="11">
        <v>2</v>
      </c>
      <c r="E95" s="11">
        <v>3</v>
      </c>
      <c r="F95" s="11">
        <v>4</v>
      </c>
      <c r="G95" s="11">
        <v>5</v>
      </c>
      <c r="H95" s="11">
        <v>6</v>
      </c>
      <c r="I95" s="11">
        <v>7</v>
      </c>
      <c r="J95" s="11">
        <v>8</v>
      </c>
      <c r="K95" s="11">
        <v>9</v>
      </c>
      <c r="L95" s="11">
        <v>10</v>
      </c>
      <c r="M95" s="11">
        <v>11</v>
      </c>
      <c r="N95" s="11">
        <v>12</v>
      </c>
      <c r="O95" s="11">
        <v>13</v>
      </c>
      <c r="P95" s="11">
        <v>14</v>
      </c>
      <c r="Q95" s="11">
        <v>15</v>
      </c>
      <c r="R95" s="11">
        <v>16</v>
      </c>
      <c r="S95" s="11">
        <v>17</v>
      </c>
      <c r="T95" s="11">
        <v>18</v>
      </c>
      <c r="U95" s="11">
        <v>19</v>
      </c>
      <c r="V95" s="11">
        <v>20</v>
      </c>
      <c r="W95" s="11">
        <v>21</v>
      </c>
      <c r="X95" s="11">
        <v>22</v>
      </c>
      <c r="Y95" s="11">
        <v>23</v>
      </c>
      <c r="Z95" s="11">
        <v>24</v>
      </c>
      <c r="AA95" s="11">
        <v>25</v>
      </c>
    </row>
    <row r="96" spans="1:27" x14ac:dyDescent="0.45">
      <c r="A96" s="1" t="s">
        <v>96</v>
      </c>
      <c r="B96" s="35">
        <f>B85</f>
        <v>-523.36575275245434</v>
      </c>
      <c r="C96" s="35">
        <f t="shared" ref="C96:M96" si="46">C85</f>
        <v>248.82759562581106</v>
      </c>
      <c r="D96" s="35">
        <f t="shared" si="46"/>
        <v>253.02770082414983</v>
      </c>
      <c r="E96" s="35">
        <f t="shared" si="46"/>
        <v>216.96179904499968</v>
      </c>
      <c r="F96" s="35">
        <f t="shared" si="46"/>
        <v>220.16635695900644</v>
      </c>
      <c r="G96" s="35">
        <f t="shared" si="46"/>
        <v>223.32209392544982</v>
      </c>
      <c r="H96" s="35">
        <f t="shared" si="46"/>
        <v>170.74118350744723</v>
      </c>
      <c r="I96" s="35">
        <f t="shared" si="46"/>
        <v>174.58052621833488</v>
      </c>
      <c r="J96" s="35">
        <f t="shared" si="46"/>
        <v>178.51317465439908</v>
      </c>
      <c r="K96" s="35">
        <f t="shared" si="46"/>
        <v>151.53356870385002</v>
      </c>
      <c r="L96" s="35">
        <f t="shared" si="46"/>
        <v>154.90510873602912</v>
      </c>
      <c r="M96" s="35">
        <f t="shared" si="46"/>
        <v>158.35855895402449</v>
      </c>
    </row>
    <row r="97" spans="1:27" x14ac:dyDescent="0.45">
      <c r="A97" s="3" t="s">
        <v>112</v>
      </c>
      <c r="B97" s="33">
        <f>B56</f>
        <v>384</v>
      </c>
      <c r="C97" s="33"/>
      <c r="D97" s="33"/>
      <c r="E97" s="33"/>
      <c r="F97" s="33"/>
      <c r="G97" s="33"/>
      <c r="H97" s="33"/>
      <c r="I97" s="33"/>
      <c r="J97" s="33"/>
      <c r="K97" s="33"/>
      <c r="L97" s="33"/>
      <c r="M97" s="33"/>
      <c r="N97" s="6"/>
      <c r="O97" s="6"/>
      <c r="P97" s="6"/>
      <c r="Q97" s="6"/>
      <c r="R97" s="6"/>
      <c r="S97" s="6"/>
      <c r="T97" s="6"/>
      <c r="U97" s="6"/>
      <c r="V97" s="6"/>
      <c r="W97" s="6"/>
      <c r="X97" s="6"/>
      <c r="Y97" s="6"/>
      <c r="Z97" s="6"/>
      <c r="AA97" s="6"/>
    </row>
    <row r="98" spans="1:27" x14ac:dyDescent="0.45">
      <c r="A98" s="3" t="s">
        <v>102</v>
      </c>
      <c r="B98" s="19">
        <f>B58</f>
        <v>101.29823262518224</v>
      </c>
      <c r="C98" s="19">
        <f t="shared" ref="C98:F98" si="47">C58</f>
        <v>101.29823262518224</v>
      </c>
      <c r="D98" s="19">
        <f t="shared" si="47"/>
        <v>101.29823262518224</v>
      </c>
      <c r="E98" s="19">
        <f t="shared" si="47"/>
        <v>101.29823262518224</v>
      </c>
      <c r="F98" s="19">
        <f t="shared" si="47"/>
        <v>101.29823262518224</v>
      </c>
      <c r="G98" s="35"/>
      <c r="H98" s="35"/>
      <c r="I98" s="35"/>
      <c r="J98" s="35"/>
      <c r="K98" s="35"/>
      <c r="L98" s="35"/>
      <c r="M98" s="35"/>
    </row>
    <row r="99" spans="1:27" x14ac:dyDescent="0.45">
      <c r="A99" s="36" t="s">
        <v>113</v>
      </c>
      <c r="B99" s="35">
        <f>B96+B97-B98</f>
        <v>-240.66398537763658</v>
      </c>
      <c r="C99" s="35">
        <f t="shared" ref="C99:M99" si="48">C96+C97-C98</f>
        <v>147.52936300062882</v>
      </c>
      <c r="D99" s="35">
        <f t="shared" si="48"/>
        <v>151.7294681989676</v>
      </c>
      <c r="E99" s="35">
        <f t="shared" si="48"/>
        <v>115.66356641981744</v>
      </c>
      <c r="F99" s="35">
        <f t="shared" si="48"/>
        <v>118.8681243338242</v>
      </c>
      <c r="G99" s="35">
        <f t="shared" si="48"/>
        <v>223.32209392544982</v>
      </c>
      <c r="H99" s="35">
        <f t="shared" si="48"/>
        <v>170.74118350744723</v>
      </c>
      <c r="I99" s="35">
        <f t="shared" si="48"/>
        <v>174.58052621833488</v>
      </c>
      <c r="J99" s="35">
        <f t="shared" si="48"/>
        <v>178.51317465439908</v>
      </c>
      <c r="K99" s="35">
        <f t="shared" si="48"/>
        <v>151.53356870385002</v>
      </c>
      <c r="L99" s="35">
        <f t="shared" si="48"/>
        <v>154.90510873602912</v>
      </c>
      <c r="M99" s="35">
        <f t="shared" si="48"/>
        <v>158.35855895402449</v>
      </c>
      <c r="N99" s="6"/>
      <c r="O99" s="6"/>
      <c r="P99" s="6"/>
      <c r="Q99" s="6"/>
      <c r="R99" s="6"/>
      <c r="S99" s="6"/>
      <c r="T99" s="6"/>
      <c r="U99" s="6"/>
      <c r="V99" s="6"/>
      <c r="W99" s="6"/>
      <c r="X99" s="6"/>
      <c r="Y99" s="6"/>
      <c r="Z99" s="6"/>
      <c r="AA99" s="6"/>
    </row>
    <row r="100" spans="1:27" x14ac:dyDescent="0.45">
      <c r="A100" s="36"/>
      <c r="B100" s="35"/>
      <c r="C100" s="35"/>
      <c r="D100" s="35"/>
      <c r="E100" s="35"/>
      <c r="F100" s="35"/>
      <c r="G100" s="35"/>
      <c r="H100" s="35"/>
      <c r="I100" s="35"/>
      <c r="J100" s="35"/>
      <c r="K100" s="35"/>
      <c r="L100" s="35"/>
      <c r="M100" s="35"/>
      <c r="N100" s="6"/>
      <c r="O100" s="6"/>
      <c r="P100" s="6"/>
      <c r="Q100" s="6"/>
      <c r="R100" s="6"/>
      <c r="S100" s="6"/>
      <c r="T100" s="6"/>
      <c r="U100" s="6"/>
      <c r="V100" s="6"/>
      <c r="W100" s="6"/>
      <c r="X100" s="6"/>
      <c r="Y100" s="6"/>
      <c r="Z100" s="6"/>
      <c r="AA100" s="6"/>
    </row>
    <row r="101" spans="1:27" x14ac:dyDescent="0.45">
      <c r="A101" s="40" t="s">
        <v>117</v>
      </c>
      <c r="B101" s="39">
        <f>NPV(B10,C99:M99)+B99</f>
        <v>878.5790949737999</v>
      </c>
      <c r="C101" s="35"/>
      <c r="D101" s="35"/>
      <c r="E101" s="35"/>
      <c r="F101" s="35"/>
      <c r="G101" s="35"/>
      <c r="H101" s="35"/>
      <c r="I101" s="35"/>
      <c r="J101" s="35"/>
      <c r="K101" s="35"/>
      <c r="L101" s="35"/>
      <c r="M101" s="35"/>
      <c r="N101" s="6"/>
      <c r="O101" s="6"/>
      <c r="P101" s="6"/>
      <c r="Q101" s="6"/>
      <c r="R101" s="6"/>
      <c r="S101" s="6"/>
      <c r="T101" s="6"/>
      <c r="U101" s="6"/>
      <c r="V101" s="6"/>
      <c r="W101" s="6"/>
      <c r="X101" s="6"/>
      <c r="Y101" s="6"/>
      <c r="Z101" s="6"/>
      <c r="AA101" s="6"/>
    </row>
    <row r="102" spans="1:27" x14ac:dyDescent="0.45">
      <c r="A102" s="38" t="s">
        <v>114</v>
      </c>
      <c r="B102" s="50">
        <f>IRR(B99:M99)</f>
        <v>0.60946949181628196</v>
      </c>
    </row>
    <row r="104" spans="1:27" x14ac:dyDescent="0.45">
      <c r="A104" s="25" t="s">
        <v>89</v>
      </c>
    </row>
    <row r="105" spans="1:27" x14ac:dyDescent="0.45">
      <c r="A105" s="24" t="s">
        <v>123</v>
      </c>
    </row>
  </sheetData>
  <mergeCells count="2">
    <mergeCell ref="A1:I1"/>
    <mergeCell ref="A2:I2"/>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6EC9-13B9-4896-9141-B0A857A949DE}">
  <dimension ref="A1:AA104"/>
  <sheetViews>
    <sheetView topLeftCell="A83" workbookViewId="0">
      <selection activeCell="B91" sqref="B91"/>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118</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3</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768</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14">
        <v>0</v>
      </c>
    </row>
    <row r="20" spans="1:15" x14ac:dyDescent="0.45">
      <c r="A20" s="3" t="s">
        <v>13</v>
      </c>
      <c r="B20" s="4">
        <v>0.55000000000000004</v>
      </c>
      <c r="E20" s="2" t="s">
        <v>36</v>
      </c>
      <c r="H20" s="14">
        <v>0</v>
      </c>
      <c r="I20" s="2" t="s">
        <v>98</v>
      </c>
    </row>
    <row r="21" spans="1:15" x14ac:dyDescent="0.45">
      <c r="A21" s="3" t="s">
        <v>54</v>
      </c>
      <c r="B21" s="14">
        <v>1</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0.08</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24</v>
      </c>
      <c r="B28" s="4">
        <v>0.1</v>
      </c>
      <c r="C28" s="2" t="s">
        <v>25</v>
      </c>
      <c r="E28" s="2" t="s">
        <v>57</v>
      </c>
      <c r="H28" s="14">
        <v>0.2</v>
      </c>
      <c r="N28" s="4"/>
      <c r="O28" s="9"/>
    </row>
    <row r="29" spans="1:15" ht="15.75" thickBot="1" x14ac:dyDescent="0.5">
      <c r="A29" s="12" t="s">
        <v>26</v>
      </c>
      <c r="B29" s="30">
        <v>1E-3</v>
      </c>
      <c r="C29" s="12" t="s">
        <v>27</v>
      </c>
      <c r="D29" s="12"/>
      <c r="E29" s="12" t="s">
        <v>58</v>
      </c>
      <c r="F29" s="12"/>
      <c r="G29" s="12"/>
      <c r="H29" s="18">
        <v>1000000</v>
      </c>
      <c r="I29" s="12"/>
    </row>
    <row r="30" spans="1:15" ht="15.75" thickTop="1" x14ac:dyDescent="0.45"/>
    <row r="31" spans="1:15" ht="18.75" x14ac:dyDescent="0.5">
      <c r="A31" s="27" t="s">
        <v>33</v>
      </c>
    </row>
    <row r="32" spans="1:15" x14ac:dyDescent="0.45">
      <c r="A32" s="1" t="s">
        <v>38</v>
      </c>
    </row>
    <row r="33" spans="1:27" x14ac:dyDescent="0.45">
      <c r="A33" s="11" t="s">
        <v>39</v>
      </c>
      <c r="B33" s="11">
        <v>0</v>
      </c>
      <c r="C33" s="11">
        <v>1</v>
      </c>
      <c r="D33" s="11">
        <v>2</v>
      </c>
      <c r="E33" s="11">
        <v>3</v>
      </c>
      <c r="F33" s="11">
        <v>4</v>
      </c>
      <c r="G33" s="11">
        <v>5</v>
      </c>
      <c r="H33" s="11">
        <v>6</v>
      </c>
      <c r="I33" s="11">
        <v>7</v>
      </c>
      <c r="J33" s="11">
        <v>8</v>
      </c>
      <c r="K33" s="11">
        <v>9</v>
      </c>
      <c r="L33" s="11">
        <v>10</v>
      </c>
      <c r="M33" s="11">
        <v>11</v>
      </c>
      <c r="N33" s="11">
        <v>12</v>
      </c>
      <c r="O33" s="11">
        <v>13</v>
      </c>
      <c r="P33" s="11">
        <v>14</v>
      </c>
      <c r="Q33" s="11">
        <v>15</v>
      </c>
      <c r="R33" s="11">
        <v>16</v>
      </c>
      <c r="S33" s="11">
        <v>17</v>
      </c>
      <c r="T33" s="11">
        <v>18</v>
      </c>
      <c r="U33" s="11">
        <v>19</v>
      </c>
      <c r="V33" s="11">
        <v>20</v>
      </c>
      <c r="W33" s="11">
        <v>21</v>
      </c>
      <c r="X33" s="11">
        <v>22</v>
      </c>
      <c r="Y33" s="11">
        <v>23</v>
      </c>
      <c r="Z33" s="11">
        <v>24</v>
      </c>
      <c r="AA33" s="11">
        <v>25</v>
      </c>
    </row>
    <row r="34" spans="1:27" x14ac:dyDescent="0.45">
      <c r="A34" s="2" t="s">
        <v>40</v>
      </c>
      <c r="B34" s="5">
        <f t="shared" ref="B34:AA34" si="0">(1+$B$27)^B33</f>
        <v>1</v>
      </c>
      <c r="C34" s="5">
        <f t="shared" si="0"/>
        <v>1.03</v>
      </c>
      <c r="D34" s="5">
        <f t="shared" si="0"/>
        <v>1.0609</v>
      </c>
      <c r="E34" s="5">
        <f t="shared" si="0"/>
        <v>1.092727</v>
      </c>
      <c r="F34" s="5">
        <f t="shared" si="0"/>
        <v>1.1255088099999999</v>
      </c>
      <c r="G34" s="5">
        <f t="shared" si="0"/>
        <v>1.1592740742999998</v>
      </c>
      <c r="H34" s="5">
        <f t="shared" si="0"/>
        <v>1.1940522965289999</v>
      </c>
      <c r="I34" s="5">
        <f t="shared" si="0"/>
        <v>1.22987386542487</v>
      </c>
      <c r="J34" s="5">
        <f t="shared" si="0"/>
        <v>1.2667700813876159</v>
      </c>
      <c r="K34" s="5">
        <f t="shared" si="0"/>
        <v>1.3047731838292445</v>
      </c>
      <c r="L34" s="5">
        <f t="shared" si="0"/>
        <v>1.3439163793441218</v>
      </c>
      <c r="M34" s="5">
        <f t="shared" si="0"/>
        <v>1.3842338707244455</v>
      </c>
      <c r="N34" s="5">
        <f t="shared" si="0"/>
        <v>1.4257608868461786</v>
      </c>
      <c r="O34" s="5">
        <f t="shared" si="0"/>
        <v>1.4685337134515639</v>
      </c>
      <c r="P34" s="5">
        <f t="shared" si="0"/>
        <v>1.512589724855111</v>
      </c>
      <c r="Q34" s="5">
        <f t="shared" si="0"/>
        <v>1.5579674166007644</v>
      </c>
      <c r="R34" s="5">
        <f t="shared" si="0"/>
        <v>1.6047064390987871</v>
      </c>
      <c r="S34" s="5">
        <f t="shared" si="0"/>
        <v>1.6528476322717507</v>
      </c>
      <c r="T34" s="5">
        <f t="shared" si="0"/>
        <v>1.7024330612399032</v>
      </c>
      <c r="U34" s="5">
        <f t="shared" si="0"/>
        <v>1.7535060530771003</v>
      </c>
      <c r="V34" s="5">
        <f t="shared" si="0"/>
        <v>1.8061112346694133</v>
      </c>
      <c r="W34" s="5">
        <f t="shared" si="0"/>
        <v>1.8602945717094954</v>
      </c>
      <c r="X34" s="5">
        <f t="shared" si="0"/>
        <v>1.9161034088607805</v>
      </c>
      <c r="Y34" s="5">
        <f t="shared" si="0"/>
        <v>1.973586511126604</v>
      </c>
      <c r="Z34" s="5">
        <f t="shared" si="0"/>
        <v>2.0327941064604018</v>
      </c>
      <c r="AA34" s="5">
        <f t="shared" si="0"/>
        <v>2.0937779296542138</v>
      </c>
    </row>
    <row r="35" spans="1:27" x14ac:dyDescent="0.45">
      <c r="A35" s="2" t="s">
        <v>41</v>
      </c>
      <c r="B35" s="5">
        <f t="shared" ref="B35:AA35" si="1">(1+$B$26)^B33</f>
        <v>1</v>
      </c>
      <c r="C35" s="5">
        <f t="shared" si="1"/>
        <v>1.03</v>
      </c>
      <c r="D35" s="5">
        <f t="shared" si="1"/>
        <v>1.0609</v>
      </c>
      <c r="E35" s="5">
        <f t="shared" si="1"/>
        <v>1.092727</v>
      </c>
      <c r="F35" s="5">
        <f t="shared" si="1"/>
        <v>1.1255088099999999</v>
      </c>
      <c r="G35" s="5">
        <f t="shared" si="1"/>
        <v>1.1592740742999998</v>
      </c>
      <c r="H35" s="5">
        <f t="shared" si="1"/>
        <v>1.1940522965289999</v>
      </c>
      <c r="I35" s="5">
        <f t="shared" si="1"/>
        <v>1.22987386542487</v>
      </c>
      <c r="J35" s="5">
        <f t="shared" si="1"/>
        <v>1.2667700813876159</v>
      </c>
      <c r="K35" s="5">
        <f t="shared" si="1"/>
        <v>1.3047731838292445</v>
      </c>
      <c r="L35" s="5">
        <f t="shared" si="1"/>
        <v>1.3439163793441218</v>
      </c>
      <c r="M35" s="5">
        <f t="shared" si="1"/>
        <v>1.3842338707244455</v>
      </c>
      <c r="N35" s="5">
        <f t="shared" si="1"/>
        <v>1.4257608868461786</v>
      </c>
      <c r="O35" s="5">
        <f t="shared" si="1"/>
        <v>1.4685337134515639</v>
      </c>
      <c r="P35" s="5">
        <f t="shared" si="1"/>
        <v>1.512589724855111</v>
      </c>
      <c r="Q35" s="5">
        <f t="shared" si="1"/>
        <v>1.5579674166007644</v>
      </c>
      <c r="R35" s="5">
        <f t="shared" si="1"/>
        <v>1.6047064390987871</v>
      </c>
      <c r="S35" s="5">
        <f t="shared" si="1"/>
        <v>1.6528476322717507</v>
      </c>
      <c r="T35" s="5">
        <f t="shared" si="1"/>
        <v>1.7024330612399032</v>
      </c>
      <c r="U35" s="5">
        <f t="shared" si="1"/>
        <v>1.7535060530771003</v>
      </c>
      <c r="V35" s="5">
        <f t="shared" si="1"/>
        <v>1.8061112346694133</v>
      </c>
      <c r="W35" s="5">
        <f t="shared" si="1"/>
        <v>1.8602945717094954</v>
      </c>
      <c r="X35" s="5">
        <f t="shared" si="1"/>
        <v>1.9161034088607805</v>
      </c>
      <c r="Y35" s="5">
        <f t="shared" si="1"/>
        <v>1.973586511126604</v>
      </c>
      <c r="Z35" s="5">
        <f t="shared" si="1"/>
        <v>2.0327941064604018</v>
      </c>
      <c r="AA35" s="5">
        <f t="shared" si="1"/>
        <v>2.0937779296542138</v>
      </c>
    </row>
    <row r="36" spans="1:27" x14ac:dyDescent="0.45">
      <c r="A36" s="2" t="s">
        <v>53</v>
      </c>
      <c r="B36" s="5"/>
      <c r="C36" s="42">
        <f>(1-$B$17)</f>
        <v>0.9</v>
      </c>
      <c r="D36" s="42">
        <f t="shared" ref="D36:E36" si="2">(1-$B$17)</f>
        <v>0.9</v>
      </c>
      <c r="E36" s="42">
        <f t="shared" si="2"/>
        <v>0.9</v>
      </c>
      <c r="F36" s="43">
        <f>(1-$B$18)</f>
        <v>0.75</v>
      </c>
      <c r="G36" s="43">
        <f t="shared" ref="G36:H36" si="3">(1-$B$18)</f>
        <v>0.75</v>
      </c>
      <c r="H36" s="43">
        <f t="shared" si="3"/>
        <v>0.75</v>
      </c>
      <c r="I36" s="44">
        <f>(1-$B$19)</f>
        <v>0.55000000000000004</v>
      </c>
      <c r="J36" s="44">
        <f t="shared" ref="J36:K36" si="4">(1-$B$19)</f>
        <v>0.55000000000000004</v>
      </c>
      <c r="K36" s="44">
        <f t="shared" si="4"/>
        <v>0.55000000000000004</v>
      </c>
      <c r="L36" s="45">
        <f>(1-$B$20)</f>
        <v>0.44999999999999996</v>
      </c>
      <c r="M36" s="45">
        <f t="shared" ref="M36:N36" si="5">(1-$B$20)</f>
        <v>0.44999999999999996</v>
      </c>
      <c r="N36" s="45">
        <f t="shared" si="5"/>
        <v>0.44999999999999996</v>
      </c>
      <c r="O36" s="32">
        <f>(1-$B$21)</f>
        <v>0</v>
      </c>
      <c r="P36" s="32">
        <f t="shared" ref="P36:AA36" si="6">(1-$B$21)</f>
        <v>0</v>
      </c>
      <c r="Q36" s="32">
        <f t="shared" si="6"/>
        <v>0</v>
      </c>
      <c r="R36" s="32">
        <f t="shared" si="6"/>
        <v>0</v>
      </c>
      <c r="S36" s="32">
        <f t="shared" si="6"/>
        <v>0</v>
      </c>
      <c r="T36" s="32">
        <f t="shared" si="6"/>
        <v>0</v>
      </c>
      <c r="U36" s="32">
        <f t="shared" si="6"/>
        <v>0</v>
      </c>
      <c r="V36" s="32">
        <f t="shared" si="6"/>
        <v>0</v>
      </c>
      <c r="W36" s="32">
        <f t="shared" si="6"/>
        <v>0</v>
      </c>
      <c r="X36" s="32">
        <f t="shared" si="6"/>
        <v>0</v>
      </c>
      <c r="Y36" s="32">
        <f t="shared" si="6"/>
        <v>0</v>
      </c>
      <c r="Z36" s="32">
        <f t="shared" si="6"/>
        <v>0</v>
      </c>
      <c r="AA36" s="32">
        <f t="shared" si="6"/>
        <v>0</v>
      </c>
    </row>
    <row r="37" spans="1:27" x14ac:dyDescent="0.45">
      <c r="A37" s="2" t="s">
        <v>42</v>
      </c>
      <c r="B37" s="5">
        <f>1-B23</f>
        <v>0.99</v>
      </c>
      <c r="C37" s="5">
        <f>B37-$B$24</f>
        <v>0.98450000000000004</v>
      </c>
      <c r="D37" s="5">
        <f t="shared" ref="D37:AA37" si="7">C37-$B$24</f>
        <v>0.97900000000000009</v>
      </c>
      <c r="E37" s="5">
        <f t="shared" si="7"/>
        <v>0.97350000000000014</v>
      </c>
      <c r="F37" s="5">
        <f t="shared" si="7"/>
        <v>0.96800000000000019</v>
      </c>
      <c r="G37" s="5">
        <f t="shared" si="7"/>
        <v>0.96250000000000024</v>
      </c>
      <c r="H37" s="5">
        <f t="shared" si="7"/>
        <v>0.95700000000000029</v>
      </c>
      <c r="I37" s="5">
        <f t="shared" si="7"/>
        <v>0.95150000000000035</v>
      </c>
      <c r="J37" s="5">
        <f t="shared" si="7"/>
        <v>0.9460000000000004</v>
      </c>
      <c r="K37" s="5">
        <f t="shared" si="7"/>
        <v>0.94050000000000045</v>
      </c>
      <c r="L37" s="5">
        <f t="shared" si="7"/>
        <v>0.9350000000000005</v>
      </c>
      <c r="M37" s="5">
        <f t="shared" si="7"/>
        <v>0.92950000000000055</v>
      </c>
      <c r="N37" s="5">
        <f t="shared" si="7"/>
        <v>0.9240000000000006</v>
      </c>
      <c r="O37" s="5">
        <f t="shared" si="7"/>
        <v>0.91850000000000065</v>
      </c>
      <c r="P37" s="5">
        <f t="shared" si="7"/>
        <v>0.9130000000000007</v>
      </c>
      <c r="Q37" s="5">
        <f t="shared" si="7"/>
        <v>0.90750000000000075</v>
      </c>
      <c r="R37" s="5">
        <f t="shared" si="7"/>
        <v>0.9020000000000008</v>
      </c>
      <c r="S37" s="5">
        <f t="shared" si="7"/>
        <v>0.89650000000000085</v>
      </c>
      <c r="T37" s="5">
        <f t="shared" si="7"/>
        <v>0.8910000000000009</v>
      </c>
      <c r="U37" s="5">
        <f t="shared" si="7"/>
        <v>0.88550000000000095</v>
      </c>
      <c r="V37" s="5">
        <f t="shared" si="7"/>
        <v>0.880000000000001</v>
      </c>
      <c r="W37" s="5">
        <f t="shared" si="7"/>
        <v>0.87450000000000105</v>
      </c>
      <c r="X37" s="5">
        <f t="shared" si="7"/>
        <v>0.8690000000000011</v>
      </c>
      <c r="Y37" s="5">
        <f t="shared" si="7"/>
        <v>0.86350000000000116</v>
      </c>
      <c r="Z37" s="5">
        <f t="shared" si="7"/>
        <v>0.85800000000000121</v>
      </c>
      <c r="AA37" s="5">
        <f t="shared" si="7"/>
        <v>0.85250000000000126</v>
      </c>
    </row>
    <row r="39" spans="1:27" x14ac:dyDescent="0.45">
      <c r="A39" s="1" t="s">
        <v>44</v>
      </c>
    </row>
    <row r="40" spans="1:27" x14ac:dyDescent="0.45">
      <c r="A40" s="11" t="s">
        <v>39</v>
      </c>
      <c r="B40" s="11">
        <v>0</v>
      </c>
      <c r="C40" s="11">
        <v>1</v>
      </c>
      <c r="D40" s="11">
        <v>2</v>
      </c>
      <c r="E40" s="11">
        <v>3</v>
      </c>
      <c r="F40" s="11">
        <v>4</v>
      </c>
      <c r="G40" s="11">
        <v>5</v>
      </c>
      <c r="H40" s="11">
        <v>6</v>
      </c>
      <c r="I40" s="11">
        <v>7</v>
      </c>
      <c r="J40" s="11">
        <v>8</v>
      </c>
      <c r="K40" s="11">
        <v>9</v>
      </c>
      <c r="L40" s="11">
        <v>10</v>
      </c>
      <c r="M40" s="11">
        <v>11</v>
      </c>
      <c r="N40" s="11">
        <v>12</v>
      </c>
      <c r="O40" s="11">
        <v>13</v>
      </c>
      <c r="P40" s="11">
        <v>14</v>
      </c>
      <c r="Q40" s="11">
        <v>15</v>
      </c>
      <c r="R40" s="11">
        <v>16</v>
      </c>
      <c r="S40" s="11">
        <v>17</v>
      </c>
      <c r="T40" s="11">
        <v>18</v>
      </c>
      <c r="U40" s="11">
        <v>19</v>
      </c>
      <c r="V40" s="11">
        <v>20</v>
      </c>
      <c r="W40" s="11">
        <v>21</v>
      </c>
      <c r="X40" s="11">
        <v>22</v>
      </c>
      <c r="Y40" s="11">
        <v>23</v>
      </c>
      <c r="Z40" s="11">
        <v>24</v>
      </c>
      <c r="AA40" s="11">
        <v>25</v>
      </c>
    </row>
    <row r="41" spans="1:27" x14ac:dyDescent="0.45">
      <c r="A41" s="2" t="s">
        <v>48</v>
      </c>
      <c r="B41" s="6"/>
      <c r="C41" s="6">
        <f t="shared" ref="C41:AA41" si="8">$H$25*$B$25*C37</f>
        <v>89303.010500000004</v>
      </c>
      <c r="D41" s="6">
        <f t="shared" si="8"/>
        <v>88804.111000000004</v>
      </c>
      <c r="E41" s="6">
        <f t="shared" si="8"/>
        <v>88305.211500000019</v>
      </c>
      <c r="F41" s="6">
        <f t="shared" si="8"/>
        <v>87806.31200000002</v>
      </c>
      <c r="G41" s="6">
        <f t="shared" si="8"/>
        <v>87307.41250000002</v>
      </c>
      <c r="H41" s="6">
        <f t="shared" si="8"/>
        <v>86808.513000000021</v>
      </c>
      <c r="I41" s="6">
        <f t="shared" si="8"/>
        <v>86309.613500000036</v>
      </c>
      <c r="J41" s="6">
        <f t="shared" si="8"/>
        <v>85810.714000000036</v>
      </c>
      <c r="K41" s="6">
        <f t="shared" si="8"/>
        <v>85311.814500000037</v>
      </c>
      <c r="L41" s="6">
        <f t="shared" si="8"/>
        <v>84812.915000000052</v>
      </c>
      <c r="M41" s="6">
        <f t="shared" si="8"/>
        <v>84314.015500000052</v>
      </c>
      <c r="N41" s="6">
        <f t="shared" si="8"/>
        <v>83815.116000000053</v>
      </c>
      <c r="O41" s="6">
        <f t="shared" si="8"/>
        <v>83316.216500000053</v>
      </c>
      <c r="P41" s="6">
        <f t="shared" si="8"/>
        <v>82817.317000000068</v>
      </c>
      <c r="Q41" s="6">
        <f t="shared" si="8"/>
        <v>82318.417500000069</v>
      </c>
      <c r="R41" s="6">
        <f t="shared" si="8"/>
        <v>81819.518000000069</v>
      </c>
      <c r="S41" s="6">
        <f t="shared" si="8"/>
        <v>81320.618500000084</v>
      </c>
      <c r="T41" s="6">
        <f t="shared" si="8"/>
        <v>80821.719000000085</v>
      </c>
      <c r="U41" s="6">
        <f t="shared" si="8"/>
        <v>80322.819500000085</v>
      </c>
      <c r="V41" s="6">
        <f t="shared" si="8"/>
        <v>79823.920000000086</v>
      </c>
      <c r="W41" s="6">
        <f t="shared" si="8"/>
        <v>79325.020500000101</v>
      </c>
      <c r="X41" s="6">
        <f t="shared" si="8"/>
        <v>78826.121000000101</v>
      </c>
      <c r="Y41" s="6">
        <f t="shared" si="8"/>
        <v>78327.221500000102</v>
      </c>
      <c r="Z41" s="6">
        <f t="shared" si="8"/>
        <v>77828.322000000117</v>
      </c>
      <c r="AA41" s="6">
        <f t="shared" si="8"/>
        <v>77329.422500000117</v>
      </c>
    </row>
    <row r="42" spans="1:27" x14ac:dyDescent="0.45">
      <c r="A42" s="2" t="s">
        <v>49</v>
      </c>
      <c r="B42" s="6"/>
      <c r="C42" s="6">
        <f t="shared" ref="C42:AA42" si="9">C41*$H$26</f>
        <v>72494.927345159362</v>
      </c>
      <c r="D42" s="6">
        <f t="shared" si="9"/>
        <v>72089.927751052324</v>
      </c>
      <c r="E42" s="6">
        <f t="shared" si="9"/>
        <v>71684.928156945301</v>
      </c>
      <c r="F42" s="6">
        <f t="shared" si="9"/>
        <v>71279.928562838264</v>
      </c>
      <c r="G42" s="6">
        <f t="shared" si="9"/>
        <v>70874.928968731241</v>
      </c>
      <c r="H42" s="6">
        <f t="shared" si="9"/>
        <v>70469.929374624204</v>
      </c>
      <c r="I42" s="6">
        <f t="shared" si="9"/>
        <v>70064.929780517181</v>
      </c>
      <c r="J42" s="6">
        <f t="shared" si="9"/>
        <v>69659.930186410144</v>
      </c>
      <c r="K42" s="6">
        <f t="shared" si="9"/>
        <v>69254.930592303106</v>
      </c>
      <c r="L42" s="6">
        <f t="shared" si="9"/>
        <v>68849.930998196083</v>
      </c>
      <c r="M42" s="6">
        <f t="shared" si="9"/>
        <v>68444.931404089046</v>
      </c>
      <c r="N42" s="6">
        <f t="shared" si="9"/>
        <v>68039.931809982008</v>
      </c>
      <c r="O42" s="6">
        <f t="shared" si="9"/>
        <v>67634.932215874971</v>
      </c>
      <c r="P42" s="6">
        <f t="shared" si="9"/>
        <v>67229.932621767948</v>
      </c>
      <c r="Q42" s="6">
        <f t="shared" si="9"/>
        <v>66824.933027660925</v>
      </c>
      <c r="R42" s="6">
        <f t="shared" si="9"/>
        <v>66419.933433553888</v>
      </c>
      <c r="S42" s="6">
        <f t="shared" si="9"/>
        <v>66014.933839446865</v>
      </c>
      <c r="T42" s="6">
        <f t="shared" si="9"/>
        <v>65609.934245339828</v>
      </c>
      <c r="U42" s="6">
        <f t="shared" si="9"/>
        <v>65204.93465123279</v>
      </c>
      <c r="V42" s="6">
        <f t="shared" si="9"/>
        <v>64799.935057125753</v>
      </c>
      <c r="W42" s="6">
        <f t="shared" si="9"/>
        <v>64394.93546301873</v>
      </c>
      <c r="X42" s="6">
        <f t="shared" si="9"/>
        <v>63989.935868911693</v>
      </c>
      <c r="Y42" s="6">
        <f t="shared" si="9"/>
        <v>63584.936274804662</v>
      </c>
      <c r="Z42" s="6">
        <f t="shared" si="9"/>
        <v>63179.93668069764</v>
      </c>
      <c r="AA42" s="6">
        <f t="shared" si="9"/>
        <v>62774.937086590602</v>
      </c>
    </row>
    <row r="43" spans="1:27" x14ac:dyDescent="0.45">
      <c r="A43" s="2" t="s">
        <v>50</v>
      </c>
      <c r="B43" s="6"/>
      <c r="C43" s="6">
        <f>C41-C42</f>
        <v>16808.083154840642</v>
      </c>
      <c r="D43" s="6">
        <f t="shared" ref="D43:AA43" si="10">D41-D42</f>
        <v>16714.18324894768</v>
      </c>
      <c r="E43" s="6">
        <f t="shared" si="10"/>
        <v>16620.283343054718</v>
      </c>
      <c r="F43" s="6">
        <f t="shared" si="10"/>
        <v>16526.383437161756</v>
      </c>
      <c r="G43" s="6">
        <f t="shared" si="10"/>
        <v>16432.483531268779</v>
      </c>
      <c r="H43" s="6">
        <f t="shared" si="10"/>
        <v>16338.583625375817</v>
      </c>
      <c r="I43" s="6">
        <f t="shared" si="10"/>
        <v>16244.683719482855</v>
      </c>
      <c r="J43" s="6">
        <f t="shared" si="10"/>
        <v>16150.783813589893</v>
      </c>
      <c r="K43" s="6">
        <f t="shared" si="10"/>
        <v>16056.883907696931</v>
      </c>
      <c r="L43" s="6">
        <f t="shared" si="10"/>
        <v>15962.984001803969</v>
      </c>
      <c r="M43" s="6">
        <f t="shared" si="10"/>
        <v>15869.084095911006</v>
      </c>
      <c r="N43" s="6">
        <f t="shared" si="10"/>
        <v>15775.184190018044</v>
      </c>
      <c r="O43" s="6">
        <f t="shared" si="10"/>
        <v>15681.284284125082</v>
      </c>
      <c r="P43" s="6">
        <f t="shared" si="10"/>
        <v>15587.38437823212</v>
      </c>
      <c r="Q43" s="6">
        <f t="shared" si="10"/>
        <v>15493.484472339143</v>
      </c>
      <c r="R43" s="6">
        <f t="shared" si="10"/>
        <v>15399.584566446181</v>
      </c>
      <c r="S43" s="6">
        <f t="shared" si="10"/>
        <v>15305.684660553219</v>
      </c>
      <c r="T43" s="6">
        <f t="shared" si="10"/>
        <v>15211.784754660257</v>
      </c>
      <c r="U43" s="6">
        <f t="shared" si="10"/>
        <v>15117.884848767295</v>
      </c>
      <c r="V43" s="6">
        <f t="shared" si="10"/>
        <v>15023.984942874333</v>
      </c>
      <c r="W43" s="6">
        <f t="shared" si="10"/>
        <v>14930.085036981371</v>
      </c>
      <c r="X43" s="6">
        <f t="shared" si="10"/>
        <v>14836.185131088409</v>
      </c>
      <c r="Y43" s="6">
        <f t="shared" si="10"/>
        <v>14742.285225195439</v>
      </c>
      <c r="Z43" s="6">
        <f t="shared" si="10"/>
        <v>14648.385319302477</v>
      </c>
      <c r="AA43" s="6">
        <f t="shared" si="10"/>
        <v>14554.485413409515</v>
      </c>
    </row>
    <row r="45" spans="1:27" x14ac:dyDescent="0.45">
      <c r="A45" s="1" t="s">
        <v>60</v>
      </c>
    </row>
    <row r="46" spans="1:27" x14ac:dyDescent="0.45">
      <c r="A46" s="11" t="s">
        <v>39</v>
      </c>
      <c r="B46" s="11">
        <v>0</v>
      </c>
      <c r="C46" s="11">
        <v>1</v>
      </c>
      <c r="D46" s="11">
        <v>2</v>
      </c>
      <c r="E46" s="11">
        <v>3</v>
      </c>
      <c r="F46" s="11">
        <v>4</v>
      </c>
      <c r="G46" s="11">
        <v>5</v>
      </c>
      <c r="H46" s="11">
        <v>6</v>
      </c>
      <c r="I46" s="11">
        <v>7</v>
      </c>
      <c r="J46" s="11">
        <v>8</v>
      </c>
      <c r="K46" s="11">
        <v>9</v>
      </c>
      <c r="L46" s="11">
        <v>10</v>
      </c>
      <c r="M46" s="11">
        <v>11</v>
      </c>
      <c r="N46" s="11">
        <v>12</v>
      </c>
      <c r="O46" s="11">
        <v>13</v>
      </c>
      <c r="P46" s="11">
        <v>14</v>
      </c>
      <c r="Q46" s="11">
        <v>15</v>
      </c>
      <c r="R46" s="11">
        <v>16</v>
      </c>
      <c r="S46" s="11">
        <v>17</v>
      </c>
      <c r="T46" s="11">
        <v>18</v>
      </c>
      <c r="U46" s="11">
        <v>19</v>
      </c>
      <c r="V46" s="11">
        <v>20</v>
      </c>
      <c r="W46" s="11">
        <v>21</v>
      </c>
      <c r="X46" s="11">
        <v>22</v>
      </c>
      <c r="Y46" s="11">
        <v>23</v>
      </c>
      <c r="Z46" s="11">
        <v>24</v>
      </c>
      <c r="AA46" s="11">
        <v>25</v>
      </c>
    </row>
    <row r="47" spans="1:27" x14ac:dyDescent="0.45">
      <c r="A47" s="2" t="s">
        <v>51</v>
      </c>
      <c r="C47" s="6">
        <f>$B$14*C35</f>
        <v>3606.03</v>
      </c>
      <c r="D47" s="6">
        <f t="shared" ref="D47:AA47" si="11">$B$14*D35</f>
        <v>3714.2109</v>
      </c>
      <c r="E47" s="6">
        <f t="shared" si="11"/>
        <v>3825.6372270000002</v>
      </c>
      <c r="F47" s="6">
        <f t="shared" si="11"/>
        <v>3940.4063438099997</v>
      </c>
      <c r="G47" s="6">
        <f t="shared" si="11"/>
        <v>4058.6185341242995</v>
      </c>
      <c r="H47" s="6">
        <f t="shared" si="11"/>
        <v>4180.3770901480284</v>
      </c>
      <c r="I47" s="6">
        <f t="shared" si="11"/>
        <v>4305.7884028524695</v>
      </c>
      <c r="J47" s="6">
        <f t="shared" si="11"/>
        <v>4434.9620549380434</v>
      </c>
      <c r="K47" s="6">
        <f t="shared" si="11"/>
        <v>4568.010916586185</v>
      </c>
      <c r="L47" s="6">
        <f t="shared" si="11"/>
        <v>4705.0512440837701</v>
      </c>
      <c r="M47" s="6">
        <f t="shared" si="11"/>
        <v>4846.202781406284</v>
      </c>
      <c r="N47" s="6">
        <f t="shared" si="11"/>
        <v>4991.5888648484715</v>
      </c>
      <c r="O47" s="6">
        <f t="shared" si="11"/>
        <v>5141.3365307939257</v>
      </c>
      <c r="P47" s="6">
        <f t="shared" si="11"/>
        <v>5295.5766267177432</v>
      </c>
      <c r="Q47" s="6">
        <f t="shared" si="11"/>
        <v>5454.4439255192765</v>
      </c>
      <c r="R47" s="6">
        <f t="shared" si="11"/>
        <v>5618.0772432848535</v>
      </c>
      <c r="S47" s="6">
        <f t="shared" si="11"/>
        <v>5786.6195605833991</v>
      </c>
      <c r="T47" s="6">
        <f t="shared" si="11"/>
        <v>5960.2181474009012</v>
      </c>
      <c r="U47" s="6">
        <f t="shared" si="11"/>
        <v>6139.0246918229277</v>
      </c>
      <c r="V47" s="6">
        <f t="shared" si="11"/>
        <v>6323.195432577616</v>
      </c>
      <c r="W47" s="6">
        <f t="shared" si="11"/>
        <v>6512.8912955549431</v>
      </c>
      <c r="X47" s="6">
        <f t="shared" si="11"/>
        <v>6708.2780344215926</v>
      </c>
      <c r="Y47" s="6">
        <f t="shared" si="11"/>
        <v>6909.5263754542402</v>
      </c>
      <c r="Z47" s="6">
        <f t="shared" si="11"/>
        <v>7116.8121667178666</v>
      </c>
      <c r="AA47" s="6">
        <f t="shared" si="11"/>
        <v>7330.3165317194025</v>
      </c>
    </row>
    <row r="48" spans="1:27" x14ac:dyDescent="0.45">
      <c r="A48" s="2" t="s">
        <v>52</v>
      </c>
      <c r="C48" s="6">
        <f>$B$15*C35</f>
        <v>5584.66</v>
      </c>
      <c r="D48" s="6">
        <f t="shared" ref="D48:AA48" si="12">$B$15*D35</f>
        <v>5752.1997999999994</v>
      </c>
      <c r="E48" s="6">
        <f t="shared" si="12"/>
        <v>5924.7657939999999</v>
      </c>
      <c r="F48" s="6">
        <f t="shared" si="12"/>
        <v>6102.5087678199998</v>
      </c>
      <c r="G48" s="6">
        <f t="shared" si="12"/>
        <v>6285.5840308545994</v>
      </c>
      <c r="H48" s="6">
        <f t="shared" si="12"/>
        <v>6474.1515517802372</v>
      </c>
      <c r="I48" s="6">
        <f t="shared" si="12"/>
        <v>6668.3760983336451</v>
      </c>
      <c r="J48" s="6">
        <f t="shared" si="12"/>
        <v>6868.4273812836536</v>
      </c>
      <c r="K48" s="6">
        <f t="shared" si="12"/>
        <v>7074.4802027221631</v>
      </c>
      <c r="L48" s="6">
        <f t="shared" si="12"/>
        <v>7286.714608803828</v>
      </c>
      <c r="M48" s="6">
        <f t="shared" si="12"/>
        <v>7505.3160470679431</v>
      </c>
      <c r="N48" s="6">
        <f t="shared" si="12"/>
        <v>7730.4755284799803</v>
      </c>
      <c r="O48" s="6">
        <f t="shared" si="12"/>
        <v>7962.38979433438</v>
      </c>
      <c r="P48" s="6">
        <f t="shared" si="12"/>
        <v>8201.2614881644113</v>
      </c>
      <c r="Q48" s="6">
        <f t="shared" si="12"/>
        <v>8447.2993328093453</v>
      </c>
      <c r="R48" s="6">
        <f t="shared" si="12"/>
        <v>8700.7183127936241</v>
      </c>
      <c r="S48" s="6">
        <f t="shared" si="12"/>
        <v>8961.7398621774319</v>
      </c>
      <c r="T48" s="6">
        <f t="shared" si="12"/>
        <v>9230.5920580427555</v>
      </c>
      <c r="U48" s="6">
        <f t="shared" si="12"/>
        <v>9507.509819784038</v>
      </c>
      <c r="V48" s="6">
        <f t="shared" si="12"/>
        <v>9792.7351143775595</v>
      </c>
      <c r="W48" s="6">
        <f t="shared" si="12"/>
        <v>10086.517167808885</v>
      </c>
      <c r="X48" s="6">
        <f t="shared" si="12"/>
        <v>10389.112682843152</v>
      </c>
      <c r="Y48" s="6">
        <f t="shared" si="12"/>
        <v>10700.786063328447</v>
      </c>
      <c r="Z48" s="6">
        <f t="shared" si="12"/>
        <v>11021.809645228299</v>
      </c>
      <c r="AA48" s="6">
        <f t="shared" si="12"/>
        <v>11352.463934585146</v>
      </c>
    </row>
    <row r="49" spans="1:27" x14ac:dyDescent="0.45">
      <c r="A49" s="2" t="s">
        <v>55</v>
      </c>
      <c r="B49" s="19"/>
      <c r="C49" s="19">
        <f t="shared" ref="C49:AA49" si="13">C42*C47*C36/$H$29</f>
        <v>235.27699456901854</v>
      </c>
      <c r="D49" s="19">
        <f t="shared" si="13"/>
        <v>240.98147588985393</v>
      </c>
      <c r="E49" s="19">
        <f t="shared" si="13"/>
        <v>246.81647679482742</v>
      </c>
      <c r="F49" s="19">
        <f t="shared" si="13"/>
        <v>210.65391202149863</v>
      </c>
      <c r="G49" s="19">
        <f t="shared" si="13"/>
        <v>215.74072523792688</v>
      </c>
      <c r="H49" s="19">
        <f t="shared" si="13"/>
        <v>220.94315872652143</v>
      </c>
      <c r="I49" s="19">
        <f t="shared" si="13"/>
        <v>165.92661915259293</v>
      </c>
      <c r="J49" s="19">
        <f t="shared" si="13"/>
        <v>169.91653091949919</v>
      </c>
      <c r="K49" s="19">
        <f t="shared" si="13"/>
        <v>173.99650343518255</v>
      </c>
      <c r="L49" s="19">
        <f t="shared" si="13"/>
        <v>145.77410407416485</v>
      </c>
      <c r="M49" s="19">
        <f t="shared" si="13"/>
        <v>149.26410762464636</v>
      </c>
      <c r="N49" s="19">
        <f t="shared" si="13"/>
        <v>152.83231469448995</v>
      </c>
      <c r="O49" s="19">
        <f t="shared" si="13"/>
        <v>0</v>
      </c>
      <c r="P49" s="19">
        <f t="shared" si="13"/>
        <v>0</v>
      </c>
      <c r="Q49" s="19">
        <f t="shared" si="13"/>
        <v>0</v>
      </c>
      <c r="R49" s="19">
        <f t="shared" si="13"/>
        <v>0</v>
      </c>
      <c r="S49" s="19">
        <f t="shared" si="13"/>
        <v>0</v>
      </c>
      <c r="T49" s="19">
        <f t="shared" si="13"/>
        <v>0</v>
      </c>
      <c r="U49" s="19">
        <f t="shared" si="13"/>
        <v>0</v>
      </c>
      <c r="V49" s="19">
        <f t="shared" si="13"/>
        <v>0</v>
      </c>
      <c r="W49" s="19">
        <f t="shared" si="13"/>
        <v>0</v>
      </c>
      <c r="X49" s="19">
        <f t="shared" si="13"/>
        <v>0</v>
      </c>
      <c r="Y49" s="19">
        <f t="shared" si="13"/>
        <v>0</v>
      </c>
      <c r="Z49" s="19">
        <f t="shared" si="13"/>
        <v>0</v>
      </c>
      <c r="AA49" s="19">
        <f t="shared" si="13"/>
        <v>0</v>
      </c>
    </row>
    <row r="50" spans="1:27" x14ac:dyDescent="0.45">
      <c r="A50" s="2" t="s">
        <v>56</v>
      </c>
      <c r="B50" s="19"/>
      <c r="C50" s="19">
        <f t="shared" ref="C50:AA50" si="14">C43*C48*C36/$H$29</f>
        <v>84.480686704361105</v>
      </c>
      <c r="D50" s="19">
        <f t="shared" si="14"/>
        <v>86.528989387584176</v>
      </c>
      <c r="E50" s="19">
        <f t="shared" si="14"/>
        <v>88.624157613766712</v>
      </c>
      <c r="F50" s="19">
        <f t="shared" si="14"/>
        <v>75.639299869226122</v>
      </c>
      <c r="G50" s="19">
        <f t="shared" si="14"/>
        <v>77.465817053568173</v>
      </c>
      <c r="H50" s="19">
        <f t="shared" si="14"/>
        <v>79.33384989908852</v>
      </c>
      <c r="I50" s="19">
        <f t="shared" si="14"/>
        <v>59.579113351994046</v>
      </c>
      <c r="J50" s="19">
        <f t="shared" si="14"/>
        <v>61.011767175949515</v>
      </c>
      <c r="K50" s="19">
        <f t="shared" si="14"/>
        <v>62.476759027325514</v>
      </c>
      <c r="L50" s="19">
        <f t="shared" si="14"/>
        <v>52.342968926721042</v>
      </c>
      <c r="M50" s="19">
        <f t="shared" si="14"/>
        <v>53.596121182790199</v>
      </c>
      <c r="N50" s="19">
        <f t="shared" si="14"/>
        <v>54.877353902189441</v>
      </c>
      <c r="O50" s="19">
        <f t="shared" si="14"/>
        <v>0</v>
      </c>
      <c r="P50" s="19">
        <f t="shared" si="14"/>
        <v>0</v>
      </c>
      <c r="Q50" s="19">
        <f t="shared" si="14"/>
        <v>0</v>
      </c>
      <c r="R50" s="19">
        <f t="shared" si="14"/>
        <v>0</v>
      </c>
      <c r="S50" s="19">
        <f t="shared" si="14"/>
        <v>0</v>
      </c>
      <c r="T50" s="19">
        <f t="shared" si="14"/>
        <v>0</v>
      </c>
      <c r="U50" s="19">
        <f t="shared" si="14"/>
        <v>0</v>
      </c>
      <c r="V50" s="19">
        <f t="shared" si="14"/>
        <v>0</v>
      </c>
      <c r="W50" s="19">
        <f t="shared" si="14"/>
        <v>0</v>
      </c>
      <c r="X50" s="19">
        <f t="shared" si="14"/>
        <v>0</v>
      </c>
      <c r="Y50" s="19">
        <f t="shared" si="14"/>
        <v>0</v>
      </c>
      <c r="Z50" s="19">
        <f t="shared" si="14"/>
        <v>0</v>
      </c>
      <c r="AA50" s="19">
        <f t="shared" si="14"/>
        <v>0</v>
      </c>
    </row>
    <row r="51" spans="1:27" x14ac:dyDescent="0.45">
      <c r="A51" s="2" t="s">
        <v>59</v>
      </c>
      <c r="B51" s="19"/>
      <c r="C51" s="19">
        <f t="shared" ref="C51:AA51" si="15">C49+C50</f>
        <v>319.75768127337966</v>
      </c>
      <c r="D51" s="19">
        <f t="shared" si="15"/>
        <v>327.51046527743813</v>
      </c>
      <c r="E51" s="19">
        <f t="shared" si="15"/>
        <v>335.44063440859412</v>
      </c>
      <c r="F51" s="19">
        <f t="shared" si="15"/>
        <v>286.29321189072476</v>
      </c>
      <c r="G51" s="19">
        <f t="shared" si="15"/>
        <v>293.20654229149505</v>
      </c>
      <c r="H51" s="19">
        <f t="shared" si="15"/>
        <v>300.27700862560994</v>
      </c>
      <c r="I51" s="19">
        <f t="shared" si="15"/>
        <v>225.50573250458697</v>
      </c>
      <c r="J51" s="19">
        <f t="shared" si="15"/>
        <v>230.92829809544872</v>
      </c>
      <c r="K51" s="19">
        <f t="shared" si="15"/>
        <v>236.47326246250805</v>
      </c>
      <c r="L51" s="19">
        <f t="shared" si="15"/>
        <v>198.11707300088591</v>
      </c>
      <c r="M51" s="19">
        <f t="shared" si="15"/>
        <v>202.86022880743656</v>
      </c>
      <c r="N51" s="19">
        <f t="shared" si="15"/>
        <v>207.70966859667939</v>
      </c>
      <c r="O51" s="19">
        <f t="shared" si="15"/>
        <v>0</v>
      </c>
      <c r="P51" s="19">
        <f t="shared" si="15"/>
        <v>0</v>
      </c>
      <c r="Q51" s="19">
        <f t="shared" si="15"/>
        <v>0</v>
      </c>
      <c r="R51" s="19">
        <f t="shared" si="15"/>
        <v>0</v>
      </c>
      <c r="S51" s="19">
        <f t="shared" si="15"/>
        <v>0</v>
      </c>
      <c r="T51" s="19">
        <f t="shared" si="15"/>
        <v>0</v>
      </c>
      <c r="U51" s="19">
        <f t="shared" si="15"/>
        <v>0</v>
      </c>
      <c r="V51" s="19">
        <f t="shared" si="15"/>
        <v>0</v>
      </c>
      <c r="W51" s="19">
        <f t="shared" si="15"/>
        <v>0</v>
      </c>
      <c r="X51" s="19">
        <f t="shared" si="15"/>
        <v>0</v>
      </c>
      <c r="Y51" s="19">
        <f t="shared" si="15"/>
        <v>0</v>
      </c>
      <c r="Z51" s="19">
        <f t="shared" si="15"/>
        <v>0</v>
      </c>
      <c r="AA51" s="19">
        <f t="shared" si="15"/>
        <v>0</v>
      </c>
    </row>
    <row r="52" spans="1:27" x14ac:dyDescent="0.4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x14ac:dyDescent="0.45">
      <c r="A53" s="1" t="s">
        <v>99</v>
      </c>
    </row>
    <row r="54" spans="1:27" x14ac:dyDescent="0.45">
      <c r="A54" s="11" t="s">
        <v>39</v>
      </c>
      <c r="B54" s="11">
        <v>0</v>
      </c>
      <c r="C54" s="11">
        <v>1</v>
      </c>
      <c r="D54" s="11">
        <v>2</v>
      </c>
      <c r="E54" s="11">
        <v>3</v>
      </c>
      <c r="F54" s="11">
        <v>4</v>
      </c>
      <c r="G54" s="11">
        <v>5</v>
      </c>
      <c r="H54" s="11">
        <v>6</v>
      </c>
      <c r="I54" s="11">
        <v>7</v>
      </c>
      <c r="J54" s="11">
        <v>8</v>
      </c>
      <c r="K54" s="11">
        <v>9</v>
      </c>
      <c r="L54" s="11">
        <v>10</v>
      </c>
      <c r="M54" s="11">
        <v>11</v>
      </c>
      <c r="N54" s="11">
        <v>12</v>
      </c>
      <c r="O54" s="11">
        <v>13</v>
      </c>
      <c r="P54" s="11">
        <v>14</v>
      </c>
      <c r="Q54" s="11">
        <v>15</v>
      </c>
      <c r="R54" s="11">
        <v>16</v>
      </c>
      <c r="S54" s="11">
        <v>17</v>
      </c>
      <c r="T54" s="11">
        <v>18</v>
      </c>
      <c r="U54" s="11">
        <v>19</v>
      </c>
      <c r="V54" s="11">
        <v>20</v>
      </c>
      <c r="W54" s="11">
        <v>21</v>
      </c>
      <c r="X54" s="11">
        <v>22</v>
      </c>
      <c r="Y54" s="11">
        <v>23</v>
      </c>
      <c r="Z54" s="11">
        <v>24</v>
      </c>
      <c r="AA54" s="11">
        <v>25</v>
      </c>
    </row>
    <row r="55" spans="1:27" x14ac:dyDescent="0.45">
      <c r="A55" s="2" t="s">
        <v>100</v>
      </c>
      <c r="B55" s="19"/>
      <c r="C55" s="19">
        <f>B60</f>
        <v>0</v>
      </c>
      <c r="D55" s="19">
        <f t="shared" ref="D55:G55" si="16">C60</f>
        <v>0</v>
      </c>
      <c r="E55" s="19">
        <f t="shared" si="16"/>
        <v>0</v>
      </c>
      <c r="F55" s="19">
        <f t="shared" si="16"/>
        <v>0</v>
      </c>
      <c r="G55" s="19">
        <f t="shared" si="16"/>
        <v>0</v>
      </c>
      <c r="H55" s="19"/>
      <c r="I55" s="19"/>
      <c r="J55" s="19"/>
      <c r="K55" s="19"/>
      <c r="L55" s="19"/>
      <c r="M55" s="19"/>
      <c r="N55" s="19"/>
      <c r="O55" s="19"/>
      <c r="P55" s="19"/>
      <c r="Q55" s="19"/>
      <c r="R55" s="19"/>
      <c r="S55" s="19"/>
      <c r="T55" s="19"/>
      <c r="U55" s="19"/>
      <c r="V55" s="19"/>
      <c r="W55" s="19"/>
      <c r="X55" s="19"/>
      <c r="Y55" s="19"/>
      <c r="Z55" s="19"/>
      <c r="AA55" s="19"/>
    </row>
    <row r="56" spans="1:27" x14ac:dyDescent="0.45">
      <c r="A56" s="2" t="s">
        <v>101</v>
      </c>
      <c r="B56" s="19"/>
      <c r="C56" s="19">
        <f>C55*$H$21</f>
        <v>0</v>
      </c>
      <c r="D56" s="19">
        <f t="shared" ref="D56:G56" si="17">D55*$H$21</f>
        <v>0</v>
      </c>
      <c r="E56" s="19">
        <f t="shared" si="17"/>
        <v>0</v>
      </c>
      <c r="F56" s="19">
        <f t="shared" si="17"/>
        <v>0</v>
      </c>
      <c r="G56" s="19">
        <f t="shared" si="17"/>
        <v>0</v>
      </c>
      <c r="H56" s="19"/>
      <c r="I56" s="19"/>
      <c r="J56" s="19"/>
      <c r="K56" s="19"/>
      <c r="L56" s="19"/>
      <c r="M56" s="19"/>
      <c r="N56" s="19"/>
      <c r="O56" s="19"/>
      <c r="P56" s="19"/>
      <c r="Q56" s="19"/>
      <c r="R56" s="19"/>
      <c r="S56" s="19"/>
      <c r="T56" s="19"/>
      <c r="U56" s="19"/>
      <c r="V56" s="19"/>
      <c r="W56" s="19"/>
      <c r="X56" s="19"/>
      <c r="Y56" s="19"/>
      <c r="Z56" s="19"/>
      <c r="AA56" s="19"/>
    </row>
    <row r="57" spans="1:27" x14ac:dyDescent="0.45">
      <c r="A57" s="2" t="s">
        <v>102</v>
      </c>
      <c r="B57" s="19"/>
      <c r="C57" s="19">
        <f>-PMT($H$21,$H$22,$B$55)</f>
        <v>0</v>
      </c>
      <c r="D57" s="19">
        <f t="shared" ref="D57:G57" si="18">-PMT($H$21,$H$22,$B$55)</f>
        <v>0</v>
      </c>
      <c r="E57" s="19">
        <f t="shared" si="18"/>
        <v>0</v>
      </c>
      <c r="F57" s="19">
        <f t="shared" si="18"/>
        <v>0</v>
      </c>
      <c r="G57" s="19">
        <f t="shared" si="18"/>
        <v>0</v>
      </c>
      <c r="H57" s="19"/>
      <c r="I57" s="19"/>
      <c r="J57" s="19"/>
      <c r="K57" s="19"/>
      <c r="L57" s="19"/>
      <c r="M57" s="19"/>
      <c r="N57" s="19"/>
      <c r="O57" s="19"/>
      <c r="P57" s="19"/>
      <c r="Q57" s="19"/>
      <c r="R57" s="19"/>
      <c r="S57" s="19"/>
      <c r="T57" s="19"/>
      <c r="U57" s="19"/>
      <c r="V57" s="19"/>
      <c r="W57" s="19"/>
      <c r="X57" s="19"/>
      <c r="Y57" s="19"/>
      <c r="Z57" s="19"/>
      <c r="AA57" s="19"/>
    </row>
    <row r="58" spans="1:27" x14ac:dyDescent="0.45">
      <c r="A58" s="3" t="s">
        <v>103</v>
      </c>
      <c r="B58" s="19"/>
      <c r="C58" s="19">
        <f t="shared" ref="C58" si="19">C57-C59</f>
        <v>0</v>
      </c>
      <c r="D58" s="19">
        <f t="shared" ref="D58" si="20">D57-D59</f>
        <v>0</v>
      </c>
      <c r="E58" s="19">
        <f t="shared" ref="E58" si="21">E57-E59</f>
        <v>0</v>
      </c>
      <c r="F58" s="19">
        <f t="shared" ref="F58" si="22">F57-F59</f>
        <v>0</v>
      </c>
      <c r="G58" s="19">
        <f t="shared" ref="G58" si="23">G57-G59</f>
        <v>0</v>
      </c>
      <c r="H58" s="19"/>
      <c r="I58" s="19"/>
      <c r="J58" s="19"/>
      <c r="K58" s="19"/>
      <c r="L58" s="19"/>
      <c r="M58" s="19"/>
      <c r="N58" s="19"/>
      <c r="O58" s="19"/>
      <c r="P58" s="19"/>
      <c r="Q58" s="19"/>
      <c r="R58" s="19"/>
      <c r="S58" s="19"/>
      <c r="T58" s="19"/>
      <c r="U58" s="19"/>
      <c r="V58" s="19"/>
      <c r="W58" s="19"/>
      <c r="X58" s="19"/>
      <c r="Y58" s="19"/>
      <c r="Z58" s="19"/>
      <c r="AA58" s="19"/>
    </row>
    <row r="59" spans="1:27" x14ac:dyDescent="0.45">
      <c r="A59" s="3" t="s">
        <v>104</v>
      </c>
      <c r="B59" s="19"/>
      <c r="C59" s="19">
        <f t="shared" ref="C59" si="24">C56</f>
        <v>0</v>
      </c>
      <c r="D59" s="19">
        <f t="shared" ref="D59:G59" si="25">D56</f>
        <v>0</v>
      </c>
      <c r="E59" s="19">
        <f t="shared" si="25"/>
        <v>0</v>
      </c>
      <c r="F59" s="19">
        <f t="shared" si="25"/>
        <v>0</v>
      </c>
      <c r="G59" s="19">
        <f t="shared" si="25"/>
        <v>0</v>
      </c>
      <c r="H59" s="19"/>
      <c r="I59" s="19"/>
      <c r="J59" s="19"/>
      <c r="K59" s="19"/>
      <c r="L59" s="19"/>
      <c r="M59" s="19"/>
      <c r="N59" s="19"/>
      <c r="O59" s="19"/>
      <c r="P59" s="19"/>
      <c r="Q59" s="19"/>
      <c r="R59" s="19"/>
      <c r="S59" s="19"/>
      <c r="T59" s="19"/>
      <c r="U59" s="19"/>
      <c r="V59" s="19"/>
      <c r="W59" s="19"/>
      <c r="X59" s="19"/>
      <c r="Y59" s="19"/>
      <c r="Z59" s="19"/>
      <c r="AA59" s="19"/>
    </row>
    <row r="60" spans="1:27" x14ac:dyDescent="0.45">
      <c r="A60" s="2" t="s">
        <v>105</v>
      </c>
      <c r="B60" s="19">
        <f>H20*B8</f>
        <v>0</v>
      </c>
      <c r="C60" s="19">
        <f t="shared" ref="C60" si="26">C55+C56-C57</f>
        <v>0</v>
      </c>
      <c r="D60" s="19">
        <f t="shared" ref="D60:G60" si="27">D55+D56-D57</f>
        <v>0</v>
      </c>
      <c r="E60" s="19">
        <f t="shared" si="27"/>
        <v>0</v>
      </c>
      <c r="F60" s="19">
        <f t="shared" si="27"/>
        <v>0</v>
      </c>
      <c r="G60" s="19">
        <f t="shared" si="27"/>
        <v>0</v>
      </c>
      <c r="H60" s="19"/>
      <c r="I60" s="19"/>
      <c r="J60" s="19"/>
      <c r="K60" s="19"/>
      <c r="L60" s="19"/>
      <c r="M60" s="19"/>
      <c r="N60" s="19"/>
      <c r="O60" s="19"/>
      <c r="P60" s="19"/>
      <c r="Q60" s="19"/>
      <c r="R60" s="19"/>
      <c r="S60" s="19"/>
      <c r="T60" s="19"/>
      <c r="U60" s="19"/>
      <c r="V60" s="19"/>
      <c r="W60" s="19"/>
      <c r="X60" s="19"/>
      <c r="Y60" s="19"/>
      <c r="Z60" s="19"/>
      <c r="AA60" s="19"/>
    </row>
    <row r="62" spans="1:27" x14ac:dyDescent="0.45">
      <c r="A62" s="1" t="s">
        <v>68</v>
      </c>
    </row>
    <row r="63" spans="1:27" x14ac:dyDescent="0.45">
      <c r="A63" s="11" t="s">
        <v>39</v>
      </c>
      <c r="B63" s="11">
        <v>0</v>
      </c>
      <c r="C63" s="11">
        <v>1</v>
      </c>
      <c r="D63" s="11">
        <v>2</v>
      </c>
      <c r="E63" s="11">
        <v>3</v>
      </c>
      <c r="F63" s="11">
        <v>4</v>
      </c>
      <c r="G63" s="11">
        <v>5</v>
      </c>
      <c r="H63" s="11">
        <v>6</v>
      </c>
      <c r="I63" s="11">
        <v>7</v>
      </c>
      <c r="J63" s="11">
        <v>8</v>
      </c>
      <c r="K63" s="11">
        <v>9</v>
      </c>
      <c r="L63" s="11">
        <v>10</v>
      </c>
      <c r="M63" s="11">
        <v>11</v>
      </c>
      <c r="N63" s="11">
        <v>12</v>
      </c>
      <c r="O63" s="11">
        <v>13</v>
      </c>
      <c r="P63" s="11">
        <v>14</v>
      </c>
      <c r="Q63" s="11">
        <v>15</v>
      </c>
      <c r="R63" s="11">
        <v>16</v>
      </c>
      <c r="S63" s="11">
        <v>17</v>
      </c>
      <c r="T63" s="11">
        <v>18</v>
      </c>
      <c r="U63" s="11">
        <v>19</v>
      </c>
      <c r="V63" s="11">
        <v>20</v>
      </c>
      <c r="W63" s="11">
        <v>21</v>
      </c>
      <c r="X63" s="11">
        <v>22</v>
      </c>
      <c r="Y63" s="11">
        <v>23</v>
      </c>
      <c r="Z63" s="11">
        <v>24</v>
      </c>
      <c r="AA63" s="11">
        <v>25</v>
      </c>
    </row>
    <row r="64" spans="1:27" x14ac:dyDescent="0.45">
      <c r="A64" s="2" t="s">
        <v>61</v>
      </c>
      <c r="B64" s="19"/>
      <c r="C64" s="19">
        <f>C51</f>
        <v>319.75768127337966</v>
      </c>
      <c r="D64" s="19">
        <f t="shared" ref="D64:M64" si="28">D51</f>
        <v>327.51046527743813</v>
      </c>
      <c r="E64" s="19">
        <f t="shared" si="28"/>
        <v>335.44063440859412</v>
      </c>
      <c r="F64" s="19">
        <f t="shared" si="28"/>
        <v>286.29321189072476</v>
      </c>
      <c r="G64" s="19">
        <f t="shared" si="28"/>
        <v>293.20654229149505</v>
      </c>
      <c r="H64" s="19">
        <f t="shared" si="28"/>
        <v>300.27700862560994</v>
      </c>
      <c r="I64" s="19">
        <f t="shared" si="28"/>
        <v>225.50573250458697</v>
      </c>
      <c r="J64" s="19">
        <f t="shared" si="28"/>
        <v>230.92829809544872</v>
      </c>
      <c r="K64" s="19">
        <f t="shared" si="28"/>
        <v>236.47326246250805</v>
      </c>
      <c r="L64" s="19">
        <f t="shared" si="28"/>
        <v>198.11707300088591</v>
      </c>
      <c r="M64" s="19">
        <f t="shared" si="28"/>
        <v>202.86022880743656</v>
      </c>
      <c r="N64" s="19">
        <f t="shared" ref="N64" si="29">N51</f>
        <v>207.70966859667939</v>
      </c>
      <c r="O64" s="6"/>
      <c r="P64" s="6"/>
      <c r="Q64" s="6"/>
      <c r="R64" s="6"/>
      <c r="S64" s="6"/>
      <c r="T64" s="6"/>
      <c r="U64" s="6"/>
      <c r="V64" s="6"/>
      <c r="W64" s="6"/>
      <c r="X64" s="6"/>
      <c r="Y64" s="6"/>
      <c r="Z64" s="6"/>
      <c r="AA64" s="6"/>
    </row>
    <row r="65" spans="1:27" x14ac:dyDescent="0.45">
      <c r="A65" s="3" t="s">
        <v>62</v>
      </c>
      <c r="B65" s="19"/>
      <c r="C65" s="19">
        <f t="shared" ref="C65:M65" si="30">$B$28*C64</f>
        <v>31.975768127337968</v>
      </c>
      <c r="D65" s="19">
        <f t="shared" si="30"/>
        <v>32.751046527743817</v>
      </c>
      <c r="E65" s="19">
        <f t="shared" si="30"/>
        <v>33.544063440859411</v>
      </c>
      <c r="F65" s="19">
        <f t="shared" si="30"/>
        <v>28.629321189072478</v>
      </c>
      <c r="G65" s="19">
        <f t="shared" si="30"/>
        <v>29.320654229149508</v>
      </c>
      <c r="H65" s="19">
        <f t="shared" si="30"/>
        <v>30.027700862560994</v>
      </c>
      <c r="I65" s="19">
        <f t="shared" si="30"/>
        <v>22.550573250458697</v>
      </c>
      <c r="J65" s="19">
        <f t="shared" si="30"/>
        <v>23.092829809544874</v>
      </c>
      <c r="K65" s="19">
        <f t="shared" si="30"/>
        <v>23.647326246250806</v>
      </c>
      <c r="L65" s="19">
        <f t="shared" si="30"/>
        <v>19.811707300088592</v>
      </c>
      <c r="M65" s="19">
        <f t="shared" si="30"/>
        <v>20.286022880743658</v>
      </c>
      <c r="N65" s="19">
        <f t="shared" ref="N65" si="31">$B$28*N64</f>
        <v>20.77096685966794</v>
      </c>
      <c r="O65" s="6"/>
      <c r="P65" s="6"/>
      <c r="Q65" s="6"/>
      <c r="R65" s="6"/>
      <c r="S65" s="6"/>
      <c r="T65" s="6"/>
      <c r="U65" s="6"/>
      <c r="V65" s="6"/>
      <c r="W65" s="6"/>
      <c r="X65" s="6"/>
      <c r="Y65" s="6"/>
      <c r="Z65" s="6"/>
      <c r="AA65" s="6"/>
    </row>
    <row r="66" spans="1:27" x14ac:dyDescent="0.45">
      <c r="A66" s="3" t="s">
        <v>26</v>
      </c>
      <c r="B66" s="19"/>
      <c r="C66" s="19">
        <f t="shared" ref="C66:M66" si="32">$B$29*$B$6*C34</f>
        <v>0.79104000000000008</v>
      </c>
      <c r="D66" s="19">
        <f t="shared" si="32"/>
        <v>0.81477120000000003</v>
      </c>
      <c r="E66" s="19">
        <f t="shared" si="32"/>
        <v>0.83921433600000006</v>
      </c>
      <c r="F66" s="19">
        <f t="shared" si="32"/>
        <v>0.86439076607999998</v>
      </c>
      <c r="G66" s="19">
        <f t="shared" si="32"/>
        <v>0.89032248906239986</v>
      </c>
      <c r="H66" s="19">
        <f t="shared" si="32"/>
        <v>0.91703216373427199</v>
      </c>
      <c r="I66" s="19">
        <f t="shared" si="32"/>
        <v>0.94454312864630019</v>
      </c>
      <c r="J66" s="19">
        <f t="shared" si="32"/>
        <v>0.97287942250568904</v>
      </c>
      <c r="K66" s="19">
        <f t="shared" si="32"/>
        <v>1.0020658051808597</v>
      </c>
      <c r="L66" s="19">
        <f t="shared" si="32"/>
        <v>1.0321277793362855</v>
      </c>
      <c r="M66" s="19">
        <f t="shared" si="32"/>
        <v>1.0630916127163741</v>
      </c>
      <c r="N66" s="19">
        <f t="shared" ref="N66" si="33">$B$29*$B$6*N34</f>
        <v>1.0949843610978651</v>
      </c>
      <c r="O66" s="19"/>
      <c r="P66" s="19"/>
      <c r="Q66" s="19"/>
      <c r="R66" s="19"/>
      <c r="S66" s="19"/>
      <c r="T66" s="19"/>
      <c r="U66" s="19"/>
      <c r="V66" s="19"/>
      <c r="W66" s="19"/>
      <c r="X66" s="19"/>
      <c r="Y66" s="19"/>
      <c r="Z66" s="19"/>
      <c r="AA66" s="19"/>
    </row>
    <row r="67" spans="1:27" x14ac:dyDescent="0.45">
      <c r="A67" s="3" t="s">
        <v>63</v>
      </c>
      <c r="B67" s="19"/>
      <c r="C67" s="19">
        <f t="shared" ref="C67:M67" si="34">C65+C66</f>
        <v>32.766808127337967</v>
      </c>
      <c r="D67" s="19">
        <f t="shared" si="34"/>
        <v>33.56581772774382</v>
      </c>
      <c r="E67" s="19">
        <f t="shared" si="34"/>
        <v>34.383277776859408</v>
      </c>
      <c r="F67" s="19">
        <f t="shared" si="34"/>
        <v>29.493711955152477</v>
      </c>
      <c r="G67" s="19">
        <f t="shared" si="34"/>
        <v>30.210976718211906</v>
      </c>
      <c r="H67" s="19">
        <f t="shared" si="34"/>
        <v>30.944733026295268</v>
      </c>
      <c r="I67" s="19">
        <f t="shared" si="34"/>
        <v>23.495116379104999</v>
      </c>
      <c r="J67" s="19">
        <f t="shared" si="34"/>
        <v>24.065709232050562</v>
      </c>
      <c r="K67" s="19">
        <f t="shared" si="34"/>
        <v>24.649392051431665</v>
      </c>
      <c r="L67" s="19">
        <f t="shared" si="34"/>
        <v>20.843835079424878</v>
      </c>
      <c r="M67" s="19">
        <f t="shared" si="34"/>
        <v>21.349114493460032</v>
      </c>
      <c r="N67" s="19">
        <f t="shared" ref="N67" si="35">N65+N66</f>
        <v>21.865951220765805</v>
      </c>
      <c r="O67" s="6"/>
      <c r="P67" s="6"/>
      <c r="Q67" s="6"/>
      <c r="R67" s="6"/>
      <c r="S67" s="6"/>
      <c r="T67" s="6"/>
      <c r="U67" s="6"/>
      <c r="V67" s="6"/>
      <c r="W67" s="6"/>
      <c r="X67" s="6"/>
      <c r="Y67" s="6"/>
      <c r="Z67" s="6"/>
      <c r="AA67" s="6"/>
    </row>
    <row r="68" spans="1:27" x14ac:dyDescent="0.45">
      <c r="A68" s="2" t="s">
        <v>64</v>
      </c>
      <c r="B68" s="19"/>
      <c r="C68" s="19">
        <f t="shared" ref="C68:M68" si="36">C64-C67</f>
        <v>286.99087314604168</v>
      </c>
      <c r="D68" s="19">
        <f t="shared" si="36"/>
        <v>293.94464754969431</v>
      </c>
      <c r="E68" s="19">
        <f t="shared" si="36"/>
        <v>301.05735663173471</v>
      </c>
      <c r="F68" s="19">
        <f t="shared" si="36"/>
        <v>256.79949993557227</v>
      </c>
      <c r="G68" s="19">
        <f t="shared" si="36"/>
        <v>262.99556557328316</v>
      </c>
      <c r="H68" s="19">
        <f t="shared" si="36"/>
        <v>269.3322755993147</v>
      </c>
      <c r="I68" s="19">
        <f t="shared" si="36"/>
        <v>202.01061612548199</v>
      </c>
      <c r="J68" s="19">
        <f t="shared" si="36"/>
        <v>206.86258886339817</v>
      </c>
      <c r="K68" s="19">
        <f t="shared" si="36"/>
        <v>211.82387041107637</v>
      </c>
      <c r="L68" s="19">
        <f t="shared" si="36"/>
        <v>177.27323792146103</v>
      </c>
      <c r="M68" s="19">
        <f t="shared" si="36"/>
        <v>181.51111431397652</v>
      </c>
      <c r="N68" s="19">
        <f t="shared" ref="N68" si="37">N64-N67</f>
        <v>185.8437173759136</v>
      </c>
      <c r="O68" s="6"/>
      <c r="P68" s="6"/>
      <c r="Q68" s="6"/>
      <c r="R68" s="6"/>
      <c r="S68" s="6"/>
      <c r="T68" s="6"/>
      <c r="U68" s="6"/>
      <c r="V68" s="6"/>
      <c r="W68" s="6"/>
      <c r="X68" s="6"/>
      <c r="Y68" s="6"/>
      <c r="Z68" s="6"/>
      <c r="AA68" s="6"/>
    </row>
    <row r="69" spans="1:27" x14ac:dyDescent="0.45">
      <c r="A69" s="3" t="s">
        <v>65</v>
      </c>
      <c r="B69" s="19"/>
      <c r="C69" s="19">
        <f>$B$6/$B$7</f>
        <v>256</v>
      </c>
      <c r="D69" s="19">
        <f t="shared" ref="D69:E69" si="38">$B$6/$B$7</f>
        <v>256</v>
      </c>
      <c r="E69" s="19">
        <f t="shared" si="38"/>
        <v>256</v>
      </c>
      <c r="F69" s="19"/>
      <c r="G69" s="19"/>
      <c r="H69" s="19"/>
      <c r="I69" s="19"/>
      <c r="J69" s="19"/>
      <c r="K69" s="19"/>
      <c r="L69" s="19"/>
      <c r="M69" s="19"/>
      <c r="N69" s="19"/>
    </row>
    <row r="70" spans="1:27" x14ac:dyDescent="0.45">
      <c r="A70" s="3" t="s">
        <v>66</v>
      </c>
      <c r="B70" s="19"/>
      <c r="C70" s="19">
        <f>C59</f>
        <v>0</v>
      </c>
      <c r="D70" s="19">
        <f t="shared" ref="D70:G70" si="39">D59</f>
        <v>0</v>
      </c>
      <c r="E70" s="19">
        <f t="shared" si="39"/>
        <v>0</v>
      </c>
      <c r="F70" s="19">
        <f t="shared" si="39"/>
        <v>0</v>
      </c>
      <c r="G70" s="19">
        <f t="shared" si="39"/>
        <v>0</v>
      </c>
    </row>
    <row r="71" spans="1:27" x14ac:dyDescent="0.45">
      <c r="A71" s="2" t="s">
        <v>67</v>
      </c>
      <c r="B71" s="19"/>
      <c r="C71" s="19">
        <f>C68-C69-C70</f>
        <v>30.990873146041679</v>
      </c>
      <c r="D71" s="19">
        <f t="shared" ref="D71:M71" si="40">D68-D69-D70</f>
        <v>37.944647549694309</v>
      </c>
      <c r="E71" s="19">
        <f t="shared" si="40"/>
        <v>45.057356631734706</v>
      </c>
      <c r="F71" s="19">
        <f t="shared" si="40"/>
        <v>256.79949993557227</v>
      </c>
      <c r="G71" s="19">
        <f t="shared" si="40"/>
        <v>262.99556557328316</v>
      </c>
      <c r="H71" s="19">
        <f t="shared" si="40"/>
        <v>269.3322755993147</v>
      </c>
      <c r="I71" s="19">
        <f t="shared" si="40"/>
        <v>202.01061612548199</v>
      </c>
      <c r="J71" s="19">
        <f t="shared" si="40"/>
        <v>206.86258886339817</v>
      </c>
      <c r="K71" s="19">
        <f t="shared" si="40"/>
        <v>211.82387041107637</v>
      </c>
      <c r="L71" s="19">
        <f t="shared" si="40"/>
        <v>177.27323792146103</v>
      </c>
      <c r="M71" s="19">
        <f t="shared" si="40"/>
        <v>181.51111431397652</v>
      </c>
      <c r="N71" s="19">
        <f t="shared" ref="N71" si="41">N68-N69-N70</f>
        <v>185.8437173759136</v>
      </c>
      <c r="O71" s="6"/>
      <c r="P71" s="6"/>
      <c r="Q71" s="6"/>
      <c r="R71" s="6"/>
      <c r="S71" s="6"/>
      <c r="T71" s="6"/>
      <c r="U71" s="6"/>
      <c r="V71" s="6"/>
      <c r="W71" s="6"/>
      <c r="X71" s="6"/>
      <c r="Y71" s="6"/>
      <c r="Z71" s="6"/>
      <c r="AA71" s="6"/>
    </row>
    <row r="72" spans="1:27" x14ac:dyDescent="0.45">
      <c r="A72" s="3" t="s">
        <v>57</v>
      </c>
      <c r="B72" s="19"/>
      <c r="C72" s="19">
        <f t="shared" ref="C72:M72" si="42">C71*$H$28</f>
        <v>6.198174629208336</v>
      </c>
      <c r="D72" s="19">
        <f t="shared" si="42"/>
        <v>7.5889295099388621</v>
      </c>
      <c r="E72" s="19">
        <f t="shared" si="42"/>
        <v>9.0114713263469408</v>
      </c>
      <c r="F72" s="19">
        <f t="shared" si="42"/>
        <v>51.35989998711446</v>
      </c>
      <c r="G72" s="19">
        <f t="shared" si="42"/>
        <v>52.599113114656632</v>
      </c>
      <c r="H72" s="19">
        <f t="shared" si="42"/>
        <v>53.866455119862941</v>
      </c>
      <c r="I72" s="19">
        <f t="shared" si="42"/>
        <v>40.402123225096403</v>
      </c>
      <c r="J72" s="19">
        <f t="shared" si="42"/>
        <v>41.372517772679636</v>
      </c>
      <c r="K72" s="19">
        <f t="shared" si="42"/>
        <v>42.364774082215277</v>
      </c>
      <c r="L72" s="19">
        <f t="shared" si="42"/>
        <v>35.454647584292211</v>
      </c>
      <c r="M72" s="19">
        <f t="shared" si="42"/>
        <v>36.302222862795304</v>
      </c>
      <c r="N72" s="19">
        <f t="shared" ref="N72" si="43">N71*$H$28</f>
        <v>37.168743475182723</v>
      </c>
      <c r="O72" s="6"/>
      <c r="P72" s="6"/>
      <c r="Q72" s="6"/>
      <c r="R72" s="6"/>
      <c r="S72" s="6"/>
      <c r="T72" s="6"/>
      <c r="U72" s="6"/>
      <c r="V72" s="6"/>
      <c r="W72" s="6"/>
      <c r="X72" s="6"/>
      <c r="Y72" s="6"/>
      <c r="Z72" s="6"/>
      <c r="AA72" s="6"/>
    </row>
    <row r="73" spans="1:27" x14ac:dyDescent="0.45">
      <c r="A73" s="2" t="s">
        <v>69</v>
      </c>
      <c r="B73" s="19"/>
      <c r="C73" s="19">
        <f t="shared" ref="C73:M73" si="44">C71-C72</f>
        <v>24.792698516833344</v>
      </c>
      <c r="D73" s="19">
        <f t="shared" si="44"/>
        <v>30.355718039755448</v>
      </c>
      <c r="E73" s="19">
        <f t="shared" si="44"/>
        <v>36.045885305387763</v>
      </c>
      <c r="F73" s="19">
        <f t="shared" si="44"/>
        <v>205.43959994845781</v>
      </c>
      <c r="G73" s="19">
        <f t="shared" si="44"/>
        <v>210.39645245862653</v>
      </c>
      <c r="H73" s="19">
        <f t="shared" si="44"/>
        <v>215.46582047945176</v>
      </c>
      <c r="I73" s="19">
        <f t="shared" si="44"/>
        <v>161.60849290038558</v>
      </c>
      <c r="J73" s="19">
        <f t="shared" si="44"/>
        <v>165.49007109071854</v>
      </c>
      <c r="K73" s="19">
        <f t="shared" si="44"/>
        <v>169.45909632886111</v>
      </c>
      <c r="L73" s="19">
        <f t="shared" si="44"/>
        <v>141.81859033716881</v>
      </c>
      <c r="M73" s="19">
        <f t="shared" si="44"/>
        <v>145.20889145118122</v>
      </c>
      <c r="N73" s="19">
        <f t="shared" ref="N73" si="45">N71-N72</f>
        <v>148.67497390073089</v>
      </c>
      <c r="O73" s="6"/>
      <c r="P73" s="6"/>
      <c r="Q73" s="6"/>
      <c r="R73" s="6"/>
      <c r="S73" s="6"/>
      <c r="T73" s="6"/>
      <c r="U73" s="6"/>
      <c r="V73" s="6"/>
      <c r="W73" s="6"/>
      <c r="X73" s="6"/>
      <c r="Y73" s="6"/>
      <c r="Z73" s="6"/>
      <c r="AA73" s="6"/>
    </row>
    <row r="75" spans="1:27" x14ac:dyDescent="0.45">
      <c r="A75" s="1" t="s">
        <v>95</v>
      </c>
    </row>
    <row r="76" spans="1:27" x14ac:dyDescent="0.45">
      <c r="A76" s="11" t="s">
        <v>39</v>
      </c>
      <c r="B76" s="11">
        <v>0</v>
      </c>
      <c r="C76" s="11">
        <v>1</v>
      </c>
      <c r="D76" s="11">
        <v>2</v>
      </c>
      <c r="E76" s="11">
        <v>3</v>
      </c>
      <c r="F76" s="11">
        <v>4</v>
      </c>
      <c r="G76" s="11">
        <v>5</v>
      </c>
      <c r="H76" s="11">
        <v>6</v>
      </c>
      <c r="I76" s="11">
        <v>7</v>
      </c>
      <c r="J76" s="11">
        <v>8</v>
      </c>
      <c r="K76" s="11">
        <v>9</v>
      </c>
      <c r="L76" s="11">
        <v>10</v>
      </c>
      <c r="M76" s="11">
        <v>11</v>
      </c>
      <c r="N76" s="11">
        <v>12</v>
      </c>
      <c r="O76" s="11">
        <v>13</v>
      </c>
      <c r="P76" s="11">
        <v>14</v>
      </c>
      <c r="Q76" s="11">
        <v>15</v>
      </c>
      <c r="R76" s="11">
        <v>16</v>
      </c>
      <c r="S76" s="11">
        <v>17</v>
      </c>
      <c r="T76" s="11">
        <v>18</v>
      </c>
      <c r="U76" s="11">
        <v>19</v>
      </c>
      <c r="V76" s="11">
        <v>20</v>
      </c>
      <c r="W76" s="11">
        <v>21</v>
      </c>
      <c r="X76" s="11">
        <v>22</v>
      </c>
      <c r="Y76" s="11">
        <v>23</v>
      </c>
      <c r="Z76" s="11">
        <v>24</v>
      </c>
      <c r="AA76" s="11">
        <v>25</v>
      </c>
    </row>
    <row r="77" spans="1:27" x14ac:dyDescent="0.45">
      <c r="A77" s="1" t="s">
        <v>71</v>
      </c>
      <c r="B77" s="35">
        <f>B78</f>
        <v>0</v>
      </c>
      <c r="C77" s="35">
        <f t="shared" ref="C77:M77" si="46">C78</f>
        <v>319.75768127337966</v>
      </c>
      <c r="D77" s="35">
        <f t="shared" si="46"/>
        <v>327.51046527743813</v>
      </c>
      <c r="E77" s="35">
        <f t="shared" si="46"/>
        <v>335.44063440859412</v>
      </c>
      <c r="F77" s="35">
        <f t="shared" si="46"/>
        <v>286.29321189072476</v>
      </c>
      <c r="G77" s="35">
        <f t="shared" si="46"/>
        <v>293.20654229149505</v>
      </c>
      <c r="H77" s="35">
        <f t="shared" si="46"/>
        <v>300.27700862560994</v>
      </c>
      <c r="I77" s="35">
        <f t="shared" si="46"/>
        <v>225.50573250458697</v>
      </c>
      <c r="J77" s="35">
        <f t="shared" si="46"/>
        <v>230.92829809544872</v>
      </c>
      <c r="K77" s="35">
        <f t="shared" si="46"/>
        <v>236.47326246250805</v>
      </c>
      <c r="L77" s="35">
        <f t="shared" si="46"/>
        <v>198.11707300088591</v>
      </c>
      <c r="M77" s="35">
        <f t="shared" si="46"/>
        <v>202.86022880743656</v>
      </c>
      <c r="N77" s="35">
        <f t="shared" ref="N77" si="47">N78</f>
        <v>207.70966859667939</v>
      </c>
    </row>
    <row r="78" spans="1:27" x14ac:dyDescent="0.45">
      <c r="A78" s="3" t="s">
        <v>61</v>
      </c>
      <c r="B78" s="33"/>
      <c r="C78" s="33">
        <f t="shared" ref="C78:M78" si="48">C51</f>
        <v>319.75768127337966</v>
      </c>
      <c r="D78" s="33">
        <f t="shared" si="48"/>
        <v>327.51046527743813</v>
      </c>
      <c r="E78" s="33">
        <f t="shared" si="48"/>
        <v>335.44063440859412</v>
      </c>
      <c r="F78" s="33">
        <f t="shared" si="48"/>
        <v>286.29321189072476</v>
      </c>
      <c r="G78" s="33">
        <f t="shared" si="48"/>
        <v>293.20654229149505</v>
      </c>
      <c r="H78" s="33">
        <f t="shared" si="48"/>
        <v>300.27700862560994</v>
      </c>
      <c r="I78" s="33">
        <f t="shared" si="48"/>
        <v>225.50573250458697</v>
      </c>
      <c r="J78" s="33">
        <f t="shared" si="48"/>
        <v>230.92829809544872</v>
      </c>
      <c r="K78" s="33">
        <f t="shared" si="48"/>
        <v>236.47326246250805</v>
      </c>
      <c r="L78" s="33">
        <f t="shared" si="48"/>
        <v>198.11707300088591</v>
      </c>
      <c r="M78" s="33">
        <f t="shared" si="48"/>
        <v>202.86022880743656</v>
      </c>
      <c r="N78" s="33">
        <f t="shared" ref="N78" si="49">N51</f>
        <v>207.70966859667939</v>
      </c>
      <c r="O78" s="6"/>
      <c r="P78" s="6"/>
      <c r="Q78" s="6"/>
      <c r="R78" s="6"/>
      <c r="S78" s="6"/>
      <c r="T78" s="6"/>
      <c r="U78" s="6"/>
      <c r="V78" s="6"/>
      <c r="W78" s="6"/>
      <c r="X78" s="6"/>
      <c r="Y78" s="6"/>
      <c r="Z78" s="6"/>
      <c r="AA78" s="6"/>
    </row>
    <row r="79" spans="1:27" x14ac:dyDescent="0.45">
      <c r="A79" s="1" t="s">
        <v>72</v>
      </c>
      <c r="B79" s="35">
        <f>B80+B81</f>
        <v>768</v>
      </c>
      <c r="C79" s="35">
        <f t="shared" ref="C79:M79" si="50">C80+C81</f>
        <v>32.766808127337967</v>
      </c>
      <c r="D79" s="35">
        <f t="shared" si="50"/>
        <v>33.56581772774382</v>
      </c>
      <c r="E79" s="35">
        <f t="shared" si="50"/>
        <v>34.383277776859408</v>
      </c>
      <c r="F79" s="35">
        <f t="shared" si="50"/>
        <v>29.493711955152477</v>
      </c>
      <c r="G79" s="35">
        <f t="shared" si="50"/>
        <v>30.210976718211906</v>
      </c>
      <c r="H79" s="35">
        <f t="shared" si="50"/>
        <v>30.944733026295268</v>
      </c>
      <c r="I79" s="35">
        <f t="shared" si="50"/>
        <v>23.495116379104999</v>
      </c>
      <c r="J79" s="35">
        <f t="shared" si="50"/>
        <v>24.065709232050562</v>
      </c>
      <c r="K79" s="35">
        <f t="shared" si="50"/>
        <v>24.649392051431665</v>
      </c>
      <c r="L79" s="35">
        <f t="shared" si="50"/>
        <v>20.843835079424878</v>
      </c>
      <c r="M79" s="35">
        <f t="shared" si="50"/>
        <v>21.349114493460032</v>
      </c>
      <c r="N79" s="35">
        <f t="shared" ref="N79" si="51">N80+N81</f>
        <v>21.865951220765805</v>
      </c>
    </row>
    <row r="80" spans="1:27" x14ac:dyDescent="0.45">
      <c r="A80" s="3" t="s">
        <v>73</v>
      </c>
      <c r="B80" s="34">
        <f>B6</f>
        <v>768</v>
      </c>
      <c r="C80" s="34"/>
      <c r="D80" s="34"/>
      <c r="E80" s="34"/>
      <c r="F80" s="34"/>
      <c r="G80" s="34"/>
      <c r="H80" s="34"/>
      <c r="I80" s="34"/>
      <c r="J80" s="34"/>
      <c r="K80" s="34"/>
      <c r="L80" s="34"/>
      <c r="M80" s="34"/>
      <c r="N80" s="34"/>
    </row>
    <row r="81" spans="1:27" x14ac:dyDescent="0.45">
      <c r="A81" s="3" t="s">
        <v>74</v>
      </c>
      <c r="B81" s="33"/>
      <c r="C81" s="33">
        <f t="shared" ref="C81:M81" si="52">C67</f>
        <v>32.766808127337967</v>
      </c>
      <c r="D81" s="33">
        <f t="shared" si="52"/>
        <v>33.56581772774382</v>
      </c>
      <c r="E81" s="33">
        <f t="shared" si="52"/>
        <v>34.383277776859408</v>
      </c>
      <c r="F81" s="33">
        <f t="shared" si="52"/>
        <v>29.493711955152477</v>
      </c>
      <c r="G81" s="33">
        <f t="shared" si="52"/>
        <v>30.210976718211906</v>
      </c>
      <c r="H81" s="33">
        <f t="shared" si="52"/>
        <v>30.944733026295268</v>
      </c>
      <c r="I81" s="33">
        <f t="shared" si="52"/>
        <v>23.495116379104999</v>
      </c>
      <c r="J81" s="33">
        <f t="shared" si="52"/>
        <v>24.065709232050562</v>
      </c>
      <c r="K81" s="33">
        <f t="shared" si="52"/>
        <v>24.649392051431665</v>
      </c>
      <c r="L81" s="33">
        <f t="shared" si="52"/>
        <v>20.843835079424878</v>
      </c>
      <c r="M81" s="33">
        <f t="shared" si="52"/>
        <v>21.349114493460032</v>
      </c>
      <c r="N81" s="33">
        <f t="shared" ref="N81" si="53">N67</f>
        <v>21.865951220765805</v>
      </c>
      <c r="O81" s="6"/>
      <c r="P81" s="6"/>
      <c r="Q81" s="6"/>
      <c r="R81" s="6"/>
      <c r="S81" s="6"/>
      <c r="T81" s="6"/>
      <c r="U81" s="6"/>
      <c r="V81" s="6"/>
      <c r="W81" s="6"/>
      <c r="X81" s="6"/>
      <c r="Y81" s="6"/>
      <c r="Z81" s="6"/>
      <c r="AA81" s="6"/>
    </row>
    <row r="82" spans="1:27" x14ac:dyDescent="0.45">
      <c r="A82" s="36" t="s">
        <v>93</v>
      </c>
      <c r="B82" s="35">
        <f>B77-B79</f>
        <v>-768</v>
      </c>
      <c r="C82" s="35">
        <f t="shared" ref="C82:M82" si="54">C77-C79</f>
        <v>286.99087314604168</v>
      </c>
      <c r="D82" s="35">
        <f t="shared" si="54"/>
        <v>293.94464754969431</v>
      </c>
      <c r="E82" s="35">
        <f t="shared" si="54"/>
        <v>301.05735663173471</v>
      </c>
      <c r="F82" s="35">
        <f t="shared" si="54"/>
        <v>256.79949993557227</v>
      </c>
      <c r="G82" s="35">
        <f t="shared" si="54"/>
        <v>262.99556557328316</v>
      </c>
      <c r="H82" s="35">
        <f t="shared" si="54"/>
        <v>269.3322755993147</v>
      </c>
      <c r="I82" s="35">
        <f t="shared" si="54"/>
        <v>202.01061612548199</v>
      </c>
      <c r="J82" s="35">
        <f t="shared" si="54"/>
        <v>206.86258886339817</v>
      </c>
      <c r="K82" s="35">
        <f t="shared" si="54"/>
        <v>211.82387041107637</v>
      </c>
      <c r="L82" s="35">
        <f t="shared" si="54"/>
        <v>177.27323792146103</v>
      </c>
      <c r="M82" s="35">
        <f t="shared" si="54"/>
        <v>181.51111431397652</v>
      </c>
      <c r="N82" s="35">
        <f t="shared" ref="N82" si="55">N77-N79</f>
        <v>185.8437173759136</v>
      </c>
      <c r="O82" s="6"/>
      <c r="P82" s="6"/>
      <c r="Q82" s="6"/>
      <c r="R82" s="6"/>
      <c r="S82" s="6"/>
      <c r="T82" s="6"/>
      <c r="U82" s="6"/>
      <c r="V82" s="6"/>
      <c r="W82" s="6"/>
      <c r="X82" s="6"/>
      <c r="Y82" s="6"/>
      <c r="Z82" s="6"/>
      <c r="AA82" s="6"/>
    </row>
    <row r="83" spans="1:27" x14ac:dyDescent="0.45">
      <c r="A83" s="3" t="s">
        <v>57</v>
      </c>
      <c r="B83" s="33"/>
      <c r="C83" s="33">
        <f t="shared" ref="C83:M83" si="56">C72</f>
        <v>6.198174629208336</v>
      </c>
      <c r="D83" s="33">
        <f t="shared" si="56"/>
        <v>7.5889295099388621</v>
      </c>
      <c r="E83" s="33">
        <f t="shared" si="56"/>
        <v>9.0114713263469408</v>
      </c>
      <c r="F83" s="33">
        <f t="shared" si="56"/>
        <v>51.35989998711446</v>
      </c>
      <c r="G83" s="33">
        <f t="shared" si="56"/>
        <v>52.599113114656632</v>
      </c>
      <c r="H83" s="33">
        <f t="shared" si="56"/>
        <v>53.866455119862941</v>
      </c>
      <c r="I83" s="33">
        <f t="shared" si="56"/>
        <v>40.402123225096403</v>
      </c>
      <c r="J83" s="33">
        <f t="shared" si="56"/>
        <v>41.372517772679636</v>
      </c>
      <c r="K83" s="33">
        <f t="shared" si="56"/>
        <v>42.364774082215277</v>
      </c>
      <c r="L83" s="33">
        <f t="shared" si="56"/>
        <v>35.454647584292211</v>
      </c>
      <c r="M83" s="33">
        <f t="shared" si="56"/>
        <v>36.302222862795304</v>
      </c>
      <c r="N83" s="33">
        <f t="shared" ref="N83" si="57">N72</f>
        <v>37.168743475182723</v>
      </c>
      <c r="O83" s="6"/>
      <c r="P83" s="6"/>
      <c r="Q83" s="6"/>
      <c r="R83" s="6"/>
      <c r="S83" s="6"/>
      <c r="T83" s="6"/>
      <c r="U83" s="6"/>
      <c r="V83" s="6"/>
      <c r="W83" s="6"/>
      <c r="X83" s="6"/>
      <c r="Y83" s="6"/>
      <c r="Z83" s="6"/>
      <c r="AA83" s="6"/>
    </row>
    <row r="84" spans="1:27" x14ac:dyDescent="0.45">
      <c r="A84" s="1" t="s">
        <v>96</v>
      </c>
      <c r="B84" s="35">
        <f>B82-B83</f>
        <v>-768</v>
      </c>
      <c r="C84" s="35">
        <f t="shared" ref="C84:M84" si="58">C82-C83</f>
        <v>280.79269851683335</v>
      </c>
      <c r="D84" s="35">
        <f t="shared" si="58"/>
        <v>286.35571803975546</v>
      </c>
      <c r="E84" s="35">
        <f t="shared" si="58"/>
        <v>292.04588530538774</v>
      </c>
      <c r="F84" s="35">
        <f t="shared" si="58"/>
        <v>205.43959994845781</v>
      </c>
      <c r="G84" s="35">
        <f t="shared" si="58"/>
        <v>210.39645245862653</v>
      </c>
      <c r="H84" s="35">
        <f t="shared" si="58"/>
        <v>215.46582047945176</v>
      </c>
      <c r="I84" s="35">
        <f t="shared" si="58"/>
        <v>161.60849290038558</v>
      </c>
      <c r="J84" s="35">
        <f t="shared" si="58"/>
        <v>165.49007109071854</v>
      </c>
      <c r="K84" s="35">
        <f t="shared" si="58"/>
        <v>169.45909632886111</v>
      </c>
      <c r="L84" s="35">
        <f t="shared" si="58"/>
        <v>141.81859033716881</v>
      </c>
      <c r="M84" s="35">
        <f t="shared" si="58"/>
        <v>145.20889145118122</v>
      </c>
      <c r="N84" s="35">
        <f t="shared" ref="N84" si="59">N82-N83</f>
        <v>148.67497390073089</v>
      </c>
      <c r="O84" s="6"/>
      <c r="P84" s="6"/>
      <c r="Q84" s="6"/>
      <c r="R84" s="6"/>
      <c r="S84" s="6"/>
      <c r="T84" s="6"/>
      <c r="U84" s="6"/>
      <c r="V84" s="6"/>
      <c r="W84" s="6"/>
      <c r="X84" s="6"/>
      <c r="Y84" s="6"/>
      <c r="Z84" s="6"/>
      <c r="AA84" s="6"/>
    </row>
    <row r="85" spans="1:27" x14ac:dyDescent="0.45">
      <c r="A85" s="2" t="s">
        <v>75</v>
      </c>
      <c r="B85" s="5">
        <f t="shared" ref="B85:M85" si="60">(1+$H$23)^-B76</f>
        <v>1</v>
      </c>
      <c r="C85" s="5">
        <f t="shared" si="60"/>
        <v>0.92592592592592582</v>
      </c>
      <c r="D85" s="5">
        <f t="shared" si="60"/>
        <v>0.85733882030178321</v>
      </c>
      <c r="E85" s="5">
        <f t="shared" si="60"/>
        <v>0.79383224102016958</v>
      </c>
      <c r="F85" s="5">
        <f t="shared" si="60"/>
        <v>0.73502985279645328</v>
      </c>
      <c r="G85" s="5">
        <f t="shared" si="60"/>
        <v>0.68058319703375303</v>
      </c>
      <c r="H85" s="5">
        <f t="shared" si="60"/>
        <v>0.63016962688310452</v>
      </c>
      <c r="I85" s="5">
        <f t="shared" si="60"/>
        <v>0.58349039526213387</v>
      </c>
      <c r="J85" s="5">
        <f t="shared" si="60"/>
        <v>0.54026888450197574</v>
      </c>
      <c r="K85" s="5">
        <f t="shared" si="60"/>
        <v>0.50024896713145905</v>
      </c>
      <c r="L85" s="5">
        <f t="shared" si="60"/>
        <v>0.46319348808468425</v>
      </c>
      <c r="M85" s="5">
        <f t="shared" si="60"/>
        <v>0.42888285933767062</v>
      </c>
      <c r="N85" s="5">
        <f t="shared" ref="N85" si="61">(1+$H$23)^-N76</f>
        <v>0.39711375864599124</v>
      </c>
      <c r="O85" s="5"/>
      <c r="P85" s="5"/>
      <c r="Q85" s="5"/>
      <c r="R85" s="5"/>
      <c r="S85" s="5"/>
      <c r="T85" s="5"/>
      <c r="U85" s="5"/>
      <c r="V85" s="5"/>
      <c r="W85" s="5"/>
      <c r="X85" s="5"/>
      <c r="Y85" s="5"/>
      <c r="Z85" s="5"/>
      <c r="AA85" s="5"/>
    </row>
    <row r="86" spans="1:27" x14ac:dyDescent="0.45">
      <c r="A86" s="2" t="s">
        <v>79</v>
      </c>
      <c r="B86" s="19">
        <f>B84*B85</f>
        <v>-768</v>
      </c>
      <c r="C86" s="19">
        <f t="shared" ref="C86:M86" si="62">C84*C85</f>
        <v>259.99323936743826</v>
      </c>
      <c r="D86" s="19">
        <f t="shared" si="62"/>
        <v>245.50387349087401</v>
      </c>
      <c r="E86" s="19">
        <f t="shared" si="62"/>
        <v>231.83543961269535</v>
      </c>
      <c r="F86" s="19">
        <f t="shared" si="62"/>
        <v>151.00423890867719</v>
      </c>
      <c r="G86" s="19">
        <f t="shared" si="62"/>
        <v>143.19229025885207</v>
      </c>
      <c r="H86" s="19">
        <f t="shared" si="62"/>
        <v>135.78001569759809</v>
      </c>
      <c r="I86" s="19">
        <f t="shared" si="62"/>
        <v>94.297003400163746</v>
      </c>
      <c r="J86" s="19">
        <f t="shared" si="62"/>
        <v>89.409136104335175</v>
      </c>
      <c r="K86" s="19">
        <f t="shared" si="62"/>
        <v>84.771737909543191</v>
      </c>
      <c r="L86" s="19">
        <f t="shared" si="62"/>
        <v>65.689447533526121</v>
      </c>
      <c r="M86" s="19">
        <f t="shared" si="62"/>
        <v>62.277604566836033</v>
      </c>
      <c r="N86" s="19">
        <f t="shared" ref="N86" si="63">N84*N85</f>
        <v>59.040877702313892</v>
      </c>
      <c r="O86" s="6"/>
      <c r="P86" s="6"/>
      <c r="Q86" s="6"/>
      <c r="R86" s="6"/>
      <c r="S86" s="6"/>
      <c r="T86" s="6"/>
      <c r="U86" s="6"/>
      <c r="V86" s="6"/>
      <c r="W86" s="6"/>
      <c r="X86" s="6"/>
      <c r="Y86" s="6"/>
      <c r="Z86" s="6"/>
      <c r="AA86" s="6"/>
    </row>
    <row r="87" spans="1:27" x14ac:dyDescent="0.45">
      <c r="A87" s="2" t="s">
        <v>80</v>
      </c>
      <c r="B87" s="19">
        <f>B84</f>
        <v>-768</v>
      </c>
      <c r="C87" s="6">
        <f>B87+C84</f>
        <v>-487.20730148316665</v>
      </c>
      <c r="D87" s="6">
        <f t="shared" ref="D87:M87" si="64">C87+D84</f>
        <v>-200.85158344341119</v>
      </c>
      <c r="E87" s="6">
        <f t="shared" si="64"/>
        <v>91.194301861976555</v>
      </c>
      <c r="F87" s="6">
        <f t="shared" si="64"/>
        <v>296.63390181043439</v>
      </c>
      <c r="G87" s="6">
        <f t="shared" si="64"/>
        <v>507.03035426906092</v>
      </c>
      <c r="H87" s="6">
        <f t="shared" si="64"/>
        <v>722.49617474851266</v>
      </c>
      <c r="I87" s="6">
        <f t="shared" si="64"/>
        <v>884.10466764889827</v>
      </c>
      <c r="J87" s="6">
        <f t="shared" si="64"/>
        <v>1049.5947387396168</v>
      </c>
      <c r="K87" s="6">
        <f t="shared" si="64"/>
        <v>1219.0538350684778</v>
      </c>
      <c r="L87" s="6">
        <f t="shared" si="64"/>
        <v>1360.8724254056467</v>
      </c>
      <c r="M87" s="6">
        <f t="shared" si="64"/>
        <v>1506.0813168568279</v>
      </c>
      <c r="N87" s="6">
        <f t="shared" ref="N87" si="65">M87+N84</f>
        <v>1654.7562907575589</v>
      </c>
      <c r="O87" s="6"/>
      <c r="P87" s="6"/>
      <c r="Q87" s="6"/>
      <c r="R87" s="6"/>
      <c r="S87" s="6"/>
      <c r="T87" s="6"/>
      <c r="U87" s="6"/>
      <c r="V87" s="6"/>
      <c r="W87" s="6"/>
      <c r="X87" s="6"/>
      <c r="Y87" s="6"/>
      <c r="Z87" s="6"/>
      <c r="AA87" s="6"/>
    </row>
    <row r="88" spans="1:27" x14ac:dyDescent="0.45">
      <c r="A88" s="2" t="s">
        <v>81</v>
      </c>
      <c r="B88" s="19">
        <f>B86</f>
        <v>-768</v>
      </c>
      <c r="C88" s="6">
        <f>B88+C86</f>
        <v>-508.00676063256174</v>
      </c>
      <c r="D88" s="6">
        <f t="shared" ref="D88:M88" si="66">C88+D86</f>
        <v>-262.50288714168772</v>
      </c>
      <c r="E88" s="6">
        <f t="shared" si="66"/>
        <v>-30.667447528992369</v>
      </c>
      <c r="F88" s="6">
        <f t="shared" si="66"/>
        <v>120.33679137968483</v>
      </c>
      <c r="G88" s="6">
        <f t="shared" si="66"/>
        <v>263.52908163853692</v>
      </c>
      <c r="H88" s="6">
        <f t="shared" si="66"/>
        <v>399.30909733613498</v>
      </c>
      <c r="I88" s="6">
        <f t="shared" si="66"/>
        <v>493.60610073629874</v>
      </c>
      <c r="J88" s="6">
        <f t="shared" si="66"/>
        <v>583.01523684063386</v>
      </c>
      <c r="K88" s="6">
        <f t="shared" si="66"/>
        <v>667.78697475017702</v>
      </c>
      <c r="L88" s="6">
        <f t="shared" si="66"/>
        <v>733.47642228370319</v>
      </c>
      <c r="M88" s="6">
        <f t="shared" si="66"/>
        <v>795.75402685053928</v>
      </c>
      <c r="N88" s="6">
        <f t="shared" ref="N88" si="67">M88+N86</f>
        <v>854.79490455285315</v>
      </c>
      <c r="O88" s="6"/>
      <c r="P88" s="6"/>
      <c r="Q88" s="6"/>
      <c r="R88" s="6"/>
      <c r="S88" s="6"/>
      <c r="T88" s="6"/>
      <c r="U88" s="6"/>
      <c r="V88" s="6"/>
      <c r="W88" s="6"/>
      <c r="X88" s="6"/>
      <c r="Y88" s="6"/>
      <c r="Z88" s="6"/>
      <c r="AA88" s="6"/>
    </row>
    <row r="89" spans="1:27" x14ac:dyDescent="0.45">
      <c r="B89" s="19"/>
      <c r="C89" s="6"/>
      <c r="D89" s="6"/>
      <c r="E89" s="6"/>
      <c r="F89" s="6"/>
      <c r="G89" s="6"/>
      <c r="H89" s="6"/>
      <c r="I89" s="6"/>
      <c r="J89" s="6"/>
      <c r="K89" s="6"/>
      <c r="L89" s="6"/>
      <c r="M89" s="6"/>
      <c r="N89" s="6"/>
      <c r="O89" s="6"/>
      <c r="P89" s="6"/>
      <c r="Q89" s="6"/>
      <c r="R89" s="6"/>
      <c r="S89" s="6"/>
      <c r="T89" s="6"/>
      <c r="U89" s="6"/>
      <c r="V89" s="6"/>
      <c r="W89" s="6"/>
      <c r="X89" s="6"/>
      <c r="Y89" s="6"/>
      <c r="Z89" s="6"/>
      <c r="AA89" s="6"/>
    </row>
    <row r="90" spans="1:27" x14ac:dyDescent="0.45">
      <c r="A90" s="38" t="s">
        <v>115</v>
      </c>
      <c r="B90" s="39">
        <f>SUM(B86:M86)</f>
        <v>795.75402685053928</v>
      </c>
      <c r="C90" s="6"/>
    </row>
    <row r="91" spans="1:27" x14ac:dyDescent="0.45">
      <c r="A91" s="38" t="s">
        <v>116</v>
      </c>
      <c r="B91" s="50">
        <f>IRR(B84:M84)</f>
        <v>0.30212112459615348</v>
      </c>
      <c r="C91" s="4"/>
    </row>
    <row r="93" spans="1:27" x14ac:dyDescent="0.45">
      <c r="A93" s="1" t="s">
        <v>94</v>
      </c>
    </row>
    <row r="94" spans="1:27" x14ac:dyDescent="0.45">
      <c r="A94" s="11" t="s">
        <v>39</v>
      </c>
      <c r="B94" s="11">
        <v>0</v>
      </c>
      <c r="C94" s="11">
        <v>1</v>
      </c>
      <c r="D94" s="11">
        <v>2</v>
      </c>
      <c r="E94" s="11">
        <v>3</v>
      </c>
      <c r="F94" s="11">
        <v>4</v>
      </c>
      <c r="G94" s="11">
        <v>5</v>
      </c>
      <c r="H94" s="11">
        <v>6</v>
      </c>
      <c r="I94" s="11">
        <v>7</v>
      </c>
      <c r="J94" s="11">
        <v>8</v>
      </c>
      <c r="K94" s="11">
        <v>9</v>
      </c>
      <c r="L94" s="11">
        <v>10</v>
      </c>
      <c r="M94" s="11">
        <v>11</v>
      </c>
      <c r="N94" s="11">
        <v>12</v>
      </c>
      <c r="O94" s="11">
        <v>13</v>
      </c>
      <c r="P94" s="11">
        <v>14</v>
      </c>
      <c r="Q94" s="11">
        <v>15</v>
      </c>
      <c r="R94" s="11">
        <v>16</v>
      </c>
      <c r="S94" s="11">
        <v>17</v>
      </c>
      <c r="T94" s="11">
        <v>18</v>
      </c>
      <c r="U94" s="11">
        <v>19</v>
      </c>
      <c r="V94" s="11">
        <v>20</v>
      </c>
      <c r="W94" s="11">
        <v>21</v>
      </c>
      <c r="X94" s="11">
        <v>22</v>
      </c>
      <c r="Y94" s="11">
        <v>23</v>
      </c>
      <c r="Z94" s="11">
        <v>24</v>
      </c>
      <c r="AA94" s="11">
        <v>25</v>
      </c>
    </row>
    <row r="95" spans="1:27" x14ac:dyDescent="0.45">
      <c r="A95" s="1" t="s">
        <v>96</v>
      </c>
      <c r="B95" s="35">
        <f>B84</f>
        <v>-768</v>
      </c>
      <c r="C95" s="35">
        <f t="shared" ref="C95:M95" si="68">C84</f>
        <v>280.79269851683335</v>
      </c>
      <c r="D95" s="35">
        <f t="shared" si="68"/>
        <v>286.35571803975546</v>
      </c>
      <c r="E95" s="35">
        <f t="shared" si="68"/>
        <v>292.04588530538774</v>
      </c>
      <c r="F95" s="35">
        <f t="shared" si="68"/>
        <v>205.43959994845781</v>
      </c>
      <c r="G95" s="35">
        <f t="shared" si="68"/>
        <v>210.39645245862653</v>
      </c>
      <c r="H95" s="35">
        <f t="shared" si="68"/>
        <v>215.46582047945176</v>
      </c>
      <c r="I95" s="35">
        <f t="shared" si="68"/>
        <v>161.60849290038558</v>
      </c>
      <c r="J95" s="35">
        <f t="shared" si="68"/>
        <v>165.49007109071854</v>
      </c>
      <c r="K95" s="35">
        <f t="shared" si="68"/>
        <v>169.45909632886111</v>
      </c>
      <c r="L95" s="35">
        <f t="shared" si="68"/>
        <v>141.81859033716881</v>
      </c>
      <c r="M95" s="35">
        <f t="shared" si="68"/>
        <v>145.20889145118122</v>
      </c>
      <c r="N95" s="35">
        <f t="shared" ref="N95" si="69">N84</f>
        <v>148.67497390073089</v>
      </c>
    </row>
    <row r="96" spans="1:27" x14ac:dyDescent="0.45">
      <c r="A96" s="3" t="s">
        <v>112</v>
      </c>
      <c r="B96" s="33">
        <f>B60</f>
        <v>0</v>
      </c>
      <c r="C96" s="33"/>
      <c r="D96" s="33"/>
      <c r="E96" s="33"/>
      <c r="F96" s="33"/>
      <c r="G96" s="33"/>
      <c r="H96" s="33"/>
      <c r="I96" s="33"/>
      <c r="J96" s="33"/>
      <c r="K96" s="33"/>
      <c r="L96" s="33"/>
      <c r="M96" s="33"/>
      <c r="N96" s="33"/>
      <c r="O96" s="6"/>
      <c r="P96" s="6"/>
      <c r="Q96" s="6"/>
      <c r="R96" s="6"/>
      <c r="S96" s="6"/>
      <c r="T96" s="6"/>
      <c r="U96" s="6"/>
      <c r="V96" s="6"/>
      <c r="W96" s="6"/>
      <c r="X96" s="6"/>
      <c r="Y96" s="6"/>
      <c r="Z96" s="6"/>
      <c r="AA96" s="6"/>
    </row>
    <row r="97" spans="1:27" x14ac:dyDescent="0.45">
      <c r="A97" s="3" t="s">
        <v>102</v>
      </c>
      <c r="B97" s="19"/>
      <c r="C97" s="19">
        <f>C57</f>
        <v>0</v>
      </c>
      <c r="D97" s="19">
        <f t="shared" ref="D97:G97" si="70">D57</f>
        <v>0</v>
      </c>
      <c r="E97" s="19">
        <f t="shared" si="70"/>
        <v>0</v>
      </c>
      <c r="F97" s="19">
        <f t="shared" si="70"/>
        <v>0</v>
      </c>
      <c r="G97" s="19">
        <f t="shared" si="70"/>
        <v>0</v>
      </c>
      <c r="H97" s="35"/>
      <c r="I97" s="35"/>
      <c r="J97" s="35"/>
      <c r="K97" s="35"/>
      <c r="L97" s="35"/>
      <c r="M97" s="35"/>
      <c r="N97" s="35"/>
    </row>
    <row r="98" spans="1:27" x14ac:dyDescent="0.45">
      <c r="A98" s="36" t="s">
        <v>113</v>
      </c>
      <c r="B98" s="35">
        <f>B95+B96-B97</f>
        <v>-768</v>
      </c>
      <c r="C98" s="35">
        <f t="shared" ref="C98:M98" si="71">C95+C96-C97</f>
        <v>280.79269851683335</v>
      </c>
      <c r="D98" s="35">
        <f t="shared" si="71"/>
        <v>286.35571803975546</v>
      </c>
      <c r="E98" s="35">
        <f t="shared" si="71"/>
        <v>292.04588530538774</v>
      </c>
      <c r="F98" s="35">
        <f t="shared" si="71"/>
        <v>205.43959994845781</v>
      </c>
      <c r="G98" s="35">
        <f t="shared" si="71"/>
        <v>210.39645245862653</v>
      </c>
      <c r="H98" s="35">
        <f t="shared" si="71"/>
        <v>215.46582047945176</v>
      </c>
      <c r="I98" s="35">
        <f t="shared" si="71"/>
        <v>161.60849290038558</v>
      </c>
      <c r="J98" s="35">
        <f t="shared" si="71"/>
        <v>165.49007109071854</v>
      </c>
      <c r="K98" s="35">
        <f t="shared" si="71"/>
        <v>169.45909632886111</v>
      </c>
      <c r="L98" s="35">
        <f t="shared" si="71"/>
        <v>141.81859033716881</v>
      </c>
      <c r="M98" s="35">
        <f t="shared" si="71"/>
        <v>145.20889145118122</v>
      </c>
      <c r="N98" s="35">
        <f t="shared" ref="N98" si="72">N95+N96-N97</f>
        <v>148.67497390073089</v>
      </c>
      <c r="O98" s="6"/>
      <c r="P98" s="6"/>
      <c r="Q98" s="6"/>
      <c r="R98" s="6"/>
      <c r="S98" s="6"/>
      <c r="T98" s="6"/>
      <c r="U98" s="6"/>
      <c r="V98" s="6"/>
      <c r="W98" s="6"/>
      <c r="X98" s="6"/>
      <c r="Y98" s="6"/>
      <c r="Z98" s="6"/>
      <c r="AA98" s="6"/>
    </row>
    <row r="99" spans="1:27" x14ac:dyDescent="0.45">
      <c r="A99" s="36"/>
      <c r="B99" s="35"/>
      <c r="C99" s="35"/>
      <c r="D99" s="35"/>
      <c r="E99" s="35"/>
      <c r="F99" s="35"/>
      <c r="G99" s="35"/>
      <c r="H99" s="35"/>
      <c r="I99" s="35"/>
      <c r="J99" s="35"/>
      <c r="K99" s="35"/>
      <c r="L99" s="35"/>
      <c r="M99" s="35"/>
      <c r="N99" s="6"/>
      <c r="O99" s="6"/>
      <c r="P99" s="6"/>
      <c r="Q99" s="6"/>
      <c r="R99" s="6"/>
      <c r="S99" s="6"/>
      <c r="T99" s="6"/>
      <c r="U99" s="6"/>
      <c r="V99" s="6"/>
      <c r="W99" s="6"/>
      <c r="X99" s="6"/>
      <c r="Y99" s="6"/>
      <c r="Z99" s="6"/>
      <c r="AA99" s="6"/>
    </row>
    <row r="100" spans="1:27" x14ac:dyDescent="0.45">
      <c r="A100" s="40" t="s">
        <v>117</v>
      </c>
      <c r="B100" s="39">
        <f>NPV(B10,C98:M98)+B98</f>
        <v>795.75402685053928</v>
      </c>
      <c r="C100" s="35"/>
      <c r="D100" s="35"/>
      <c r="E100" s="35"/>
      <c r="F100" s="35"/>
      <c r="G100" s="35"/>
      <c r="H100" s="35"/>
      <c r="I100" s="35"/>
      <c r="J100" s="35"/>
      <c r="K100" s="35"/>
      <c r="L100" s="35"/>
      <c r="M100" s="35"/>
      <c r="N100" s="6"/>
      <c r="O100" s="6"/>
      <c r="P100" s="6"/>
      <c r="Q100" s="6"/>
      <c r="R100" s="6"/>
      <c r="S100" s="6"/>
      <c r="T100" s="6"/>
      <c r="U100" s="6"/>
      <c r="V100" s="6"/>
      <c r="W100" s="6"/>
      <c r="X100" s="6"/>
      <c r="Y100" s="6"/>
      <c r="Z100" s="6"/>
      <c r="AA100" s="6"/>
    </row>
    <row r="101" spans="1:27" x14ac:dyDescent="0.45">
      <c r="A101" s="38" t="s">
        <v>114</v>
      </c>
      <c r="B101" s="50">
        <f>IRR(B98:M98)</f>
        <v>0.30212112459615348</v>
      </c>
    </row>
    <row r="103" spans="1:27" x14ac:dyDescent="0.45">
      <c r="A103" s="25" t="s">
        <v>89</v>
      </c>
    </row>
    <row r="104" spans="1:27" x14ac:dyDescent="0.45">
      <c r="A104" s="24" t="s">
        <v>119</v>
      </c>
    </row>
  </sheetData>
  <mergeCells count="2">
    <mergeCell ref="A1:I1"/>
    <mergeCell ref="A2:I2"/>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EDDD-5F32-47D3-AC47-C5D9B5049E18}">
  <dimension ref="A1:AA104"/>
  <sheetViews>
    <sheetView topLeftCell="A79" workbookViewId="0">
      <selection activeCell="B101" sqref="B101"/>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120</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3</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768</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14">
        <v>0</v>
      </c>
    </row>
    <row r="20" spans="1:15" x14ac:dyDescent="0.45">
      <c r="A20" s="3" t="s">
        <v>13</v>
      </c>
      <c r="B20" s="4">
        <v>0.55000000000000004</v>
      </c>
      <c r="E20" s="2" t="s">
        <v>36</v>
      </c>
      <c r="H20" s="14">
        <v>0</v>
      </c>
      <c r="I20" s="2" t="s">
        <v>98</v>
      </c>
    </row>
    <row r="21" spans="1:15" x14ac:dyDescent="0.45">
      <c r="A21" s="3" t="s">
        <v>54</v>
      </c>
      <c r="B21" s="14">
        <v>0.75</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0.08</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24</v>
      </c>
      <c r="B28" s="4">
        <v>0.1</v>
      </c>
      <c r="C28" s="2" t="s">
        <v>25</v>
      </c>
      <c r="E28" s="2" t="s">
        <v>57</v>
      </c>
      <c r="H28" s="14">
        <v>0.2</v>
      </c>
      <c r="N28" s="4"/>
      <c r="O28" s="9"/>
    </row>
    <row r="29" spans="1:15" ht="15.75" thickBot="1" x14ac:dyDescent="0.5">
      <c r="A29" s="12" t="s">
        <v>26</v>
      </c>
      <c r="B29" s="30">
        <v>1E-3</v>
      </c>
      <c r="C29" s="12" t="s">
        <v>27</v>
      </c>
      <c r="D29" s="12"/>
      <c r="E29" s="12" t="s">
        <v>58</v>
      </c>
      <c r="F29" s="12"/>
      <c r="G29" s="12"/>
      <c r="H29" s="18">
        <v>1000000</v>
      </c>
      <c r="I29" s="12"/>
    </row>
    <row r="30" spans="1:15" ht="15.75" thickTop="1" x14ac:dyDescent="0.45"/>
    <row r="31" spans="1:15" ht="18.75" x14ac:dyDescent="0.5">
      <c r="A31" s="27" t="s">
        <v>33</v>
      </c>
    </row>
    <row r="32" spans="1:15" x14ac:dyDescent="0.45">
      <c r="A32" s="1" t="s">
        <v>38</v>
      </c>
    </row>
    <row r="33" spans="1:27" x14ac:dyDescent="0.45">
      <c r="A33" s="11" t="s">
        <v>39</v>
      </c>
      <c r="B33" s="11">
        <v>0</v>
      </c>
      <c r="C33" s="11">
        <v>1</v>
      </c>
      <c r="D33" s="11">
        <v>2</v>
      </c>
      <c r="E33" s="11">
        <v>3</v>
      </c>
      <c r="F33" s="11">
        <v>4</v>
      </c>
      <c r="G33" s="11">
        <v>5</v>
      </c>
      <c r="H33" s="11">
        <v>6</v>
      </c>
      <c r="I33" s="11">
        <v>7</v>
      </c>
      <c r="J33" s="11">
        <v>8</v>
      </c>
      <c r="K33" s="11">
        <v>9</v>
      </c>
      <c r="L33" s="11">
        <v>10</v>
      </c>
      <c r="M33" s="11">
        <v>11</v>
      </c>
      <c r="N33" s="11">
        <v>12</v>
      </c>
      <c r="O33" s="11">
        <v>13</v>
      </c>
      <c r="P33" s="11">
        <v>14</v>
      </c>
      <c r="Q33" s="11">
        <v>15</v>
      </c>
      <c r="R33" s="11">
        <v>16</v>
      </c>
      <c r="S33" s="11">
        <v>17</v>
      </c>
      <c r="T33" s="11">
        <v>18</v>
      </c>
      <c r="U33" s="11">
        <v>19</v>
      </c>
      <c r="V33" s="11">
        <v>20</v>
      </c>
      <c r="W33" s="11">
        <v>21</v>
      </c>
      <c r="X33" s="11">
        <v>22</v>
      </c>
      <c r="Y33" s="11">
        <v>23</v>
      </c>
      <c r="Z33" s="11">
        <v>24</v>
      </c>
      <c r="AA33" s="11">
        <v>25</v>
      </c>
    </row>
    <row r="34" spans="1:27" x14ac:dyDescent="0.45">
      <c r="A34" s="2" t="s">
        <v>40</v>
      </c>
      <c r="B34" s="5">
        <f t="shared" ref="B34:AA34" si="0">(1+$B$27)^B33</f>
        <v>1</v>
      </c>
      <c r="C34" s="5">
        <f t="shared" si="0"/>
        <v>1.03</v>
      </c>
      <c r="D34" s="5">
        <f t="shared" si="0"/>
        <v>1.0609</v>
      </c>
      <c r="E34" s="5">
        <f t="shared" si="0"/>
        <v>1.092727</v>
      </c>
      <c r="F34" s="5">
        <f t="shared" si="0"/>
        <v>1.1255088099999999</v>
      </c>
      <c r="G34" s="5">
        <f t="shared" si="0"/>
        <v>1.1592740742999998</v>
      </c>
      <c r="H34" s="5">
        <f t="shared" si="0"/>
        <v>1.1940522965289999</v>
      </c>
      <c r="I34" s="5">
        <f t="shared" si="0"/>
        <v>1.22987386542487</v>
      </c>
      <c r="J34" s="5">
        <f t="shared" si="0"/>
        <v>1.2667700813876159</v>
      </c>
      <c r="K34" s="5">
        <f t="shared" si="0"/>
        <v>1.3047731838292445</v>
      </c>
      <c r="L34" s="5">
        <f t="shared" si="0"/>
        <v>1.3439163793441218</v>
      </c>
      <c r="M34" s="5">
        <f t="shared" si="0"/>
        <v>1.3842338707244455</v>
      </c>
      <c r="N34" s="5">
        <f t="shared" si="0"/>
        <v>1.4257608868461786</v>
      </c>
      <c r="O34" s="5">
        <f t="shared" si="0"/>
        <v>1.4685337134515639</v>
      </c>
      <c r="P34" s="5">
        <f t="shared" si="0"/>
        <v>1.512589724855111</v>
      </c>
      <c r="Q34" s="5">
        <f t="shared" si="0"/>
        <v>1.5579674166007644</v>
      </c>
      <c r="R34" s="5">
        <f t="shared" si="0"/>
        <v>1.6047064390987871</v>
      </c>
      <c r="S34" s="5">
        <f t="shared" si="0"/>
        <v>1.6528476322717507</v>
      </c>
      <c r="T34" s="5">
        <f t="shared" si="0"/>
        <v>1.7024330612399032</v>
      </c>
      <c r="U34" s="5">
        <f t="shared" si="0"/>
        <v>1.7535060530771003</v>
      </c>
      <c r="V34" s="5">
        <f t="shared" si="0"/>
        <v>1.8061112346694133</v>
      </c>
      <c r="W34" s="5">
        <f t="shared" si="0"/>
        <v>1.8602945717094954</v>
      </c>
      <c r="X34" s="5">
        <f t="shared" si="0"/>
        <v>1.9161034088607805</v>
      </c>
      <c r="Y34" s="5">
        <f t="shared" si="0"/>
        <v>1.973586511126604</v>
      </c>
      <c r="Z34" s="5">
        <f t="shared" si="0"/>
        <v>2.0327941064604018</v>
      </c>
      <c r="AA34" s="5">
        <f t="shared" si="0"/>
        <v>2.0937779296542138</v>
      </c>
    </row>
    <row r="35" spans="1:27" x14ac:dyDescent="0.45">
      <c r="A35" s="2" t="s">
        <v>41</v>
      </c>
      <c r="B35" s="5">
        <f t="shared" ref="B35:AA35" si="1">(1+$B$26)^B33</f>
        <v>1</v>
      </c>
      <c r="C35" s="5">
        <f t="shared" si="1"/>
        <v>1.03</v>
      </c>
      <c r="D35" s="5">
        <f t="shared" si="1"/>
        <v>1.0609</v>
      </c>
      <c r="E35" s="5">
        <f t="shared" si="1"/>
        <v>1.092727</v>
      </c>
      <c r="F35" s="5">
        <f t="shared" si="1"/>
        <v>1.1255088099999999</v>
      </c>
      <c r="G35" s="5">
        <f t="shared" si="1"/>
        <v>1.1592740742999998</v>
      </c>
      <c r="H35" s="5">
        <f t="shared" si="1"/>
        <v>1.1940522965289999</v>
      </c>
      <c r="I35" s="5">
        <f t="shared" si="1"/>
        <v>1.22987386542487</v>
      </c>
      <c r="J35" s="5">
        <f t="shared" si="1"/>
        <v>1.2667700813876159</v>
      </c>
      <c r="K35" s="5">
        <f t="shared" si="1"/>
        <v>1.3047731838292445</v>
      </c>
      <c r="L35" s="5">
        <f t="shared" si="1"/>
        <v>1.3439163793441218</v>
      </c>
      <c r="M35" s="5">
        <f t="shared" si="1"/>
        <v>1.3842338707244455</v>
      </c>
      <c r="N35" s="5">
        <f t="shared" si="1"/>
        <v>1.4257608868461786</v>
      </c>
      <c r="O35" s="5">
        <f t="shared" si="1"/>
        <v>1.4685337134515639</v>
      </c>
      <c r="P35" s="5">
        <f t="shared" si="1"/>
        <v>1.512589724855111</v>
      </c>
      <c r="Q35" s="5">
        <f t="shared" si="1"/>
        <v>1.5579674166007644</v>
      </c>
      <c r="R35" s="5">
        <f t="shared" si="1"/>
        <v>1.6047064390987871</v>
      </c>
      <c r="S35" s="5">
        <f t="shared" si="1"/>
        <v>1.6528476322717507</v>
      </c>
      <c r="T35" s="5">
        <f t="shared" si="1"/>
        <v>1.7024330612399032</v>
      </c>
      <c r="U35" s="5">
        <f t="shared" si="1"/>
        <v>1.7535060530771003</v>
      </c>
      <c r="V35" s="5">
        <f t="shared" si="1"/>
        <v>1.8061112346694133</v>
      </c>
      <c r="W35" s="5">
        <f t="shared" si="1"/>
        <v>1.8602945717094954</v>
      </c>
      <c r="X35" s="5">
        <f t="shared" si="1"/>
        <v>1.9161034088607805</v>
      </c>
      <c r="Y35" s="5">
        <f t="shared" si="1"/>
        <v>1.973586511126604</v>
      </c>
      <c r="Z35" s="5">
        <f t="shared" si="1"/>
        <v>2.0327941064604018</v>
      </c>
      <c r="AA35" s="5">
        <f t="shared" si="1"/>
        <v>2.0937779296542138</v>
      </c>
    </row>
    <row r="36" spans="1:27" x14ac:dyDescent="0.45">
      <c r="A36" s="2" t="s">
        <v>53</v>
      </c>
      <c r="B36" s="5">
        <f t="shared" ref="B36" si="2">(1-$B$17)</f>
        <v>0.9</v>
      </c>
      <c r="C36" s="5">
        <f>(1-$B$17)</f>
        <v>0.9</v>
      </c>
      <c r="D36" s="5">
        <f t="shared" ref="D36" si="3">(1-$B$17)</f>
        <v>0.9</v>
      </c>
      <c r="E36" s="5">
        <f t="shared" ref="E36" si="4">(1-$B$18)</f>
        <v>0.75</v>
      </c>
      <c r="F36" s="5">
        <f>(1-$B$18)</f>
        <v>0.75</v>
      </c>
      <c r="G36" s="5">
        <f t="shared" ref="G36" si="5">(1-$B$18)</f>
        <v>0.75</v>
      </c>
      <c r="H36" s="5">
        <f t="shared" ref="H36" si="6">(1-$B$19)</f>
        <v>0.55000000000000004</v>
      </c>
      <c r="I36" s="5">
        <f>(1-$B$19)</f>
        <v>0.55000000000000004</v>
      </c>
      <c r="J36" s="5">
        <f t="shared" ref="J36" si="7">(1-$B$19)</f>
        <v>0.55000000000000004</v>
      </c>
      <c r="K36" s="5">
        <f t="shared" ref="K36" si="8">(1-$B$20)</f>
        <v>0.44999999999999996</v>
      </c>
      <c r="L36" s="5">
        <f>(1-$B$20)</f>
        <v>0.44999999999999996</v>
      </c>
      <c r="M36" s="5">
        <f t="shared" ref="M36" si="9">(1-$B$20)</f>
        <v>0.44999999999999996</v>
      </c>
      <c r="N36" s="32">
        <f t="shared" ref="N36" si="10">(1-$B$21)</f>
        <v>0.25</v>
      </c>
      <c r="O36" s="32">
        <f>(1-$B$21)</f>
        <v>0.25</v>
      </c>
      <c r="P36" s="32">
        <f t="shared" ref="P36:U36" si="11">(1-$B$21)</f>
        <v>0.25</v>
      </c>
      <c r="Q36" s="32">
        <f t="shared" si="11"/>
        <v>0.25</v>
      </c>
      <c r="R36" s="32">
        <f t="shared" si="11"/>
        <v>0.25</v>
      </c>
      <c r="S36" s="32">
        <f t="shared" si="11"/>
        <v>0.25</v>
      </c>
      <c r="T36" s="32">
        <f t="shared" si="11"/>
        <v>0.25</v>
      </c>
      <c r="U36" s="32">
        <f t="shared" si="11"/>
        <v>0.25</v>
      </c>
      <c r="V36" s="46"/>
      <c r="W36" s="46"/>
      <c r="X36" s="46"/>
      <c r="Y36" s="46"/>
      <c r="Z36" s="46"/>
      <c r="AA36" s="46"/>
    </row>
    <row r="37" spans="1:27" x14ac:dyDescent="0.45">
      <c r="A37" s="2" t="s">
        <v>42</v>
      </c>
      <c r="B37" s="5">
        <f>1-B23</f>
        <v>0.99</v>
      </c>
      <c r="C37" s="5">
        <f t="shared" ref="C37:AA37" si="12">B37*(1-$B$24)</f>
        <v>0.98455500000000007</v>
      </c>
      <c r="D37" s="5">
        <f t="shared" si="12"/>
        <v>0.97913994750000011</v>
      </c>
      <c r="E37" s="5">
        <f t="shared" si="12"/>
        <v>0.97375467778875013</v>
      </c>
      <c r="F37" s="5">
        <f t="shared" si="12"/>
        <v>0.96839902706091208</v>
      </c>
      <c r="G37" s="5">
        <f t="shared" si="12"/>
        <v>0.96307283241207708</v>
      </c>
      <c r="H37" s="5">
        <f t="shared" si="12"/>
        <v>0.95777593183381071</v>
      </c>
      <c r="I37" s="5">
        <f t="shared" si="12"/>
        <v>0.95250816420872475</v>
      </c>
      <c r="J37" s="5">
        <f t="shared" si="12"/>
        <v>0.94726936930557681</v>
      </c>
      <c r="K37" s="5">
        <f t="shared" si="12"/>
        <v>0.94205938777439624</v>
      </c>
      <c r="L37" s="5">
        <f t="shared" si="12"/>
        <v>0.93687806114163708</v>
      </c>
      <c r="M37" s="5">
        <f t="shared" si="12"/>
        <v>0.93172523180535816</v>
      </c>
      <c r="N37" s="5">
        <f t="shared" si="12"/>
        <v>0.92660074303042872</v>
      </c>
      <c r="O37" s="5">
        <f t="shared" si="12"/>
        <v>0.92150443894376144</v>
      </c>
      <c r="P37" s="5">
        <f t="shared" si="12"/>
        <v>0.91643616452957077</v>
      </c>
      <c r="Q37" s="5">
        <f t="shared" si="12"/>
        <v>0.91139576562465818</v>
      </c>
      <c r="R37" s="5">
        <f t="shared" si="12"/>
        <v>0.90638308891372266</v>
      </c>
      <c r="S37" s="5">
        <f t="shared" si="12"/>
        <v>0.90139798192469722</v>
      </c>
      <c r="T37" s="5">
        <f t="shared" si="12"/>
        <v>0.89644029302411143</v>
      </c>
      <c r="U37" s="5">
        <f t="shared" si="12"/>
        <v>0.89150987141247884</v>
      </c>
      <c r="V37" s="5">
        <f t="shared" si="12"/>
        <v>0.8866065671197102</v>
      </c>
      <c r="W37" s="5">
        <f t="shared" si="12"/>
        <v>0.88173023100055181</v>
      </c>
      <c r="X37" s="5">
        <f t="shared" si="12"/>
        <v>0.8768807147300488</v>
      </c>
      <c r="Y37" s="5">
        <f t="shared" si="12"/>
        <v>0.87205787079903363</v>
      </c>
      <c r="Z37" s="5">
        <f t="shared" si="12"/>
        <v>0.86726155250963899</v>
      </c>
      <c r="AA37" s="5">
        <f t="shared" si="12"/>
        <v>0.86249161397083607</v>
      </c>
    </row>
    <row r="39" spans="1:27" x14ac:dyDescent="0.45">
      <c r="A39" s="1" t="s">
        <v>44</v>
      </c>
    </row>
    <row r="40" spans="1:27" x14ac:dyDescent="0.45">
      <c r="A40" s="11" t="s">
        <v>39</v>
      </c>
      <c r="B40" s="11">
        <v>0</v>
      </c>
      <c r="C40" s="11">
        <v>1</v>
      </c>
      <c r="D40" s="11">
        <v>2</v>
      </c>
      <c r="E40" s="11">
        <v>3</v>
      </c>
      <c r="F40" s="11">
        <v>4</v>
      </c>
      <c r="G40" s="11">
        <v>5</v>
      </c>
      <c r="H40" s="11">
        <v>6</v>
      </c>
      <c r="I40" s="11">
        <v>7</v>
      </c>
      <c r="J40" s="11">
        <v>8</v>
      </c>
      <c r="K40" s="11">
        <v>9</v>
      </c>
      <c r="L40" s="11">
        <v>10</v>
      </c>
      <c r="M40" s="11">
        <v>11</v>
      </c>
      <c r="N40" s="11">
        <v>12</v>
      </c>
      <c r="O40" s="11">
        <v>13</v>
      </c>
      <c r="P40" s="11">
        <v>14</v>
      </c>
      <c r="Q40" s="11">
        <v>15</v>
      </c>
      <c r="R40" s="11">
        <v>16</v>
      </c>
      <c r="S40" s="11">
        <v>17</v>
      </c>
      <c r="T40" s="11">
        <v>18</v>
      </c>
      <c r="U40" s="11">
        <v>19</v>
      </c>
      <c r="V40" s="11">
        <v>20</v>
      </c>
      <c r="W40" s="11">
        <v>21</v>
      </c>
      <c r="X40" s="11">
        <v>22</v>
      </c>
      <c r="Y40" s="11">
        <v>23</v>
      </c>
      <c r="Z40" s="11">
        <v>24</v>
      </c>
      <c r="AA40" s="11">
        <v>25</v>
      </c>
    </row>
    <row r="41" spans="1:27" x14ac:dyDescent="0.45">
      <c r="A41" s="2" t="s">
        <v>48</v>
      </c>
      <c r="B41" s="6">
        <f t="shared" ref="B41:AA41" si="13">$H$25*$B$25*B37</f>
        <v>89801.91</v>
      </c>
      <c r="C41" s="6">
        <f t="shared" si="13"/>
        <v>89307.999495000011</v>
      </c>
      <c r="D41" s="6">
        <f t="shared" si="13"/>
        <v>88816.805497777503</v>
      </c>
      <c r="E41" s="6">
        <f t="shared" si="13"/>
        <v>88328.313067539741</v>
      </c>
      <c r="F41" s="6">
        <f t="shared" si="13"/>
        <v>87842.507345668273</v>
      </c>
      <c r="G41" s="6">
        <f t="shared" si="13"/>
        <v>87359.373555267099</v>
      </c>
      <c r="H41" s="6">
        <f t="shared" si="13"/>
        <v>86878.897000713143</v>
      </c>
      <c r="I41" s="6">
        <f t="shared" si="13"/>
        <v>86401.063067209208</v>
      </c>
      <c r="J41" s="6">
        <f t="shared" si="13"/>
        <v>85925.857220339574</v>
      </c>
      <c r="K41" s="6">
        <f t="shared" si="13"/>
        <v>85453.265005627705</v>
      </c>
      <c r="L41" s="6">
        <f t="shared" si="13"/>
        <v>84983.272048096755</v>
      </c>
      <c r="M41" s="6">
        <f t="shared" si="13"/>
        <v>84515.864051832235</v>
      </c>
      <c r="N41" s="6">
        <f t="shared" si="13"/>
        <v>84051.026799547166</v>
      </c>
      <c r="O41" s="6">
        <f t="shared" si="13"/>
        <v>83588.746152149659</v>
      </c>
      <c r="P41" s="6">
        <f t="shared" si="13"/>
        <v>83129.00804831284</v>
      </c>
      <c r="Q41" s="6">
        <f t="shared" si="13"/>
        <v>82671.798504047125</v>
      </c>
      <c r="R41" s="6">
        <f t="shared" si="13"/>
        <v>82217.103612274863</v>
      </c>
      <c r="S41" s="6">
        <f t="shared" si="13"/>
        <v>81764.90954240736</v>
      </c>
      <c r="T41" s="6">
        <f t="shared" si="13"/>
        <v>81315.202539924125</v>
      </c>
      <c r="U41" s="6">
        <f t="shared" si="13"/>
        <v>80867.968925954541</v>
      </c>
      <c r="V41" s="6">
        <f t="shared" si="13"/>
        <v>80423.195096861789</v>
      </c>
      <c r="W41" s="6">
        <f t="shared" si="13"/>
        <v>79980.86752382906</v>
      </c>
      <c r="X41" s="6">
        <f t="shared" si="13"/>
        <v>79540.972752447997</v>
      </c>
      <c r="Y41" s="6">
        <f t="shared" si="13"/>
        <v>79103.497402309542</v>
      </c>
      <c r="Z41" s="6">
        <f t="shared" si="13"/>
        <v>78668.428166596845</v>
      </c>
      <c r="AA41" s="6">
        <f t="shared" si="13"/>
        <v>78235.751811680573</v>
      </c>
    </row>
    <row r="42" spans="1:27" x14ac:dyDescent="0.45">
      <c r="A42" s="2" t="s">
        <v>49</v>
      </c>
      <c r="B42" s="6">
        <f t="shared" ref="B42:AA42" si="14">B41*$H$26</f>
        <v>72899.926939266399</v>
      </c>
      <c r="C42" s="6">
        <f t="shared" si="14"/>
        <v>72498.977341100443</v>
      </c>
      <c r="D42" s="6">
        <f t="shared" si="14"/>
        <v>72100.232965724383</v>
      </c>
      <c r="E42" s="6">
        <f t="shared" si="14"/>
        <v>71703.681684412906</v>
      </c>
      <c r="F42" s="6">
        <f t="shared" si="14"/>
        <v>71309.311435148644</v>
      </c>
      <c r="G42" s="6">
        <f t="shared" si="14"/>
        <v>70917.110222255316</v>
      </c>
      <c r="H42" s="6">
        <f t="shared" si="14"/>
        <v>70527.066116032933</v>
      </c>
      <c r="I42" s="6">
        <f t="shared" si="14"/>
        <v>70139.167252394735</v>
      </c>
      <c r="J42" s="6">
        <f t="shared" si="14"/>
        <v>69753.401832506584</v>
      </c>
      <c r="K42" s="6">
        <f t="shared" si="14"/>
        <v>69369.758122427796</v>
      </c>
      <c r="L42" s="6">
        <f t="shared" si="14"/>
        <v>68988.224452754439</v>
      </c>
      <c r="M42" s="6">
        <f t="shared" si="14"/>
        <v>68608.789218264297</v>
      </c>
      <c r="N42" s="6">
        <f t="shared" si="14"/>
        <v>68231.440877563859</v>
      </c>
      <c r="O42" s="6">
        <f t="shared" si="14"/>
        <v>67856.167952737262</v>
      </c>
      <c r="P42" s="6">
        <f t="shared" si="14"/>
        <v>67482.959028997197</v>
      </c>
      <c r="Q42" s="6">
        <f t="shared" si="14"/>
        <v>67111.802754337725</v>
      </c>
      <c r="R42" s="6">
        <f t="shared" si="14"/>
        <v>66742.68783918886</v>
      </c>
      <c r="S42" s="6">
        <f t="shared" si="14"/>
        <v>66375.603056073334</v>
      </c>
      <c r="T42" s="6">
        <f t="shared" si="14"/>
        <v>66010.53723926493</v>
      </c>
      <c r="U42" s="6">
        <f t="shared" si="14"/>
        <v>65647.479284448971</v>
      </c>
      <c r="V42" s="6">
        <f t="shared" si="14"/>
        <v>65286.418148384502</v>
      </c>
      <c r="W42" s="6">
        <f t="shared" si="14"/>
        <v>64927.342848568398</v>
      </c>
      <c r="X42" s="6">
        <f t="shared" si="14"/>
        <v>64570.242462901268</v>
      </c>
      <c r="Y42" s="6">
        <f t="shared" si="14"/>
        <v>64215.106129355321</v>
      </c>
      <c r="Z42" s="6">
        <f t="shared" si="14"/>
        <v>63861.923045643867</v>
      </c>
      <c r="AA42" s="6">
        <f t="shared" si="14"/>
        <v>63510.682468892839</v>
      </c>
    </row>
    <row r="43" spans="1:27" x14ac:dyDescent="0.45">
      <c r="A43" s="2" t="s">
        <v>50</v>
      </c>
      <c r="B43" s="6">
        <f>B41-B42</f>
        <v>16901.983060733604</v>
      </c>
      <c r="C43" s="6">
        <f t="shared" ref="C43:AA43" si="15">C41-C42</f>
        <v>16809.022153899568</v>
      </c>
      <c r="D43" s="6">
        <f t="shared" si="15"/>
        <v>16716.57253205312</v>
      </c>
      <c r="E43" s="6">
        <f t="shared" si="15"/>
        <v>16624.631383126834</v>
      </c>
      <c r="F43" s="6">
        <f t="shared" si="15"/>
        <v>16533.195910519629</v>
      </c>
      <c r="G43" s="6">
        <f t="shared" si="15"/>
        <v>16442.263333011782</v>
      </c>
      <c r="H43" s="6">
        <f t="shared" si="15"/>
        <v>16351.83088468021</v>
      </c>
      <c r="I43" s="6">
        <f t="shared" si="15"/>
        <v>16261.895814814474</v>
      </c>
      <c r="J43" s="6">
        <f t="shared" si="15"/>
        <v>16172.45538783299</v>
      </c>
      <c r="K43" s="6">
        <f t="shared" si="15"/>
        <v>16083.506883199909</v>
      </c>
      <c r="L43" s="6">
        <f t="shared" si="15"/>
        <v>15995.047595342316</v>
      </c>
      <c r="M43" s="6">
        <f t="shared" si="15"/>
        <v>15907.074833567938</v>
      </c>
      <c r="N43" s="6">
        <f t="shared" si="15"/>
        <v>15819.585921983307</v>
      </c>
      <c r="O43" s="6">
        <f t="shared" si="15"/>
        <v>15732.578199412397</v>
      </c>
      <c r="P43" s="6">
        <f t="shared" si="15"/>
        <v>15646.049019315644</v>
      </c>
      <c r="Q43" s="6">
        <f t="shared" si="15"/>
        <v>15559.9957497094</v>
      </c>
      <c r="R43" s="6">
        <f t="shared" si="15"/>
        <v>15474.415773086002</v>
      </c>
      <c r="S43" s="6">
        <f t="shared" si="15"/>
        <v>15389.306486334026</v>
      </c>
      <c r="T43" s="6">
        <f t="shared" si="15"/>
        <v>15304.665300659195</v>
      </c>
      <c r="U43" s="6">
        <f t="shared" si="15"/>
        <v>15220.48964150557</v>
      </c>
      <c r="V43" s="6">
        <f t="shared" si="15"/>
        <v>15136.776948477287</v>
      </c>
      <c r="W43" s="6">
        <f t="shared" si="15"/>
        <v>15053.524675260662</v>
      </c>
      <c r="X43" s="6">
        <f t="shared" si="15"/>
        <v>14970.730289546729</v>
      </c>
      <c r="Y43" s="6">
        <f t="shared" si="15"/>
        <v>14888.391272954221</v>
      </c>
      <c r="Z43" s="6">
        <f t="shared" si="15"/>
        <v>14806.505120952977</v>
      </c>
      <c r="AA43" s="6">
        <f t="shared" si="15"/>
        <v>14725.069342787734</v>
      </c>
    </row>
    <row r="45" spans="1:27" x14ac:dyDescent="0.45">
      <c r="A45" s="1" t="s">
        <v>60</v>
      </c>
    </row>
    <row r="46" spans="1:27" x14ac:dyDescent="0.45">
      <c r="A46" s="11" t="s">
        <v>39</v>
      </c>
      <c r="B46" s="11">
        <v>0</v>
      </c>
      <c r="C46" s="11">
        <v>1</v>
      </c>
      <c r="D46" s="11">
        <v>2</v>
      </c>
      <c r="E46" s="11">
        <v>3</v>
      </c>
      <c r="F46" s="11">
        <v>4</v>
      </c>
      <c r="G46" s="11">
        <v>5</v>
      </c>
      <c r="H46" s="11">
        <v>6</v>
      </c>
      <c r="I46" s="11">
        <v>7</v>
      </c>
      <c r="J46" s="11">
        <v>8</v>
      </c>
      <c r="K46" s="11">
        <v>9</v>
      </c>
      <c r="L46" s="11">
        <v>10</v>
      </c>
      <c r="M46" s="11">
        <v>11</v>
      </c>
      <c r="N46" s="11">
        <v>12</v>
      </c>
      <c r="O46" s="11">
        <v>13</v>
      </c>
      <c r="P46" s="11">
        <v>14</v>
      </c>
      <c r="Q46" s="11">
        <v>15</v>
      </c>
      <c r="R46" s="11">
        <v>16</v>
      </c>
      <c r="S46" s="11">
        <v>17</v>
      </c>
      <c r="T46" s="11">
        <v>18</v>
      </c>
      <c r="U46" s="11">
        <v>19</v>
      </c>
      <c r="V46" s="11">
        <v>20</v>
      </c>
      <c r="W46" s="11">
        <v>21</v>
      </c>
      <c r="X46" s="11">
        <v>22</v>
      </c>
      <c r="Y46" s="11">
        <v>23</v>
      </c>
      <c r="Z46" s="11">
        <v>24</v>
      </c>
      <c r="AA46" s="11">
        <v>25</v>
      </c>
    </row>
    <row r="47" spans="1:27" x14ac:dyDescent="0.45">
      <c r="A47" s="2" t="s">
        <v>51</v>
      </c>
      <c r="B47" s="2">
        <f>B14</f>
        <v>3501</v>
      </c>
      <c r="C47" s="6">
        <f>$B$14*C35</f>
        <v>3606.03</v>
      </c>
      <c r="D47" s="6">
        <f t="shared" ref="D47:AA47" si="16">$B$14*D35</f>
        <v>3714.2109</v>
      </c>
      <c r="E47" s="6">
        <f t="shared" si="16"/>
        <v>3825.6372270000002</v>
      </c>
      <c r="F47" s="6">
        <f t="shared" si="16"/>
        <v>3940.4063438099997</v>
      </c>
      <c r="G47" s="6">
        <f t="shared" si="16"/>
        <v>4058.6185341242995</v>
      </c>
      <c r="H47" s="6">
        <f t="shared" si="16"/>
        <v>4180.3770901480284</v>
      </c>
      <c r="I47" s="6">
        <f t="shared" si="16"/>
        <v>4305.7884028524695</v>
      </c>
      <c r="J47" s="6">
        <f t="shared" si="16"/>
        <v>4434.9620549380434</v>
      </c>
      <c r="K47" s="6">
        <f t="shared" si="16"/>
        <v>4568.010916586185</v>
      </c>
      <c r="L47" s="6">
        <f t="shared" si="16"/>
        <v>4705.0512440837701</v>
      </c>
      <c r="M47" s="6">
        <f t="shared" si="16"/>
        <v>4846.202781406284</v>
      </c>
      <c r="N47" s="6">
        <f t="shared" si="16"/>
        <v>4991.5888648484715</v>
      </c>
      <c r="O47" s="6">
        <f t="shared" si="16"/>
        <v>5141.3365307939257</v>
      </c>
      <c r="P47" s="6">
        <f t="shared" si="16"/>
        <v>5295.5766267177432</v>
      </c>
      <c r="Q47" s="6">
        <f t="shared" si="16"/>
        <v>5454.4439255192765</v>
      </c>
      <c r="R47" s="6">
        <f t="shared" si="16"/>
        <v>5618.0772432848535</v>
      </c>
      <c r="S47" s="6">
        <f t="shared" si="16"/>
        <v>5786.6195605833991</v>
      </c>
      <c r="T47" s="6">
        <f t="shared" si="16"/>
        <v>5960.2181474009012</v>
      </c>
      <c r="U47" s="6">
        <f t="shared" si="16"/>
        <v>6139.0246918229277</v>
      </c>
      <c r="V47" s="6">
        <f t="shared" si="16"/>
        <v>6323.195432577616</v>
      </c>
      <c r="W47" s="6">
        <f t="shared" si="16"/>
        <v>6512.8912955549431</v>
      </c>
      <c r="X47" s="6">
        <f t="shared" si="16"/>
        <v>6708.2780344215926</v>
      </c>
      <c r="Y47" s="6">
        <f t="shared" si="16"/>
        <v>6909.5263754542402</v>
      </c>
      <c r="Z47" s="6">
        <f t="shared" si="16"/>
        <v>7116.8121667178666</v>
      </c>
      <c r="AA47" s="6">
        <f t="shared" si="16"/>
        <v>7330.3165317194025</v>
      </c>
    </row>
    <row r="48" spans="1:27" x14ac:dyDescent="0.45">
      <c r="A48" s="2" t="s">
        <v>52</v>
      </c>
      <c r="B48" s="2">
        <f>B15</f>
        <v>5422</v>
      </c>
      <c r="C48" s="6">
        <f>$B$15*C35</f>
        <v>5584.66</v>
      </c>
      <c r="D48" s="6">
        <f t="shared" ref="D48:AA48" si="17">$B$15*D35</f>
        <v>5752.1997999999994</v>
      </c>
      <c r="E48" s="6">
        <f t="shared" si="17"/>
        <v>5924.7657939999999</v>
      </c>
      <c r="F48" s="6">
        <f t="shared" si="17"/>
        <v>6102.5087678199998</v>
      </c>
      <c r="G48" s="6">
        <f t="shared" si="17"/>
        <v>6285.5840308545994</v>
      </c>
      <c r="H48" s="6">
        <f t="shared" si="17"/>
        <v>6474.1515517802372</v>
      </c>
      <c r="I48" s="6">
        <f t="shared" si="17"/>
        <v>6668.3760983336451</v>
      </c>
      <c r="J48" s="6">
        <f t="shared" si="17"/>
        <v>6868.4273812836536</v>
      </c>
      <c r="K48" s="6">
        <f t="shared" si="17"/>
        <v>7074.4802027221631</v>
      </c>
      <c r="L48" s="6">
        <f t="shared" si="17"/>
        <v>7286.714608803828</v>
      </c>
      <c r="M48" s="6">
        <f t="shared" si="17"/>
        <v>7505.3160470679431</v>
      </c>
      <c r="N48" s="6">
        <f t="shared" si="17"/>
        <v>7730.4755284799803</v>
      </c>
      <c r="O48" s="6">
        <f t="shared" si="17"/>
        <v>7962.38979433438</v>
      </c>
      <c r="P48" s="6">
        <f t="shared" si="17"/>
        <v>8201.2614881644113</v>
      </c>
      <c r="Q48" s="6">
        <f t="shared" si="17"/>
        <v>8447.2993328093453</v>
      </c>
      <c r="R48" s="6">
        <f t="shared" si="17"/>
        <v>8700.7183127936241</v>
      </c>
      <c r="S48" s="6">
        <f t="shared" si="17"/>
        <v>8961.7398621774319</v>
      </c>
      <c r="T48" s="6">
        <f t="shared" si="17"/>
        <v>9230.5920580427555</v>
      </c>
      <c r="U48" s="6">
        <f t="shared" si="17"/>
        <v>9507.509819784038</v>
      </c>
      <c r="V48" s="6">
        <f t="shared" si="17"/>
        <v>9792.7351143775595</v>
      </c>
      <c r="W48" s="6">
        <f t="shared" si="17"/>
        <v>10086.517167808885</v>
      </c>
      <c r="X48" s="6">
        <f t="shared" si="17"/>
        <v>10389.112682843152</v>
      </c>
      <c r="Y48" s="6">
        <f t="shared" si="17"/>
        <v>10700.786063328447</v>
      </c>
      <c r="Z48" s="6">
        <f t="shared" si="17"/>
        <v>11021.809645228299</v>
      </c>
      <c r="AA48" s="6">
        <f t="shared" si="17"/>
        <v>11352.463934585146</v>
      </c>
    </row>
    <row r="49" spans="1:27" x14ac:dyDescent="0.45">
      <c r="A49" s="2" t="s">
        <v>55</v>
      </c>
      <c r="B49" s="19">
        <f t="shared" ref="B49:AA49" si="18">B42*B47*B36/$H$29</f>
        <v>229.70037979293448</v>
      </c>
      <c r="C49" s="19">
        <f t="shared" si="18"/>
        <v>235.29013853519558</v>
      </c>
      <c r="D49" s="19">
        <f t="shared" si="18"/>
        <v>241.01592405644956</v>
      </c>
      <c r="E49" s="19">
        <f t="shared" si="18"/>
        <v>205.73420547363608</v>
      </c>
      <c r="F49" s="19">
        <f t="shared" si="18"/>
        <v>210.74074736383702</v>
      </c>
      <c r="G49" s="19">
        <f t="shared" si="18"/>
        <v>215.86912345093589</v>
      </c>
      <c r="H49" s="19">
        <f t="shared" si="18"/>
        <v>162.15635228475068</v>
      </c>
      <c r="I49" s="19">
        <f t="shared" si="18"/>
        <v>166.10242711760003</v>
      </c>
      <c r="J49" s="19">
        <f t="shared" si="18"/>
        <v>170.1445296815069</v>
      </c>
      <c r="K49" s="19">
        <f t="shared" si="18"/>
        <v>142.59681557288701</v>
      </c>
      <c r="L49" s="19">
        <f t="shared" si="18"/>
        <v>146.06690907985319</v>
      </c>
      <c r="M49" s="19">
        <f t="shared" si="18"/>
        <v>149.62144731231146</v>
      </c>
      <c r="N49" s="19">
        <f t="shared" si="18"/>
        <v>85.145825129253637</v>
      </c>
      <c r="O49" s="19">
        <f t="shared" si="18"/>
        <v>87.217848783774031</v>
      </c>
      <c r="P49" s="19">
        <f t="shared" si="18"/>
        <v>89.340295133927171</v>
      </c>
      <c r="Q49" s="19">
        <f t="shared" si="18"/>
        <v>91.514391216011319</v>
      </c>
      <c r="R49" s="19">
        <f t="shared" si="18"/>
        <v>93.741393926252911</v>
      </c>
      <c r="S49" s="19">
        <f t="shared" si="18"/>
        <v>96.022590747448291</v>
      </c>
      <c r="T49" s="19">
        <f t="shared" si="18"/>
        <v>98.359300493287463</v>
      </c>
      <c r="U49" s="19">
        <f t="shared" si="18"/>
        <v>100.75287407079159</v>
      </c>
      <c r="V49" s="19">
        <f t="shared" si="18"/>
        <v>0</v>
      </c>
      <c r="W49" s="19">
        <f t="shared" si="18"/>
        <v>0</v>
      </c>
      <c r="X49" s="19">
        <f t="shared" si="18"/>
        <v>0</v>
      </c>
      <c r="Y49" s="19">
        <f t="shared" si="18"/>
        <v>0</v>
      </c>
      <c r="Z49" s="19">
        <f t="shared" si="18"/>
        <v>0</v>
      </c>
      <c r="AA49" s="19">
        <f t="shared" si="18"/>
        <v>0</v>
      </c>
    </row>
    <row r="50" spans="1:27" x14ac:dyDescent="0.45">
      <c r="A50" s="2" t="s">
        <v>56</v>
      </c>
      <c r="B50" s="19">
        <f t="shared" ref="B50:AA50" si="19">B43*B48*B36/$H$29</f>
        <v>82.478296939767858</v>
      </c>
      <c r="C50" s="19">
        <f t="shared" si="19"/>
        <v>84.485406295797091</v>
      </c>
      <c r="D50" s="19">
        <f t="shared" si="19"/>
        <v>86.541358658005294</v>
      </c>
      <c r="E50" s="19">
        <f t="shared" si="19"/>
        <v>73.872785517456592</v>
      </c>
      <c r="F50" s="19">
        <f t="shared" si="19"/>
        <v>75.670479753023869</v>
      </c>
      <c r="G50" s="19">
        <f t="shared" si="19"/>
        <v>77.511920877813722</v>
      </c>
      <c r="H50" s="19">
        <f t="shared" si="19"/>
        <v>58.225327213075211</v>
      </c>
      <c r="I50" s="19">
        <f t="shared" si="19"/>
        <v>59.642240550805425</v>
      </c>
      <c r="J50" s="19">
        <f t="shared" si="19"/>
        <v>61.09363447460926</v>
      </c>
      <c r="K50" s="19">
        <f t="shared" si="19"/>
        <v>51.20210296599452</v>
      </c>
      <c r="L50" s="19">
        <f t="shared" si="19"/>
        <v>52.448106141672021</v>
      </c>
      <c r="M50" s="19">
        <f t="shared" si="19"/>
        <v>53.724430804629634</v>
      </c>
      <c r="N50" s="19">
        <f t="shared" si="19"/>
        <v>30.57323046014459</v>
      </c>
      <c r="O50" s="19">
        <f t="shared" si="19"/>
        <v>31.317230023392209</v>
      </c>
      <c r="P50" s="19">
        <f t="shared" si="19"/>
        <v>32.079334816011482</v>
      </c>
      <c r="Q50" s="19">
        <f t="shared" si="19"/>
        <v>32.859985428759117</v>
      </c>
      <c r="R50" s="19">
        <f t="shared" si="19"/>
        <v>33.659633174167965</v>
      </c>
      <c r="S50" s="19">
        <f t="shared" si="19"/>
        <v>34.478740347461333</v>
      </c>
      <c r="T50" s="19">
        <f t="shared" si="19"/>
        <v>35.317780493816834</v>
      </c>
      <c r="U50" s="19">
        <f t="shared" si="19"/>
        <v>36.177238682133861</v>
      </c>
      <c r="V50" s="19">
        <f t="shared" si="19"/>
        <v>0</v>
      </c>
      <c r="W50" s="19">
        <f t="shared" si="19"/>
        <v>0</v>
      </c>
      <c r="X50" s="19">
        <f t="shared" si="19"/>
        <v>0</v>
      </c>
      <c r="Y50" s="19">
        <f t="shared" si="19"/>
        <v>0</v>
      </c>
      <c r="Z50" s="19">
        <f t="shared" si="19"/>
        <v>0</v>
      </c>
      <c r="AA50" s="19">
        <f t="shared" si="19"/>
        <v>0</v>
      </c>
    </row>
    <row r="51" spans="1:27" x14ac:dyDescent="0.45">
      <c r="A51" s="2" t="s">
        <v>59</v>
      </c>
      <c r="B51" s="19">
        <f>B49+B50</f>
        <v>312.17867673270234</v>
      </c>
      <c r="C51" s="19">
        <f t="shared" ref="C51:AA51" si="20">C49+C50</f>
        <v>319.77554483099266</v>
      </c>
      <c r="D51" s="19">
        <f t="shared" si="20"/>
        <v>327.55728271445486</v>
      </c>
      <c r="E51" s="19">
        <f t="shared" si="20"/>
        <v>279.60699099109269</v>
      </c>
      <c r="F51" s="19">
        <f t="shared" si="20"/>
        <v>286.41122711686091</v>
      </c>
      <c r="G51" s="19">
        <f t="shared" si="20"/>
        <v>293.38104432874962</v>
      </c>
      <c r="H51" s="19">
        <f t="shared" si="20"/>
        <v>220.3816794978259</v>
      </c>
      <c r="I51" s="19">
        <f t="shared" si="20"/>
        <v>225.74466766840544</v>
      </c>
      <c r="J51" s="19">
        <f t="shared" si="20"/>
        <v>231.23816415611617</v>
      </c>
      <c r="K51" s="19">
        <f t="shared" si="20"/>
        <v>193.79891853888154</v>
      </c>
      <c r="L51" s="19">
        <f t="shared" si="20"/>
        <v>198.5150152215252</v>
      </c>
      <c r="M51" s="19">
        <f t="shared" si="20"/>
        <v>203.34587811694109</v>
      </c>
      <c r="N51" s="19">
        <f t="shared" si="20"/>
        <v>115.71905558939822</v>
      </c>
      <c r="O51" s="19">
        <f t="shared" si="20"/>
        <v>118.53507880716624</v>
      </c>
      <c r="P51" s="19">
        <f t="shared" si="20"/>
        <v>121.41962994993865</v>
      </c>
      <c r="Q51" s="19">
        <f t="shared" si="20"/>
        <v>124.37437664477044</v>
      </c>
      <c r="R51" s="19">
        <f t="shared" si="20"/>
        <v>127.40102710042088</v>
      </c>
      <c r="S51" s="19">
        <f t="shared" si="20"/>
        <v>130.50133109490963</v>
      </c>
      <c r="T51" s="19">
        <f t="shared" si="20"/>
        <v>133.67708098710429</v>
      </c>
      <c r="U51" s="19">
        <f t="shared" si="20"/>
        <v>136.93011275292545</v>
      </c>
      <c r="V51" s="19">
        <f t="shared" si="20"/>
        <v>0</v>
      </c>
      <c r="W51" s="19">
        <f t="shared" si="20"/>
        <v>0</v>
      </c>
      <c r="X51" s="19">
        <f t="shared" si="20"/>
        <v>0</v>
      </c>
      <c r="Y51" s="19">
        <f t="shared" si="20"/>
        <v>0</v>
      </c>
      <c r="Z51" s="19">
        <f t="shared" si="20"/>
        <v>0</v>
      </c>
      <c r="AA51" s="19">
        <f t="shared" si="20"/>
        <v>0</v>
      </c>
    </row>
    <row r="52" spans="1:27" x14ac:dyDescent="0.4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x14ac:dyDescent="0.45">
      <c r="A53" s="1" t="s">
        <v>99</v>
      </c>
    </row>
    <row r="54" spans="1:27" x14ac:dyDescent="0.45">
      <c r="A54" s="11" t="s">
        <v>39</v>
      </c>
      <c r="B54" s="11">
        <v>0</v>
      </c>
      <c r="C54" s="11">
        <v>1</v>
      </c>
      <c r="D54" s="11">
        <v>2</v>
      </c>
      <c r="E54" s="11">
        <v>3</v>
      </c>
      <c r="F54" s="11">
        <v>4</v>
      </c>
      <c r="G54" s="11">
        <v>5</v>
      </c>
      <c r="H54" s="11">
        <v>6</v>
      </c>
      <c r="I54" s="11">
        <v>7</v>
      </c>
      <c r="J54" s="11">
        <v>8</v>
      </c>
      <c r="K54" s="11">
        <v>9</v>
      </c>
      <c r="L54" s="11">
        <v>10</v>
      </c>
      <c r="M54" s="11">
        <v>11</v>
      </c>
      <c r="N54" s="11">
        <v>12</v>
      </c>
      <c r="O54" s="11">
        <v>13</v>
      </c>
      <c r="P54" s="11">
        <v>14</v>
      </c>
      <c r="Q54" s="11">
        <v>15</v>
      </c>
      <c r="R54" s="11">
        <v>16</v>
      </c>
      <c r="S54" s="11">
        <v>17</v>
      </c>
      <c r="T54" s="11">
        <v>18</v>
      </c>
      <c r="U54" s="11">
        <v>19</v>
      </c>
      <c r="V54" s="11">
        <v>20</v>
      </c>
      <c r="W54" s="11">
        <v>21</v>
      </c>
      <c r="X54" s="11">
        <v>22</v>
      </c>
      <c r="Y54" s="11">
        <v>23</v>
      </c>
      <c r="Z54" s="11">
        <v>24</v>
      </c>
      <c r="AA54" s="11">
        <v>25</v>
      </c>
    </row>
    <row r="55" spans="1:27" x14ac:dyDescent="0.45">
      <c r="A55" s="2" t="s">
        <v>100</v>
      </c>
      <c r="B55" s="19">
        <f>H20*B8</f>
        <v>0</v>
      </c>
      <c r="C55" s="19">
        <f>B60</f>
        <v>0</v>
      </c>
      <c r="D55" s="19">
        <f t="shared" ref="D55:F55" si="21">C60</f>
        <v>0</v>
      </c>
      <c r="E55" s="19">
        <f t="shared" si="21"/>
        <v>0</v>
      </c>
      <c r="F55" s="19">
        <f t="shared" si="21"/>
        <v>0</v>
      </c>
      <c r="G55" s="19"/>
      <c r="H55" s="19"/>
      <c r="I55" s="19"/>
      <c r="J55" s="19"/>
      <c r="K55" s="19"/>
      <c r="L55" s="19"/>
      <c r="M55" s="19"/>
      <c r="N55" s="19"/>
      <c r="O55" s="19"/>
      <c r="P55" s="19"/>
      <c r="Q55" s="19"/>
      <c r="R55" s="19"/>
      <c r="S55" s="19"/>
      <c r="T55" s="19"/>
      <c r="U55" s="19"/>
      <c r="V55" s="19"/>
      <c r="W55" s="19"/>
      <c r="X55" s="19"/>
      <c r="Y55" s="19"/>
      <c r="Z55" s="19"/>
      <c r="AA55" s="19"/>
    </row>
    <row r="56" spans="1:27" x14ac:dyDescent="0.45">
      <c r="A56" s="2" t="s">
        <v>101</v>
      </c>
      <c r="B56" s="19">
        <f>B55*$H$21</f>
        <v>0</v>
      </c>
      <c r="C56" s="19">
        <f>C55*$H$21</f>
        <v>0</v>
      </c>
      <c r="D56" s="19">
        <f>D55*$H$21</f>
        <v>0</v>
      </c>
      <c r="E56" s="19">
        <f>E55*$H$21</f>
        <v>0</v>
      </c>
      <c r="F56" s="19">
        <f>F55*$H$21</f>
        <v>0</v>
      </c>
      <c r="G56" s="19"/>
      <c r="H56" s="19"/>
      <c r="I56" s="19"/>
      <c r="J56" s="19"/>
      <c r="K56" s="19"/>
      <c r="L56" s="19"/>
      <c r="M56" s="19"/>
      <c r="N56" s="19"/>
      <c r="O56" s="19"/>
      <c r="P56" s="19"/>
      <c r="Q56" s="19"/>
      <c r="R56" s="19"/>
      <c r="S56" s="19"/>
      <c r="T56" s="19"/>
      <c r="U56" s="19"/>
      <c r="V56" s="19"/>
      <c r="W56" s="19"/>
      <c r="X56" s="19"/>
      <c r="Y56" s="19"/>
      <c r="Z56" s="19"/>
      <c r="AA56" s="19"/>
    </row>
    <row r="57" spans="1:27" x14ac:dyDescent="0.45">
      <c r="A57" s="2" t="s">
        <v>102</v>
      </c>
      <c r="B57" s="19">
        <f>-PMT($H$21,$H$22,$B$55)</f>
        <v>0</v>
      </c>
      <c r="C57" s="19">
        <f>-PMT($H$21,$H$22,$B$55)</f>
        <v>0</v>
      </c>
      <c r="D57" s="19">
        <f>-PMT($H$21,$H$22,$B$55)</f>
        <v>0</v>
      </c>
      <c r="E57" s="19">
        <f>-PMT($H$21,$H$22,$B$55)</f>
        <v>0</v>
      </c>
      <c r="F57" s="19">
        <f>-PMT($H$21,$H$22,$B$55)</f>
        <v>0</v>
      </c>
      <c r="G57" s="19"/>
      <c r="H57" s="19"/>
      <c r="I57" s="19"/>
      <c r="J57" s="19"/>
      <c r="K57" s="19"/>
      <c r="L57" s="19"/>
      <c r="M57" s="19"/>
      <c r="N57" s="19"/>
      <c r="O57" s="19"/>
      <c r="P57" s="19"/>
      <c r="Q57" s="19"/>
      <c r="R57" s="19"/>
      <c r="S57" s="19"/>
      <c r="T57" s="19"/>
      <c r="U57" s="19"/>
      <c r="V57" s="19"/>
      <c r="W57" s="19"/>
      <c r="X57" s="19"/>
      <c r="Y57" s="19"/>
      <c r="Z57" s="19"/>
      <c r="AA57" s="19"/>
    </row>
    <row r="58" spans="1:27" x14ac:dyDescent="0.45">
      <c r="A58" s="3" t="s">
        <v>103</v>
      </c>
      <c r="B58" s="19">
        <f>B57-B59</f>
        <v>0</v>
      </c>
      <c r="C58" s="19">
        <f t="shared" ref="C58:F58" si="22">C57-C59</f>
        <v>0</v>
      </c>
      <c r="D58" s="19">
        <f t="shared" si="22"/>
        <v>0</v>
      </c>
      <c r="E58" s="19">
        <f t="shared" si="22"/>
        <v>0</v>
      </c>
      <c r="F58" s="19">
        <f t="shared" si="22"/>
        <v>0</v>
      </c>
      <c r="G58" s="19"/>
      <c r="H58" s="19"/>
      <c r="I58" s="19"/>
      <c r="J58" s="19"/>
      <c r="K58" s="19"/>
      <c r="L58" s="19"/>
      <c r="M58" s="19"/>
      <c r="N58" s="19"/>
      <c r="O58" s="19"/>
      <c r="P58" s="19"/>
      <c r="Q58" s="19"/>
      <c r="R58" s="19"/>
      <c r="S58" s="19"/>
      <c r="T58" s="19"/>
      <c r="U58" s="19"/>
      <c r="V58" s="19"/>
      <c r="W58" s="19"/>
      <c r="X58" s="19"/>
      <c r="Y58" s="19"/>
      <c r="Z58" s="19"/>
      <c r="AA58" s="19"/>
    </row>
    <row r="59" spans="1:27" x14ac:dyDescent="0.45">
      <c r="A59" s="3" t="s">
        <v>104</v>
      </c>
      <c r="B59" s="19">
        <f>B56</f>
        <v>0</v>
      </c>
      <c r="C59" s="19">
        <f t="shared" ref="C59:F59" si="23">C56</f>
        <v>0</v>
      </c>
      <c r="D59" s="19">
        <f t="shared" si="23"/>
        <v>0</v>
      </c>
      <c r="E59" s="19">
        <f t="shared" si="23"/>
        <v>0</v>
      </c>
      <c r="F59" s="19">
        <f t="shared" si="23"/>
        <v>0</v>
      </c>
      <c r="G59" s="19"/>
      <c r="H59" s="19"/>
      <c r="I59" s="19"/>
      <c r="J59" s="19"/>
      <c r="K59" s="19"/>
      <c r="L59" s="19"/>
      <c r="M59" s="19"/>
      <c r="N59" s="19"/>
      <c r="O59" s="19"/>
      <c r="P59" s="19"/>
      <c r="Q59" s="19"/>
      <c r="R59" s="19"/>
      <c r="S59" s="19"/>
      <c r="T59" s="19"/>
      <c r="U59" s="19"/>
      <c r="V59" s="19"/>
      <c r="W59" s="19"/>
      <c r="X59" s="19"/>
      <c r="Y59" s="19"/>
      <c r="Z59" s="19"/>
      <c r="AA59" s="19"/>
    </row>
    <row r="60" spans="1:27" x14ac:dyDescent="0.45">
      <c r="A60" s="2" t="s">
        <v>105</v>
      </c>
      <c r="B60" s="19">
        <f>B55+B56-B57</f>
        <v>0</v>
      </c>
      <c r="C60" s="19">
        <f t="shared" ref="C60:F60" si="24">C55+C56-C57</f>
        <v>0</v>
      </c>
      <c r="D60" s="19">
        <f t="shared" si="24"/>
        <v>0</v>
      </c>
      <c r="E60" s="19">
        <f t="shared" si="24"/>
        <v>0</v>
      </c>
      <c r="F60" s="19">
        <f t="shared" si="24"/>
        <v>0</v>
      </c>
      <c r="G60" s="19"/>
      <c r="H60" s="19"/>
      <c r="I60" s="19"/>
      <c r="J60" s="19"/>
      <c r="K60" s="19"/>
      <c r="L60" s="19"/>
      <c r="M60" s="19"/>
      <c r="N60" s="19"/>
      <c r="O60" s="19"/>
      <c r="P60" s="19"/>
      <c r="Q60" s="19"/>
      <c r="R60" s="19"/>
      <c r="S60" s="19"/>
      <c r="T60" s="19"/>
      <c r="U60" s="19"/>
      <c r="V60" s="19"/>
      <c r="W60" s="19"/>
      <c r="X60" s="19"/>
      <c r="Y60" s="19"/>
      <c r="Z60" s="19"/>
      <c r="AA60" s="19"/>
    </row>
    <row r="62" spans="1:27" x14ac:dyDescent="0.45">
      <c r="A62" s="1" t="s">
        <v>68</v>
      </c>
    </row>
    <row r="63" spans="1:27" x14ac:dyDescent="0.45">
      <c r="A63" s="11" t="s">
        <v>39</v>
      </c>
      <c r="B63" s="11">
        <v>0</v>
      </c>
      <c r="C63" s="11">
        <v>1</v>
      </c>
      <c r="D63" s="11">
        <v>2</v>
      </c>
      <c r="E63" s="11">
        <v>3</v>
      </c>
      <c r="F63" s="11">
        <v>4</v>
      </c>
      <c r="G63" s="11">
        <v>5</v>
      </c>
      <c r="H63" s="11">
        <v>6</v>
      </c>
      <c r="I63" s="11">
        <v>7</v>
      </c>
      <c r="J63" s="11">
        <v>8</v>
      </c>
      <c r="K63" s="11">
        <v>9</v>
      </c>
      <c r="L63" s="11">
        <v>10</v>
      </c>
      <c r="M63" s="11">
        <v>11</v>
      </c>
      <c r="N63" s="11">
        <v>12</v>
      </c>
      <c r="O63" s="11">
        <v>13</v>
      </c>
      <c r="P63" s="11">
        <v>14</v>
      </c>
      <c r="Q63" s="11">
        <v>15</v>
      </c>
      <c r="R63" s="11">
        <v>16</v>
      </c>
      <c r="S63" s="11">
        <v>17</v>
      </c>
      <c r="T63" s="11">
        <v>18</v>
      </c>
      <c r="U63" s="11">
        <v>19</v>
      </c>
      <c r="V63" s="11">
        <v>20</v>
      </c>
      <c r="W63" s="11">
        <v>21</v>
      </c>
      <c r="X63" s="11">
        <v>22</v>
      </c>
      <c r="Y63" s="11">
        <v>23</v>
      </c>
      <c r="Z63" s="11">
        <v>24</v>
      </c>
      <c r="AA63" s="11">
        <v>25</v>
      </c>
    </row>
    <row r="64" spans="1:27" x14ac:dyDescent="0.45">
      <c r="A64" s="2" t="s">
        <v>61</v>
      </c>
      <c r="B64" s="19">
        <f>B51</f>
        <v>312.17867673270234</v>
      </c>
      <c r="C64" s="19">
        <f t="shared" ref="C64:M64" si="25">C51</f>
        <v>319.77554483099266</v>
      </c>
      <c r="D64" s="19">
        <f t="shared" si="25"/>
        <v>327.55728271445486</v>
      </c>
      <c r="E64" s="19">
        <f t="shared" si="25"/>
        <v>279.60699099109269</v>
      </c>
      <c r="F64" s="19">
        <f t="shared" si="25"/>
        <v>286.41122711686091</v>
      </c>
      <c r="G64" s="19">
        <f t="shared" si="25"/>
        <v>293.38104432874962</v>
      </c>
      <c r="H64" s="19">
        <f t="shared" si="25"/>
        <v>220.3816794978259</v>
      </c>
      <c r="I64" s="19">
        <f t="shared" si="25"/>
        <v>225.74466766840544</v>
      </c>
      <c r="J64" s="19">
        <f t="shared" si="25"/>
        <v>231.23816415611617</v>
      </c>
      <c r="K64" s="19">
        <f t="shared" si="25"/>
        <v>193.79891853888154</v>
      </c>
      <c r="L64" s="19">
        <f t="shared" si="25"/>
        <v>198.5150152215252</v>
      </c>
      <c r="M64" s="19">
        <f t="shared" si="25"/>
        <v>203.34587811694109</v>
      </c>
      <c r="N64" s="19">
        <f t="shared" ref="N64:U64" si="26">N51</f>
        <v>115.71905558939822</v>
      </c>
      <c r="O64" s="19">
        <f t="shared" si="26"/>
        <v>118.53507880716624</v>
      </c>
      <c r="P64" s="19">
        <f t="shared" si="26"/>
        <v>121.41962994993865</v>
      </c>
      <c r="Q64" s="19">
        <f t="shared" si="26"/>
        <v>124.37437664477044</v>
      </c>
      <c r="R64" s="19">
        <f t="shared" si="26"/>
        <v>127.40102710042088</v>
      </c>
      <c r="S64" s="19">
        <f t="shared" si="26"/>
        <v>130.50133109490963</v>
      </c>
      <c r="T64" s="19">
        <f t="shared" si="26"/>
        <v>133.67708098710429</v>
      </c>
      <c r="U64" s="19">
        <f t="shared" si="26"/>
        <v>136.93011275292545</v>
      </c>
      <c r="V64" s="6"/>
      <c r="W64" s="6"/>
      <c r="X64" s="6"/>
      <c r="Y64" s="6"/>
      <c r="Z64" s="6"/>
      <c r="AA64" s="6"/>
    </row>
    <row r="65" spans="1:27" x14ac:dyDescent="0.45">
      <c r="A65" s="3" t="s">
        <v>62</v>
      </c>
      <c r="B65" s="19">
        <f t="shared" ref="B65:M65" si="27">$B$28*B64</f>
        <v>31.217867673270234</v>
      </c>
      <c r="C65" s="19">
        <f t="shared" si="27"/>
        <v>31.977554483099269</v>
      </c>
      <c r="D65" s="19">
        <f t="shared" si="27"/>
        <v>32.755728271445484</v>
      </c>
      <c r="E65" s="19">
        <f t="shared" si="27"/>
        <v>27.96069909910927</v>
      </c>
      <c r="F65" s="19">
        <f t="shared" si="27"/>
        <v>28.641122711686094</v>
      </c>
      <c r="G65" s="19">
        <f t="shared" si="27"/>
        <v>29.338104432874964</v>
      </c>
      <c r="H65" s="19">
        <f t="shared" si="27"/>
        <v>22.03816794978259</v>
      </c>
      <c r="I65" s="19">
        <f t="shared" si="27"/>
        <v>22.574466766840544</v>
      </c>
      <c r="J65" s="19">
        <f t="shared" si="27"/>
        <v>23.123816415611618</v>
      </c>
      <c r="K65" s="19">
        <f t="shared" si="27"/>
        <v>19.379891853888154</v>
      </c>
      <c r="L65" s="19">
        <f t="shared" si="27"/>
        <v>19.851501522152521</v>
      </c>
      <c r="M65" s="19">
        <f t="shared" si="27"/>
        <v>20.33458781169411</v>
      </c>
      <c r="N65" s="19">
        <f t="shared" ref="N65:U65" si="28">$B$28*N64</f>
        <v>11.571905558939823</v>
      </c>
      <c r="O65" s="19">
        <f t="shared" si="28"/>
        <v>11.853507880716625</v>
      </c>
      <c r="P65" s="19">
        <f t="shared" si="28"/>
        <v>12.141962994993866</v>
      </c>
      <c r="Q65" s="19">
        <f t="shared" si="28"/>
        <v>12.437437664477045</v>
      </c>
      <c r="R65" s="19">
        <f t="shared" si="28"/>
        <v>12.740102710042088</v>
      </c>
      <c r="S65" s="19">
        <f t="shared" si="28"/>
        <v>13.050133109490965</v>
      </c>
      <c r="T65" s="19">
        <f t="shared" si="28"/>
        <v>13.36770809871043</v>
      </c>
      <c r="U65" s="19">
        <f t="shared" si="28"/>
        <v>13.693011275292546</v>
      </c>
      <c r="V65" s="6"/>
      <c r="W65" s="6"/>
      <c r="X65" s="6"/>
      <c r="Y65" s="6"/>
      <c r="Z65" s="6"/>
      <c r="AA65" s="6"/>
    </row>
    <row r="66" spans="1:27" x14ac:dyDescent="0.45">
      <c r="A66" s="3" t="s">
        <v>26</v>
      </c>
      <c r="B66" s="19">
        <f t="shared" ref="B66:M66" si="29">$B$29*$B$6*B34</f>
        <v>0.76800000000000002</v>
      </c>
      <c r="C66" s="19">
        <f t="shared" si="29"/>
        <v>0.79104000000000008</v>
      </c>
      <c r="D66" s="19">
        <f t="shared" si="29"/>
        <v>0.81477120000000003</v>
      </c>
      <c r="E66" s="19">
        <f t="shared" si="29"/>
        <v>0.83921433600000006</v>
      </c>
      <c r="F66" s="19">
        <f t="shared" si="29"/>
        <v>0.86439076607999998</v>
      </c>
      <c r="G66" s="19">
        <f t="shared" si="29"/>
        <v>0.89032248906239986</v>
      </c>
      <c r="H66" s="19">
        <f t="shared" si="29"/>
        <v>0.91703216373427199</v>
      </c>
      <c r="I66" s="19">
        <f t="shared" si="29"/>
        <v>0.94454312864630019</v>
      </c>
      <c r="J66" s="19">
        <f t="shared" si="29"/>
        <v>0.97287942250568904</v>
      </c>
      <c r="K66" s="19">
        <f t="shared" si="29"/>
        <v>1.0020658051808597</v>
      </c>
      <c r="L66" s="19">
        <f t="shared" si="29"/>
        <v>1.0321277793362855</v>
      </c>
      <c r="M66" s="19">
        <f t="shared" si="29"/>
        <v>1.0630916127163741</v>
      </c>
      <c r="N66" s="19">
        <f t="shared" ref="N66:U66" si="30">$B$29*$B$6*N34</f>
        <v>1.0949843610978651</v>
      </c>
      <c r="O66" s="19">
        <f t="shared" si="30"/>
        <v>1.1278338919308011</v>
      </c>
      <c r="P66" s="19">
        <f t="shared" si="30"/>
        <v>1.1616689086887253</v>
      </c>
      <c r="Q66" s="19">
        <f t="shared" si="30"/>
        <v>1.1965189759493871</v>
      </c>
      <c r="R66" s="19">
        <f t="shared" si="30"/>
        <v>1.2324145452278685</v>
      </c>
      <c r="S66" s="19">
        <f t="shared" si="30"/>
        <v>1.2693869815847045</v>
      </c>
      <c r="T66" s="19">
        <f t="shared" si="30"/>
        <v>1.3074685910322457</v>
      </c>
      <c r="U66" s="19">
        <f t="shared" si="30"/>
        <v>1.3466926487632132</v>
      </c>
      <c r="V66" s="19"/>
      <c r="W66" s="19"/>
      <c r="X66" s="19"/>
      <c r="Y66" s="19"/>
      <c r="Z66" s="19"/>
      <c r="AA66" s="19"/>
    </row>
    <row r="67" spans="1:27" x14ac:dyDescent="0.45">
      <c r="A67" s="3" t="s">
        <v>63</v>
      </c>
      <c r="B67" s="19">
        <f>B65+B66</f>
        <v>31.985867673270235</v>
      </c>
      <c r="C67" s="19">
        <f t="shared" ref="C67:M67" si="31">C65+C66</f>
        <v>32.768594483099271</v>
      </c>
      <c r="D67" s="19">
        <f t="shared" si="31"/>
        <v>33.570499471445487</v>
      </c>
      <c r="E67" s="19">
        <f t="shared" si="31"/>
        <v>28.799913435109271</v>
      </c>
      <c r="F67" s="19">
        <f t="shared" si="31"/>
        <v>29.505513477766094</v>
      </c>
      <c r="G67" s="19">
        <f t="shared" si="31"/>
        <v>30.228426921937363</v>
      </c>
      <c r="H67" s="19">
        <f t="shared" si="31"/>
        <v>22.955200113516863</v>
      </c>
      <c r="I67" s="19">
        <f t="shared" si="31"/>
        <v>23.519009895486846</v>
      </c>
      <c r="J67" s="19">
        <f t="shared" si="31"/>
        <v>24.096695838117306</v>
      </c>
      <c r="K67" s="19">
        <f t="shared" si="31"/>
        <v>20.381957659069013</v>
      </c>
      <c r="L67" s="19">
        <f t="shared" si="31"/>
        <v>20.883629301488806</v>
      </c>
      <c r="M67" s="19">
        <f t="shared" si="31"/>
        <v>21.397679424410484</v>
      </c>
      <c r="N67" s="19">
        <f t="shared" ref="N67" si="32">N65+N66</f>
        <v>12.666889920037688</v>
      </c>
      <c r="O67" s="19">
        <f t="shared" ref="O67" si="33">O65+O66</f>
        <v>12.981341772647426</v>
      </c>
      <c r="P67" s="19">
        <f t="shared" ref="P67" si="34">P65+P66</f>
        <v>13.303631903682591</v>
      </c>
      <c r="Q67" s="19">
        <f t="shared" ref="Q67" si="35">Q65+Q66</f>
        <v>13.633956640426431</v>
      </c>
      <c r="R67" s="19">
        <f t="shared" ref="R67" si="36">R65+R66</f>
        <v>13.972517255269956</v>
      </c>
      <c r="S67" s="19">
        <f t="shared" ref="S67" si="37">S65+S66</f>
        <v>14.319520091075669</v>
      </c>
      <c r="T67" s="19">
        <f t="shared" ref="T67" si="38">T65+T66</f>
        <v>14.675176689742676</v>
      </c>
      <c r="U67" s="19">
        <f t="shared" ref="U67" si="39">U65+U66</f>
        <v>15.039703924055759</v>
      </c>
      <c r="V67" s="6"/>
      <c r="W67" s="6"/>
      <c r="X67" s="6"/>
      <c r="Y67" s="6"/>
      <c r="Z67" s="6"/>
      <c r="AA67" s="6"/>
    </row>
    <row r="68" spans="1:27" x14ac:dyDescent="0.45">
      <c r="A68" s="2" t="s">
        <v>64</v>
      </c>
      <c r="B68" s="19">
        <f>B64-B67</f>
        <v>280.19280905943208</v>
      </c>
      <c r="C68" s="19">
        <f t="shared" ref="C68:M68" si="40">C64-C67</f>
        <v>287.00695034789339</v>
      </c>
      <c r="D68" s="19">
        <f t="shared" si="40"/>
        <v>293.98678324300937</v>
      </c>
      <c r="E68" s="19">
        <f t="shared" si="40"/>
        <v>250.80707755598343</v>
      </c>
      <c r="F68" s="19">
        <f t="shared" si="40"/>
        <v>256.90571363909481</v>
      </c>
      <c r="G68" s="19">
        <f t="shared" si="40"/>
        <v>263.15261740681228</v>
      </c>
      <c r="H68" s="19">
        <f t="shared" si="40"/>
        <v>197.42647938430903</v>
      </c>
      <c r="I68" s="19">
        <f t="shared" si="40"/>
        <v>202.22565777291859</v>
      </c>
      <c r="J68" s="19">
        <f t="shared" si="40"/>
        <v>207.14146831799886</v>
      </c>
      <c r="K68" s="19">
        <f t="shared" si="40"/>
        <v>173.41696087981254</v>
      </c>
      <c r="L68" s="19">
        <f t="shared" si="40"/>
        <v>177.63138592003639</v>
      </c>
      <c r="M68" s="19">
        <f t="shared" si="40"/>
        <v>181.94819869253061</v>
      </c>
      <c r="N68" s="19">
        <f t="shared" ref="N68" si="41">N64-N67</f>
        <v>103.05216566936053</v>
      </c>
      <c r="O68" s="19">
        <f t="shared" ref="O68" si="42">O64-O67</f>
        <v>105.55373703451882</v>
      </c>
      <c r="P68" s="19">
        <f t="shared" ref="P68" si="43">P64-P67</f>
        <v>108.11599804625607</v>
      </c>
      <c r="Q68" s="19">
        <f t="shared" ref="Q68" si="44">Q64-Q67</f>
        <v>110.740420004344</v>
      </c>
      <c r="R68" s="19">
        <f t="shared" ref="R68" si="45">R64-R67</f>
        <v>113.42850984515093</v>
      </c>
      <c r="S68" s="19">
        <f t="shared" ref="S68" si="46">S64-S67</f>
        <v>116.18181100383396</v>
      </c>
      <c r="T68" s="19">
        <f t="shared" ref="T68" si="47">T64-T67</f>
        <v>119.00190429736162</v>
      </c>
      <c r="U68" s="19">
        <f t="shared" ref="U68" si="48">U64-U67</f>
        <v>121.8904088288697</v>
      </c>
      <c r="V68" s="6"/>
      <c r="W68" s="6"/>
      <c r="X68" s="6"/>
      <c r="Y68" s="6"/>
      <c r="Z68" s="6"/>
      <c r="AA68" s="6"/>
    </row>
    <row r="69" spans="1:27" x14ac:dyDescent="0.45">
      <c r="A69" s="3" t="s">
        <v>65</v>
      </c>
      <c r="B69" s="19">
        <f>$B$6/$B$7</f>
        <v>256</v>
      </c>
      <c r="C69" s="19">
        <f t="shared" ref="C69:D69" si="49">$B$6/$B$7</f>
        <v>256</v>
      </c>
      <c r="D69" s="19">
        <f t="shared" si="49"/>
        <v>256</v>
      </c>
      <c r="E69" s="19"/>
      <c r="F69" s="19"/>
      <c r="G69" s="19"/>
      <c r="H69" s="19"/>
      <c r="I69" s="19"/>
      <c r="J69" s="19"/>
      <c r="K69" s="19"/>
      <c r="L69" s="19"/>
      <c r="M69" s="19"/>
      <c r="N69" s="19"/>
      <c r="O69" s="19"/>
      <c r="P69" s="19"/>
      <c r="Q69" s="19"/>
      <c r="R69" s="19"/>
      <c r="S69" s="19"/>
      <c r="T69" s="19"/>
      <c r="U69" s="19"/>
    </row>
    <row r="70" spans="1:27" x14ac:dyDescent="0.45">
      <c r="A70" s="3" t="s">
        <v>66</v>
      </c>
      <c r="B70" s="19">
        <f>B59</f>
        <v>0</v>
      </c>
      <c r="C70" s="19">
        <f t="shared" ref="C70:F70" si="50">C59</f>
        <v>0</v>
      </c>
      <c r="D70" s="19">
        <f t="shared" si="50"/>
        <v>0</v>
      </c>
      <c r="E70" s="19">
        <f t="shared" si="50"/>
        <v>0</v>
      </c>
      <c r="F70" s="19">
        <f t="shared" si="50"/>
        <v>0</v>
      </c>
    </row>
    <row r="71" spans="1:27" x14ac:dyDescent="0.45">
      <c r="A71" s="2" t="s">
        <v>67</v>
      </c>
      <c r="B71" s="19">
        <f>B68-B69-B70</f>
        <v>24.192809059432079</v>
      </c>
      <c r="C71" s="19">
        <f t="shared" ref="C71:M71" si="51">C68-C69-C70</f>
        <v>31.006950347893394</v>
      </c>
      <c r="D71" s="19">
        <f t="shared" si="51"/>
        <v>37.98678324300937</v>
      </c>
      <c r="E71" s="19">
        <f t="shared" si="51"/>
        <v>250.80707755598343</v>
      </c>
      <c r="F71" s="19">
        <f t="shared" si="51"/>
        <v>256.90571363909481</v>
      </c>
      <c r="G71" s="19">
        <f t="shared" si="51"/>
        <v>263.15261740681228</v>
      </c>
      <c r="H71" s="19">
        <f t="shared" si="51"/>
        <v>197.42647938430903</v>
      </c>
      <c r="I71" s="19">
        <f t="shared" si="51"/>
        <v>202.22565777291859</v>
      </c>
      <c r="J71" s="19">
        <f t="shared" si="51"/>
        <v>207.14146831799886</v>
      </c>
      <c r="K71" s="19">
        <f t="shared" si="51"/>
        <v>173.41696087981254</v>
      </c>
      <c r="L71" s="19">
        <f t="shared" si="51"/>
        <v>177.63138592003639</v>
      </c>
      <c r="M71" s="19">
        <f t="shared" si="51"/>
        <v>181.94819869253061</v>
      </c>
      <c r="N71" s="19">
        <f t="shared" ref="N71" si="52">N68-N69-N70</f>
        <v>103.05216566936053</v>
      </c>
      <c r="O71" s="19">
        <f t="shared" ref="O71" si="53">O68-O69-O70</f>
        <v>105.55373703451882</v>
      </c>
      <c r="P71" s="19">
        <f t="shared" ref="P71" si="54">P68-P69-P70</f>
        <v>108.11599804625607</v>
      </c>
      <c r="Q71" s="19">
        <f t="shared" ref="Q71" si="55">Q68-Q69-Q70</f>
        <v>110.740420004344</v>
      </c>
      <c r="R71" s="19">
        <f t="shared" ref="R71" si="56">R68-R69-R70</f>
        <v>113.42850984515093</v>
      </c>
      <c r="S71" s="19">
        <f t="shared" ref="S71" si="57">S68-S69-S70</f>
        <v>116.18181100383396</v>
      </c>
      <c r="T71" s="19">
        <f t="shared" ref="T71" si="58">T68-T69-T70</f>
        <v>119.00190429736162</v>
      </c>
      <c r="U71" s="19">
        <f t="shared" ref="U71" si="59">U68-U69-U70</f>
        <v>121.8904088288697</v>
      </c>
      <c r="V71" s="6"/>
      <c r="W71" s="6"/>
      <c r="X71" s="6"/>
      <c r="Y71" s="6"/>
      <c r="Z71" s="6"/>
      <c r="AA71" s="6"/>
    </row>
    <row r="72" spans="1:27" x14ac:dyDescent="0.45">
      <c r="A72" s="3" t="s">
        <v>57</v>
      </c>
      <c r="B72" s="19">
        <f t="shared" ref="B72:M72" si="60">B71*$H$28</f>
        <v>4.8385618118864162</v>
      </c>
      <c r="C72" s="19">
        <f t="shared" si="60"/>
        <v>6.2013900695786788</v>
      </c>
      <c r="D72" s="19">
        <f t="shared" si="60"/>
        <v>7.597356648601874</v>
      </c>
      <c r="E72" s="19">
        <f t="shared" si="60"/>
        <v>50.161415511196687</v>
      </c>
      <c r="F72" s="19">
        <f t="shared" si="60"/>
        <v>51.381142727818968</v>
      </c>
      <c r="G72" s="19">
        <f t="shared" si="60"/>
        <v>52.630523481362459</v>
      </c>
      <c r="H72" s="19">
        <f t="shared" si="60"/>
        <v>39.485295876861812</v>
      </c>
      <c r="I72" s="19">
        <f t="shared" si="60"/>
        <v>40.445131554583725</v>
      </c>
      <c r="J72" s="19">
        <f t="shared" si="60"/>
        <v>41.428293663599774</v>
      </c>
      <c r="K72" s="19">
        <f t="shared" si="60"/>
        <v>34.68339217596251</v>
      </c>
      <c r="L72" s="19">
        <f t="shared" si="60"/>
        <v>35.526277184007277</v>
      </c>
      <c r="M72" s="19">
        <f t="shared" si="60"/>
        <v>36.389639738506126</v>
      </c>
      <c r="N72" s="19">
        <f t="shared" ref="N72:U72" si="61">N71*$H$28</f>
        <v>20.610433133872107</v>
      </c>
      <c r="O72" s="19">
        <f t="shared" si="61"/>
        <v>21.110747406903766</v>
      </c>
      <c r="P72" s="19">
        <f t="shared" si="61"/>
        <v>21.623199609251216</v>
      </c>
      <c r="Q72" s="19">
        <f t="shared" si="61"/>
        <v>22.148084000868803</v>
      </c>
      <c r="R72" s="19">
        <f t="shared" si="61"/>
        <v>22.685701969030188</v>
      </c>
      <c r="S72" s="19">
        <f t="shared" si="61"/>
        <v>23.236362200766791</v>
      </c>
      <c r="T72" s="19">
        <f t="shared" si="61"/>
        <v>23.800380859472327</v>
      </c>
      <c r="U72" s="19">
        <f t="shared" si="61"/>
        <v>24.378081765773942</v>
      </c>
      <c r="V72" s="6"/>
      <c r="W72" s="6"/>
      <c r="X72" s="6"/>
      <c r="Y72" s="6"/>
      <c r="Z72" s="6"/>
      <c r="AA72" s="6"/>
    </row>
    <row r="73" spans="1:27" x14ac:dyDescent="0.45">
      <c r="A73" s="2" t="s">
        <v>69</v>
      </c>
      <c r="B73" s="19">
        <f>B71-B72</f>
        <v>19.354247247545665</v>
      </c>
      <c r="C73" s="19">
        <f t="shared" ref="C73:M73" si="62">C71-C72</f>
        <v>24.805560278314715</v>
      </c>
      <c r="D73" s="19">
        <f t="shared" si="62"/>
        <v>30.389426594407496</v>
      </c>
      <c r="E73" s="19">
        <f t="shared" si="62"/>
        <v>200.64566204478675</v>
      </c>
      <c r="F73" s="19">
        <f t="shared" si="62"/>
        <v>205.52457091127584</v>
      </c>
      <c r="G73" s="19">
        <f t="shared" si="62"/>
        <v>210.52209392544984</v>
      </c>
      <c r="H73" s="19">
        <f t="shared" si="62"/>
        <v>157.94118350744722</v>
      </c>
      <c r="I73" s="19">
        <f t="shared" si="62"/>
        <v>161.78052621833487</v>
      </c>
      <c r="J73" s="19">
        <f t="shared" si="62"/>
        <v>165.7131746543991</v>
      </c>
      <c r="K73" s="19">
        <f t="shared" si="62"/>
        <v>138.73356870385004</v>
      </c>
      <c r="L73" s="19">
        <f t="shared" si="62"/>
        <v>142.10510873602911</v>
      </c>
      <c r="M73" s="19">
        <f t="shared" si="62"/>
        <v>145.55855895402448</v>
      </c>
      <c r="N73" s="19">
        <f t="shared" ref="N73" si="63">N71-N72</f>
        <v>82.441732535488427</v>
      </c>
      <c r="O73" s="19">
        <f t="shared" ref="O73" si="64">O71-O72</f>
        <v>84.442989627615049</v>
      </c>
      <c r="P73" s="19">
        <f t="shared" ref="P73" si="65">P71-P72</f>
        <v>86.492798437004851</v>
      </c>
      <c r="Q73" s="19">
        <f t="shared" ref="Q73" si="66">Q71-Q72</f>
        <v>88.592336003475197</v>
      </c>
      <c r="R73" s="19">
        <f t="shared" ref="R73" si="67">R71-R72</f>
        <v>90.742807876120736</v>
      </c>
      <c r="S73" s="19">
        <f t="shared" ref="S73" si="68">S71-S72</f>
        <v>92.945448803067165</v>
      </c>
      <c r="T73" s="19">
        <f t="shared" ref="T73" si="69">T71-T72</f>
        <v>95.201523437889293</v>
      </c>
      <c r="U73" s="19">
        <f t="shared" ref="U73" si="70">U71-U72</f>
        <v>97.512327063095753</v>
      </c>
      <c r="V73" s="6"/>
      <c r="W73" s="6"/>
      <c r="X73" s="6"/>
      <c r="Y73" s="6"/>
      <c r="Z73" s="6"/>
      <c r="AA73" s="6"/>
    </row>
    <row r="75" spans="1:27" x14ac:dyDescent="0.45">
      <c r="A75" s="1" t="s">
        <v>95</v>
      </c>
    </row>
    <row r="76" spans="1:27" x14ac:dyDescent="0.45">
      <c r="A76" s="11" t="s">
        <v>39</v>
      </c>
      <c r="B76" s="11">
        <v>0</v>
      </c>
      <c r="C76" s="11">
        <v>1</v>
      </c>
      <c r="D76" s="11">
        <v>2</v>
      </c>
      <c r="E76" s="11">
        <v>3</v>
      </c>
      <c r="F76" s="11">
        <v>4</v>
      </c>
      <c r="G76" s="11">
        <v>5</v>
      </c>
      <c r="H76" s="11">
        <v>6</v>
      </c>
      <c r="I76" s="11">
        <v>7</v>
      </c>
      <c r="J76" s="11">
        <v>8</v>
      </c>
      <c r="K76" s="11">
        <v>9</v>
      </c>
      <c r="L76" s="11">
        <v>10</v>
      </c>
      <c r="M76" s="11">
        <v>11</v>
      </c>
      <c r="N76" s="11">
        <v>12</v>
      </c>
      <c r="O76" s="11">
        <v>13</v>
      </c>
      <c r="P76" s="11">
        <v>14</v>
      </c>
      <c r="Q76" s="11">
        <v>15</v>
      </c>
      <c r="R76" s="11">
        <v>16</v>
      </c>
      <c r="S76" s="11">
        <v>17</v>
      </c>
      <c r="T76" s="11">
        <v>18</v>
      </c>
      <c r="U76" s="11">
        <v>19</v>
      </c>
      <c r="V76" s="11">
        <v>20</v>
      </c>
      <c r="W76" s="11">
        <v>21</v>
      </c>
      <c r="X76" s="11">
        <v>22</v>
      </c>
      <c r="Y76" s="11">
        <v>23</v>
      </c>
      <c r="Z76" s="11">
        <v>24</v>
      </c>
      <c r="AA76" s="11">
        <v>25</v>
      </c>
    </row>
    <row r="77" spans="1:27" x14ac:dyDescent="0.45">
      <c r="A77" s="1" t="s">
        <v>71</v>
      </c>
      <c r="B77" s="35">
        <f>B78</f>
        <v>312.17867673270234</v>
      </c>
      <c r="C77" s="35">
        <f t="shared" ref="C77:M77" si="71">C78</f>
        <v>319.77554483099266</v>
      </c>
      <c r="D77" s="35">
        <f t="shared" si="71"/>
        <v>327.55728271445486</v>
      </c>
      <c r="E77" s="35">
        <f t="shared" si="71"/>
        <v>279.60699099109269</v>
      </c>
      <c r="F77" s="35">
        <f t="shared" si="71"/>
        <v>286.41122711686091</v>
      </c>
      <c r="G77" s="35">
        <f t="shared" si="71"/>
        <v>293.38104432874962</v>
      </c>
      <c r="H77" s="35">
        <f t="shared" si="71"/>
        <v>220.3816794978259</v>
      </c>
      <c r="I77" s="35">
        <f t="shared" si="71"/>
        <v>225.74466766840544</v>
      </c>
      <c r="J77" s="35">
        <f t="shared" si="71"/>
        <v>231.23816415611617</v>
      </c>
      <c r="K77" s="35">
        <f t="shared" si="71"/>
        <v>193.79891853888154</v>
      </c>
      <c r="L77" s="35">
        <f t="shared" si="71"/>
        <v>198.5150152215252</v>
      </c>
      <c r="M77" s="35">
        <f t="shared" si="71"/>
        <v>203.34587811694109</v>
      </c>
      <c r="N77" s="35">
        <f t="shared" ref="N77" si="72">N78</f>
        <v>115.71905558939822</v>
      </c>
      <c r="O77" s="35">
        <f t="shared" ref="O77" si="73">O78</f>
        <v>118.53507880716624</v>
      </c>
      <c r="P77" s="35">
        <f t="shared" ref="P77" si="74">P78</f>
        <v>121.41962994993865</v>
      </c>
      <c r="Q77" s="35">
        <f t="shared" ref="Q77" si="75">Q78</f>
        <v>124.37437664477044</v>
      </c>
      <c r="R77" s="35">
        <f t="shared" ref="R77" si="76">R78</f>
        <v>127.40102710042088</v>
      </c>
      <c r="S77" s="35">
        <f t="shared" ref="S77" si="77">S78</f>
        <v>130.50133109490963</v>
      </c>
      <c r="T77" s="35">
        <f t="shared" ref="T77" si="78">T78</f>
        <v>133.67708098710429</v>
      </c>
      <c r="U77" s="35">
        <f t="shared" ref="U77" si="79">U78</f>
        <v>136.93011275292545</v>
      </c>
    </row>
    <row r="78" spans="1:27" x14ac:dyDescent="0.45">
      <c r="A78" s="3" t="s">
        <v>61</v>
      </c>
      <c r="B78" s="33">
        <f>B51</f>
        <v>312.17867673270234</v>
      </c>
      <c r="C78" s="33">
        <f t="shared" ref="C78:M78" si="80">C51</f>
        <v>319.77554483099266</v>
      </c>
      <c r="D78" s="33">
        <f t="shared" si="80"/>
        <v>327.55728271445486</v>
      </c>
      <c r="E78" s="33">
        <f t="shared" si="80"/>
        <v>279.60699099109269</v>
      </c>
      <c r="F78" s="33">
        <f t="shared" si="80"/>
        <v>286.41122711686091</v>
      </c>
      <c r="G78" s="33">
        <f t="shared" si="80"/>
        <v>293.38104432874962</v>
      </c>
      <c r="H78" s="33">
        <f t="shared" si="80"/>
        <v>220.3816794978259</v>
      </c>
      <c r="I78" s="33">
        <f t="shared" si="80"/>
        <v>225.74466766840544</v>
      </c>
      <c r="J78" s="33">
        <f t="shared" si="80"/>
        <v>231.23816415611617</v>
      </c>
      <c r="K78" s="33">
        <f t="shared" si="80"/>
        <v>193.79891853888154</v>
      </c>
      <c r="L78" s="33">
        <f t="shared" si="80"/>
        <v>198.5150152215252</v>
      </c>
      <c r="M78" s="33">
        <f t="shared" si="80"/>
        <v>203.34587811694109</v>
      </c>
      <c r="N78" s="33">
        <f t="shared" ref="N78:U78" si="81">N51</f>
        <v>115.71905558939822</v>
      </c>
      <c r="O78" s="33">
        <f t="shared" si="81"/>
        <v>118.53507880716624</v>
      </c>
      <c r="P78" s="33">
        <f t="shared" si="81"/>
        <v>121.41962994993865</v>
      </c>
      <c r="Q78" s="33">
        <f t="shared" si="81"/>
        <v>124.37437664477044</v>
      </c>
      <c r="R78" s="33">
        <f t="shared" si="81"/>
        <v>127.40102710042088</v>
      </c>
      <c r="S78" s="33">
        <f t="shared" si="81"/>
        <v>130.50133109490963</v>
      </c>
      <c r="T78" s="33">
        <f t="shared" si="81"/>
        <v>133.67708098710429</v>
      </c>
      <c r="U78" s="33">
        <f t="shared" si="81"/>
        <v>136.93011275292545</v>
      </c>
      <c r="V78" s="6"/>
      <c r="W78" s="6"/>
      <c r="X78" s="6"/>
      <c r="Y78" s="6"/>
      <c r="Z78" s="6"/>
      <c r="AA78" s="6"/>
    </row>
    <row r="79" spans="1:27" x14ac:dyDescent="0.45">
      <c r="A79" s="1" t="s">
        <v>72</v>
      </c>
      <c r="B79" s="35">
        <f>B80+B81</f>
        <v>799.98586767327026</v>
      </c>
      <c r="C79" s="35">
        <f t="shared" ref="C79:M79" si="82">C80+C81</f>
        <v>32.768594483099271</v>
      </c>
      <c r="D79" s="35">
        <f t="shared" si="82"/>
        <v>33.570499471445487</v>
      </c>
      <c r="E79" s="35">
        <f t="shared" si="82"/>
        <v>28.799913435109271</v>
      </c>
      <c r="F79" s="35">
        <f t="shared" si="82"/>
        <v>29.505513477766094</v>
      </c>
      <c r="G79" s="35">
        <f t="shared" si="82"/>
        <v>30.228426921937363</v>
      </c>
      <c r="H79" s="35">
        <f t="shared" si="82"/>
        <v>22.955200113516863</v>
      </c>
      <c r="I79" s="35">
        <f t="shared" si="82"/>
        <v>23.519009895486846</v>
      </c>
      <c r="J79" s="35">
        <f t="shared" si="82"/>
        <v>24.096695838117306</v>
      </c>
      <c r="K79" s="35">
        <f t="shared" si="82"/>
        <v>20.381957659069013</v>
      </c>
      <c r="L79" s="35">
        <f t="shared" si="82"/>
        <v>20.883629301488806</v>
      </c>
      <c r="M79" s="35">
        <f t="shared" si="82"/>
        <v>21.397679424410484</v>
      </c>
      <c r="N79" s="35">
        <f t="shared" ref="N79" si="83">N80+N81</f>
        <v>12.666889920037688</v>
      </c>
      <c r="O79" s="35">
        <f t="shared" ref="O79" si="84">O80+O81</f>
        <v>12.981341772647426</v>
      </c>
      <c r="P79" s="35">
        <f t="shared" ref="P79" si="85">P80+P81</f>
        <v>13.303631903682591</v>
      </c>
      <c r="Q79" s="35">
        <f t="shared" ref="Q79" si="86">Q80+Q81</f>
        <v>13.633956640426431</v>
      </c>
      <c r="R79" s="35">
        <f t="shared" ref="R79" si="87">R80+R81</f>
        <v>13.972517255269956</v>
      </c>
      <c r="S79" s="35">
        <f t="shared" ref="S79" si="88">S80+S81</f>
        <v>14.319520091075669</v>
      </c>
      <c r="T79" s="35">
        <f t="shared" ref="T79" si="89">T80+T81</f>
        <v>14.675176689742676</v>
      </c>
      <c r="U79" s="35">
        <f t="shared" ref="U79" si="90">U80+U81</f>
        <v>15.039703924055759</v>
      </c>
    </row>
    <row r="80" spans="1:27" x14ac:dyDescent="0.45">
      <c r="A80" s="3" t="s">
        <v>73</v>
      </c>
      <c r="B80" s="34">
        <f>B6</f>
        <v>768</v>
      </c>
      <c r="C80" s="34"/>
      <c r="D80" s="34"/>
      <c r="E80" s="34"/>
      <c r="F80" s="34"/>
      <c r="G80" s="34"/>
      <c r="H80" s="34"/>
      <c r="I80" s="34"/>
      <c r="J80" s="34"/>
      <c r="K80" s="34"/>
      <c r="L80" s="34"/>
      <c r="M80" s="34"/>
      <c r="N80" s="34"/>
      <c r="O80" s="34"/>
      <c r="P80" s="34"/>
      <c r="Q80" s="34"/>
      <c r="R80" s="34"/>
      <c r="S80" s="34"/>
      <c r="T80" s="34"/>
      <c r="U80" s="34"/>
    </row>
    <row r="81" spans="1:27" x14ac:dyDescent="0.45">
      <c r="A81" s="3" t="s">
        <v>74</v>
      </c>
      <c r="B81" s="33">
        <f>B67</f>
        <v>31.985867673270235</v>
      </c>
      <c r="C81" s="33">
        <f t="shared" ref="C81:M81" si="91">C67</f>
        <v>32.768594483099271</v>
      </c>
      <c r="D81" s="33">
        <f t="shared" si="91"/>
        <v>33.570499471445487</v>
      </c>
      <c r="E81" s="33">
        <f t="shared" si="91"/>
        <v>28.799913435109271</v>
      </c>
      <c r="F81" s="33">
        <f t="shared" si="91"/>
        <v>29.505513477766094</v>
      </c>
      <c r="G81" s="33">
        <f t="shared" si="91"/>
        <v>30.228426921937363</v>
      </c>
      <c r="H81" s="33">
        <f t="shared" si="91"/>
        <v>22.955200113516863</v>
      </c>
      <c r="I81" s="33">
        <f t="shared" si="91"/>
        <v>23.519009895486846</v>
      </c>
      <c r="J81" s="33">
        <f t="shared" si="91"/>
        <v>24.096695838117306</v>
      </c>
      <c r="K81" s="33">
        <f t="shared" si="91"/>
        <v>20.381957659069013</v>
      </c>
      <c r="L81" s="33">
        <f t="shared" si="91"/>
        <v>20.883629301488806</v>
      </c>
      <c r="M81" s="33">
        <f t="shared" si="91"/>
        <v>21.397679424410484</v>
      </c>
      <c r="N81" s="33">
        <f t="shared" ref="N81:U81" si="92">N67</f>
        <v>12.666889920037688</v>
      </c>
      <c r="O81" s="33">
        <f t="shared" si="92"/>
        <v>12.981341772647426</v>
      </c>
      <c r="P81" s="33">
        <f t="shared" si="92"/>
        <v>13.303631903682591</v>
      </c>
      <c r="Q81" s="33">
        <f t="shared" si="92"/>
        <v>13.633956640426431</v>
      </c>
      <c r="R81" s="33">
        <f t="shared" si="92"/>
        <v>13.972517255269956</v>
      </c>
      <c r="S81" s="33">
        <f t="shared" si="92"/>
        <v>14.319520091075669</v>
      </c>
      <c r="T81" s="33">
        <f t="shared" si="92"/>
        <v>14.675176689742676</v>
      </c>
      <c r="U81" s="33">
        <f t="shared" si="92"/>
        <v>15.039703924055759</v>
      </c>
      <c r="V81" s="6"/>
      <c r="W81" s="6"/>
      <c r="X81" s="6"/>
      <c r="Y81" s="6"/>
      <c r="Z81" s="6"/>
      <c r="AA81" s="6"/>
    </row>
    <row r="82" spans="1:27" x14ac:dyDescent="0.45">
      <c r="A82" s="36" t="s">
        <v>93</v>
      </c>
      <c r="B82" s="35">
        <f>B77-B79</f>
        <v>-487.80719094056792</v>
      </c>
      <c r="C82" s="35">
        <f t="shared" ref="C82:M82" si="93">C77-C79</f>
        <v>287.00695034789339</v>
      </c>
      <c r="D82" s="35">
        <f t="shared" si="93"/>
        <v>293.98678324300937</v>
      </c>
      <c r="E82" s="35">
        <f t="shared" si="93"/>
        <v>250.80707755598343</v>
      </c>
      <c r="F82" s="35">
        <f t="shared" si="93"/>
        <v>256.90571363909481</v>
      </c>
      <c r="G82" s="35">
        <f t="shared" si="93"/>
        <v>263.15261740681228</v>
      </c>
      <c r="H82" s="35">
        <f t="shared" si="93"/>
        <v>197.42647938430903</v>
      </c>
      <c r="I82" s="35">
        <f t="shared" si="93"/>
        <v>202.22565777291859</v>
      </c>
      <c r="J82" s="35">
        <f t="shared" si="93"/>
        <v>207.14146831799886</v>
      </c>
      <c r="K82" s="35">
        <f t="shared" si="93"/>
        <v>173.41696087981254</v>
      </c>
      <c r="L82" s="35">
        <f t="shared" si="93"/>
        <v>177.63138592003639</v>
      </c>
      <c r="M82" s="35">
        <f t="shared" si="93"/>
        <v>181.94819869253061</v>
      </c>
      <c r="N82" s="35">
        <f t="shared" ref="N82:U82" si="94">N77-N79</f>
        <v>103.05216566936053</v>
      </c>
      <c r="O82" s="35">
        <f t="shared" si="94"/>
        <v>105.55373703451882</v>
      </c>
      <c r="P82" s="35">
        <f t="shared" si="94"/>
        <v>108.11599804625607</v>
      </c>
      <c r="Q82" s="35">
        <f t="shared" si="94"/>
        <v>110.740420004344</v>
      </c>
      <c r="R82" s="35">
        <f t="shared" si="94"/>
        <v>113.42850984515093</v>
      </c>
      <c r="S82" s="35">
        <f t="shared" si="94"/>
        <v>116.18181100383396</v>
      </c>
      <c r="T82" s="35">
        <f t="shared" si="94"/>
        <v>119.00190429736162</v>
      </c>
      <c r="U82" s="35">
        <f t="shared" si="94"/>
        <v>121.8904088288697</v>
      </c>
      <c r="V82" s="6"/>
      <c r="W82" s="6"/>
      <c r="X82" s="6"/>
      <c r="Y82" s="6"/>
      <c r="Z82" s="6"/>
      <c r="AA82" s="6"/>
    </row>
    <row r="83" spans="1:27" x14ac:dyDescent="0.45">
      <c r="A83" s="3" t="s">
        <v>57</v>
      </c>
      <c r="B83" s="33">
        <f>B72</f>
        <v>4.8385618118864162</v>
      </c>
      <c r="C83" s="33">
        <f t="shared" ref="C83:M83" si="95">C72</f>
        <v>6.2013900695786788</v>
      </c>
      <c r="D83" s="33">
        <f t="shared" si="95"/>
        <v>7.597356648601874</v>
      </c>
      <c r="E83" s="33">
        <f t="shared" si="95"/>
        <v>50.161415511196687</v>
      </c>
      <c r="F83" s="33">
        <f t="shared" si="95"/>
        <v>51.381142727818968</v>
      </c>
      <c r="G83" s="33">
        <f t="shared" si="95"/>
        <v>52.630523481362459</v>
      </c>
      <c r="H83" s="33">
        <f t="shared" si="95"/>
        <v>39.485295876861812</v>
      </c>
      <c r="I83" s="33">
        <f t="shared" si="95"/>
        <v>40.445131554583725</v>
      </c>
      <c r="J83" s="33">
        <f t="shared" si="95"/>
        <v>41.428293663599774</v>
      </c>
      <c r="K83" s="33">
        <f t="shared" si="95"/>
        <v>34.68339217596251</v>
      </c>
      <c r="L83" s="33">
        <f t="shared" si="95"/>
        <v>35.526277184007277</v>
      </c>
      <c r="M83" s="33">
        <f t="shared" si="95"/>
        <v>36.389639738506126</v>
      </c>
      <c r="N83" s="33">
        <f t="shared" ref="N83:U83" si="96">N72</f>
        <v>20.610433133872107</v>
      </c>
      <c r="O83" s="33">
        <f t="shared" si="96"/>
        <v>21.110747406903766</v>
      </c>
      <c r="P83" s="33">
        <f t="shared" si="96"/>
        <v>21.623199609251216</v>
      </c>
      <c r="Q83" s="33">
        <f t="shared" si="96"/>
        <v>22.148084000868803</v>
      </c>
      <c r="R83" s="33">
        <f t="shared" si="96"/>
        <v>22.685701969030188</v>
      </c>
      <c r="S83" s="33">
        <f t="shared" si="96"/>
        <v>23.236362200766791</v>
      </c>
      <c r="T83" s="33">
        <f t="shared" si="96"/>
        <v>23.800380859472327</v>
      </c>
      <c r="U83" s="33">
        <f t="shared" si="96"/>
        <v>24.378081765773942</v>
      </c>
      <c r="V83" s="6"/>
      <c r="W83" s="6"/>
      <c r="X83" s="6"/>
      <c r="Y83" s="6"/>
      <c r="Z83" s="6"/>
      <c r="AA83" s="6"/>
    </row>
    <row r="84" spans="1:27" x14ac:dyDescent="0.45">
      <c r="A84" s="1" t="s">
        <v>96</v>
      </c>
      <c r="B84" s="35">
        <f>B82-B83</f>
        <v>-492.64575275245431</v>
      </c>
      <c r="C84" s="35">
        <f t="shared" ref="C84:M84" si="97">C82-C83</f>
        <v>280.80556027831472</v>
      </c>
      <c r="D84" s="35">
        <f t="shared" si="97"/>
        <v>286.3894265944075</v>
      </c>
      <c r="E84" s="35">
        <f t="shared" si="97"/>
        <v>200.64566204478675</v>
      </c>
      <c r="F84" s="35">
        <f t="shared" si="97"/>
        <v>205.52457091127584</v>
      </c>
      <c r="G84" s="35">
        <f t="shared" si="97"/>
        <v>210.52209392544984</v>
      </c>
      <c r="H84" s="35">
        <f t="shared" si="97"/>
        <v>157.94118350744722</v>
      </c>
      <c r="I84" s="35">
        <f t="shared" si="97"/>
        <v>161.78052621833487</v>
      </c>
      <c r="J84" s="35">
        <f t="shared" si="97"/>
        <v>165.7131746543991</v>
      </c>
      <c r="K84" s="35">
        <f t="shared" si="97"/>
        <v>138.73356870385004</v>
      </c>
      <c r="L84" s="35">
        <f t="shared" si="97"/>
        <v>142.10510873602911</v>
      </c>
      <c r="M84" s="35">
        <f t="shared" si="97"/>
        <v>145.55855895402448</v>
      </c>
      <c r="N84" s="35">
        <f t="shared" ref="N84" si="98">N82-N83</f>
        <v>82.441732535488427</v>
      </c>
      <c r="O84" s="35">
        <f t="shared" ref="O84" si="99">O82-O83</f>
        <v>84.442989627615049</v>
      </c>
      <c r="P84" s="35">
        <f t="shared" ref="P84" si="100">P82-P83</f>
        <v>86.492798437004851</v>
      </c>
      <c r="Q84" s="35">
        <f t="shared" ref="Q84" si="101">Q82-Q83</f>
        <v>88.592336003475197</v>
      </c>
      <c r="R84" s="35">
        <f t="shared" ref="R84" si="102">R82-R83</f>
        <v>90.742807876120736</v>
      </c>
      <c r="S84" s="35">
        <f t="shared" ref="S84" si="103">S82-S83</f>
        <v>92.945448803067165</v>
      </c>
      <c r="T84" s="35">
        <f t="shared" ref="T84" si="104">T82-T83</f>
        <v>95.201523437889293</v>
      </c>
      <c r="U84" s="35">
        <f t="shared" ref="U84" si="105">U82-U83</f>
        <v>97.512327063095753</v>
      </c>
      <c r="V84" s="6"/>
      <c r="W84" s="6"/>
      <c r="X84" s="6"/>
      <c r="Y84" s="6"/>
      <c r="Z84" s="6"/>
      <c r="AA84" s="6"/>
    </row>
    <row r="85" spans="1:27" x14ac:dyDescent="0.45">
      <c r="A85" s="2" t="s">
        <v>75</v>
      </c>
      <c r="B85" s="5">
        <f t="shared" ref="B85:M85" si="106">(1+$H$23)^-B76</f>
        <v>1</v>
      </c>
      <c r="C85" s="5">
        <f t="shared" si="106"/>
        <v>0.92592592592592582</v>
      </c>
      <c r="D85" s="5">
        <f t="shared" si="106"/>
        <v>0.85733882030178321</v>
      </c>
      <c r="E85" s="5">
        <f t="shared" si="106"/>
        <v>0.79383224102016958</v>
      </c>
      <c r="F85" s="5">
        <f t="shared" si="106"/>
        <v>0.73502985279645328</v>
      </c>
      <c r="G85" s="5">
        <f t="shared" si="106"/>
        <v>0.68058319703375303</v>
      </c>
      <c r="H85" s="5">
        <f t="shared" si="106"/>
        <v>0.63016962688310452</v>
      </c>
      <c r="I85" s="5">
        <f t="shared" si="106"/>
        <v>0.58349039526213387</v>
      </c>
      <c r="J85" s="5">
        <f t="shared" si="106"/>
        <v>0.54026888450197574</v>
      </c>
      <c r="K85" s="5">
        <f t="shared" si="106"/>
        <v>0.50024896713145905</v>
      </c>
      <c r="L85" s="5">
        <f t="shared" si="106"/>
        <v>0.46319348808468425</v>
      </c>
      <c r="M85" s="5">
        <f t="shared" si="106"/>
        <v>0.42888285933767062</v>
      </c>
      <c r="N85" s="5">
        <f t="shared" ref="N85:U85" si="107">(1+$H$23)^-N76</f>
        <v>0.39711375864599124</v>
      </c>
      <c r="O85" s="5">
        <f t="shared" si="107"/>
        <v>0.36769792467221413</v>
      </c>
      <c r="P85" s="5">
        <f t="shared" si="107"/>
        <v>0.34046104136316119</v>
      </c>
      <c r="Q85" s="5">
        <f t="shared" si="107"/>
        <v>0.31524170496588994</v>
      </c>
      <c r="R85" s="5">
        <f t="shared" si="107"/>
        <v>0.29189046756100923</v>
      </c>
      <c r="S85" s="5">
        <f t="shared" si="107"/>
        <v>0.27026895144537894</v>
      </c>
      <c r="T85" s="5">
        <f t="shared" si="107"/>
        <v>0.25024902911609154</v>
      </c>
      <c r="U85" s="5">
        <f t="shared" si="107"/>
        <v>0.23171206399638106</v>
      </c>
      <c r="V85" s="5"/>
      <c r="W85" s="5"/>
      <c r="X85" s="5"/>
      <c r="Y85" s="5"/>
      <c r="Z85" s="5"/>
      <c r="AA85" s="5"/>
    </row>
    <row r="86" spans="1:27" x14ac:dyDescent="0.45">
      <c r="A86" s="2" t="s">
        <v>79</v>
      </c>
      <c r="B86" s="19">
        <f>B84*B85</f>
        <v>-492.64575275245431</v>
      </c>
      <c r="C86" s="19">
        <f t="shared" ref="C86:M86" si="108">C84*C85</f>
        <v>260.00514840584691</v>
      </c>
      <c r="D86" s="19">
        <f t="shared" si="108"/>
        <v>245.53277314335347</v>
      </c>
      <c r="E86" s="19">
        <f t="shared" si="108"/>
        <v>159.27899555198866</v>
      </c>
      <c r="F86" s="19">
        <f t="shared" si="108"/>
        <v>151.06669510296931</v>
      </c>
      <c r="G86" s="19">
        <f t="shared" si="108"/>
        <v>143.27779973002268</v>
      </c>
      <c r="H86" s="19">
        <f t="shared" si="108"/>
        <v>99.529736680363953</v>
      </c>
      <c r="I86" s="19">
        <f t="shared" si="108"/>
        <v>94.397383188852231</v>
      </c>
      <c r="J86" s="19">
        <f t="shared" si="108"/>
        <v>89.529672017813283</v>
      </c>
      <c r="K86" s="19">
        <f t="shared" si="108"/>
        <v>69.401324450562299</v>
      </c>
      <c r="L86" s="19">
        <f t="shared" si="108"/>
        <v>65.822160990094659</v>
      </c>
      <c r="M86" s="19">
        <f t="shared" si="108"/>
        <v>62.427570965272913</v>
      </c>
      <c r="N86" s="19">
        <f t="shared" ref="N86" si="109">N84*N85</f>
        <v>32.738746276455316</v>
      </c>
      <c r="O86" s="19">
        <f t="shared" ref="O86" si="110">O84*O85</f>
        <v>31.049512039191356</v>
      </c>
      <c r="P86" s="19">
        <f t="shared" ref="P86" si="111">P84*P85</f>
        <v>29.447428226276671</v>
      </c>
      <c r="Q86" s="19">
        <f t="shared" ref="Q86" si="112">Q84*Q85</f>
        <v>27.927999048646516</v>
      </c>
      <c r="R86" s="19">
        <f t="shared" ref="R86" si="113">R84*R85</f>
        <v>26.486960618759714</v>
      </c>
      <c r="S86" s="19">
        <f t="shared" ref="S86" si="114">S84*S85</f>
        <v>25.120268989625114</v>
      </c>
      <c r="T86" s="19">
        <f t="shared" ref="T86" si="115">T84*T85</f>
        <v>23.82408881070463</v>
      </c>
      <c r="U86" s="19">
        <f t="shared" ref="U86" si="116">U84*U85</f>
        <v>22.594782568880085</v>
      </c>
      <c r="V86" s="6"/>
      <c r="W86" s="6"/>
      <c r="X86" s="6"/>
      <c r="Y86" s="6"/>
      <c r="Z86" s="6"/>
      <c r="AA86" s="6"/>
    </row>
    <row r="87" spans="1:27" x14ac:dyDescent="0.45">
      <c r="A87" s="2" t="s">
        <v>80</v>
      </c>
      <c r="B87" s="19">
        <f>B84</f>
        <v>-492.64575275245431</v>
      </c>
      <c r="C87" s="6">
        <f>B87+C84</f>
        <v>-211.8401924741396</v>
      </c>
      <c r="D87" s="6">
        <f t="shared" ref="D87:M87" si="117">C87+D84</f>
        <v>74.549234120267897</v>
      </c>
      <c r="E87" s="6">
        <f t="shared" si="117"/>
        <v>275.19489616505462</v>
      </c>
      <c r="F87" s="6">
        <f t="shared" si="117"/>
        <v>480.71946707633049</v>
      </c>
      <c r="G87" s="6">
        <f t="shared" si="117"/>
        <v>691.24156100178038</v>
      </c>
      <c r="H87" s="6">
        <f t="shared" si="117"/>
        <v>849.18274450922763</v>
      </c>
      <c r="I87" s="6">
        <f t="shared" si="117"/>
        <v>1010.9632707275625</v>
      </c>
      <c r="J87" s="6">
        <f t="shared" si="117"/>
        <v>1176.6764453819617</v>
      </c>
      <c r="K87" s="6">
        <f t="shared" si="117"/>
        <v>1315.4100140858118</v>
      </c>
      <c r="L87" s="6">
        <f t="shared" si="117"/>
        <v>1457.5151228218408</v>
      </c>
      <c r="M87" s="6">
        <f t="shared" si="117"/>
        <v>1603.0736817758652</v>
      </c>
      <c r="N87" s="6">
        <f t="shared" ref="N87:U87" si="118">M87+N84</f>
        <v>1685.5154143113537</v>
      </c>
      <c r="O87" s="6">
        <f t="shared" si="118"/>
        <v>1769.9584039389688</v>
      </c>
      <c r="P87" s="6">
        <f t="shared" si="118"/>
        <v>1856.4512023759737</v>
      </c>
      <c r="Q87" s="6">
        <f t="shared" si="118"/>
        <v>1945.0435383794488</v>
      </c>
      <c r="R87" s="6">
        <f t="shared" si="118"/>
        <v>2035.7863462555695</v>
      </c>
      <c r="S87" s="6">
        <f t="shared" si="118"/>
        <v>2128.7317950586366</v>
      </c>
      <c r="T87" s="6">
        <f t="shared" si="118"/>
        <v>2223.9333184965258</v>
      </c>
      <c r="U87" s="6">
        <f t="shared" si="118"/>
        <v>2321.4456455596214</v>
      </c>
      <c r="V87" s="6"/>
      <c r="W87" s="6"/>
      <c r="X87" s="6"/>
      <c r="Y87" s="6"/>
      <c r="Z87" s="6"/>
      <c r="AA87" s="6"/>
    </row>
    <row r="88" spans="1:27" x14ac:dyDescent="0.45">
      <c r="A88" s="2" t="s">
        <v>81</v>
      </c>
      <c r="B88" s="19">
        <f>B86</f>
        <v>-492.64575275245431</v>
      </c>
      <c r="C88" s="6">
        <f>B88+C86</f>
        <v>-232.6406043466074</v>
      </c>
      <c r="D88" s="6">
        <f t="shared" ref="D88:M88" si="119">C88+D86</f>
        <v>12.892168796746063</v>
      </c>
      <c r="E88" s="6">
        <f t="shared" si="119"/>
        <v>172.17116434873472</v>
      </c>
      <c r="F88" s="6">
        <f t="shared" si="119"/>
        <v>323.23785945170403</v>
      </c>
      <c r="G88" s="6">
        <f t="shared" si="119"/>
        <v>466.51565918172673</v>
      </c>
      <c r="H88" s="6">
        <f t="shared" si="119"/>
        <v>566.04539586209069</v>
      </c>
      <c r="I88" s="6">
        <f t="shared" si="119"/>
        <v>660.44277905094293</v>
      </c>
      <c r="J88" s="6">
        <f t="shared" si="119"/>
        <v>749.97245106875619</v>
      </c>
      <c r="K88" s="6">
        <f t="shared" si="119"/>
        <v>819.37377551931854</v>
      </c>
      <c r="L88" s="6">
        <f t="shared" si="119"/>
        <v>885.19593650941317</v>
      </c>
      <c r="M88" s="6">
        <f t="shared" si="119"/>
        <v>947.62350747468611</v>
      </c>
      <c r="N88" s="6">
        <f t="shared" ref="N88:U88" si="120">M88+N86</f>
        <v>980.36225375114145</v>
      </c>
      <c r="O88" s="6">
        <f t="shared" si="120"/>
        <v>1011.4117657903328</v>
      </c>
      <c r="P88" s="6">
        <f t="shared" si="120"/>
        <v>1040.8591940166095</v>
      </c>
      <c r="Q88" s="6">
        <f t="shared" si="120"/>
        <v>1068.7871930652561</v>
      </c>
      <c r="R88" s="6">
        <f t="shared" si="120"/>
        <v>1095.2741536840158</v>
      </c>
      <c r="S88" s="6">
        <f t="shared" si="120"/>
        <v>1120.394422673641</v>
      </c>
      <c r="T88" s="6">
        <f t="shared" si="120"/>
        <v>1144.2185114843455</v>
      </c>
      <c r="U88" s="6">
        <f t="shared" si="120"/>
        <v>1166.8132940532257</v>
      </c>
      <c r="V88" s="6"/>
      <c r="W88" s="6"/>
      <c r="X88" s="6"/>
      <c r="Y88" s="6"/>
      <c r="Z88" s="6"/>
      <c r="AA88" s="6"/>
    </row>
    <row r="89" spans="1:27" x14ac:dyDescent="0.45">
      <c r="B89" s="19"/>
      <c r="C89" s="6"/>
      <c r="D89" s="6"/>
      <c r="E89" s="6"/>
      <c r="F89" s="6"/>
      <c r="G89" s="6"/>
      <c r="H89" s="6"/>
      <c r="I89" s="6"/>
      <c r="J89" s="6"/>
      <c r="K89" s="6"/>
      <c r="L89" s="6"/>
      <c r="M89" s="6"/>
      <c r="N89" s="6"/>
      <c r="O89" s="6"/>
      <c r="P89" s="6"/>
      <c r="Q89" s="6"/>
      <c r="R89" s="6"/>
      <c r="S89" s="6"/>
      <c r="T89" s="6"/>
      <c r="U89" s="6"/>
      <c r="V89" s="6"/>
      <c r="W89" s="6"/>
      <c r="X89" s="6"/>
      <c r="Y89" s="6"/>
      <c r="Z89" s="6"/>
      <c r="AA89" s="6"/>
    </row>
    <row r="90" spans="1:27" x14ac:dyDescent="0.45">
      <c r="A90" s="38" t="s">
        <v>115</v>
      </c>
      <c r="B90" s="39">
        <f>SUM(B86:U86)</f>
        <v>1166.8132940532257</v>
      </c>
      <c r="C90" s="6"/>
    </row>
    <row r="91" spans="1:27" x14ac:dyDescent="0.45">
      <c r="A91" s="38" t="s">
        <v>116</v>
      </c>
      <c r="B91" s="50">
        <f>IRR(B84:U84)</f>
        <v>0.48691765148436827</v>
      </c>
      <c r="C91" s="4"/>
    </row>
    <row r="93" spans="1:27" x14ac:dyDescent="0.45">
      <c r="A93" s="1" t="s">
        <v>94</v>
      </c>
    </row>
    <row r="94" spans="1:27" x14ac:dyDescent="0.45">
      <c r="A94" s="11" t="s">
        <v>39</v>
      </c>
      <c r="B94" s="11">
        <v>0</v>
      </c>
      <c r="C94" s="11">
        <v>1</v>
      </c>
      <c r="D94" s="11">
        <v>2</v>
      </c>
      <c r="E94" s="11">
        <v>3</v>
      </c>
      <c r="F94" s="11">
        <v>4</v>
      </c>
      <c r="G94" s="11">
        <v>5</v>
      </c>
      <c r="H94" s="11">
        <v>6</v>
      </c>
      <c r="I94" s="11">
        <v>7</v>
      </c>
      <c r="J94" s="11">
        <v>8</v>
      </c>
      <c r="K94" s="11">
        <v>9</v>
      </c>
      <c r="L94" s="11">
        <v>10</v>
      </c>
      <c r="M94" s="11">
        <v>11</v>
      </c>
      <c r="N94" s="11">
        <v>12</v>
      </c>
      <c r="O94" s="11">
        <v>13</v>
      </c>
      <c r="P94" s="11">
        <v>14</v>
      </c>
      <c r="Q94" s="11">
        <v>15</v>
      </c>
      <c r="R94" s="11">
        <v>16</v>
      </c>
      <c r="S94" s="11">
        <v>17</v>
      </c>
      <c r="T94" s="11">
        <v>18</v>
      </c>
      <c r="U94" s="11">
        <v>19</v>
      </c>
      <c r="V94" s="11">
        <v>20</v>
      </c>
      <c r="W94" s="11">
        <v>21</v>
      </c>
      <c r="X94" s="11">
        <v>22</v>
      </c>
      <c r="Y94" s="11">
        <v>23</v>
      </c>
      <c r="Z94" s="11">
        <v>24</v>
      </c>
      <c r="AA94" s="11">
        <v>25</v>
      </c>
    </row>
    <row r="95" spans="1:27" x14ac:dyDescent="0.45">
      <c r="A95" s="1" t="s">
        <v>96</v>
      </c>
      <c r="B95" s="35">
        <f>B84</f>
        <v>-492.64575275245431</v>
      </c>
      <c r="C95" s="35">
        <f t="shared" ref="C95:M95" si="121">C84</f>
        <v>280.80556027831472</v>
      </c>
      <c r="D95" s="35">
        <f t="shared" si="121"/>
        <v>286.3894265944075</v>
      </c>
      <c r="E95" s="35">
        <f t="shared" si="121"/>
        <v>200.64566204478675</v>
      </c>
      <c r="F95" s="35">
        <f t="shared" si="121"/>
        <v>205.52457091127584</v>
      </c>
      <c r="G95" s="35">
        <f t="shared" si="121"/>
        <v>210.52209392544984</v>
      </c>
      <c r="H95" s="35">
        <f t="shared" si="121"/>
        <v>157.94118350744722</v>
      </c>
      <c r="I95" s="35">
        <f t="shared" si="121"/>
        <v>161.78052621833487</v>
      </c>
      <c r="J95" s="35">
        <f t="shared" si="121"/>
        <v>165.7131746543991</v>
      </c>
      <c r="K95" s="35">
        <f t="shared" si="121"/>
        <v>138.73356870385004</v>
      </c>
      <c r="L95" s="35">
        <f t="shared" si="121"/>
        <v>142.10510873602911</v>
      </c>
      <c r="M95" s="35">
        <f t="shared" si="121"/>
        <v>145.55855895402448</v>
      </c>
      <c r="N95" s="35">
        <f t="shared" ref="N95:U95" si="122">N84</f>
        <v>82.441732535488427</v>
      </c>
      <c r="O95" s="35">
        <f t="shared" si="122"/>
        <v>84.442989627615049</v>
      </c>
      <c r="P95" s="35">
        <f t="shared" si="122"/>
        <v>86.492798437004851</v>
      </c>
      <c r="Q95" s="35">
        <f t="shared" si="122"/>
        <v>88.592336003475197</v>
      </c>
      <c r="R95" s="35">
        <f t="shared" si="122"/>
        <v>90.742807876120736</v>
      </c>
      <c r="S95" s="35">
        <f t="shared" si="122"/>
        <v>92.945448803067165</v>
      </c>
      <c r="T95" s="35">
        <f t="shared" si="122"/>
        <v>95.201523437889293</v>
      </c>
      <c r="U95" s="35">
        <f t="shared" si="122"/>
        <v>97.512327063095753</v>
      </c>
    </row>
    <row r="96" spans="1:27" x14ac:dyDescent="0.45">
      <c r="A96" s="3" t="s">
        <v>112</v>
      </c>
      <c r="B96" s="33">
        <f>B55</f>
        <v>0</v>
      </c>
      <c r="C96" s="33"/>
      <c r="D96" s="33"/>
      <c r="E96" s="33"/>
      <c r="F96" s="33"/>
      <c r="G96" s="33"/>
      <c r="H96" s="33"/>
      <c r="I96" s="33"/>
      <c r="J96" s="33"/>
      <c r="K96" s="33"/>
      <c r="L96" s="33"/>
      <c r="M96" s="33"/>
      <c r="N96" s="33"/>
      <c r="O96" s="33"/>
      <c r="P96" s="33"/>
      <c r="Q96" s="33"/>
      <c r="R96" s="33"/>
      <c r="S96" s="33"/>
      <c r="T96" s="33"/>
      <c r="U96" s="33"/>
      <c r="V96" s="6"/>
      <c r="W96" s="6"/>
      <c r="X96" s="6"/>
      <c r="Y96" s="6"/>
      <c r="Z96" s="6"/>
      <c r="AA96" s="6"/>
    </row>
    <row r="97" spans="1:27" x14ac:dyDescent="0.45">
      <c r="A97" s="3" t="s">
        <v>102</v>
      </c>
      <c r="B97" s="19">
        <f>B57</f>
        <v>0</v>
      </c>
      <c r="C97" s="19">
        <f t="shared" ref="C97:F97" si="123">C57</f>
        <v>0</v>
      </c>
      <c r="D97" s="19">
        <f t="shared" si="123"/>
        <v>0</v>
      </c>
      <c r="E97" s="19">
        <f t="shared" si="123"/>
        <v>0</v>
      </c>
      <c r="F97" s="19">
        <f t="shared" si="123"/>
        <v>0</v>
      </c>
      <c r="G97" s="35"/>
      <c r="H97" s="35"/>
      <c r="I97" s="35"/>
      <c r="J97" s="35"/>
      <c r="K97" s="35"/>
      <c r="L97" s="35"/>
      <c r="M97" s="35"/>
      <c r="N97" s="35"/>
      <c r="O97" s="35"/>
      <c r="P97" s="35"/>
      <c r="Q97" s="35"/>
      <c r="R97" s="35"/>
      <c r="S97" s="35"/>
      <c r="T97" s="35"/>
      <c r="U97" s="35"/>
    </row>
    <row r="98" spans="1:27" x14ac:dyDescent="0.45">
      <c r="A98" s="36" t="s">
        <v>113</v>
      </c>
      <c r="B98" s="35">
        <f>B95+B96-B97</f>
        <v>-492.64575275245431</v>
      </c>
      <c r="C98" s="35">
        <f t="shared" ref="C98:M98" si="124">C95+C96-C97</f>
        <v>280.80556027831472</v>
      </c>
      <c r="D98" s="35">
        <f t="shared" si="124"/>
        <v>286.3894265944075</v>
      </c>
      <c r="E98" s="35">
        <f t="shared" si="124"/>
        <v>200.64566204478675</v>
      </c>
      <c r="F98" s="35">
        <f t="shared" si="124"/>
        <v>205.52457091127584</v>
      </c>
      <c r="G98" s="35">
        <f t="shared" si="124"/>
        <v>210.52209392544984</v>
      </c>
      <c r="H98" s="35">
        <f t="shared" si="124"/>
        <v>157.94118350744722</v>
      </c>
      <c r="I98" s="35">
        <f t="shared" si="124"/>
        <v>161.78052621833487</v>
      </c>
      <c r="J98" s="35">
        <f t="shared" si="124"/>
        <v>165.7131746543991</v>
      </c>
      <c r="K98" s="35">
        <f t="shared" si="124"/>
        <v>138.73356870385004</v>
      </c>
      <c r="L98" s="35">
        <f t="shared" si="124"/>
        <v>142.10510873602911</v>
      </c>
      <c r="M98" s="35">
        <f t="shared" si="124"/>
        <v>145.55855895402448</v>
      </c>
      <c r="N98" s="35">
        <f t="shared" ref="N98" si="125">N95+N96-N97</f>
        <v>82.441732535488427</v>
      </c>
      <c r="O98" s="35">
        <f t="shared" ref="O98" si="126">O95+O96-O97</f>
        <v>84.442989627615049</v>
      </c>
      <c r="P98" s="35">
        <f t="shared" ref="P98" si="127">P95+P96-P97</f>
        <v>86.492798437004851</v>
      </c>
      <c r="Q98" s="35">
        <f t="shared" ref="Q98" si="128">Q95+Q96-Q97</f>
        <v>88.592336003475197</v>
      </c>
      <c r="R98" s="35">
        <f t="shared" ref="R98" si="129">R95+R96-R97</f>
        <v>90.742807876120736</v>
      </c>
      <c r="S98" s="35">
        <f t="shared" ref="S98" si="130">S95+S96-S97</f>
        <v>92.945448803067165</v>
      </c>
      <c r="T98" s="35">
        <f t="shared" ref="T98" si="131">T95+T96-T97</f>
        <v>95.201523437889293</v>
      </c>
      <c r="U98" s="35">
        <f t="shared" ref="U98" si="132">U95+U96-U97</f>
        <v>97.512327063095753</v>
      </c>
      <c r="V98" s="6"/>
      <c r="W98" s="6"/>
      <c r="X98" s="6"/>
      <c r="Y98" s="6"/>
      <c r="Z98" s="6"/>
      <c r="AA98" s="6"/>
    </row>
    <row r="99" spans="1:27" x14ac:dyDescent="0.45">
      <c r="A99" s="36"/>
      <c r="B99" s="35"/>
      <c r="C99" s="35"/>
      <c r="D99" s="35"/>
      <c r="E99" s="35"/>
      <c r="F99" s="35"/>
      <c r="G99" s="35"/>
      <c r="H99" s="35"/>
      <c r="I99" s="35"/>
      <c r="J99" s="35"/>
      <c r="K99" s="35"/>
      <c r="L99" s="35"/>
      <c r="M99" s="35"/>
      <c r="N99" s="6"/>
      <c r="O99" s="6"/>
      <c r="P99" s="6"/>
      <c r="Q99" s="6"/>
      <c r="R99" s="6"/>
      <c r="S99" s="6"/>
      <c r="T99" s="6"/>
      <c r="U99" s="6"/>
      <c r="V99" s="6"/>
      <c r="W99" s="6"/>
      <c r="X99" s="6"/>
      <c r="Y99" s="6"/>
      <c r="Z99" s="6"/>
      <c r="AA99" s="6"/>
    </row>
    <row r="100" spans="1:27" x14ac:dyDescent="0.45">
      <c r="A100" s="40" t="s">
        <v>117</v>
      </c>
      <c r="B100" s="39">
        <f>NPV(B10,C98:U98)+B98</f>
        <v>1166.8132940532255</v>
      </c>
      <c r="C100" s="35"/>
      <c r="D100" s="35"/>
      <c r="E100" s="35"/>
      <c r="F100" s="35"/>
      <c r="G100" s="35"/>
      <c r="H100" s="35"/>
      <c r="I100" s="35"/>
      <c r="J100" s="35"/>
      <c r="K100" s="35"/>
      <c r="L100" s="35"/>
      <c r="M100" s="35"/>
      <c r="N100" s="6"/>
      <c r="O100" s="6"/>
      <c r="P100" s="6"/>
      <c r="Q100" s="6"/>
      <c r="R100" s="6"/>
      <c r="S100" s="6"/>
      <c r="T100" s="6"/>
      <c r="U100" s="6"/>
      <c r="V100" s="6"/>
      <c r="W100" s="6"/>
      <c r="X100" s="6"/>
      <c r="Y100" s="6"/>
      <c r="Z100" s="6"/>
      <c r="AA100" s="6"/>
    </row>
    <row r="101" spans="1:27" x14ac:dyDescent="0.45">
      <c r="A101" s="38" t="s">
        <v>114</v>
      </c>
      <c r="B101" s="50">
        <f>IRR(B98:U98)</f>
        <v>0.48691765148436827</v>
      </c>
    </row>
    <row r="103" spans="1:27" x14ac:dyDescent="0.45">
      <c r="A103" s="25" t="s">
        <v>89</v>
      </c>
    </row>
    <row r="104" spans="1:27" x14ac:dyDescent="0.45">
      <c r="A104" s="24" t="s">
        <v>121</v>
      </c>
    </row>
  </sheetData>
  <mergeCells count="2">
    <mergeCell ref="A1:I1"/>
    <mergeCell ref="A2:I2"/>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509A8-6A96-48DC-B167-555E6330119D}">
  <dimension ref="A1:AA105"/>
  <sheetViews>
    <sheetView topLeftCell="A4" workbookViewId="0">
      <selection activeCell="D19" sqref="D19"/>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120</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3</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768</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14">
        <v>0</v>
      </c>
    </row>
    <row r="20" spans="1:15" x14ac:dyDescent="0.45">
      <c r="A20" s="3" t="s">
        <v>13</v>
      </c>
      <c r="B20" s="4">
        <v>0.55000000000000004</v>
      </c>
      <c r="E20" s="2" t="s">
        <v>36</v>
      </c>
      <c r="H20" s="14">
        <v>0</v>
      </c>
      <c r="I20" s="2" t="s">
        <v>98</v>
      </c>
    </row>
    <row r="21" spans="1:15" x14ac:dyDescent="0.45">
      <c r="A21" s="3" t="s">
        <v>54</v>
      </c>
      <c r="B21" s="14">
        <v>0.75</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0.08</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124</v>
      </c>
      <c r="B28" s="4">
        <v>0.1</v>
      </c>
      <c r="C28" s="2" t="s">
        <v>25</v>
      </c>
      <c r="E28" s="2" t="s">
        <v>57</v>
      </c>
      <c r="H28" s="14">
        <v>0.2</v>
      </c>
      <c r="N28" s="4"/>
      <c r="O28" s="9"/>
    </row>
    <row r="29" spans="1:15" x14ac:dyDescent="0.45">
      <c r="A29" s="2" t="s">
        <v>125</v>
      </c>
      <c r="B29" s="47">
        <v>0.2</v>
      </c>
      <c r="C29" s="2" t="s">
        <v>25</v>
      </c>
      <c r="H29" s="14"/>
      <c r="N29" s="4"/>
      <c r="O29" s="9"/>
    </row>
    <row r="30" spans="1:15" ht="15.75" thickBot="1" x14ac:dyDescent="0.5">
      <c r="A30" s="12" t="s">
        <v>26</v>
      </c>
      <c r="B30" s="30">
        <v>1E-3</v>
      </c>
      <c r="C30" s="12" t="s">
        <v>27</v>
      </c>
      <c r="D30" s="12"/>
      <c r="E30" s="12" t="s">
        <v>58</v>
      </c>
      <c r="F30" s="12"/>
      <c r="G30" s="12"/>
      <c r="H30" s="18">
        <v>1000000</v>
      </c>
      <c r="I30" s="12"/>
    </row>
    <row r="31" spans="1:15" ht="15.75" thickTop="1" x14ac:dyDescent="0.45"/>
    <row r="32" spans="1:15" ht="18.75" x14ac:dyDescent="0.5">
      <c r="A32" s="27" t="s">
        <v>33</v>
      </c>
    </row>
    <row r="33" spans="1:27" x14ac:dyDescent="0.45">
      <c r="A33" s="1" t="s">
        <v>38</v>
      </c>
    </row>
    <row r="34" spans="1:27" x14ac:dyDescent="0.45">
      <c r="A34" s="11" t="s">
        <v>39</v>
      </c>
      <c r="B34" s="11">
        <v>0</v>
      </c>
      <c r="C34" s="11">
        <v>1</v>
      </c>
      <c r="D34" s="11">
        <v>2</v>
      </c>
      <c r="E34" s="11">
        <v>3</v>
      </c>
      <c r="F34" s="11">
        <v>4</v>
      </c>
      <c r="G34" s="11">
        <v>5</v>
      </c>
      <c r="H34" s="11">
        <v>6</v>
      </c>
      <c r="I34" s="11">
        <v>7</v>
      </c>
      <c r="J34" s="11">
        <v>8</v>
      </c>
      <c r="K34" s="11">
        <v>9</v>
      </c>
      <c r="L34" s="11">
        <v>10</v>
      </c>
      <c r="M34" s="11">
        <v>11</v>
      </c>
      <c r="N34" s="11">
        <v>12</v>
      </c>
      <c r="O34" s="11">
        <v>13</v>
      </c>
      <c r="P34" s="11">
        <v>14</v>
      </c>
      <c r="Q34" s="11">
        <v>15</v>
      </c>
      <c r="R34" s="11">
        <v>16</v>
      </c>
      <c r="S34" s="11">
        <v>17</v>
      </c>
      <c r="T34" s="11">
        <v>18</v>
      </c>
      <c r="U34" s="11">
        <v>19</v>
      </c>
      <c r="V34" s="11">
        <v>20</v>
      </c>
      <c r="W34" s="11">
        <v>21</v>
      </c>
      <c r="X34" s="11">
        <v>22</v>
      </c>
      <c r="Y34" s="11">
        <v>23</v>
      </c>
      <c r="Z34" s="11">
        <v>24</v>
      </c>
      <c r="AA34" s="11">
        <v>25</v>
      </c>
    </row>
    <row r="35" spans="1:27" x14ac:dyDescent="0.45">
      <c r="A35" s="2" t="s">
        <v>40</v>
      </c>
      <c r="B35" s="5">
        <f t="shared" ref="B35:AA35" si="0">(1+$B$27)^B34</f>
        <v>1</v>
      </c>
      <c r="C35" s="5">
        <f t="shared" si="0"/>
        <v>1.03</v>
      </c>
      <c r="D35" s="5">
        <f t="shared" si="0"/>
        <v>1.0609</v>
      </c>
      <c r="E35" s="5">
        <f t="shared" si="0"/>
        <v>1.092727</v>
      </c>
      <c r="F35" s="5">
        <f t="shared" si="0"/>
        <v>1.1255088099999999</v>
      </c>
      <c r="G35" s="5">
        <f t="shared" si="0"/>
        <v>1.1592740742999998</v>
      </c>
      <c r="H35" s="5">
        <f t="shared" si="0"/>
        <v>1.1940522965289999</v>
      </c>
      <c r="I35" s="5">
        <f t="shared" si="0"/>
        <v>1.22987386542487</v>
      </c>
      <c r="J35" s="5">
        <f t="shared" si="0"/>
        <v>1.2667700813876159</v>
      </c>
      <c r="K35" s="5">
        <f t="shared" si="0"/>
        <v>1.3047731838292445</v>
      </c>
      <c r="L35" s="5">
        <f t="shared" si="0"/>
        <v>1.3439163793441218</v>
      </c>
      <c r="M35" s="5">
        <f t="shared" si="0"/>
        <v>1.3842338707244455</v>
      </c>
      <c r="N35" s="5">
        <f t="shared" si="0"/>
        <v>1.4257608868461786</v>
      </c>
      <c r="O35" s="5">
        <f t="shared" si="0"/>
        <v>1.4685337134515639</v>
      </c>
      <c r="P35" s="5">
        <f t="shared" si="0"/>
        <v>1.512589724855111</v>
      </c>
      <c r="Q35" s="5">
        <f t="shared" si="0"/>
        <v>1.5579674166007644</v>
      </c>
      <c r="R35" s="5">
        <f t="shared" si="0"/>
        <v>1.6047064390987871</v>
      </c>
      <c r="S35" s="5">
        <f t="shared" si="0"/>
        <v>1.6528476322717507</v>
      </c>
      <c r="T35" s="5">
        <f t="shared" si="0"/>
        <v>1.7024330612399032</v>
      </c>
      <c r="U35" s="5">
        <f t="shared" si="0"/>
        <v>1.7535060530771003</v>
      </c>
      <c r="V35" s="5">
        <f t="shared" si="0"/>
        <v>1.8061112346694133</v>
      </c>
      <c r="W35" s="5">
        <f t="shared" si="0"/>
        <v>1.8602945717094954</v>
      </c>
      <c r="X35" s="5">
        <f t="shared" si="0"/>
        <v>1.9161034088607805</v>
      </c>
      <c r="Y35" s="5">
        <f t="shared" si="0"/>
        <v>1.973586511126604</v>
      </c>
      <c r="Z35" s="5">
        <f t="shared" si="0"/>
        <v>2.0327941064604018</v>
      </c>
      <c r="AA35" s="5">
        <f t="shared" si="0"/>
        <v>2.0937779296542138</v>
      </c>
    </row>
    <row r="36" spans="1:27" x14ac:dyDescent="0.45">
      <c r="A36" s="2" t="s">
        <v>41</v>
      </c>
      <c r="B36" s="5">
        <f t="shared" ref="B36:AA36" si="1">(1+$B$26)^B34</f>
        <v>1</v>
      </c>
      <c r="C36" s="5">
        <f t="shared" si="1"/>
        <v>1.03</v>
      </c>
      <c r="D36" s="5">
        <f t="shared" si="1"/>
        <v>1.0609</v>
      </c>
      <c r="E36" s="5">
        <f t="shared" si="1"/>
        <v>1.092727</v>
      </c>
      <c r="F36" s="5">
        <f t="shared" si="1"/>
        <v>1.1255088099999999</v>
      </c>
      <c r="G36" s="5">
        <f t="shared" si="1"/>
        <v>1.1592740742999998</v>
      </c>
      <c r="H36" s="5">
        <f t="shared" si="1"/>
        <v>1.1940522965289999</v>
      </c>
      <c r="I36" s="5">
        <f t="shared" si="1"/>
        <v>1.22987386542487</v>
      </c>
      <c r="J36" s="5">
        <f t="shared" si="1"/>
        <v>1.2667700813876159</v>
      </c>
      <c r="K36" s="5">
        <f t="shared" si="1"/>
        <v>1.3047731838292445</v>
      </c>
      <c r="L36" s="5">
        <f t="shared" si="1"/>
        <v>1.3439163793441218</v>
      </c>
      <c r="M36" s="5">
        <f t="shared" si="1"/>
        <v>1.3842338707244455</v>
      </c>
      <c r="N36" s="5">
        <f t="shared" si="1"/>
        <v>1.4257608868461786</v>
      </c>
      <c r="O36" s="5">
        <f t="shared" si="1"/>
        <v>1.4685337134515639</v>
      </c>
      <c r="P36" s="5">
        <f t="shared" si="1"/>
        <v>1.512589724855111</v>
      </c>
      <c r="Q36" s="5">
        <f t="shared" si="1"/>
        <v>1.5579674166007644</v>
      </c>
      <c r="R36" s="5">
        <f t="shared" si="1"/>
        <v>1.6047064390987871</v>
      </c>
      <c r="S36" s="5">
        <f t="shared" si="1"/>
        <v>1.6528476322717507</v>
      </c>
      <c r="T36" s="5">
        <f t="shared" si="1"/>
        <v>1.7024330612399032</v>
      </c>
      <c r="U36" s="5">
        <f t="shared" si="1"/>
        <v>1.7535060530771003</v>
      </c>
      <c r="V36" s="5">
        <f t="shared" si="1"/>
        <v>1.8061112346694133</v>
      </c>
      <c r="W36" s="5">
        <f t="shared" si="1"/>
        <v>1.8602945717094954</v>
      </c>
      <c r="X36" s="5">
        <f t="shared" si="1"/>
        <v>1.9161034088607805</v>
      </c>
      <c r="Y36" s="5">
        <f t="shared" si="1"/>
        <v>1.973586511126604</v>
      </c>
      <c r="Z36" s="5">
        <f t="shared" si="1"/>
        <v>2.0327941064604018</v>
      </c>
      <c r="AA36" s="5">
        <f t="shared" si="1"/>
        <v>2.0937779296542138</v>
      </c>
    </row>
    <row r="37" spans="1:27" x14ac:dyDescent="0.45">
      <c r="A37" s="2" t="s">
        <v>53</v>
      </c>
      <c r="B37" s="5">
        <f t="shared" ref="B37" si="2">(1-$B$17)</f>
        <v>0.9</v>
      </c>
      <c r="C37" s="5">
        <f>(1-$B$17)</f>
        <v>0.9</v>
      </c>
      <c r="D37" s="5">
        <f t="shared" ref="D37" si="3">(1-$B$17)</f>
        <v>0.9</v>
      </c>
      <c r="E37" s="5">
        <f t="shared" ref="E37" si="4">(1-$B$18)</f>
        <v>0.75</v>
      </c>
      <c r="F37" s="5">
        <f>(1-$B$18)</f>
        <v>0.75</v>
      </c>
      <c r="G37" s="5">
        <f t="shared" ref="G37" si="5">(1-$B$18)</f>
        <v>0.75</v>
      </c>
      <c r="H37" s="5">
        <f t="shared" ref="H37" si="6">(1-$B$19)</f>
        <v>0.55000000000000004</v>
      </c>
      <c r="I37" s="5">
        <f>(1-$B$19)</f>
        <v>0.55000000000000004</v>
      </c>
      <c r="J37" s="5">
        <f t="shared" ref="J37" si="7">(1-$B$19)</f>
        <v>0.55000000000000004</v>
      </c>
      <c r="K37" s="5">
        <f t="shared" ref="K37" si="8">(1-$B$20)</f>
        <v>0.44999999999999996</v>
      </c>
      <c r="L37" s="5">
        <f>(1-$B$20)</f>
        <v>0.44999999999999996</v>
      </c>
      <c r="M37" s="5">
        <f t="shared" ref="M37" si="9">(1-$B$20)</f>
        <v>0.44999999999999996</v>
      </c>
      <c r="N37" s="32">
        <f t="shared" ref="N37" si="10">(1-$B$21)</f>
        <v>0.25</v>
      </c>
      <c r="O37" s="32">
        <f>(1-$B$21)</f>
        <v>0.25</v>
      </c>
      <c r="P37" s="32">
        <f t="shared" ref="P37:U37" si="11">(1-$B$21)</f>
        <v>0.25</v>
      </c>
      <c r="Q37" s="32">
        <f t="shared" si="11"/>
        <v>0.25</v>
      </c>
      <c r="R37" s="32">
        <f t="shared" si="11"/>
        <v>0.25</v>
      </c>
      <c r="S37" s="32">
        <f t="shared" si="11"/>
        <v>0.25</v>
      </c>
      <c r="T37" s="32">
        <f t="shared" si="11"/>
        <v>0.25</v>
      </c>
      <c r="U37" s="32">
        <f t="shared" si="11"/>
        <v>0.25</v>
      </c>
      <c r="V37" s="46"/>
      <c r="W37" s="46"/>
      <c r="X37" s="46"/>
      <c r="Y37" s="46"/>
      <c r="Z37" s="46"/>
      <c r="AA37" s="46"/>
    </row>
    <row r="38" spans="1:27" x14ac:dyDescent="0.45">
      <c r="A38" s="2" t="s">
        <v>42</v>
      </c>
      <c r="B38" s="5">
        <f>1-B23</f>
        <v>0.99</v>
      </c>
      <c r="C38" s="5">
        <f t="shared" ref="C38:AA38" si="12">B38*(1-$B$24)</f>
        <v>0.98455500000000007</v>
      </c>
      <c r="D38" s="5">
        <f t="shared" si="12"/>
        <v>0.97913994750000011</v>
      </c>
      <c r="E38" s="5">
        <f t="shared" si="12"/>
        <v>0.97375467778875013</v>
      </c>
      <c r="F38" s="5">
        <f t="shared" si="12"/>
        <v>0.96839902706091208</v>
      </c>
      <c r="G38" s="5">
        <f t="shared" si="12"/>
        <v>0.96307283241207708</v>
      </c>
      <c r="H38" s="5">
        <f t="shared" si="12"/>
        <v>0.95777593183381071</v>
      </c>
      <c r="I38" s="5">
        <f t="shared" si="12"/>
        <v>0.95250816420872475</v>
      </c>
      <c r="J38" s="5">
        <f t="shared" si="12"/>
        <v>0.94726936930557681</v>
      </c>
      <c r="K38" s="5">
        <f t="shared" si="12"/>
        <v>0.94205938777439624</v>
      </c>
      <c r="L38" s="5">
        <f t="shared" si="12"/>
        <v>0.93687806114163708</v>
      </c>
      <c r="M38" s="5">
        <f t="shared" si="12"/>
        <v>0.93172523180535816</v>
      </c>
      <c r="N38" s="5">
        <f t="shared" si="12"/>
        <v>0.92660074303042872</v>
      </c>
      <c r="O38" s="5">
        <f t="shared" si="12"/>
        <v>0.92150443894376144</v>
      </c>
      <c r="P38" s="5">
        <f t="shared" si="12"/>
        <v>0.91643616452957077</v>
      </c>
      <c r="Q38" s="5">
        <f t="shared" si="12"/>
        <v>0.91139576562465818</v>
      </c>
      <c r="R38" s="5">
        <f t="shared" si="12"/>
        <v>0.90638308891372266</v>
      </c>
      <c r="S38" s="5">
        <f t="shared" si="12"/>
        <v>0.90139798192469722</v>
      </c>
      <c r="T38" s="5">
        <f t="shared" si="12"/>
        <v>0.89644029302411143</v>
      </c>
      <c r="U38" s="5">
        <f t="shared" si="12"/>
        <v>0.89150987141247884</v>
      </c>
      <c r="V38" s="5">
        <f t="shared" si="12"/>
        <v>0.8866065671197102</v>
      </c>
      <c r="W38" s="5">
        <f t="shared" si="12"/>
        <v>0.88173023100055181</v>
      </c>
      <c r="X38" s="5">
        <f t="shared" si="12"/>
        <v>0.8768807147300488</v>
      </c>
      <c r="Y38" s="5">
        <f t="shared" si="12"/>
        <v>0.87205787079903363</v>
      </c>
      <c r="Z38" s="5">
        <f t="shared" si="12"/>
        <v>0.86726155250963899</v>
      </c>
      <c r="AA38" s="5">
        <f t="shared" si="12"/>
        <v>0.86249161397083607</v>
      </c>
    </row>
    <row r="40" spans="1:27" x14ac:dyDescent="0.45">
      <c r="A40" s="1" t="s">
        <v>44</v>
      </c>
    </row>
    <row r="41" spans="1:27" x14ac:dyDescent="0.45">
      <c r="A41" s="11" t="s">
        <v>39</v>
      </c>
      <c r="B41" s="11">
        <v>0</v>
      </c>
      <c r="C41" s="11">
        <v>1</v>
      </c>
      <c r="D41" s="11">
        <v>2</v>
      </c>
      <c r="E41" s="11">
        <v>3</v>
      </c>
      <c r="F41" s="11">
        <v>4</v>
      </c>
      <c r="G41" s="11">
        <v>5</v>
      </c>
      <c r="H41" s="11">
        <v>6</v>
      </c>
      <c r="I41" s="11">
        <v>7</v>
      </c>
      <c r="J41" s="11">
        <v>8</v>
      </c>
      <c r="K41" s="11">
        <v>9</v>
      </c>
      <c r="L41" s="11">
        <v>10</v>
      </c>
      <c r="M41" s="11">
        <v>11</v>
      </c>
      <c r="N41" s="11">
        <v>12</v>
      </c>
      <c r="O41" s="11">
        <v>13</v>
      </c>
      <c r="P41" s="11">
        <v>14</v>
      </c>
      <c r="Q41" s="11">
        <v>15</v>
      </c>
      <c r="R41" s="11">
        <v>16</v>
      </c>
      <c r="S41" s="11">
        <v>17</v>
      </c>
      <c r="T41" s="11">
        <v>18</v>
      </c>
      <c r="U41" s="11">
        <v>19</v>
      </c>
      <c r="V41" s="11">
        <v>20</v>
      </c>
      <c r="W41" s="11">
        <v>21</v>
      </c>
      <c r="X41" s="11">
        <v>22</v>
      </c>
      <c r="Y41" s="11">
        <v>23</v>
      </c>
      <c r="Z41" s="11">
        <v>24</v>
      </c>
      <c r="AA41" s="11">
        <v>25</v>
      </c>
    </row>
    <row r="42" spans="1:27" x14ac:dyDescent="0.45">
      <c r="A42" s="2" t="s">
        <v>48</v>
      </c>
      <c r="B42" s="6">
        <f t="shared" ref="B42:AA42" si="13">$H$25*$B$25*B38</f>
        <v>89801.91</v>
      </c>
      <c r="C42" s="6">
        <f t="shared" si="13"/>
        <v>89307.999495000011</v>
      </c>
      <c r="D42" s="6">
        <f t="shared" si="13"/>
        <v>88816.805497777503</v>
      </c>
      <c r="E42" s="6">
        <f t="shared" si="13"/>
        <v>88328.313067539741</v>
      </c>
      <c r="F42" s="6">
        <f t="shared" si="13"/>
        <v>87842.507345668273</v>
      </c>
      <c r="G42" s="6">
        <f t="shared" si="13"/>
        <v>87359.373555267099</v>
      </c>
      <c r="H42" s="6">
        <f t="shared" si="13"/>
        <v>86878.897000713143</v>
      </c>
      <c r="I42" s="6">
        <f t="shared" si="13"/>
        <v>86401.063067209208</v>
      </c>
      <c r="J42" s="6">
        <f t="shared" si="13"/>
        <v>85925.857220339574</v>
      </c>
      <c r="K42" s="6">
        <f t="shared" si="13"/>
        <v>85453.265005627705</v>
      </c>
      <c r="L42" s="6">
        <f t="shared" si="13"/>
        <v>84983.272048096755</v>
      </c>
      <c r="M42" s="6">
        <f t="shared" si="13"/>
        <v>84515.864051832235</v>
      </c>
      <c r="N42" s="6">
        <f t="shared" si="13"/>
        <v>84051.026799547166</v>
      </c>
      <c r="O42" s="6">
        <f t="shared" si="13"/>
        <v>83588.746152149659</v>
      </c>
      <c r="P42" s="6">
        <f t="shared" si="13"/>
        <v>83129.00804831284</v>
      </c>
      <c r="Q42" s="6">
        <f t="shared" si="13"/>
        <v>82671.798504047125</v>
      </c>
      <c r="R42" s="6">
        <f t="shared" si="13"/>
        <v>82217.103612274863</v>
      </c>
      <c r="S42" s="6">
        <f t="shared" si="13"/>
        <v>81764.90954240736</v>
      </c>
      <c r="T42" s="6">
        <f t="shared" si="13"/>
        <v>81315.202539924125</v>
      </c>
      <c r="U42" s="6">
        <f t="shared" si="13"/>
        <v>80867.968925954541</v>
      </c>
      <c r="V42" s="6">
        <f t="shared" si="13"/>
        <v>80423.195096861789</v>
      </c>
      <c r="W42" s="6">
        <f t="shared" si="13"/>
        <v>79980.86752382906</v>
      </c>
      <c r="X42" s="6">
        <f t="shared" si="13"/>
        <v>79540.972752447997</v>
      </c>
      <c r="Y42" s="6">
        <f t="shared" si="13"/>
        <v>79103.497402309542</v>
      </c>
      <c r="Z42" s="6">
        <f t="shared" si="13"/>
        <v>78668.428166596845</v>
      </c>
      <c r="AA42" s="6">
        <f t="shared" si="13"/>
        <v>78235.751811680573</v>
      </c>
    </row>
    <row r="43" spans="1:27" x14ac:dyDescent="0.45">
      <c r="A43" s="2" t="s">
        <v>49</v>
      </c>
      <c r="B43" s="6">
        <f t="shared" ref="B43:AA43" si="14">B42*$H$26</f>
        <v>72899.926939266399</v>
      </c>
      <c r="C43" s="6">
        <f t="shared" si="14"/>
        <v>72498.977341100443</v>
      </c>
      <c r="D43" s="6">
        <f t="shared" si="14"/>
        <v>72100.232965724383</v>
      </c>
      <c r="E43" s="6">
        <f t="shared" si="14"/>
        <v>71703.681684412906</v>
      </c>
      <c r="F43" s="6">
        <f t="shared" si="14"/>
        <v>71309.311435148644</v>
      </c>
      <c r="G43" s="6">
        <f t="shared" si="14"/>
        <v>70917.110222255316</v>
      </c>
      <c r="H43" s="6">
        <f t="shared" si="14"/>
        <v>70527.066116032933</v>
      </c>
      <c r="I43" s="6">
        <f t="shared" si="14"/>
        <v>70139.167252394735</v>
      </c>
      <c r="J43" s="6">
        <f t="shared" si="14"/>
        <v>69753.401832506584</v>
      </c>
      <c r="K43" s="6">
        <f t="shared" si="14"/>
        <v>69369.758122427796</v>
      </c>
      <c r="L43" s="6">
        <f t="shared" si="14"/>
        <v>68988.224452754439</v>
      </c>
      <c r="M43" s="6">
        <f t="shared" si="14"/>
        <v>68608.789218264297</v>
      </c>
      <c r="N43" s="6">
        <f t="shared" si="14"/>
        <v>68231.440877563859</v>
      </c>
      <c r="O43" s="6">
        <f t="shared" si="14"/>
        <v>67856.167952737262</v>
      </c>
      <c r="P43" s="6">
        <f t="shared" si="14"/>
        <v>67482.959028997197</v>
      </c>
      <c r="Q43" s="6">
        <f t="shared" si="14"/>
        <v>67111.802754337725</v>
      </c>
      <c r="R43" s="6">
        <f t="shared" si="14"/>
        <v>66742.68783918886</v>
      </c>
      <c r="S43" s="6">
        <f t="shared" si="14"/>
        <v>66375.603056073334</v>
      </c>
      <c r="T43" s="6">
        <f t="shared" si="14"/>
        <v>66010.53723926493</v>
      </c>
      <c r="U43" s="6">
        <f t="shared" si="14"/>
        <v>65647.479284448971</v>
      </c>
      <c r="V43" s="6">
        <f t="shared" si="14"/>
        <v>65286.418148384502</v>
      </c>
      <c r="W43" s="6">
        <f t="shared" si="14"/>
        <v>64927.342848568398</v>
      </c>
      <c r="X43" s="6">
        <f t="shared" si="14"/>
        <v>64570.242462901268</v>
      </c>
      <c r="Y43" s="6">
        <f t="shared" si="14"/>
        <v>64215.106129355321</v>
      </c>
      <c r="Z43" s="6">
        <f t="shared" si="14"/>
        <v>63861.923045643867</v>
      </c>
      <c r="AA43" s="6">
        <f t="shared" si="14"/>
        <v>63510.682468892839</v>
      </c>
    </row>
    <row r="44" spans="1:27" x14ac:dyDescent="0.45">
      <c r="A44" s="2" t="s">
        <v>50</v>
      </c>
      <c r="B44" s="6">
        <f>B42-B43</f>
        <v>16901.983060733604</v>
      </c>
      <c r="C44" s="6">
        <f t="shared" ref="C44:AA44" si="15">C42-C43</f>
        <v>16809.022153899568</v>
      </c>
      <c r="D44" s="6">
        <f t="shared" si="15"/>
        <v>16716.57253205312</v>
      </c>
      <c r="E44" s="6">
        <f t="shared" si="15"/>
        <v>16624.631383126834</v>
      </c>
      <c r="F44" s="6">
        <f t="shared" si="15"/>
        <v>16533.195910519629</v>
      </c>
      <c r="G44" s="6">
        <f t="shared" si="15"/>
        <v>16442.263333011782</v>
      </c>
      <c r="H44" s="6">
        <f t="shared" si="15"/>
        <v>16351.83088468021</v>
      </c>
      <c r="I44" s="6">
        <f t="shared" si="15"/>
        <v>16261.895814814474</v>
      </c>
      <c r="J44" s="6">
        <f t="shared" si="15"/>
        <v>16172.45538783299</v>
      </c>
      <c r="K44" s="6">
        <f t="shared" si="15"/>
        <v>16083.506883199909</v>
      </c>
      <c r="L44" s="6">
        <f t="shared" si="15"/>
        <v>15995.047595342316</v>
      </c>
      <c r="M44" s="6">
        <f t="shared" si="15"/>
        <v>15907.074833567938</v>
      </c>
      <c r="N44" s="6">
        <f t="shared" si="15"/>
        <v>15819.585921983307</v>
      </c>
      <c r="O44" s="6">
        <f t="shared" si="15"/>
        <v>15732.578199412397</v>
      </c>
      <c r="P44" s="6">
        <f t="shared" si="15"/>
        <v>15646.049019315644</v>
      </c>
      <c r="Q44" s="6">
        <f t="shared" si="15"/>
        <v>15559.9957497094</v>
      </c>
      <c r="R44" s="6">
        <f t="shared" si="15"/>
        <v>15474.415773086002</v>
      </c>
      <c r="S44" s="6">
        <f t="shared" si="15"/>
        <v>15389.306486334026</v>
      </c>
      <c r="T44" s="6">
        <f t="shared" si="15"/>
        <v>15304.665300659195</v>
      </c>
      <c r="U44" s="6">
        <f t="shared" si="15"/>
        <v>15220.48964150557</v>
      </c>
      <c r="V44" s="6">
        <f t="shared" si="15"/>
        <v>15136.776948477287</v>
      </c>
      <c r="W44" s="6">
        <f t="shared" si="15"/>
        <v>15053.524675260662</v>
      </c>
      <c r="X44" s="6">
        <f t="shared" si="15"/>
        <v>14970.730289546729</v>
      </c>
      <c r="Y44" s="6">
        <f t="shared" si="15"/>
        <v>14888.391272954221</v>
      </c>
      <c r="Z44" s="6">
        <f t="shared" si="15"/>
        <v>14806.505120952977</v>
      </c>
      <c r="AA44" s="6">
        <f t="shared" si="15"/>
        <v>14725.069342787734</v>
      </c>
    </row>
    <row r="46" spans="1:27" x14ac:dyDescent="0.45">
      <c r="A46" s="1" t="s">
        <v>60</v>
      </c>
    </row>
    <row r="47" spans="1:27" x14ac:dyDescent="0.45">
      <c r="A47" s="11" t="s">
        <v>39</v>
      </c>
      <c r="B47" s="11">
        <v>0</v>
      </c>
      <c r="C47" s="11">
        <v>1</v>
      </c>
      <c r="D47" s="11">
        <v>2</v>
      </c>
      <c r="E47" s="11">
        <v>3</v>
      </c>
      <c r="F47" s="11">
        <v>4</v>
      </c>
      <c r="G47" s="11">
        <v>5</v>
      </c>
      <c r="H47" s="11">
        <v>6</v>
      </c>
      <c r="I47" s="11">
        <v>7</v>
      </c>
      <c r="J47" s="11">
        <v>8</v>
      </c>
      <c r="K47" s="11">
        <v>9</v>
      </c>
      <c r="L47" s="11">
        <v>10</v>
      </c>
      <c r="M47" s="11">
        <v>11</v>
      </c>
      <c r="N47" s="11">
        <v>12</v>
      </c>
      <c r="O47" s="11">
        <v>13</v>
      </c>
      <c r="P47" s="11">
        <v>14</v>
      </c>
      <c r="Q47" s="11">
        <v>15</v>
      </c>
      <c r="R47" s="11">
        <v>16</v>
      </c>
      <c r="S47" s="11">
        <v>17</v>
      </c>
      <c r="T47" s="11">
        <v>18</v>
      </c>
      <c r="U47" s="11">
        <v>19</v>
      </c>
      <c r="V47" s="11">
        <v>20</v>
      </c>
      <c r="W47" s="11">
        <v>21</v>
      </c>
      <c r="X47" s="11">
        <v>22</v>
      </c>
      <c r="Y47" s="11">
        <v>23</v>
      </c>
      <c r="Z47" s="11">
        <v>24</v>
      </c>
      <c r="AA47" s="11">
        <v>25</v>
      </c>
    </row>
    <row r="48" spans="1:27" x14ac:dyDescent="0.45">
      <c r="A48" s="2" t="s">
        <v>51</v>
      </c>
      <c r="B48" s="2">
        <f>B14</f>
        <v>3501</v>
      </c>
      <c r="C48" s="6">
        <f>$B$14*C36</f>
        <v>3606.03</v>
      </c>
      <c r="D48" s="6">
        <f t="shared" ref="D48:AA48" si="16">$B$14*D36</f>
        <v>3714.2109</v>
      </c>
      <c r="E48" s="6">
        <f t="shared" si="16"/>
        <v>3825.6372270000002</v>
      </c>
      <c r="F48" s="6">
        <f t="shared" si="16"/>
        <v>3940.4063438099997</v>
      </c>
      <c r="G48" s="6">
        <f t="shared" si="16"/>
        <v>4058.6185341242995</v>
      </c>
      <c r="H48" s="6">
        <f t="shared" si="16"/>
        <v>4180.3770901480284</v>
      </c>
      <c r="I48" s="6">
        <f t="shared" si="16"/>
        <v>4305.7884028524695</v>
      </c>
      <c r="J48" s="6">
        <f t="shared" si="16"/>
        <v>4434.9620549380434</v>
      </c>
      <c r="K48" s="6">
        <f t="shared" si="16"/>
        <v>4568.010916586185</v>
      </c>
      <c r="L48" s="6">
        <f t="shared" si="16"/>
        <v>4705.0512440837701</v>
      </c>
      <c r="M48" s="6">
        <f t="shared" si="16"/>
        <v>4846.202781406284</v>
      </c>
      <c r="N48" s="6">
        <f t="shared" si="16"/>
        <v>4991.5888648484715</v>
      </c>
      <c r="O48" s="6">
        <f t="shared" si="16"/>
        <v>5141.3365307939257</v>
      </c>
      <c r="P48" s="6">
        <f t="shared" si="16"/>
        <v>5295.5766267177432</v>
      </c>
      <c r="Q48" s="6">
        <f t="shared" si="16"/>
        <v>5454.4439255192765</v>
      </c>
      <c r="R48" s="6">
        <f t="shared" si="16"/>
        <v>5618.0772432848535</v>
      </c>
      <c r="S48" s="6">
        <f t="shared" si="16"/>
        <v>5786.6195605833991</v>
      </c>
      <c r="T48" s="6">
        <f t="shared" si="16"/>
        <v>5960.2181474009012</v>
      </c>
      <c r="U48" s="6">
        <f t="shared" si="16"/>
        <v>6139.0246918229277</v>
      </c>
      <c r="V48" s="6">
        <f t="shared" si="16"/>
        <v>6323.195432577616</v>
      </c>
      <c r="W48" s="6">
        <f t="shared" si="16"/>
        <v>6512.8912955549431</v>
      </c>
      <c r="X48" s="6">
        <f t="shared" si="16"/>
        <v>6708.2780344215926</v>
      </c>
      <c r="Y48" s="6">
        <f t="shared" si="16"/>
        <v>6909.5263754542402</v>
      </c>
      <c r="Z48" s="6">
        <f t="shared" si="16"/>
        <v>7116.8121667178666</v>
      </c>
      <c r="AA48" s="6">
        <f t="shared" si="16"/>
        <v>7330.3165317194025</v>
      </c>
    </row>
    <row r="49" spans="1:27" x14ac:dyDescent="0.45">
      <c r="A49" s="2" t="s">
        <v>52</v>
      </c>
      <c r="B49" s="2">
        <f>B15</f>
        <v>5422</v>
      </c>
      <c r="C49" s="6">
        <f>$B$15*C36</f>
        <v>5584.66</v>
      </c>
      <c r="D49" s="6">
        <f t="shared" ref="D49:AA49" si="17">$B$15*D36</f>
        <v>5752.1997999999994</v>
      </c>
      <c r="E49" s="6">
        <f t="shared" si="17"/>
        <v>5924.7657939999999</v>
      </c>
      <c r="F49" s="6">
        <f t="shared" si="17"/>
        <v>6102.5087678199998</v>
      </c>
      <c r="G49" s="6">
        <f t="shared" si="17"/>
        <v>6285.5840308545994</v>
      </c>
      <c r="H49" s="6">
        <f t="shared" si="17"/>
        <v>6474.1515517802372</v>
      </c>
      <c r="I49" s="6">
        <f t="shared" si="17"/>
        <v>6668.3760983336451</v>
      </c>
      <c r="J49" s="6">
        <f t="shared" si="17"/>
        <v>6868.4273812836536</v>
      </c>
      <c r="K49" s="6">
        <f t="shared" si="17"/>
        <v>7074.4802027221631</v>
      </c>
      <c r="L49" s="6">
        <f t="shared" si="17"/>
        <v>7286.714608803828</v>
      </c>
      <c r="M49" s="6">
        <f t="shared" si="17"/>
        <v>7505.3160470679431</v>
      </c>
      <c r="N49" s="6">
        <f t="shared" si="17"/>
        <v>7730.4755284799803</v>
      </c>
      <c r="O49" s="6">
        <f t="shared" si="17"/>
        <v>7962.38979433438</v>
      </c>
      <c r="P49" s="6">
        <f t="shared" si="17"/>
        <v>8201.2614881644113</v>
      </c>
      <c r="Q49" s="6">
        <f t="shared" si="17"/>
        <v>8447.2993328093453</v>
      </c>
      <c r="R49" s="6">
        <f t="shared" si="17"/>
        <v>8700.7183127936241</v>
      </c>
      <c r="S49" s="6">
        <f t="shared" si="17"/>
        <v>8961.7398621774319</v>
      </c>
      <c r="T49" s="6">
        <f t="shared" si="17"/>
        <v>9230.5920580427555</v>
      </c>
      <c r="U49" s="6">
        <f t="shared" si="17"/>
        <v>9507.509819784038</v>
      </c>
      <c r="V49" s="6">
        <f t="shared" si="17"/>
        <v>9792.7351143775595</v>
      </c>
      <c r="W49" s="6">
        <f t="shared" si="17"/>
        <v>10086.517167808885</v>
      </c>
      <c r="X49" s="6">
        <f t="shared" si="17"/>
        <v>10389.112682843152</v>
      </c>
      <c r="Y49" s="6">
        <f t="shared" si="17"/>
        <v>10700.786063328447</v>
      </c>
      <c r="Z49" s="6">
        <f t="shared" si="17"/>
        <v>11021.809645228299</v>
      </c>
      <c r="AA49" s="6">
        <f t="shared" si="17"/>
        <v>11352.463934585146</v>
      </c>
    </row>
    <row r="50" spans="1:27" x14ac:dyDescent="0.45">
      <c r="A50" s="2" t="s">
        <v>55</v>
      </c>
      <c r="B50" s="19">
        <f t="shared" ref="B50:AA50" si="18">B43*B48*B37/$H$30</f>
        <v>229.70037979293448</v>
      </c>
      <c r="C50" s="19">
        <f t="shared" si="18"/>
        <v>235.29013853519558</v>
      </c>
      <c r="D50" s="19">
        <f t="shared" si="18"/>
        <v>241.01592405644956</v>
      </c>
      <c r="E50" s="19">
        <f t="shared" si="18"/>
        <v>205.73420547363608</v>
      </c>
      <c r="F50" s="19">
        <f t="shared" si="18"/>
        <v>210.74074736383702</v>
      </c>
      <c r="G50" s="19">
        <f t="shared" si="18"/>
        <v>215.86912345093589</v>
      </c>
      <c r="H50" s="19">
        <f t="shared" si="18"/>
        <v>162.15635228475068</v>
      </c>
      <c r="I50" s="19">
        <f t="shared" si="18"/>
        <v>166.10242711760003</v>
      </c>
      <c r="J50" s="19">
        <f t="shared" si="18"/>
        <v>170.1445296815069</v>
      </c>
      <c r="K50" s="19">
        <f t="shared" si="18"/>
        <v>142.59681557288701</v>
      </c>
      <c r="L50" s="19">
        <f t="shared" si="18"/>
        <v>146.06690907985319</v>
      </c>
      <c r="M50" s="19">
        <f t="shared" si="18"/>
        <v>149.62144731231146</v>
      </c>
      <c r="N50" s="19">
        <f t="shared" si="18"/>
        <v>85.145825129253637</v>
      </c>
      <c r="O50" s="19">
        <f t="shared" si="18"/>
        <v>87.217848783774031</v>
      </c>
      <c r="P50" s="19">
        <f t="shared" si="18"/>
        <v>89.340295133927171</v>
      </c>
      <c r="Q50" s="19">
        <f t="shared" si="18"/>
        <v>91.514391216011319</v>
      </c>
      <c r="R50" s="19">
        <f t="shared" si="18"/>
        <v>93.741393926252911</v>
      </c>
      <c r="S50" s="19">
        <f t="shared" si="18"/>
        <v>96.022590747448291</v>
      </c>
      <c r="T50" s="19">
        <f t="shared" si="18"/>
        <v>98.359300493287463</v>
      </c>
      <c r="U50" s="19">
        <f t="shared" si="18"/>
        <v>100.75287407079159</v>
      </c>
      <c r="V50" s="19">
        <f t="shared" si="18"/>
        <v>0</v>
      </c>
      <c r="W50" s="19">
        <f t="shared" si="18"/>
        <v>0</v>
      </c>
      <c r="X50" s="19">
        <f t="shared" si="18"/>
        <v>0</v>
      </c>
      <c r="Y50" s="19">
        <f t="shared" si="18"/>
        <v>0</v>
      </c>
      <c r="Z50" s="19">
        <f t="shared" si="18"/>
        <v>0</v>
      </c>
      <c r="AA50" s="19">
        <f t="shared" si="18"/>
        <v>0</v>
      </c>
    </row>
    <row r="51" spans="1:27" x14ac:dyDescent="0.45">
      <c r="A51" s="2" t="s">
        <v>56</v>
      </c>
      <c r="B51" s="19">
        <f t="shared" ref="B51:AA51" si="19">B44*B49*B37/$H$30</f>
        <v>82.478296939767858</v>
      </c>
      <c r="C51" s="19">
        <f t="shared" si="19"/>
        <v>84.485406295797091</v>
      </c>
      <c r="D51" s="19">
        <f t="shared" si="19"/>
        <v>86.541358658005294</v>
      </c>
      <c r="E51" s="19">
        <f t="shared" si="19"/>
        <v>73.872785517456592</v>
      </c>
      <c r="F51" s="19">
        <f t="shared" si="19"/>
        <v>75.670479753023869</v>
      </c>
      <c r="G51" s="19">
        <f t="shared" si="19"/>
        <v>77.511920877813722</v>
      </c>
      <c r="H51" s="19">
        <f t="shared" si="19"/>
        <v>58.225327213075211</v>
      </c>
      <c r="I51" s="19">
        <f t="shared" si="19"/>
        <v>59.642240550805425</v>
      </c>
      <c r="J51" s="19">
        <f t="shared" si="19"/>
        <v>61.09363447460926</v>
      </c>
      <c r="K51" s="19">
        <f t="shared" si="19"/>
        <v>51.20210296599452</v>
      </c>
      <c r="L51" s="19">
        <f t="shared" si="19"/>
        <v>52.448106141672021</v>
      </c>
      <c r="M51" s="19">
        <f t="shared" si="19"/>
        <v>53.724430804629634</v>
      </c>
      <c r="N51" s="19">
        <f t="shared" si="19"/>
        <v>30.57323046014459</v>
      </c>
      <c r="O51" s="19">
        <f t="shared" si="19"/>
        <v>31.317230023392209</v>
      </c>
      <c r="P51" s="19">
        <f t="shared" si="19"/>
        <v>32.079334816011482</v>
      </c>
      <c r="Q51" s="19">
        <f t="shared" si="19"/>
        <v>32.859985428759117</v>
      </c>
      <c r="R51" s="19">
        <f t="shared" si="19"/>
        <v>33.659633174167965</v>
      </c>
      <c r="S51" s="19">
        <f t="shared" si="19"/>
        <v>34.478740347461333</v>
      </c>
      <c r="T51" s="19">
        <f t="shared" si="19"/>
        <v>35.317780493816834</v>
      </c>
      <c r="U51" s="19">
        <f t="shared" si="19"/>
        <v>36.177238682133861</v>
      </c>
      <c r="V51" s="19">
        <f t="shared" si="19"/>
        <v>0</v>
      </c>
      <c r="W51" s="19">
        <f t="shared" si="19"/>
        <v>0</v>
      </c>
      <c r="X51" s="19">
        <f t="shared" si="19"/>
        <v>0</v>
      </c>
      <c r="Y51" s="19">
        <f t="shared" si="19"/>
        <v>0</v>
      </c>
      <c r="Z51" s="19">
        <f t="shared" si="19"/>
        <v>0</v>
      </c>
      <c r="AA51" s="19">
        <f t="shared" si="19"/>
        <v>0</v>
      </c>
    </row>
    <row r="52" spans="1:27" x14ac:dyDescent="0.45">
      <c r="A52" s="2" t="s">
        <v>59</v>
      </c>
      <c r="B52" s="19">
        <f>B50+B51</f>
        <v>312.17867673270234</v>
      </c>
      <c r="C52" s="19">
        <f t="shared" ref="C52:AA52" si="20">C50+C51</f>
        <v>319.77554483099266</v>
      </c>
      <c r="D52" s="19">
        <f t="shared" si="20"/>
        <v>327.55728271445486</v>
      </c>
      <c r="E52" s="19">
        <f t="shared" si="20"/>
        <v>279.60699099109269</v>
      </c>
      <c r="F52" s="19">
        <f t="shared" si="20"/>
        <v>286.41122711686091</v>
      </c>
      <c r="G52" s="19">
        <f t="shared" si="20"/>
        <v>293.38104432874962</v>
      </c>
      <c r="H52" s="19">
        <f t="shared" si="20"/>
        <v>220.3816794978259</v>
      </c>
      <c r="I52" s="19">
        <f t="shared" si="20"/>
        <v>225.74466766840544</v>
      </c>
      <c r="J52" s="19">
        <f t="shared" si="20"/>
        <v>231.23816415611617</v>
      </c>
      <c r="K52" s="19">
        <f t="shared" si="20"/>
        <v>193.79891853888154</v>
      </c>
      <c r="L52" s="19">
        <f t="shared" si="20"/>
        <v>198.5150152215252</v>
      </c>
      <c r="M52" s="19">
        <f t="shared" si="20"/>
        <v>203.34587811694109</v>
      </c>
      <c r="N52" s="19">
        <f t="shared" si="20"/>
        <v>115.71905558939822</v>
      </c>
      <c r="O52" s="19">
        <f t="shared" si="20"/>
        <v>118.53507880716624</v>
      </c>
      <c r="P52" s="19">
        <f t="shared" si="20"/>
        <v>121.41962994993865</v>
      </c>
      <c r="Q52" s="19">
        <f t="shared" si="20"/>
        <v>124.37437664477044</v>
      </c>
      <c r="R52" s="19">
        <f t="shared" si="20"/>
        <v>127.40102710042088</v>
      </c>
      <c r="S52" s="19">
        <f t="shared" si="20"/>
        <v>130.50133109490963</v>
      </c>
      <c r="T52" s="19">
        <f t="shared" si="20"/>
        <v>133.67708098710429</v>
      </c>
      <c r="U52" s="19">
        <f t="shared" si="20"/>
        <v>136.93011275292545</v>
      </c>
      <c r="V52" s="19">
        <f t="shared" si="20"/>
        <v>0</v>
      </c>
      <c r="W52" s="19">
        <f t="shared" si="20"/>
        <v>0</v>
      </c>
      <c r="X52" s="19">
        <f t="shared" si="20"/>
        <v>0</v>
      </c>
      <c r="Y52" s="19">
        <f t="shared" si="20"/>
        <v>0</v>
      </c>
      <c r="Z52" s="19">
        <f t="shared" si="20"/>
        <v>0</v>
      </c>
      <c r="AA52" s="19">
        <f t="shared" si="20"/>
        <v>0</v>
      </c>
    </row>
    <row r="53" spans="1:27" x14ac:dyDescent="0.4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x14ac:dyDescent="0.45">
      <c r="A54" s="1" t="s">
        <v>99</v>
      </c>
    </row>
    <row r="55" spans="1:27" x14ac:dyDescent="0.45">
      <c r="A55" s="11" t="s">
        <v>39</v>
      </c>
      <c r="B55" s="11">
        <v>0</v>
      </c>
      <c r="C55" s="11">
        <v>1</v>
      </c>
      <c r="D55" s="11">
        <v>2</v>
      </c>
      <c r="E55" s="11">
        <v>3</v>
      </c>
      <c r="F55" s="11">
        <v>4</v>
      </c>
      <c r="G55" s="11">
        <v>5</v>
      </c>
      <c r="H55" s="11">
        <v>6</v>
      </c>
      <c r="I55" s="11">
        <v>7</v>
      </c>
      <c r="J55" s="11">
        <v>8</v>
      </c>
      <c r="K55" s="11">
        <v>9</v>
      </c>
      <c r="L55" s="11">
        <v>10</v>
      </c>
      <c r="M55" s="11">
        <v>11</v>
      </c>
      <c r="N55" s="11">
        <v>12</v>
      </c>
      <c r="O55" s="11">
        <v>13</v>
      </c>
      <c r="P55" s="11">
        <v>14</v>
      </c>
      <c r="Q55" s="11">
        <v>15</v>
      </c>
      <c r="R55" s="11">
        <v>16</v>
      </c>
      <c r="S55" s="11">
        <v>17</v>
      </c>
      <c r="T55" s="11">
        <v>18</v>
      </c>
      <c r="U55" s="11">
        <v>19</v>
      </c>
      <c r="V55" s="11">
        <v>20</v>
      </c>
      <c r="W55" s="11">
        <v>21</v>
      </c>
      <c r="X55" s="11">
        <v>22</v>
      </c>
      <c r="Y55" s="11">
        <v>23</v>
      </c>
      <c r="Z55" s="11">
        <v>24</v>
      </c>
      <c r="AA55" s="11">
        <v>25</v>
      </c>
    </row>
    <row r="56" spans="1:27" x14ac:dyDescent="0.45">
      <c r="A56" s="2" t="s">
        <v>100</v>
      </c>
      <c r="B56" s="19">
        <f>H20*B8</f>
        <v>0</v>
      </c>
      <c r="C56" s="19">
        <f>B61</f>
        <v>0</v>
      </c>
      <c r="D56" s="19">
        <f t="shared" ref="D56:F56" si="21">C61</f>
        <v>0</v>
      </c>
      <c r="E56" s="19">
        <f t="shared" si="21"/>
        <v>0</v>
      </c>
      <c r="F56" s="19">
        <f t="shared" si="21"/>
        <v>0</v>
      </c>
      <c r="G56" s="19"/>
      <c r="H56" s="19"/>
      <c r="I56" s="19"/>
      <c r="J56" s="19"/>
      <c r="K56" s="19"/>
      <c r="L56" s="19"/>
      <c r="M56" s="19"/>
      <c r="N56" s="19"/>
      <c r="O56" s="19"/>
      <c r="P56" s="19"/>
      <c r="Q56" s="19"/>
      <c r="R56" s="19"/>
      <c r="S56" s="19"/>
      <c r="T56" s="19"/>
      <c r="U56" s="19"/>
      <c r="V56" s="19"/>
      <c r="W56" s="19"/>
      <c r="X56" s="19"/>
      <c r="Y56" s="19"/>
      <c r="Z56" s="19"/>
      <c r="AA56" s="19"/>
    </row>
    <row r="57" spans="1:27" x14ac:dyDescent="0.45">
      <c r="A57" s="2" t="s">
        <v>101</v>
      </c>
      <c r="B57" s="19">
        <f>B56*$H$21</f>
        <v>0</v>
      </c>
      <c r="C57" s="19">
        <f>C56*$H$21</f>
        <v>0</v>
      </c>
      <c r="D57" s="19">
        <f>D56*$H$21</f>
        <v>0</v>
      </c>
      <c r="E57" s="19">
        <f>E56*$H$21</f>
        <v>0</v>
      </c>
      <c r="F57" s="19">
        <f>F56*$H$21</f>
        <v>0</v>
      </c>
      <c r="G57" s="19"/>
      <c r="H57" s="19"/>
      <c r="I57" s="19"/>
      <c r="J57" s="19"/>
      <c r="K57" s="19"/>
      <c r="L57" s="19"/>
      <c r="M57" s="19"/>
      <c r="N57" s="19"/>
      <c r="O57" s="19"/>
      <c r="P57" s="19"/>
      <c r="Q57" s="19"/>
      <c r="R57" s="19"/>
      <c r="S57" s="19"/>
      <c r="T57" s="19"/>
      <c r="U57" s="19"/>
      <c r="V57" s="19"/>
      <c r="W57" s="19"/>
      <c r="X57" s="19"/>
      <c r="Y57" s="19"/>
      <c r="Z57" s="19"/>
      <c r="AA57" s="19"/>
    </row>
    <row r="58" spans="1:27" x14ac:dyDescent="0.45">
      <c r="A58" s="2" t="s">
        <v>102</v>
      </c>
      <c r="B58" s="19">
        <f>-PMT($H$21,$H$22,$B$56)</f>
        <v>0</v>
      </c>
      <c r="C58" s="19">
        <f>-PMT($H$21,$H$22,$B$56)</f>
        <v>0</v>
      </c>
      <c r="D58" s="19">
        <f>-PMT($H$21,$H$22,$B$56)</f>
        <v>0</v>
      </c>
      <c r="E58" s="19">
        <f>-PMT($H$21,$H$22,$B$56)</f>
        <v>0</v>
      </c>
      <c r="F58" s="19">
        <f>-PMT($H$21,$H$22,$B$56)</f>
        <v>0</v>
      </c>
      <c r="G58" s="19"/>
      <c r="H58" s="19"/>
      <c r="I58" s="19"/>
      <c r="J58" s="19"/>
      <c r="K58" s="19"/>
      <c r="L58" s="19"/>
      <c r="M58" s="19"/>
      <c r="N58" s="19"/>
      <c r="O58" s="19"/>
      <c r="P58" s="19"/>
      <c r="Q58" s="19"/>
      <c r="R58" s="19"/>
      <c r="S58" s="19"/>
      <c r="T58" s="19"/>
      <c r="U58" s="19"/>
      <c r="V58" s="19"/>
      <c r="W58" s="19"/>
      <c r="X58" s="19"/>
      <c r="Y58" s="19"/>
      <c r="Z58" s="19"/>
      <c r="AA58" s="19"/>
    </row>
    <row r="59" spans="1:27" x14ac:dyDescent="0.45">
      <c r="A59" s="3" t="s">
        <v>103</v>
      </c>
      <c r="B59" s="19">
        <f>B58-B60</f>
        <v>0</v>
      </c>
      <c r="C59" s="19">
        <f t="shared" ref="C59:F59" si="22">C58-C60</f>
        <v>0</v>
      </c>
      <c r="D59" s="19">
        <f t="shared" si="22"/>
        <v>0</v>
      </c>
      <c r="E59" s="19">
        <f t="shared" si="22"/>
        <v>0</v>
      </c>
      <c r="F59" s="19">
        <f t="shared" si="22"/>
        <v>0</v>
      </c>
      <c r="G59" s="19"/>
      <c r="H59" s="19"/>
      <c r="I59" s="19"/>
      <c r="J59" s="19"/>
      <c r="K59" s="19"/>
      <c r="L59" s="19"/>
      <c r="M59" s="19"/>
      <c r="N59" s="19"/>
      <c r="O59" s="19"/>
      <c r="P59" s="19"/>
      <c r="Q59" s="19"/>
      <c r="R59" s="19"/>
      <c r="S59" s="19"/>
      <c r="T59" s="19"/>
      <c r="U59" s="19"/>
      <c r="V59" s="19"/>
      <c r="W59" s="19"/>
      <c r="X59" s="19"/>
      <c r="Y59" s="19"/>
      <c r="Z59" s="19"/>
      <c r="AA59" s="19"/>
    </row>
    <row r="60" spans="1:27" x14ac:dyDescent="0.45">
      <c r="A60" s="3" t="s">
        <v>104</v>
      </c>
      <c r="B60" s="19">
        <f>B57</f>
        <v>0</v>
      </c>
      <c r="C60" s="19">
        <f t="shared" ref="C60:F60" si="23">C57</f>
        <v>0</v>
      </c>
      <c r="D60" s="19">
        <f t="shared" si="23"/>
        <v>0</v>
      </c>
      <c r="E60" s="19">
        <f t="shared" si="23"/>
        <v>0</v>
      </c>
      <c r="F60" s="19">
        <f t="shared" si="23"/>
        <v>0</v>
      </c>
      <c r="G60" s="19"/>
      <c r="H60" s="19"/>
      <c r="I60" s="19"/>
      <c r="J60" s="19"/>
      <c r="K60" s="19"/>
      <c r="L60" s="19"/>
      <c r="M60" s="19"/>
      <c r="N60" s="19"/>
      <c r="O60" s="19"/>
      <c r="P60" s="19"/>
      <c r="Q60" s="19"/>
      <c r="R60" s="19"/>
      <c r="S60" s="19"/>
      <c r="T60" s="19"/>
      <c r="U60" s="19"/>
      <c r="V60" s="19"/>
      <c r="W60" s="19"/>
      <c r="X60" s="19"/>
      <c r="Y60" s="19"/>
      <c r="Z60" s="19"/>
      <c r="AA60" s="19"/>
    </row>
    <row r="61" spans="1:27" x14ac:dyDescent="0.45">
      <c r="A61" s="2" t="s">
        <v>105</v>
      </c>
      <c r="B61" s="19">
        <f>B56+B57-B58</f>
        <v>0</v>
      </c>
      <c r="C61" s="19">
        <f t="shared" ref="C61:F61" si="24">C56+C57-C58</f>
        <v>0</v>
      </c>
      <c r="D61" s="19">
        <f t="shared" si="24"/>
        <v>0</v>
      </c>
      <c r="E61" s="19">
        <f t="shared" si="24"/>
        <v>0</v>
      </c>
      <c r="F61" s="19">
        <f t="shared" si="24"/>
        <v>0</v>
      </c>
      <c r="G61" s="19"/>
      <c r="H61" s="19"/>
      <c r="I61" s="19"/>
      <c r="J61" s="19"/>
      <c r="K61" s="19"/>
      <c r="L61" s="19"/>
      <c r="M61" s="19"/>
      <c r="N61" s="19"/>
      <c r="O61" s="19"/>
      <c r="P61" s="19"/>
      <c r="Q61" s="19"/>
      <c r="R61" s="19"/>
      <c r="S61" s="19"/>
      <c r="T61" s="19"/>
      <c r="U61" s="19"/>
      <c r="V61" s="19"/>
      <c r="W61" s="19"/>
      <c r="X61" s="19"/>
      <c r="Y61" s="19"/>
      <c r="Z61" s="19"/>
      <c r="AA61" s="19"/>
    </row>
    <row r="63" spans="1:27" x14ac:dyDescent="0.45">
      <c r="A63" s="1" t="s">
        <v>68</v>
      </c>
    </row>
    <row r="64" spans="1:27" x14ac:dyDescent="0.45">
      <c r="A64" s="11" t="s">
        <v>39</v>
      </c>
      <c r="B64" s="11">
        <v>0</v>
      </c>
      <c r="C64" s="11">
        <v>1</v>
      </c>
      <c r="D64" s="11">
        <v>2</v>
      </c>
      <c r="E64" s="11">
        <v>3</v>
      </c>
      <c r="F64" s="11">
        <v>4</v>
      </c>
      <c r="G64" s="11">
        <v>5</v>
      </c>
      <c r="H64" s="11">
        <v>6</v>
      </c>
      <c r="I64" s="11">
        <v>7</v>
      </c>
      <c r="J64" s="11">
        <v>8</v>
      </c>
      <c r="K64" s="11">
        <v>9</v>
      </c>
      <c r="L64" s="11">
        <v>10</v>
      </c>
      <c r="M64" s="11">
        <v>11</v>
      </c>
      <c r="N64" s="11">
        <v>12</v>
      </c>
      <c r="O64" s="11">
        <v>13</v>
      </c>
      <c r="P64" s="11">
        <v>14</v>
      </c>
      <c r="Q64" s="11">
        <v>15</v>
      </c>
      <c r="R64" s="11">
        <v>16</v>
      </c>
      <c r="S64" s="11">
        <v>17</v>
      </c>
      <c r="T64" s="11">
        <v>18</v>
      </c>
      <c r="U64" s="11">
        <v>19</v>
      </c>
      <c r="V64" s="11">
        <v>20</v>
      </c>
      <c r="W64" s="11">
        <v>21</v>
      </c>
      <c r="X64" s="11">
        <v>22</v>
      </c>
      <c r="Y64" s="11">
        <v>23</v>
      </c>
      <c r="Z64" s="11">
        <v>24</v>
      </c>
      <c r="AA64" s="11">
        <v>25</v>
      </c>
    </row>
    <row r="65" spans="1:27" x14ac:dyDescent="0.45">
      <c r="A65" s="2" t="s">
        <v>61</v>
      </c>
      <c r="B65" s="19">
        <f>B52</f>
        <v>312.17867673270234</v>
      </c>
      <c r="C65" s="19">
        <f t="shared" ref="C65:U65" si="25">C52</f>
        <v>319.77554483099266</v>
      </c>
      <c r="D65" s="19">
        <f t="shared" si="25"/>
        <v>327.55728271445486</v>
      </c>
      <c r="E65" s="19">
        <f t="shared" si="25"/>
        <v>279.60699099109269</v>
      </c>
      <c r="F65" s="19">
        <f t="shared" si="25"/>
        <v>286.41122711686091</v>
      </c>
      <c r="G65" s="19">
        <f t="shared" si="25"/>
        <v>293.38104432874962</v>
      </c>
      <c r="H65" s="19">
        <f t="shared" si="25"/>
        <v>220.3816794978259</v>
      </c>
      <c r="I65" s="19">
        <f t="shared" si="25"/>
        <v>225.74466766840544</v>
      </c>
      <c r="J65" s="19">
        <f t="shared" si="25"/>
        <v>231.23816415611617</v>
      </c>
      <c r="K65" s="19">
        <f t="shared" si="25"/>
        <v>193.79891853888154</v>
      </c>
      <c r="L65" s="19">
        <f t="shared" si="25"/>
        <v>198.5150152215252</v>
      </c>
      <c r="M65" s="19">
        <f t="shared" si="25"/>
        <v>203.34587811694109</v>
      </c>
      <c r="N65" s="19">
        <f t="shared" si="25"/>
        <v>115.71905558939822</v>
      </c>
      <c r="O65" s="19">
        <f t="shared" si="25"/>
        <v>118.53507880716624</v>
      </c>
      <c r="P65" s="19">
        <f t="shared" si="25"/>
        <v>121.41962994993865</v>
      </c>
      <c r="Q65" s="19">
        <f t="shared" si="25"/>
        <v>124.37437664477044</v>
      </c>
      <c r="R65" s="19">
        <f t="shared" si="25"/>
        <v>127.40102710042088</v>
      </c>
      <c r="S65" s="19">
        <f t="shared" si="25"/>
        <v>130.50133109490963</v>
      </c>
      <c r="T65" s="19">
        <f t="shared" si="25"/>
        <v>133.67708098710429</v>
      </c>
      <c r="U65" s="19">
        <f t="shared" si="25"/>
        <v>136.93011275292545</v>
      </c>
      <c r="V65" s="6"/>
      <c r="W65" s="6"/>
      <c r="X65" s="6"/>
      <c r="Y65" s="6"/>
      <c r="Z65" s="6"/>
      <c r="AA65" s="6"/>
    </row>
    <row r="66" spans="1:27" x14ac:dyDescent="0.45">
      <c r="A66" s="3" t="s">
        <v>62</v>
      </c>
      <c r="B66" s="19">
        <f t="shared" ref="B66:M66" si="26">$B$28*B65</f>
        <v>31.217867673270234</v>
      </c>
      <c r="C66" s="19">
        <f t="shared" si="26"/>
        <v>31.977554483099269</v>
      </c>
      <c r="D66" s="19">
        <f t="shared" si="26"/>
        <v>32.755728271445484</v>
      </c>
      <c r="E66" s="19">
        <f t="shared" si="26"/>
        <v>27.96069909910927</v>
      </c>
      <c r="F66" s="19">
        <f t="shared" si="26"/>
        <v>28.641122711686094</v>
      </c>
      <c r="G66" s="19">
        <f t="shared" si="26"/>
        <v>29.338104432874964</v>
      </c>
      <c r="H66" s="19">
        <f t="shared" si="26"/>
        <v>22.03816794978259</v>
      </c>
      <c r="I66" s="19">
        <f t="shared" si="26"/>
        <v>22.574466766840544</v>
      </c>
      <c r="J66" s="19">
        <f t="shared" si="26"/>
        <v>23.123816415611618</v>
      </c>
      <c r="K66" s="19">
        <f t="shared" si="26"/>
        <v>19.379891853888154</v>
      </c>
      <c r="L66" s="19">
        <f t="shared" si="26"/>
        <v>19.851501522152521</v>
      </c>
      <c r="M66" s="19">
        <f t="shared" si="26"/>
        <v>20.33458781169411</v>
      </c>
      <c r="N66" s="48">
        <f>$B$29*N65</f>
        <v>23.143811117879647</v>
      </c>
      <c r="O66" s="48">
        <f t="shared" ref="O66:U66" si="27">$B$29*O65</f>
        <v>23.707015761433251</v>
      </c>
      <c r="P66" s="48">
        <f t="shared" si="27"/>
        <v>24.283925989987733</v>
      </c>
      <c r="Q66" s="48">
        <f t="shared" si="27"/>
        <v>24.87487532895409</v>
      </c>
      <c r="R66" s="48">
        <f t="shared" si="27"/>
        <v>25.480205420084175</v>
      </c>
      <c r="S66" s="48">
        <f t="shared" si="27"/>
        <v>26.100266218981929</v>
      </c>
      <c r="T66" s="48">
        <f t="shared" si="27"/>
        <v>26.735416197420861</v>
      </c>
      <c r="U66" s="48">
        <f t="shared" si="27"/>
        <v>27.386022550585093</v>
      </c>
      <c r="V66" s="6"/>
      <c r="W66" s="6"/>
      <c r="X66" s="6"/>
      <c r="Y66" s="6"/>
      <c r="Z66" s="6"/>
      <c r="AA66" s="6"/>
    </row>
    <row r="67" spans="1:27" x14ac:dyDescent="0.45">
      <c r="A67" s="3" t="s">
        <v>26</v>
      </c>
      <c r="B67" s="19">
        <f>$B$30*$B$6*B35</f>
        <v>0.76800000000000002</v>
      </c>
      <c r="C67" s="19">
        <f t="shared" ref="C67:U67" si="28">$B$30*$B$6*C35</f>
        <v>0.79104000000000008</v>
      </c>
      <c r="D67" s="19">
        <f t="shared" si="28"/>
        <v>0.81477120000000003</v>
      </c>
      <c r="E67" s="19">
        <f t="shared" si="28"/>
        <v>0.83921433600000006</v>
      </c>
      <c r="F67" s="19">
        <f t="shared" si="28"/>
        <v>0.86439076607999998</v>
      </c>
      <c r="G67" s="19">
        <f t="shared" si="28"/>
        <v>0.89032248906239986</v>
      </c>
      <c r="H67" s="19">
        <f t="shared" si="28"/>
        <v>0.91703216373427199</v>
      </c>
      <c r="I67" s="19">
        <f t="shared" si="28"/>
        <v>0.94454312864630019</v>
      </c>
      <c r="J67" s="19">
        <f t="shared" si="28"/>
        <v>0.97287942250568904</v>
      </c>
      <c r="K67" s="19">
        <f t="shared" si="28"/>
        <v>1.0020658051808597</v>
      </c>
      <c r="L67" s="19">
        <f t="shared" si="28"/>
        <v>1.0321277793362855</v>
      </c>
      <c r="M67" s="19">
        <f t="shared" si="28"/>
        <v>1.0630916127163741</v>
      </c>
      <c r="N67" s="19">
        <f t="shared" si="28"/>
        <v>1.0949843610978651</v>
      </c>
      <c r="O67" s="19">
        <f t="shared" si="28"/>
        <v>1.1278338919308011</v>
      </c>
      <c r="P67" s="19">
        <f t="shared" si="28"/>
        <v>1.1616689086887253</v>
      </c>
      <c r="Q67" s="19">
        <f t="shared" si="28"/>
        <v>1.1965189759493871</v>
      </c>
      <c r="R67" s="19">
        <f t="shared" si="28"/>
        <v>1.2324145452278685</v>
      </c>
      <c r="S67" s="19">
        <f t="shared" si="28"/>
        <v>1.2693869815847045</v>
      </c>
      <c r="T67" s="19">
        <f t="shared" si="28"/>
        <v>1.3074685910322457</v>
      </c>
      <c r="U67" s="19">
        <f t="shared" si="28"/>
        <v>1.3466926487632132</v>
      </c>
      <c r="V67" s="19"/>
      <c r="W67" s="19"/>
      <c r="X67" s="19"/>
      <c r="Y67" s="19"/>
      <c r="Z67" s="19"/>
      <c r="AA67" s="19"/>
    </row>
    <row r="68" spans="1:27" x14ac:dyDescent="0.45">
      <c r="A68" s="3" t="s">
        <v>63</v>
      </c>
      <c r="B68" s="19">
        <f>B66+B67</f>
        <v>31.985867673270235</v>
      </c>
      <c r="C68" s="19">
        <f t="shared" ref="C68:U68" si="29">C66+C67</f>
        <v>32.768594483099271</v>
      </c>
      <c r="D68" s="19">
        <f t="shared" si="29"/>
        <v>33.570499471445487</v>
      </c>
      <c r="E68" s="19">
        <f t="shared" si="29"/>
        <v>28.799913435109271</v>
      </c>
      <c r="F68" s="19">
        <f t="shared" si="29"/>
        <v>29.505513477766094</v>
      </c>
      <c r="G68" s="19">
        <f t="shared" si="29"/>
        <v>30.228426921937363</v>
      </c>
      <c r="H68" s="19">
        <f t="shared" si="29"/>
        <v>22.955200113516863</v>
      </c>
      <c r="I68" s="19">
        <f t="shared" si="29"/>
        <v>23.519009895486846</v>
      </c>
      <c r="J68" s="19">
        <f t="shared" si="29"/>
        <v>24.096695838117306</v>
      </c>
      <c r="K68" s="19">
        <f t="shared" si="29"/>
        <v>20.381957659069013</v>
      </c>
      <c r="L68" s="19">
        <f t="shared" si="29"/>
        <v>20.883629301488806</v>
      </c>
      <c r="M68" s="19">
        <f t="shared" si="29"/>
        <v>21.397679424410484</v>
      </c>
      <c r="N68" s="19">
        <f t="shared" si="29"/>
        <v>24.238795478977512</v>
      </c>
      <c r="O68" s="19">
        <f t="shared" si="29"/>
        <v>24.834849653364053</v>
      </c>
      <c r="P68" s="19">
        <f t="shared" si="29"/>
        <v>25.445594898676458</v>
      </c>
      <c r="Q68" s="19">
        <f t="shared" si="29"/>
        <v>26.071394304903478</v>
      </c>
      <c r="R68" s="19">
        <f t="shared" si="29"/>
        <v>26.712619965312044</v>
      </c>
      <c r="S68" s="19">
        <f t="shared" si="29"/>
        <v>27.369653200566635</v>
      </c>
      <c r="T68" s="19">
        <f t="shared" si="29"/>
        <v>28.042884788453108</v>
      </c>
      <c r="U68" s="19">
        <f t="shared" si="29"/>
        <v>28.732715199348306</v>
      </c>
      <c r="V68" s="6"/>
      <c r="W68" s="6"/>
      <c r="X68" s="6"/>
      <c r="Y68" s="6"/>
      <c r="Z68" s="6"/>
      <c r="AA68" s="6"/>
    </row>
    <row r="69" spans="1:27" x14ac:dyDescent="0.45">
      <c r="A69" s="2" t="s">
        <v>64</v>
      </c>
      <c r="B69" s="19">
        <f>B65-B68</f>
        <v>280.19280905943208</v>
      </c>
      <c r="C69" s="19">
        <f t="shared" ref="C69:U69" si="30">C65-C68</f>
        <v>287.00695034789339</v>
      </c>
      <c r="D69" s="19">
        <f t="shared" si="30"/>
        <v>293.98678324300937</v>
      </c>
      <c r="E69" s="19">
        <f t="shared" si="30"/>
        <v>250.80707755598343</v>
      </c>
      <c r="F69" s="19">
        <f t="shared" si="30"/>
        <v>256.90571363909481</v>
      </c>
      <c r="G69" s="19">
        <f t="shared" si="30"/>
        <v>263.15261740681228</v>
      </c>
      <c r="H69" s="19">
        <f t="shared" si="30"/>
        <v>197.42647938430903</v>
      </c>
      <c r="I69" s="19">
        <f t="shared" si="30"/>
        <v>202.22565777291859</v>
      </c>
      <c r="J69" s="19">
        <f t="shared" si="30"/>
        <v>207.14146831799886</v>
      </c>
      <c r="K69" s="19">
        <f t="shared" si="30"/>
        <v>173.41696087981254</v>
      </c>
      <c r="L69" s="19">
        <f t="shared" si="30"/>
        <v>177.63138592003639</v>
      </c>
      <c r="M69" s="19">
        <f t="shared" si="30"/>
        <v>181.94819869253061</v>
      </c>
      <c r="N69" s="19">
        <f t="shared" si="30"/>
        <v>91.480260110420716</v>
      </c>
      <c r="O69" s="19">
        <f t="shared" si="30"/>
        <v>93.700229153802184</v>
      </c>
      <c r="P69" s="19">
        <f t="shared" si="30"/>
        <v>95.974035051262192</v>
      </c>
      <c r="Q69" s="19">
        <f t="shared" si="30"/>
        <v>98.302982339866958</v>
      </c>
      <c r="R69" s="19">
        <f t="shared" si="30"/>
        <v>100.68840713510883</v>
      </c>
      <c r="S69" s="19">
        <f t="shared" si="30"/>
        <v>103.131677894343</v>
      </c>
      <c r="T69" s="19">
        <f t="shared" si="30"/>
        <v>105.63419619865118</v>
      </c>
      <c r="U69" s="19">
        <f t="shared" si="30"/>
        <v>108.19739755357715</v>
      </c>
      <c r="V69" s="6"/>
      <c r="W69" s="6"/>
      <c r="X69" s="6"/>
      <c r="Y69" s="6"/>
      <c r="Z69" s="6"/>
      <c r="AA69" s="6"/>
    </row>
    <row r="70" spans="1:27" x14ac:dyDescent="0.45">
      <c r="A70" s="3" t="s">
        <v>65</v>
      </c>
      <c r="B70" s="19">
        <f>$B$6/$B$7</f>
        <v>256</v>
      </c>
      <c r="C70" s="19">
        <f t="shared" ref="C70:D70" si="31">$B$6/$B$7</f>
        <v>256</v>
      </c>
      <c r="D70" s="19">
        <f t="shared" si="31"/>
        <v>256</v>
      </c>
      <c r="E70" s="19"/>
      <c r="F70" s="19"/>
      <c r="G70" s="19"/>
      <c r="H70" s="19"/>
      <c r="I70" s="19"/>
      <c r="J70" s="19"/>
      <c r="K70" s="19"/>
      <c r="L70" s="19"/>
      <c r="M70" s="19"/>
      <c r="N70" s="19"/>
      <c r="O70" s="19"/>
      <c r="P70" s="19"/>
      <c r="Q70" s="19"/>
      <c r="R70" s="19"/>
      <c r="S70" s="19"/>
      <c r="T70" s="19"/>
      <c r="U70" s="19"/>
    </row>
    <row r="71" spans="1:27" x14ac:dyDescent="0.45">
      <c r="A71" s="3" t="s">
        <v>66</v>
      </c>
      <c r="B71" s="19">
        <f>B60</f>
        <v>0</v>
      </c>
      <c r="C71" s="19">
        <f t="shared" ref="C71:F71" si="32">C60</f>
        <v>0</v>
      </c>
      <c r="D71" s="19">
        <f t="shared" si="32"/>
        <v>0</v>
      </c>
      <c r="E71" s="19">
        <f t="shared" si="32"/>
        <v>0</v>
      </c>
      <c r="F71" s="19">
        <f t="shared" si="32"/>
        <v>0</v>
      </c>
    </row>
    <row r="72" spans="1:27" x14ac:dyDescent="0.45">
      <c r="A72" s="2" t="s">
        <v>67</v>
      </c>
      <c r="B72" s="19">
        <f>B69-B70-B71</f>
        <v>24.192809059432079</v>
      </c>
      <c r="C72" s="19">
        <f t="shared" ref="C72:U72" si="33">C69-C70-C71</f>
        <v>31.006950347893394</v>
      </c>
      <c r="D72" s="19">
        <f t="shared" si="33"/>
        <v>37.98678324300937</v>
      </c>
      <c r="E72" s="19">
        <f t="shared" si="33"/>
        <v>250.80707755598343</v>
      </c>
      <c r="F72" s="19">
        <f t="shared" si="33"/>
        <v>256.90571363909481</v>
      </c>
      <c r="G72" s="19">
        <f t="shared" si="33"/>
        <v>263.15261740681228</v>
      </c>
      <c r="H72" s="19">
        <f t="shared" si="33"/>
        <v>197.42647938430903</v>
      </c>
      <c r="I72" s="19">
        <f t="shared" si="33"/>
        <v>202.22565777291859</v>
      </c>
      <c r="J72" s="19">
        <f t="shared" si="33"/>
        <v>207.14146831799886</v>
      </c>
      <c r="K72" s="19">
        <f t="shared" si="33"/>
        <v>173.41696087981254</v>
      </c>
      <c r="L72" s="19">
        <f t="shared" si="33"/>
        <v>177.63138592003639</v>
      </c>
      <c r="M72" s="19">
        <f t="shared" si="33"/>
        <v>181.94819869253061</v>
      </c>
      <c r="N72" s="19">
        <f t="shared" si="33"/>
        <v>91.480260110420716</v>
      </c>
      <c r="O72" s="19">
        <f t="shared" si="33"/>
        <v>93.700229153802184</v>
      </c>
      <c r="P72" s="19">
        <f t="shared" si="33"/>
        <v>95.974035051262192</v>
      </c>
      <c r="Q72" s="19">
        <f t="shared" si="33"/>
        <v>98.302982339866958</v>
      </c>
      <c r="R72" s="19">
        <f t="shared" si="33"/>
        <v>100.68840713510883</v>
      </c>
      <c r="S72" s="19">
        <f t="shared" si="33"/>
        <v>103.131677894343</v>
      </c>
      <c r="T72" s="19">
        <f t="shared" si="33"/>
        <v>105.63419619865118</v>
      </c>
      <c r="U72" s="19">
        <f t="shared" si="33"/>
        <v>108.19739755357715</v>
      </c>
      <c r="V72" s="6"/>
      <c r="W72" s="6"/>
      <c r="X72" s="6"/>
      <c r="Y72" s="6"/>
      <c r="Z72" s="6"/>
      <c r="AA72" s="6"/>
    </row>
    <row r="73" spans="1:27" x14ac:dyDescent="0.45">
      <c r="A73" s="3" t="s">
        <v>57</v>
      </c>
      <c r="B73" s="19">
        <f t="shared" ref="B73:M73" si="34">B72*$H$28</f>
        <v>4.8385618118864162</v>
      </c>
      <c r="C73" s="19">
        <f t="shared" si="34"/>
        <v>6.2013900695786788</v>
      </c>
      <c r="D73" s="19">
        <f t="shared" si="34"/>
        <v>7.597356648601874</v>
      </c>
      <c r="E73" s="19">
        <f t="shared" si="34"/>
        <v>50.161415511196687</v>
      </c>
      <c r="F73" s="19">
        <f t="shared" si="34"/>
        <v>51.381142727818968</v>
      </c>
      <c r="G73" s="19">
        <f t="shared" si="34"/>
        <v>52.630523481362459</v>
      </c>
      <c r="H73" s="19">
        <f t="shared" si="34"/>
        <v>39.485295876861812</v>
      </c>
      <c r="I73" s="19">
        <f t="shared" si="34"/>
        <v>40.445131554583725</v>
      </c>
      <c r="J73" s="19">
        <f t="shared" si="34"/>
        <v>41.428293663599774</v>
      </c>
      <c r="K73" s="19">
        <f t="shared" si="34"/>
        <v>34.68339217596251</v>
      </c>
      <c r="L73" s="19">
        <f t="shared" si="34"/>
        <v>35.526277184007277</v>
      </c>
      <c r="M73" s="19">
        <f t="shared" si="34"/>
        <v>36.389639738506126</v>
      </c>
      <c r="N73" s="19">
        <f t="shared" ref="N73:U73" si="35">N72*$H$28</f>
        <v>18.296052022084144</v>
      </c>
      <c r="O73" s="19">
        <f t="shared" si="35"/>
        <v>18.740045830760437</v>
      </c>
      <c r="P73" s="19">
        <f t="shared" si="35"/>
        <v>19.19480701025244</v>
      </c>
      <c r="Q73" s="19">
        <f t="shared" si="35"/>
        <v>19.660596467973392</v>
      </c>
      <c r="R73" s="19">
        <f t="shared" si="35"/>
        <v>20.137681427021768</v>
      </c>
      <c r="S73" s="19">
        <f t="shared" si="35"/>
        <v>20.626335578868602</v>
      </c>
      <c r="T73" s="19">
        <f t="shared" si="35"/>
        <v>21.126839239730238</v>
      </c>
      <c r="U73" s="19">
        <f t="shared" si="35"/>
        <v>21.639479510715432</v>
      </c>
      <c r="V73" s="6"/>
      <c r="W73" s="6"/>
      <c r="X73" s="6"/>
      <c r="Y73" s="6"/>
      <c r="Z73" s="6"/>
      <c r="AA73" s="6"/>
    </row>
    <row r="74" spans="1:27" x14ac:dyDescent="0.45">
      <c r="A74" s="2" t="s">
        <v>69</v>
      </c>
      <c r="B74" s="19">
        <f>B72-B73</f>
        <v>19.354247247545665</v>
      </c>
      <c r="C74" s="19">
        <f t="shared" ref="C74:U74" si="36">C72-C73</f>
        <v>24.805560278314715</v>
      </c>
      <c r="D74" s="19">
        <f t="shared" si="36"/>
        <v>30.389426594407496</v>
      </c>
      <c r="E74" s="19">
        <f t="shared" si="36"/>
        <v>200.64566204478675</v>
      </c>
      <c r="F74" s="19">
        <f t="shared" si="36"/>
        <v>205.52457091127584</v>
      </c>
      <c r="G74" s="19">
        <f t="shared" si="36"/>
        <v>210.52209392544984</v>
      </c>
      <c r="H74" s="19">
        <f t="shared" si="36"/>
        <v>157.94118350744722</v>
      </c>
      <c r="I74" s="19">
        <f t="shared" si="36"/>
        <v>161.78052621833487</v>
      </c>
      <c r="J74" s="19">
        <f t="shared" si="36"/>
        <v>165.7131746543991</v>
      </c>
      <c r="K74" s="19">
        <f t="shared" si="36"/>
        <v>138.73356870385004</v>
      </c>
      <c r="L74" s="19">
        <f t="shared" si="36"/>
        <v>142.10510873602911</v>
      </c>
      <c r="M74" s="19">
        <f t="shared" si="36"/>
        <v>145.55855895402448</v>
      </c>
      <c r="N74" s="19">
        <f t="shared" si="36"/>
        <v>73.184208088336575</v>
      </c>
      <c r="O74" s="19">
        <f t="shared" si="36"/>
        <v>74.960183323041747</v>
      </c>
      <c r="P74" s="19">
        <f t="shared" si="36"/>
        <v>76.779228041009759</v>
      </c>
      <c r="Q74" s="19">
        <f t="shared" si="36"/>
        <v>78.642385871893566</v>
      </c>
      <c r="R74" s="19">
        <f t="shared" si="36"/>
        <v>80.550725708087072</v>
      </c>
      <c r="S74" s="19">
        <f t="shared" si="36"/>
        <v>82.505342315474394</v>
      </c>
      <c r="T74" s="19">
        <f t="shared" si="36"/>
        <v>84.507356958920951</v>
      </c>
      <c r="U74" s="19">
        <f t="shared" si="36"/>
        <v>86.557918042861715</v>
      </c>
      <c r="V74" s="6"/>
      <c r="W74" s="6"/>
      <c r="X74" s="6"/>
      <c r="Y74" s="6"/>
      <c r="Z74" s="6"/>
      <c r="AA74" s="6"/>
    </row>
    <row r="76" spans="1:27" x14ac:dyDescent="0.45">
      <c r="A76" s="1" t="s">
        <v>95</v>
      </c>
    </row>
    <row r="77" spans="1:27" x14ac:dyDescent="0.45">
      <c r="A77" s="11" t="s">
        <v>39</v>
      </c>
      <c r="B77" s="11">
        <v>0</v>
      </c>
      <c r="C77" s="11">
        <v>1</v>
      </c>
      <c r="D77" s="11">
        <v>2</v>
      </c>
      <c r="E77" s="11">
        <v>3</v>
      </c>
      <c r="F77" s="11">
        <v>4</v>
      </c>
      <c r="G77" s="11">
        <v>5</v>
      </c>
      <c r="H77" s="11">
        <v>6</v>
      </c>
      <c r="I77" s="11">
        <v>7</v>
      </c>
      <c r="J77" s="11">
        <v>8</v>
      </c>
      <c r="K77" s="11">
        <v>9</v>
      </c>
      <c r="L77" s="11">
        <v>10</v>
      </c>
      <c r="M77" s="11">
        <v>11</v>
      </c>
      <c r="N77" s="11">
        <v>12</v>
      </c>
      <c r="O77" s="11">
        <v>13</v>
      </c>
      <c r="P77" s="11">
        <v>14</v>
      </c>
      <c r="Q77" s="11">
        <v>15</v>
      </c>
      <c r="R77" s="11">
        <v>16</v>
      </c>
      <c r="S77" s="11">
        <v>17</v>
      </c>
      <c r="T77" s="11">
        <v>18</v>
      </c>
      <c r="U77" s="11">
        <v>19</v>
      </c>
      <c r="V77" s="11">
        <v>20</v>
      </c>
      <c r="W77" s="11">
        <v>21</v>
      </c>
      <c r="X77" s="11">
        <v>22</v>
      </c>
      <c r="Y77" s="11">
        <v>23</v>
      </c>
      <c r="Z77" s="11">
        <v>24</v>
      </c>
      <c r="AA77" s="11">
        <v>25</v>
      </c>
    </row>
    <row r="78" spans="1:27" x14ac:dyDescent="0.45">
      <c r="A78" s="1" t="s">
        <v>71</v>
      </c>
      <c r="B78" s="35">
        <f>B79</f>
        <v>312.17867673270234</v>
      </c>
      <c r="C78" s="35">
        <f t="shared" ref="C78:U78" si="37">C79</f>
        <v>319.77554483099266</v>
      </c>
      <c r="D78" s="35">
        <f t="shared" si="37"/>
        <v>327.55728271445486</v>
      </c>
      <c r="E78" s="35">
        <f t="shared" si="37"/>
        <v>279.60699099109269</v>
      </c>
      <c r="F78" s="35">
        <f t="shared" si="37"/>
        <v>286.41122711686091</v>
      </c>
      <c r="G78" s="35">
        <f t="shared" si="37"/>
        <v>293.38104432874962</v>
      </c>
      <c r="H78" s="35">
        <f t="shared" si="37"/>
        <v>220.3816794978259</v>
      </c>
      <c r="I78" s="35">
        <f t="shared" si="37"/>
        <v>225.74466766840544</v>
      </c>
      <c r="J78" s="35">
        <f t="shared" si="37"/>
        <v>231.23816415611617</v>
      </c>
      <c r="K78" s="35">
        <f t="shared" si="37"/>
        <v>193.79891853888154</v>
      </c>
      <c r="L78" s="35">
        <f t="shared" si="37"/>
        <v>198.5150152215252</v>
      </c>
      <c r="M78" s="35">
        <f t="shared" si="37"/>
        <v>203.34587811694109</v>
      </c>
      <c r="N78" s="35">
        <f t="shared" si="37"/>
        <v>115.71905558939822</v>
      </c>
      <c r="O78" s="35">
        <f t="shared" si="37"/>
        <v>118.53507880716624</v>
      </c>
      <c r="P78" s="35">
        <f t="shared" si="37"/>
        <v>121.41962994993865</v>
      </c>
      <c r="Q78" s="35">
        <f t="shared" si="37"/>
        <v>124.37437664477044</v>
      </c>
      <c r="R78" s="35">
        <f t="shared" si="37"/>
        <v>127.40102710042088</v>
      </c>
      <c r="S78" s="35">
        <f t="shared" si="37"/>
        <v>130.50133109490963</v>
      </c>
      <c r="T78" s="35">
        <f t="shared" si="37"/>
        <v>133.67708098710429</v>
      </c>
      <c r="U78" s="35">
        <f t="shared" si="37"/>
        <v>136.93011275292545</v>
      </c>
    </row>
    <row r="79" spans="1:27" x14ac:dyDescent="0.45">
      <c r="A79" s="3" t="s">
        <v>61</v>
      </c>
      <c r="B79" s="33">
        <f>B52</f>
        <v>312.17867673270234</v>
      </c>
      <c r="C79" s="33">
        <f t="shared" ref="C79:U79" si="38">C52</f>
        <v>319.77554483099266</v>
      </c>
      <c r="D79" s="33">
        <f t="shared" si="38"/>
        <v>327.55728271445486</v>
      </c>
      <c r="E79" s="33">
        <f t="shared" si="38"/>
        <v>279.60699099109269</v>
      </c>
      <c r="F79" s="33">
        <f t="shared" si="38"/>
        <v>286.41122711686091</v>
      </c>
      <c r="G79" s="33">
        <f t="shared" si="38"/>
        <v>293.38104432874962</v>
      </c>
      <c r="H79" s="33">
        <f t="shared" si="38"/>
        <v>220.3816794978259</v>
      </c>
      <c r="I79" s="33">
        <f t="shared" si="38"/>
        <v>225.74466766840544</v>
      </c>
      <c r="J79" s="33">
        <f t="shared" si="38"/>
        <v>231.23816415611617</v>
      </c>
      <c r="K79" s="33">
        <f t="shared" si="38"/>
        <v>193.79891853888154</v>
      </c>
      <c r="L79" s="33">
        <f t="shared" si="38"/>
        <v>198.5150152215252</v>
      </c>
      <c r="M79" s="33">
        <f t="shared" si="38"/>
        <v>203.34587811694109</v>
      </c>
      <c r="N79" s="33">
        <f t="shared" si="38"/>
        <v>115.71905558939822</v>
      </c>
      <c r="O79" s="33">
        <f t="shared" si="38"/>
        <v>118.53507880716624</v>
      </c>
      <c r="P79" s="33">
        <f t="shared" si="38"/>
        <v>121.41962994993865</v>
      </c>
      <c r="Q79" s="33">
        <f t="shared" si="38"/>
        <v>124.37437664477044</v>
      </c>
      <c r="R79" s="33">
        <f t="shared" si="38"/>
        <v>127.40102710042088</v>
      </c>
      <c r="S79" s="33">
        <f t="shared" si="38"/>
        <v>130.50133109490963</v>
      </c>
      <c r="T79" s="33">
        <f t="shared" si="38"/>
        <v>133.67708098710429</v>
      </c>
      <c r="U79" s="33">
        <f t="shared" si="38"/>
        <v>136.93011275292545</v>
      </c>
      <c r="V79" s="6"/>
      <c r="W79" s="6"/>
      <c r="X79" s="6"/>
      <c r="Y79" s="6"/>
      <c r="Z79" s="6"/>
      <c r="AA79" s="6"/>
    </row>
    <row r="80" spans="1:27" x14ac:dyDescent="0.45">
      <c r="A80" s="1" t="s">
        <v>72</v>
      </c>
      <c r="B80" s="35">
        <f>B81+B82</f>
        <v>799.98586767327026</v>
      </c>
      <c r="C80" s="35">
        <f t="shared" ref="C80:U80" si="39">C81+C82</f>
        <v>32.768594483099271</v>
      </c>
      <c r="D80" s="35">
        <f t="shared" si="39"/>
        <v>33.570499471445487</v>
      </c>
      <c r="E80" s="35">
        <f t="shared" si="39"/>
        <v>28.799913435109271</v>
      </c>
      <c r="F80" s="35">
        <f t="shared" si="39"/>
        <v>29.505513477766094</v>
      </c>
      <c r="G80" s="35">
        <f t="shared" si="39"/>
        <v>30.228426921937363</v>
      </c>
      <c r="H80" s="35">
        <f t="shared" si="39"/>
        <v>22.955200113516863</v>
      </c>
      <c r="I80" s="35">
        <f t="shared" si="39"/>
        <v>23.519009895486846</v>
      </c>
      <c r="J80" s="35">
        <f t="shared" si="39"/>
        <v>24.096695838117306</v>
      </c>
      <c r="K80" s="35">
        <f t="shared" si="39"/>
        <v>20.381957659069013</v>
      </c>
      <c r="L80" s="35">
        <f t="shared" si="39"/>
        <v>20.883629301488806</v>
      </c>
      <c r="M80" s="35">
        <f t="shared" si="39"/>
        <v>21.397679424410484</v>
      </c>
      <c r="N80" s="35">
        <f t="shared" si="39"/>
        <v>24.238795478977512</v>
      </c>
      <c r="O80" s="35">
        <f t="shared" si="39"/>
        <v>24.834849653364053</v>
      </c>
      <c r="P80" s="35">
        <f t="shared" si="39"/>
        <v>25.445594898676458</v>
      </c>
      <c r="Q80" s="35">
        <f t="shared" si="39"/>
        <v>26.071394304903478</v>
      </c>
      <c r="R80" s="35">
        <f t="shared" si="39"/>
        <v>26.712619965312044</v>
      </c>
      <c r="S80" s="35">
        <f t="shared" si="39"/>
        <v>27.369653200566635</v>
      </c>
      <c r="T80" s="35">
        <f t="shared" si="39"/>
        <v>28.042884788453108</v>
      </c>
      <c r="U80" s="35">
        <f t="shared" si="39"/>
        <v>28.732715199348306</v>
      </c>
    </row>
    <row r="81" spans="1:27" x14ac:dyDescent="0.45">
      <c r="A81" s="3" t="s">
        <v>73</v>
      </c>
      <c r="B81" s="34">
        <f>B6</f>
        <v>768</v>
      </c>
      <c r="C81" s="34"/>
      <c r="D81" s="34"/>
      <c r="E81" s="34"/>
      <c r="F81" s="34"/>
      <c r="G81" s="34"/>
      <c r="H81" s="34"/>
      <c r="I81" s="34"/>
      <c r="J81" s="34"/>
      <c r="K81" s="34"/>
      <c r="L81" s="34"/>
      <c r="M81" s="34"/>
      <c r="N81" s="34"/>
      <c r="O81" s="34"/>
      <c r="P81" s="34"/>
      <c r="Q81" s="34"/>
      <c r="R81" s="34"/>
      <c r="S81" s="34"/>
      <c r="T81" s="34"/>
      <c r="U81" s="34"/>
    </row>
    <row r="82" spans="1:27" x14ac:dyDescent="0.45">
      <c r="A82" s="3" t="s">
        <v>74</v>
      </c>
      <c r="B82" s="33">
        <f>B68</f>
        <v>31.985867673270235</v>
      </c>
      <c r="C82" s="33">
        <f t="shared" ref="C82:U82" si="40">C68</f>
        <v>32.768594483099271</v>
      </c>
      <c r="D82" s="33">
        <f t="shared" si="40"/>
        <v>33.570499471445487</v>
      </c>
      <c r="E82" s="33">
        <f t="shared" si="40"/>
        <v>28.799913435109271</v>
      </c>
      <c r="F82" s="33">
        <f t="shared" si="40"/>
        <v>29.505513477766094</v>
      </c>
      <c r="G82" s="33">
        <f t="shared" si="40"/>
        <v>30.228426921937363</v>
      </c>
      <c r="H82" s="33">
        <f t="shared" si="40"/>
        <v>22.955200113516863</v>
      </c>
      <c r="I82" s="33">
        <f t="shared" si="40"/>
        <v>23.519009895486846</v>
      </c>
      <c r="J82" s="33">
        <f t="shared" si="40"/>
        <v>24.096695838117306</v>
      </c>
      <c r="K82" s="33">
        <f t="shared" si="40"/>
        <v>20.381957659069013</v>
      </c>
      <c r="L82" s="33">
        <f t="shared" si="40"/>
        <v>20.883629301488806</v>
      </c>
      <c r="M82" s="33">
        <f t="shared" si="40"/>
        <v>21.397679424410484</v>
      </c>
      <c r="N82" s="33">
        <f t="shared" si="40"/>
        <v>24.238795478977512</v>
      </c>
      <c r="O82" s="33">
        <f t="shared" si="40"/>
        <v>24.834849653364053</v>
      </c>
      <c r="P82" s="33">
        <f t="shared" si="40"/>
        <v>25.445594898676458</v>
      </c>
      <c r="Q82" s="33">
        <f t="shared" si="40"/>
        <v>26.071394304903478</v>
      </c>
      <c r="R82" s="33">
        <f t="shared" si="40"/>
        <v>26.712619965312044</v>
      </c>
      <c r="S82" s="33">
        <f t="shared" si="40"/>
        <v>27.369653200566635</v>
      </c>
      <c r="T82" s="33">
        <f t="shared" si="40"/>
        <v>28.042884788453108</v>
      </c>
      <c r="U82" s="33">
        <f t="shared" si="40"/>
        <v>28.732715199348306</v>
      </c>
      <c r="V82" s="6"/>
      <c r="W82" s="6"/>
      <c r="X82" s="6"/>
      <c r="Y82" s="6"/>
      <c r="Z82" s="6"/>
      <c r="AA82" s="6"/>
    </row>
    <row r="83" spans="1:27" x14ac:dyDescent="0.45">
      <c r="A83" s="36" t="s">
        <v>93</v>
      </c>
      <c r="B83" s="35">
        <f>B78-B80</f>
        <v>-487.80719094056792</v>
      </c>
      <c r="C83" s="35">
        <f t="shared" ref="C83:U83" si="41">C78-C80</f>
        <v>287.00695034789339</v>
      </c>
      <c r="D83" s="35">
        <f t="shared" si="41"/>
        <v>293.98678324300937</v>
      </c>
      <c r="E83" s="35">
        <f t="shared" si="41"/>
        <v>250.80707755598343</v>
      </c>
      <c r="F83" s="35">
        <f t="shared" si="41"/>
        <v>256.90571363909481</v>
      </c>
      <c r="G83" s="35">
        <f t="shared" si="41"/>
        <v>263.15261740681228</v>
      </c>
      <c r="H83" s="35">
        <f t="shared" si="41"/>
        <v>197.42647938430903</v>
      </c>
      <c r="I83" s="35">
        <f t="shared" si="41"/>
        <v>202.22565777291859</v>
      </c>
      <c r="J83" s="35">
        <f t="shared" si="41"/>
        <v>207.14146831799886</v>
      </c>
      <c r="K83" s="35">
        <f t="shared" si="41"/>
        <v>173.41696087981254</v>
      </c>
      <c r="L83" s="35">
        <f t="shared" si="41"/>
        <v>177.63138592003639</v>
      </c>
      <c r="M83" s="35">
        <f t="shared" si="41"/>
        <v>181.94819869253061</v>
      </c>
      <c r="N83" s="35">
        <f t="shared" si="41"/>
        <v>91.480260110420716</v>
      </c>
      <c r="O83" s="35">
        <f t="shared" si="41"/>
        <v>93.700229153802184</v>
      </c>
      <c r="P83" s="35">
        <f t="shared" si="41"/>
        <v>95.974035051262192</v>
      </c>
      <c r="Q83" s="35">
        <f t="shared" si="41"/>
        <v>98.302982339866958</v>
      </c>
      <c r="R83" s="35">
        <f t="shared" si="41"/>
        <v>100.68840713510883</v>
      </c>
      <c r="S83" s="35">
        <f t="shared" si="41"/>
        <v>103.131677894343</v>
      </c>
      <c r="T83" s="35">
        <f t="shared" si="41"/>
        <v>105.63419619865118</v>
      </c>
      <c r="U83" s="35">
        <f t="shared" si="41"/>
        <v>108.19739755357715</v>
      </c>
      <c r="V83" s="6"/>
      <c r="W83" s="6"/>
      <c r="X83" s="6"/>
      <c r="Y83" s="6"/>
      <c r="Z83" s="6"/>
      <c r="AA83" s="6"/>
    </row>
    <row r="84" spans="1:27" x14ac:dyDescent="0.45">
      <c r="A84" s="3" t="s">
        <v>57</v>
      </c>
      <c r="B84" s="33">
        <f>B73</f>
        <v>4.8385618118864162</v>
      </c>
      <c r="C84" s="33">
        <f t="shared" ref="C84:U84" si="42">C73</f>
        <v>6.2013900695786788</v>
      </c>
      <c r="D84" s="33">
        <f t="shared" si="42"/>
        <v>7.597356648601874</v>
      </c>
      <c r="E84" s="33">
        <f t="shared" si="42"/>
        <v>50.161415511196687</v>
      </c>
      <c r="F84" s="33">
        <f t="shared" si="42"/>
        <v>51.381142727818968</v>
      </c>
      <c r="G84" s="33">
        <f t="shared" si="42"/>
        <v>52.630523481362459</v>
      </c>
      <c r="H84" s="33">
        <f t="shared" si="42"/>
        <v>39.485295876861812</v>
      </c>
      <c r="I84" s="33">
        <f t="shared" si="42"/>
        <v>40.445131554583725</v>
      </c>
      <c r="J84" s="33">
        <f t="shared" si="42"/>
        <v>41.428293663599774</v>
      </c>
      <c r="K84" s="33">
        <f t="shared" si="42"/>
        <v>34.68339217596251</v>
      </c>
      <c r="L84" s="33">
        <f t="shared" si="42"/>
        <v>35.526277184007277</v>
      </c>
      <c r="M84" s="33">
        <f t="shared" si="42"/>
        <v>36.389639738506126</v>
      </c>
      <c r="N84" s="33">
        <f t="shared" si="42"/>
        <v>18.296052022084144</v>
      </c>
      <c r="O84" s="33">
        <f t="shared" si="42"/>
        <v>18.740045830760437</v>
      </c>
      <c r="P84" s="33">
        <f t="shared" si="42"/>
        <v>19.19480701025244</v>
      </c>
      <c r="Q84" s="33">
        <f t="shared" si="42"/>
        <v>19.660596467973392</v>
      </c>
      <c r="R84" s="33">
        <f t="shared" si="42"/>
        <v>20.137681427021768</v>
      </c>
      <c r="S84" s="33">
        <f t="shared" si="42"/>
        <v>20.626335578868602</v>
      </c>
      <c r="T84" s="33">
        <f t="shared" si="42"/>
        <v>21.126839239730238</v>
      </c>
      <c r="U84" s="33">
        <f t="shared" si="42"/>
        <v>21.639479510715432</v>
      </c>
      <c r="V84" s="6"/>
      <c r="W84" s="6"/>
      <c r="X84" s="6"/>
      <c r="Y84" s="6"/>
      <c r="Z84" s="6"/>
      <c r="AA84" s="6"/>
    </row>
    <row r="85" spans="1:27" x14ac:dyDescent="0.45">
      <c r="A85" s="1" t="s">
        <v>96</v>
      </c>
      <c r="B85" s="35">
        <f>B83-B84</f>
        <v>-492.64575275245431</v>
      </c>
      <c r="C85" s="35">
        <f t="shared" ref="C85:U85" si="43">C83-C84</f>
        <v>280.80556027831472</v>
      </c>
      <c r="D85" s="35">
        <f t="shared" si="43"/>
        <v>286.3894265944075</v>
      </c>
      <c r="E85" s="35">
        <f t="shared" si="43"/>
        <v>200.64566204478675</v>
      </c>
      <c r="F85" s="35">
        <f t="shared" si="43"/>
        <v>205.52457091127584</v>
      </c>
      <c r="G85" s="35">
        <f t="shared" si="43"/>
        <v>210.52209392544984</v>
      </c>
      <c r="H85" s="35">
        <f t="shared" si="43"/>
        <v>157.94118350744722</v>
      </c>
      <c r="I85" s="35">
        <f t="shared" si="43"/>
        <v>161.78052621833487</v>
      </c>
      <c r="J85" s="35">
        <f t="shared" si="43"/>
        <v>165.7131746543991</v>
      </c>
      <c r="K85" s="35">
        <f t="shared" si="43"/>
        <v>138.73356870385004</v>
      </c>
      <c r="L85" s="35">
        <f t="shared" si="43"/>
        <v>142.10510873602911</v>
      </c>
      <c r="M85" s="35">
        <f t="shared" si="43"/>
        <v>145.55855895402448</v>
      </c>
      <c r="N85" s="35">
        <f t="shared" si="43"/>
        <v>73.184208088336575</v>
      </c>
      <c r="O85" s="35">
        <f t="shared" si="43"/>
        <v>74.960183323041747</v>
      </c>
      <c r="P85" s="35">
        <f t="shared" si="43"/>
        <v>76.779228041009759</v>
      </c>
      <c r="Q85" s="35">
        <f t="shared" si="43"/>
        <v>78.642385871893566</v>
      </c>
      <c r="R85" s="35">
        <f t="shared" si="43"/>
        <v>80.550725708087072</v>
      </c>
      <c r="S85" s="35">
        <f t="shared" si="43"/>
        <v>82.505342315474394</v>
      </c>
      <c r="T85" s="35">
        <f t="shared" si="43"/>
        <v>84.507356958920951</v>
      </c>
      <c r="U85" s="35">
        <f t="shared" si="43"/>
        <v>86.557918042861715</v>
      </c>
      <c r="V85" s="6"/>
      <c r="W85" s="6"/>
      <c r="X85" s="6"/>
      <c r="Y85" s="6"/>
      <c r="Z85" s="6"/>
      <c r="AA85" s="6"/>
    </row>
    <row r="86" spans="1:27" x14ac:dyDescent="0.45">
      <c r="A86" s="2" t="s">
        <v>75</v>
      </c>
      <c r="B86" s="5">
        <f t="shared" ref="B86:M86" si="44">(1+$H$23)^-B77</f>
        <v>1</v>
      </c>
      <c r="C86" s="5">
        <f t="shared" si="44"/>
        <v>0.92592592592592582</v>
      </c>
      <c r="D86" s="5">
        <f t="shared" si="44"/>
        <v>0.85733882030178321</v>
      </c>
      <c r="E86" s="5">
        <f t="shared" si="44"/>
        <v>0.79383224102016958</v>
      </c>
      <c r="F86" s="5">
        <f t="shared" si="44"/>
        <v>0.73502985279645328</v>
      </c>
      <c r="G86" s="5">
        <f t="shared" si="44"/>
        <v>0.68058319703375303</v>
      </c>
      <c r="H86" s="5">
        <f t="shared" si="44"/>
        <v>0.63016962688310452</v>
      </c>
      <c r="I86" s="5">
        <f t="shared" si="44"/>
        <v>0.58349039526213387</v>
      </c>
      <c r="J86" s="5">
        <f t="shared" si="44"/>
        <v>0.54026888450197574</v>
      </c>
      <c r="K86" s="5">
        <f t="shared" si="44"/>
        <v>0.50024896713145905</v>
      </c>
      <c r="L86" s="5">
        <f t="shared" si="44"/>
        <v>0.46319348808468425</v>
      </c>
      <c r="M86" s="5">
        <f t="shared" si="44"/>
        <v>0.42888285933767062</v>
      </c>
      <c r="N86" s="5">
        <f t="shared" ref="N86:U86" si="45">(1+$H$23)^-N77</f>
        <v>0.39711375864599124</v>
      </c>
      <c r="O86" s="5">
        <f t="shared" si="45"/>
        <v>0.36769792467221413</v>
      </c>
      <c r="P86" s="5">
        <f t="shared" si="45"/>
        <v>0.34046104136316119</v>
      </c>
      <c r="Q86" s="5">
        <f t="shared" si="45"/>
        <v>0.31524170496588994</v>
      </c>
      <c r="R86" s="5">
        <f t="shared" si="45"/>
        <v>0.29189046756100923</v>
      </c>
      <c r="S86" s="5">
        <f t="shared" si="45"/>
        <v>0.27026895144537894</v>
      </c>
      <c r="T86" s="5">
        <f t="shared" si="45"/>
        <v>0.25024902911609154</v>
      </c>
      <c r="U86" s="5">
        <f t="shared" si="45"/>
        <v>0.23171206399638106</v>
      </c>
      <c r="V86" s="5"/>
      <c r="W86" s="5"/>
      <c r="X86" s="5"/>
      <c r="Y86" s="5"/>
      <c r="Z86" s="5"/>
      <c r="AA86" s="5"/>
    </row>
    <row r="87" spans="1:27" x14ac:dyDescent="0.45">
      <c r="A87" s="2" t="s">
        <v>79</v>
      </c>
      <c r="B87" s="19">
        <f>B85*B86</f>
        <v>-492.64575275245431</v>
      </c>
      <c r="C87" s="19">
        <f t="shared" ref="C87:U87" si="46">C85*C86</f>
        <v>260.00514840584691</v>
      </c>
      <c r="D87" s="19">
        <f t="shared" si="46"/>
        <v>245.53277314335347</v>
      </c>
      <c r="E87" s="19">
        <f t="shared" si="46"/>
        <v>159.27899555198866</v>
      </c>
      <c r="F87" s="19">
        <f t="shared" si="46"/>
        <v>151.06669510296931</v>
      </c>
      <c r="G87" s="19">
        <f t="shared" si="46"/>
        <v>143.27779973002268</v>
      </c>
      <c r="H87" s="19">
        <f t="shared" si="46"/>
        <v>99.529736680363953</v>
      </c>
      <c r="I87" s="19">
        <f t="shared" si="46"/>
        <v>94.397383188852231</v>
      </c>
      <c r="J87" s="19">
        <f t="shared" si="46"/>
        <v>89.529672017813283</v>
      </c>
      <c r="K87" s="19">
        <f t="shared" si="46"/>
        <v>69.401324450562299</v>
      </c>
      <c r="L87" s="19">
        <f t="shared" si="46"/>
        <v>65.822160990094659</v>
      </c>
      <c r="M87" s="19">
        <f t="shared" si="46"/>
        <v>62.427570965272913</v>
      </c>
      <c r="N87" s="19">
        <f t="shared" si="46"/>
        <v>29.062455947489692</v>
      </c>
      <c r="O87" s="19">
        <f t="shared" si="46"/>
        <v>27.562703840931167</v>
      </c>
      <c r="P87" s="19">
        <f t="shared" si="46"/>
        <v>26.14033593390181</v>
      </c>
      <c r="Q87" s="19">
        <f t="shared" si="46"/>
        <v>24.791359804841143</v>
      </c>
      <c r="R87" s="19">
        <f t="shared" si="46"/>
        <v>23.51198898931214</v>
      </c>
      <c r="S87" s="19">
        <f t="shared" si="46"/>
        <v>22.298632356245317</v>
      </c>
      <c r="T87" s="19">
        <f t="shared" si="46"/>
        <v>21.14788403213695</v>
      </c>
      <c r="U87" s="19">
        <f t="shared" si="46"/>
        <v>20.05651384494108</v>
      </c>
      <c r="V87" s="6"/>
      <c r="W87" s="6"/>
      <c r="X87" s="6"/>
      <c r="Y87" s="6"/>
      <c r="Z87" s="6"/>
      <c r="AA87" s="6"/>
    </row>
    <row r="88" spans="1:27" x14ac:dyDescent="0.45">
      <c r="A88" s="2" t="s">
        <v>80</v>
      </c>
      <c r="B88" s="19">
        <f>B85</f>
        <v>-492.64575275245431</v>
      </c>
      <c r="C88" s="6">
        <f>B88+C85</f>
        <v>-211.8401924741396</v>
      </c>
      <c r="D88" s="6">
        <f t="shared" ref="D88:U88" si="47">C88+D85</f>
        <v>74.549234120267897</v>
      </c>
      <c r="E88" s="6">
        <f t="shared" si="47"/>
        <v>275.19489616505462</v>
      </c>
      <c r="F88" s="6">
        <f t="shared" si="47"/>
        <v>480.71946707633049</v>
      </c>
      <c r="G88" s="6">
        <f t="shared" si="47"/>
        <v>691.24156100178038</v>
      </c>
      <c r="H88" s="6">
        <f t="shared" si="47"/>
        <v>849.18274450922763</v>
      </c>
      <c r="I88" s="6">
        <f t="shared" si="47"/>
        <v>1010.9632707275625</v>
      </c>
      <c r="J88" s="6">
        <f t="shared" si="47"/>
        <v>1176.6764453819617</v>
      </c>
      <c r="K88" s="6">
        <f t="shared" si="47"/>
        <v>1315.4100140858118</v>
      </c>
      <c r="L88" s="6">
        <f t="shared" si="47"/>
        <v>1457.5151228218408</v>
      </c>
      <c r="M88" s="6">
        <f t="shared" si="47"/>
        <v>1603.0736817758652</v>
      </c>
      <c r="N88" s="6">
        <f t="shared" si="47"/>
        <v>1676.2578898642018</v>
      </c>
      <c r="O88" s="6">
        <f t="shared" si="47"/>
        <v>1751.2180731872436</v>
      </c>
      <c r="P88" s="6">
        <f t="shared" si="47"/>
        <v>1827.9973012282533</v>
      </c>
      <c r="Q88" s="6">
        <f t="shared" si="47"/>
        <v>1906.6396871001468</v>
      </c>
      <c r="R88" s="6">
        <f t="shared" si="47"/>
        <v>1987.190412808234</v>
      </c>
      <c r="S88" s="6">
        <f t="shared" si="47"/>
        <v>2069.6957551237083</v>
      </c>
      <c r="T88" s="6">
        <f t="shared" si="47"/>
        <v>2154.2031120826291</v>
      </c>
      <c r="U88" s="6">
        <f t="shared" si="47"/>
        <v>2240.7610301254908</v>
      </c>
      <c r="V88" s="6"/>
      <c r="W88" s="6"/>
      <c r="X88" s="6"/>
      <c r="Y88" s="6"/>
      <c r="Z88" s="6"/>
      <c r="AA88" s="6"/>
    </row>
    <row r="89" spans="1:27" x14ac:dyDescent="0.45">
      <c r="A89" s="2" t="s">
        <v>81</v>
      </c>
      <c r="B89" s="19">
        <f>B87</f>
        <v>-492.64575275245431</v>
      </c>
      <c r="C89" s="6">
        <f>B89+C87</f>
        <v>-232.6406043466074</v>
      </c>
      <c r="D89" s="6">
        <f t="shared" ref="D89:U89" si="48">C89+D87</f>
        <v>12.892168796746063</v>
      </c>
      <c r="E89" s="6">
        <f t="shared" si="48"/>
        <v>172.17116434873472</v>
      </c>
      <c r="F89" s="6">
        <f t="shared" si="48"/>
        <v>323.23785945170403</v>
      </c>
      <c r="G89" s="6">
        <f t="shared" si="48"/>
        <v>466.51565918172673</v>
      </c>
      <c r="H89" s="6">
        <f t="shared" si="48"/>
        <v>566.04539586209069</v>
      </c>
      <c r="I89" s="6">
        <f t="shared" si="48"/>
        <v>660.44277905094293</v>
      </c>
      <c r="J89" s="6">
        <f t="shared" si="48"/>
        <v>749.97245106875619</v>
      </c>
      <c r="K89" s="6">
        <f t="shared" si="48"/>
        <v>819.37377551931854</v>
      </c>
      <c r="L89" s="6">
        <f t="shared" si="48"/>
        <v>885.19593650941317</v>
      </c>
      <c r="M89" s="6">
        <f t="shared" si="48"/>
        <v>947.62350747468611</v>
      </c>
      <c r="N89" s="6">
        <f t="shared" si="48"/>
        <v>976.68596342217575</v>
      </c>
      <c r="O89" s="6">
        <f t="shared" si="48"/>
        <v>1004.2486672631069</v>
      </c>
      <c r="P89" s="6">
        <f t="shared" si="48"/>
        <v>1030.3890031970086</v>
      </c>
      <c r="Q89" s="6">
        <f t="shared" si="48"/>
        <v>1055.1803630018499</v>
      </c>
      <c r="R89" s="6">
        <f t="shared" si="48"/>
        <v>1078.692351991162</v>
      </c>
      <c r="S89" s="6">
        <f t="shared" si="48"/>
        <v>1100.9909843474072</v>
      </c>
      <c r="T89" s="6">
        <f t="shared" si="48"/>
        <v>1122.1388683795442</v>
      </c>
      <c r="U89" s="6">
        <f t="shared" si="48"/>
        <v>1142.1953822244852</v>
      </c>
      <c r="V89" s="6"/>
      <c r="W89" s="6"/>
      <c r="X89" s="6"/>
      <c r="Y89" s="6"/>
      <c r="Z89" s="6"/>
      <c r="AA89" s="6"/>
    </row>
    <row r="90" spans="1:27" x14ac:dyDescent="0.45">
      <c r="B90" s="19"/>
      <c r="C90" s="6"/>
      <c r="D90" s="6"/>
      <c r="E90" s="6"/>
      <c r="F90" s="6"/>
      <c r="G90" s="6"/>
      <c r="H90" s="6"/>
      <c r="I90" s="6"/>
      <c r="J90" s="6"/>
      <c r="K90" s="6"/>
      <c r="L90" s="6"/>
      <c r="M90" s="6"/>
      <c r="N90" s="6"/>
      <c r="O90" s="6"/>
      <c r="P90" s="6"/>
      <c r="Q90" s="6"/>
      <c r="R90" s="6"/>
      <c r="S90" s="6"/>
      <c r="T90" s="6"/>
      <c r="U90" s="6"/>
      <c r="V90" s="6"/>
      <c r="W90" s="6"/>
      <c r="X90" s="6"/>
      <c r="Y90" s="6"/>
      <c r="Z90" s="6"/>
      <c r="AA90" s="6"/>
    </row>
    <row r="91" spans="1:27" x14ac:dyDescent="0.45">
      <c r="A91" s="38" t="s">
        <v>115</v>
      </c>
      <c r="B91" s="39">
        <f>SUM(B87:U87)</f>
        <v>1142.1953822244852</v>
      </c>
      <c r="C91" s="6"/>
    </row>
    <row r="92" spans="1:27" x14ac:dyDescent="0.45">
      <c r="A92" s="38" t="s">
        <v>116</v>
      </c>
      <c r="B92" s="50">
        <f>IRR(B85:U85)</f>
        <v>0.48663384162906831</v>
      </c>
      <c r="C92" s="4"/>
    </row>
    <row r="94" spans="1:27" x14ac:dyDescent="0.45">
      <c r="A94" s="1" t="s">
        <v>94</v>
      </c>
    </row>
    <row r="95" spans="1:27" x14ac:dyDescent="0.45">
      <c r="A95" s="11" t="s">
        <v>39</v>
      </c>
      <c r="B95" s="11">
        <v>0</v>
      </c>
      <c r="C95" s="11">
        <v>1</v>
      </c>
      <c r="D95" s="11">
        <v>2</v>
      </c>
      <c r="E95" s="11">
        <v>3</v>
      </c>
      <c r="F95" s="11">
        <v>4</v>
      </c>
      <c r="G95" s="11">
        <v>5</v>
      </c>
      <c r="H95" s="11">
        <v>6</v>
      </c>
      <c r="I95" s="11">
        <v>7</v>
      </c>
      <c r="J95" s="11">
        <v>8</v>
      </c>
      <c r="K95" s="11">
        <v>9</v>
      </c>
      <c r="L95" s="11">
        <v>10</v>
      </c>
      <c r="M95" s="11">
        <v>11</v>
      </c>
      <c r="N95" s="11">
        <v>12</v>
      </c>
      <c r="O95" s="11">
        <v>13</v>
      </c>
      <c r="P95" s="11">
        <v>14</v>
      </c>
      <c r="Q95" s="11">
        <v>15</v>
      </c>
      <c r="R95" s="11">
        <v>16</v>
      </c>
      <c r="S95" s="11">
        <v>17</v>
      </c>
      <c r="T95" s="11">
        <v>18</v>
      </c>
      <c r="U95" s="11">
        <v>19</v>
      </c>
      <c r="V95" s="11">
        <v>20</v>
      </c>
      <c r="W95" s="11">
        <v>21</v>
      </c>
      <c r="X95" s="11">
        <v>22</v>
      </c>
      <c r="Y95" s="11">
        <v>23</v>
      </c>
      <c r="Z95" s="11">
        <v>24</v>
      </c>
      <c r="AA95" s="11">
        <v>25</v>
      </c>
    </row>
    <row r="96" spans="1:27" x14ac:dyDescent="0.45">
      <c r="A96" s="1" t="s">
        <v>96</v>
      </c>
      <c r="B96" s="35">
        <f>B85</f>
        <v>-492.64575275245431</v>
      </c>
      <c r="C96" s="35">
        <f t="shared" ref="C96:U96" si="49">C85</f>
        <v>280.80556027831472</v>
      </c>
      <c r="D96" s="35">
        <f t="shared" si="49"/>
        <v>286.3894265944075</v>
      </c>
      <c r="E96" s="35">
        <f t="shared" si="49"/>
        <v>200.64566204478675</v>
      </c>
      <c r="F96" s="35">
        <f t="shared" si="49"/>
        <v>205.52457091127584</v>
      </c>
      <c r="G96" s="35">
        <f t="shared" si="49"/>
        <v>210.52209392544984</v>
      </c>
      <c r="H96" s="35">
        <f t="shared" si="49"/>
        <v>157.94118350744722</v>
      </c>
      <c r="I96" s="35">
        <f t="shared" si="49"/>
        <v>161.78052621833487</v>
      </c>
      <c r="J96" s="35">
        <f t="shared" si="49"/>
        <v>165.7131746543991</v>
      </c>
      <c r="K96" s="35">
        <f t="shared" si="49"/>
        <v>138.73356870385004</v>
      </c>
      <c r="L96" s="35">
        <f t="shared" si="49"/>
        <v>142.10510873602911</v>
      </c>
      <c r="M96" s="35">
        <f t="shared" si="49"/>
        <v>145.55855895402448</v>
      </c>
      <c r="N96" s="35">
        <f t="shared" si="49"/>
        <v>73.184208088336575</v>
      </c>
      <c r="O96" s="35">
        <f t="shared" si="49"/>
        <v>74.960183323041747</v>
      </c>
      <c r="P96" s="35">
        <f t="shared" si="49"/>
        <v>76.779228041009759</v>
      </c>
      <c r="Q96" s="35">
        <f t="shared" si="49"/>
        <v>78.642385871893566</v>
      </c>
      <c r="R96" s="35">
        <f t="shared" si="49"/>
        <v>80.550725708087072</v>
      </c>
      <c r="S96" s="35">
        <f t="shared" si="49"/>
        <v>82.505342315474394</v>
      </c>
      <c r="T96" s="35">
        <f t="shared" si="49"/>
        <v>84.507356958920951</v>
      </c>
      <c r="U96" s="35">
        <f t="shared" si="49"/>
        <v>86.557918042861715</v>
      </c>
    </row>
    <row r="97" spans="1:27" x14ac:dyDescent="0.45">
      <c r="A97" s="3" t="s">
        <v>112</v>
      </c>
      <c r="B97" s="33">
        <f>B56</f>
        <v>0</v>
      </c>
      <c r="C97" s="33"/>
      <c r="D97" s="33"/>
      <c r="E97" s="33"/>
      <c r="F97" s="33"/>
      <c r="G97" s="33"/>
      <c r="H97" s="33"/>
      <c r="I97" s="33"/>
      <c r="J97" s="33"/>
      <c r="K97" s="33"/>
      <c r="L97" s="33"/>
      <c r="M97" s="33"/>
      <c r="N97" s="33"/>
      <c r="O97" s="33"/>
      <c r="P97" s="33"/>
      <c r="Q97" s="33"/>
      <c r="R97" s="33"/>
      <c r="S97" s="33"/>
      <c r="T97" s="33"/>
      <c r="U97" s="33"/>
      <c r="V97" s="6"/>
      <c r="W97" s="6"/>
      <c r="X97" s="6"/>
      <c r="Y97" s="6"/>
      <c r="Z97" s="6"/>
      <c r="AA97" s="6"/>
    </row>
    <row r="98" spans="1:27" x14ac:dyDescent="0.45">
      <c r="A98" s="3" t="s">
        <v>102</v>
      </c>
      <c r="B98" s="19">
        <f>B58</f>
        <v>0</v>
      </c>
      <c r="C98" s="19">
        <f t="shared" ref="C98:F98" si="50">C58</f>
        <v>0</v>
      </c>
      <c r="D98" s="19">
        <f t="shared" si="50"/>
        <v>0</v>
      </c>
      <c r="E98" s="19">
        <f t="shared" si="50"/>
        <v>0</v>
      </c>
      <c r="F98" s="19">
        <f t="shared" si="50"/>
        <v>0</v>
      </c>
      <c r="G98" s="35"/>
      <c r="H98" s="35"/>
      <c r="I98" s="35"/>
      <c r="J98" s="35"/>
      <c r="K98" s="35"/>
      <c r="L98" s="35"/>
      <c r="M98" s="35"/>
      <c r="N98" s="35"/>
      <c r="O98" s="35"/>
      <c r="P98" s="35"/>
      <c r="Q98" s="35"/>
      <c r="R98" s="35"/>
      <c r="S98" s="35"/>
      <c r="T98" s="35"/>
      <c r="U98" s="35"/>
    </row>
    <row r="99" spans="1:27" x14ac:dyDescent="0.45">
      <c r="A99" s="36" t="s">
        <v>113</v>
      </c>
      <c r="B99" s="35">
        <f>B96+B97-B98</f>
        <v>-492.64575275245431</v>
      </c>
      <c r="C99" s="35">
        <f t="shared" ref="C99:U99" si="51">C96+C97-C98</f>
        <v>280.80556027831472</v>
      </c>
      <c r="D99" s="35">
        <f t="shared" si="51"/>
        <v>286.3894265944075</v>
      </c>
      <c r="E99" s="35">
        <f t="shared" si="51"/>
        <v>200.64566204478675</v>
      </c>
      <c r="F99" s="35">
        <f t="shared" si="51"/>
        <v>205.52457091127584</v>
      </c>
      <c r="G99" s="35">
        <f t="shared" si="51"/>
        <v>210.52209392544984</v>
      </c>
      <c r="H99" s="35">
        <f t="shared" si="51"/>
        <v>157.94118350744722</v>
      </c>
      <c r="I99" s="35">
        <f t="shared" si="51"/>
        <v>161.78052621833487</v>
      </c>
      <c r="J99" s="35">
        <f t="shared" si="51"/>
        <v>165.7131746543991</v>
      </c>
      <c r="K99" s="35">
        <f t="shared" si="51"/>
        <v>138.73356870385004</v>
      </c>
      <c r="L99" s="35">
        <f t="shared" si="51"/>
        <v>142.10510873602911</v>
      </c>
      <c r="M99" s="35">
        <f t="shared" si="51"/>
        <v>145.55855895402448</v>
      </c>
      <c r="N99" s="35">
        <f t="shared" si="51"/>
        <v>73.184208088336575</v>
      </c>
      <c r="O99" s="35">
        <f t="shared" si="51"/>
        <v>74.960183323041747</v>
      </c>
      <c r="P99" s="35">
        <f t="shared" si="51"/>
        <v>76.779228041009759</v>
      </c>
      <c r="Q99" s="35">
        <f t="shared" si="51"/>
        <v>78.642385871893566</v>
      </c>
      <c r="R99" s="35">
        <f t="shared" si="51"/>
        <v>80.550725708087072</v>
      </c>
      <c r="S99" s="35">
        <f t="shared" si="51"/>
        <v>82.505342315474394</v>
      </c>
      <c r="T99" s="35">
        <f t="shared" si="51"/>
        <v>84.507356958920951</v>
      </c>
      <c r="U99" s="35">
        <f t="shared" si="51"/>
        <v>86.557918042861715</v>
      </c>
      <c r="V99" s="6"/>
      <c r="W99" s="6"/>
      <c r="X99" s="6"/>
      <c r="Y99" s="6"/>
      <c r="Z99" s="6"/>
      <c r="AA99" s="6"/>
    </row>
    <row r="100" spans="1:27" x14ac:dyDescent="0.45">
      <c r="A100" s="36"/>
      <c r="B100" s="35"/>
      <c r="C100" s="35"/>
      <c r="D100" s="35"/>
      <c r="E100" s="35"/>
      <c r="F100" s="35"/>
      <c r="G100" s="35"/>
      <c r="H100" s="35"/>
      <c r="I100" s="35"/>
      <c r="J100" s="35"/>
      <c r="K100" s="35"/>
      <c r="L100" s="35"/>
      <c r="M100" s="35"/>
      <c r="N100" s="35"/>
      <c r="O100" s="35"/>
      <c r="P100" s="35"/>
      <c r="Q100" s="35"/>
      <c r="R100" s="35"/>
      <c r="S100" s="35"/>
      <c r="T100" s="35"/>
      <c r="U100" s="35"/>
      <c r="V100" s="6"/>
      <c r="W100" s="6"/>
      <c r="X100" s="6"/>
      <c r="Y100" s="6"/>
      <c r="Z100" s="6"/>
      <c r="AA100" s="6"/>
    </row>
    <row r="101" spans="1:27" x14ac:dyDescent="0.45">
      <c r="A101" s="40" t="s">
        <v>117</v>
      </c>
      <c r="B101" s="39">
        <f>NPV(B10,C99:U99)+B99</f>
        <v>1142.1953822244855</v>
      </c>
      <c r="C101" s="35"/>
      <c r="D101" s="35"/>
      <c r="E101" s="35"/>
      <c r="F101" s="35"/>
      <c r="G101" s="35"/>
      <c r="H101" s="35"/>
      <c r="I101" s="35"/>
      <c r="J101" s="35"/>
      <c r="K101" s="35"/>
      <c r="L101" s="35"/>
      <c r="M101" s="35"/>
      <c r="N101" s="6"/>
      <c r="O101" s="6"/>
      <c r="P101" s="6"/>
      <c r="Q101" s="6"/>
      <c r="R101" s="6"/>
      <c r="S101" s="6"/>
      <c r="T101" s="6"/>
      <c r="U101" s="6"/>
      <c r="V101" s="6"/>
      <c r="W101" s="6"/>
      <c r="X101" s="6"/>
      <c r="Y101" s="6"/>
      <c r="Z101" s="6"/>
      <c r="AA101" s="6"/>
    </row>
    <row r="102" spans="1:27" x14ac:dyDescent="0.45">
      <c r="A102" s="38" t="s">
        <v>114</v>
      </c>
      <c r="B102" s="50">
        <f>IRR(B99:U99)</f>
        <v>0.48663384162906831</v>
      </c>
      <c r="C102" s="49"/>
    </row>
    <row r="104" spans="1:27" x14ac:dyDescent="0.45">
      <c r="A104" s="25" t="s">
        <v>89</v>
      </c>
    </row>
    <row r="105" spans="1:27" x14ac:dyDescent="0.45">
      <c r="A105" s="24" t="s">
        <v>121</v>
      </c>
    </row>
  </sheetData>
  <mergeCells count="2">
    <mergeCell ref="A1:I1"/>
    <mergeCell ref="A2:I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97E4-F89A-42CA-98AA-6DB164E3B9B3}">
  <dimension ref="A1:AA108"/>
  <sheetViews>
    <sheetView tabSelected="1" topLeftCell="A86" workbookViewId="0">
      <selection activeCell="B112" sqref="B112"/>
    </sheetView>
  </sheetViews>
  <sheetFormatPr defaultRowHeight="15.4" x14ac:dyDescent="0.45"/>
  <cols>
    <col min="1" max="1" width="47.06640625" style="2" bestFit="1" customWidth="1"/>
    <col min="2" max="2" width="9.33203125" style="2" customWidth="1"/>
    <col min="3" max="3" width="9.796875" style="2" customWidth="1"/>
    <col min="4" max="7" width="9.06640625" style="2"/>
    <col min="8" max="8" width="9.6640625" style="2" customWidth="1"/>
    <col min="9" max="16384" width="9.06640625" style="2"/>
  </cols>
  <sheetData>
    <row r="1" spans="1:9" ht="25.9" x14ac:dyDescent="0.65">
      <c r="A1" s="54" t="s">
        <v>91</v>
      </c>
      <c r="B1" s="54"/>
      <c r="C1" s="54"/>
      <c r="D1" s="54"/>
      <c r="E1" s="54"/>
      <c r="F1" s="54"/>
      <c r="G1" s="54"/>
      <c r="H1" s="54"/>
      <c r="I1" s="54"/>
    </row>
    <row r="2" spans="1:9" ht="19.149999999999999" x14ac:dyDescent="0.55000000000000004">
      <c r="A2" s="55" t="s">
        <v>118</v>
      </c>
      <c r="B2" s="55"/>
      <c r="C2" s="55"/>
      <c r="D2" s="55"/>
      <c r="E2" s="55"/>
      <c r="F2" s="55"/>
      <c r="G2" s="55"/>
      <c r="H2" s="55"/>
      <c r="I2" s="55"/>
    </row>
    <row r="4" spans="1:9" ht="19.149999999999999" thickBot="1" x14ac:dyDescent="0.55000000000000004">
      <c r="A4" s="26" t="s">
        <v>0</v>
      </c>
      <c r="B4" s="12"/>
      <c r="C4" s="12"/>
      <c r="D4" s="12"/>
      <c r="E4" s="12"/>
      <c r="F4" s="12"/>
      <c r="G4" s="12"/>
      <c r="H4" s="12"/>
      <c r="I4" s="12"/>
    </row>
    <row r="5" spans="1:9" ht="15.75" thickTop="1" x14ac:dyDescent="0.45">
      <c r="A5" s="1" t="s">
        <v>34</v>
      </c>
      <c r="E5" s="1" t="s">
        <v>28</v>
      </c>
    </row>
    <row r="6" spans="1:9" x14ac:dyDescent="0.45">
      <c r="A6" s="2" t="s">
        <v>1</v>
      </c>
      <c r="B6" s="2">
        <v>768</v>
      </c>
      <c r="C6" s="2" t="s">
        <v>4</v>
      </c>
      <c r="E6" s="10" t="s">
        <v>29</v>
      </c>
    </row>
    <row r="7" spans="1:9" x14ac:dyDescent="0.45">
      <c r="A7" s="3" t="s">
        <v>65</v>
      </c>
      <c r="B7" s="21">
        <v>3</v>
      </c>
      <c r="C7" s="2" t="s">
        <v>6</v>
      </c>
      <c r="E7" s="3" t="s">
        <v>10</v>
      </c>
      <c r="H7" s="2">
        <v>2887</v>
      </c>
      <c r="I7" s="2" t="s">
        <v>9</v>
      </c>
    </row>
    <row r="8" spans="1:9" x14ac:dyDescent="0.45">
      <c r="A8" s="2" t="s">
        <v>2</v>
      </c>
      <c r="B8" s="2">
        <v>768</v>
      </c>
      <c r="C8" s="2" t="s">
        <v>4</v>
      </c>
      <c r="E8" s="3" t="s">
        <v>30</v>
      </c>
      <c r="H8" s="2">
        <v>1609</v>
      </c>
      <c r="I8" s="2" t="s">
        <v>9</v>
      </c>
    </row>
    <row r="9" spans="1:9" x14ac:dyDescent="0.45">
      <c r="A9" s="3" t="s">
        <v>3</v>
      </c>
      <c r="B9" s="2">
        <f>B8-H20*B8</f>
        <v>768</v>
      </c>
      <c r="C9" s="2" t="s">
        <v>4</v>
      </c>
      <c r="E9" s="3" t="s">
        <v>11</v>
      </c>
      <c r="H9" s="2">
        <v>5025</v>
      </c>
      <c r="I9" s="2" t="s">
        <v>9</v>
      </c>
    </row>
    <row r="10" spans="1:9" x14ac:dyDescent="0.45">
      <c r="A10" s="8" t="s">
        <v>21</v>
      </c>
      <c r="B10" s="4">
        <v>0.08</v>
      </c>
      <c r="C10" s="9" t="s">
        <v>22</v>
      </c>
      <c r="E10" s="10" t="s">
        <v>31</v>
      </c>
    </row>
    <row r="11" spans="1:9" x14ac:dyDescent="0.45">
      <c r="A11" s="2" t="s">
        <v>5</v>
      </c>
      <c r="B11" s="2">
        <v>20</v>
      </c>
      <c r="C11" s="2" t="s">
        <v>6</v>
      </c>
      <c r="E11" s="3" t="s">
        <v>10</v>
      </c>
      <c r="H11" s="2">
        <v>3108</v>
      </c>
      <c r="I11" s="2" t="s">
        <v>9</v>
      </c>
    </row>
    <row r="12" spans="1:9" x14ac:dyDescent="0.45">
      <c r="A12" s="2" t="s">
        <v>7</v>
      </c>
      <c r="B12" s="2">
        <v>5</v>
      </c>
      <c r="C12" s="2" t="s">
        <v>6</v>
      </c>
      <c r="E12" s="3" t="s">
        <v>30</v>
      </c>
      <c r="H12" s="2">
        <v>1829</v>
      </c>
      <c r="I12" s="2" t="s">
        <v>9</v>
      </c>
    </row>
    <row r="13" spans="1:9" x14ac:dyDescent="0.45">
      <c r="A13" s="2" t="s">
        <v>8</v>
      </c>
      <c r="E13" s="3" t="s">
        <v>11</v>
      </c>
      <c r="H13" s="2">
        <v>5202</v>
      </c>
      <c r="I13" s="2" t="s">
        <v>9</v>
      </c>
    </row>
    <row r="14" spans="1:9" x14ac:dyDescent="0.45">
      <c r="A14" s="3" t="s">
        <v>10</v>
      </c>
      <c r="B14" s="22">
        <v>3501</v>
      </c>
      <c r="C14" s="2" t="s">
        <v>9</v>
      </c>
      <c r="E14" s="28" t="s">
        <v>32</v>
      </c>
    </row>
    <row r="15" spans="1:9" x14ac:dyDescent="0.45">
      <c r="A15" s="3" t="s">
        <v>11</v>
      </c>
      <c r="B15" s="29">
        <v>5422</v>
      </c>
      <c r="C15" s="2" t="s">
        <v>9</v>
      </c>
      <c r="E15" s="3" t="s">
        <v>10</v>
      </c>
      <c r="H15" s="22">
        <v>3152</v>
      </c>
      <c r="I15" s="2" t="s">
        <v>9</v>
      </c>
    </row>
    <row r="16" spans="1:9" x14ac:dyDescent="0.45">
      <c r="A16" s="10" t="s">
        <v>23</v>
      </c>
      <c r="E16" s="3" t="s">
        <v>30</v>
      </c>
      <c r="H16" s="2">
        <v>1918</v>
      </c>
      <c r="I16" s="2" t="s">
        <v>9</v>
      </c>
    </row>
    <row r="17" spans="1:15" x14ac:dyDescent="0.45">
      <c r="A17" s="3" t="s">
        <v>12</v>
      </c>
      <c r="B17" s="4">
        <v>0.1</v>
      </c>
      <c r="E17" s="3" t="s">
        <v>11</v>
      </c>
      <c r="H17" s="29">
        <v>5422</v>
      </c>
      <c r="I17" s="2" t="s">
        <v>9</v>
      </c>
    </row>
    <row r="18" spans="1:15" x14ac:dyDescent="0.45">
      <c r="A18" s="3" t="s">
        <v>13</v>
      </c>
      <c r="B18" s="4">
        <v>0.25</v>
      </c>
      <c r="E18" s="21" t="s">
        <v>106</v>
      </c>
    </row>
    <row r="19" spans="1:15" x14ac:dyDescent="0.45">
      <c r="A19" s="3" t="s">
        <v>13</v>
      </c>
      <c r="B19" s="4">
        <v>0.45</v>
      </c>
      <c r="E19" s="2" t="s">
        <v>35</v>
      </c>
      <c r="H19" s="56">
        <v>0.1</v>
      </c>
    </row>
    <row r="20" spans="1:15" x14ac:dyDescent="0.45">
      <c r="A20" s="3" t="s">
        <v>13</v>
      </c>
      <c r="B20" s="4">
        <v>0.55000000000000004</v>
      </c>
      <c r="E20" s="2" t="s">
        <v>36</v>
      </c>
      <c r="H20" s="14">
        <v>0</v>
      </c>
      <c r="I20" s="2" t="s">
        <v>98</v>
      </c>
    </row>
    <row r="21" spans="1:15" x14ac:dyDescent="0.45">
      <c r="A21" s="3" t="s">
        <v>54</v>
      </c>
      <c r="B21" s="14">
        <v>1</v>
      </c>
      <c r="E21" s="2" t="s">
        <v>37</v>
      </c>
      <c r="H21" s="14">
        <v>0.1</v>
      </c>
    </row>
    <row r="22" spans="1:15" x14ac:dyDescent="0.45">
      <c r="A22" s="2" t="s">
        <v>14</v>
      </c>
      <c r="B22" s="6">
        <v>1350</v>
      </c>
      <c r="C22" s="2" t="s">
        <v>15</v>
      </c>
      <c r="E22" s="2" t="s">
        <v>111</v>
      </c>
      <c r="H22" s="37">
        <v>5</v>
      </c>
      <c r="I22" s="2" t="s">
        <v>6</v>
      </c>
    </row>
    <row r="23" spans="1:15" x14ac:dyDescent="0.45">
      <c r="A23" s="2" t="s">
        <v>16</v>
      </c>
      <c r="B23" s="4">
        <v>0.01</v>
      </c>
      <c r="E23" s="2" t="s">
        <v>97</v>
      </c>
      <c r="H23" s="14">
        <f>H20*H21+(1-H20)*B10</f>
        <v>0.08</v>
      </c>
    </row>
    <row r="24" spans="1:15" x14ac:dyDescent="0.45">
      <c r="A24" s="2" t="s">
        <v>17</v>
      </c>
      <c r="B24" s="7">
        <v>5.4999999999999997E-3</v>
      </c>
      <c r="E24" s="2" t="s">
        <v>43</v>
      </c>
      <c r="H24" s="23">
        <v>74.657613168724282</v>
      </c>
      <c r="I24" s="2" t="s">
        <v>47</v>
      </c>
    </row>
    <row r="25" spans="1:15" x14ac:dyDescent="0.45">
      <c r="A25" s="2" t="s">
        <v>18</v>
      </c>
      <c r="B25" s="31">
        <v>0.9</v>
      </c>
      <c r="E25" s="2" t="s">
        <v>45</v>
      </c>
      <c r="H25" s="16">
        <f>B22*H24</f>
        <v>100787.77777777778</v>
      </c>
      <c r="I25" s="2" t="s">
        <v>46</v>
      </c>
    </row>
    <row r="26" spans="1:15" x14ac:dyDescent="0.45">
      <c r="A26" s="2" t="s">
        <v>19</v>
      </c>
      <c r="B26" s="4">
        <v>0.03</v>
      </c>
      <c r="E26" s="2" t="s">
        <v>110</v>
      </c>
      <c r="H26" s="17">
        <v>0.81178592904389668</v>
      </c>
    </row>
    <row r="27" spans="1:15" x14ac:dyDescent="0.45">
      <c r="A27" s="2" t="s">
        <v>20</v>
      </c>
      <c r="B27" s="4">
        <v>0.03</v>
      </c>
      <c r="E27" s="2" t="s">
        <v>109</v>
      </c>
      <c r="H27" s="17">
        <f>1-H26</f>
        <v>0.18821407095610332</v>
      </c>
    </row>
    <row r="28" spans="1:15" x14ac:dyDescent="0.45">
      <c r="A28" s="2" t="s">
        <v>24</v>
      </c>
      <c r="B28" s="4">
        <v>0.1</v>
      </c>
      <c r="C28" s="2" t="s">
        <v>25</v>
      </c>
      <c r="E28" s="2" t="s">
        <v>57</v>
      </c>
      <c r="H28" s="14">
        <v>0.2</v>
      </c>
      <c r="N28" s="4"/>
      <c r="O28" s="9"/>
    </row>
    <row r="29" spans="1:15" ht="15.75" thickBot="1" x14ac:dyDescent="0.5">
      <c r="A29" s="12" t="s">
        <v>26</v>
      </c>
      <c r="B29" s="30">
        <v>1E-3</v>
      </c>
      <c r="C29" s="12" t="s">
        <v>27</v>
      </c>
      <c r="D29" s="12"/>
      <c r="E29" s="12" t="s">
        <v>58</v>
      </c>
      <c r="F29" s="12"/>
      <c r="G29" s="12"/>
      <c r="H29" s="18">
        <v>1000000</v>
      </c>
      <c r="I29" s="12"/>
    </row>
    <row r="30" spans="1:15" ht="15.75" thickTop="1" x14ac:dyDescent="0.45"/>
    <row r="31" spans="1:15" ht="18.75" x14ac:dyDescent="0.5">
      <c r="A31" s="27" t="s">
        <v>33</v>
      </c>
    </row>
    <row r="32" spans="1:15" x14ac:dyDescent="0.45">
      <c r="A32" s="1" t="s">
        <v>38</v>
      </c>
    </row>
    <row r="33" spans="1:27" x14ac:dyDescent="0.45">
      <c r="A33" s="11" t="s">
        <v>39</v>
      </c>
      <c r="B33" s="11">
        <v>0</v>
      </c>
      <c r="C33" s="11">
        <v>1</v>
      </c>
      <c r="D33" s="11">
        <v>2</v>
      </c>
      <c r="E33" s="11">
        <v>3</v>
      </c>
      <c r="F33" s="11">
        <v>4</v>
      </c>
      <c r="G33" s="11">
        <v>5</v>
      </c>
      <c r="H33" s="11">
        <v>6</v>
      </c>
      <c r="I33" s="11">
        <v>7</v>
      </c>
      <c r="J33" s="11">
        <v>8</v>
      </c>
      <c r="K33" s="11">
        <v>9</v>
      </c>
      <c r="L33" s="11">
        <v>10</v>
      </c>
      <c r="M33" s="11">
        <v>11</v>
      </c>
      <c r="N33" s="11">
        <v>12</v>
      </c>
      <c r="O33" s="11">
        <v>13</v>
      </c>
      <c r="P33" s="11">
        <v>14</v>
      </c>
      <c r="Q33" s="11">
        <v>15</v>
      </c>
      <c r="R33" s="11">
        <v>16</v>
      </c>
      <c r="S33" s="11">
        <v>17</v>
      </c>
      <c r="T33" s="11">
        <v>18</v>
      </c>
      <c r="U33" s="11">
        <v>19</v>
      </c>
      <c r="V33" s="11">
        <v>20</v>
      </c>
      <c r="W33" s="11">
        <v>21</v>
      </c>
      <c r="X33" s="11">
        <v>22</v>
      </c>
      <c r="Y33" s="11">
        <v>23</v>
      </c>
      <c r="Z33" s="11">
        <v>24</v>
      </c>
      <c r="AA33" s="11">
        <v>25</v>
      </c>
    </row>
    <row r="34" spans="1:27" x14ac:dyDescent="0.45">
      <c r="A34" s="2" t="s">
        <v>40</v>
      </c>
      <c r="B34" s="5">
        <f t="shared" ref="B34:AA34" si="0">(1+$B$27)^B33</f>
        <v>1</v>
      </c>
      <c r="C34" s="5">
        <f t="shared" si="0"/>
        <v>1.03</v>
      </c>
      <c r="D34" s="5">
        <f t="shared" si="0"/>
        <v>1.0609</v>
      </c>
      <c r="E34" s="5">
        <f t="shared" si="0"/>
        <v>1.092727</v>
      </c>
      <c r="F34" s="5">
        <f t="shared" si="0"/>
        <v>1.1255088099999999</v>
      </c>
      <c r="G34" s="5">
        <f t="shared" si="0"/>
        <v>1.1592740742999998</v>
      </c>
      <c r="H34" s="5">
        <f t="shared" si="0"/>
        <v>1.1940522965289999</v>
      </c>
      <c r="I34" s="5">
        <f t="shared" si="0"/>
        <v>1.22987386542487</v>
      </c>
      <c r="J34" s="5">
        <f t="shared" si="0"/>
        <v>1.2667700813876159</v>
      </c>
      <c r="K34" s="5">
        <f t="shared" si="0"/>
        <v>1.3047731838292445</v>
      </c>
      <c r="L34" s="5">
        <f t="shared" si="0"/>
        <v>1.3439163793441218</v>
      </c>
      <c r="M34" s="5">
        <f t="shared" si="0"/>
        <v>1.3842338707244455</v>
      </c>
      <c r="N34" s="5">
        <f t="shared" si="0"/>
        <v>1.4257608868461786</v>
      </c>
      <c r="O34" s="5">
        <f t="shared" si="0"/>
        <v>1.4685337134515639</v>
      </c>
      <c r="P34" s="5">
        <f t="shared" si="0"/>
        <v>1.512589724855111</v>
      </c>
      <c r="Q34" s="5">
        <f t="shared" si="0"/>
        <v>1.5579674166007644</v>
      </c>
      <c r="R34" s="5">
        <f t="shared" si="0"/>
        <v>1.6047064390987871</v>
      </c>
      <c r="S34" s="5">
        <f t="shared" si="0"/>
        <v>1.6528476322717507</v>
      </c>
      <c r="T34" s="5">
        <f t="shared" si="0"/>
        <v>1.7024330612399032</v>
      </c>
      <c r="U34" s="5">
        <f t="shared" si="0"/>
        <v>1.7535060530771003</v>
      </c>
      <c r="V34" s="5">
        <f t="shared" si="0"/>
        <v>1.8061112346694133</v>
      </c>
      <c r="W34" s="5">
        <f t="shared" si="0"/>
        <v>1.8602945717094954</v>
      </c>
      <c r="X34" s="5">
        <f t="shared" si="0"/>
        <v>1.9161034088607805</v>
      </c>
      <c r="Y34" s="5">
        <f t="shared" si="0"/>
        <v>1.973586511126604</v>
      </c>
      <c r="Z34" s="5">
        <f t="shared" si="0"/>
        <v>2.0327941064604018</v>
      </c>
      <c r="AA34" s="5">
        <f t="shared" si="0"/>
        <v>2.0937779296542138</v>
      </c>
    </row>
    <row r="35" spans="1:27" x14ac:dyDescent="0.45">
      <c r="A35" s="2" t="s">
        <v>41</v>
      </c>
      <c r="B35" s="5">
        <f t="shared" ref="B35:AA35" si="1">(1+$B$26)^B33</f>
        <v>1</v>
      </c>
      <c r="C35" s="5">
        <f t="shared" si="1"/>
        <v>1.03</v>
      </c>
      <c r="D35" s="5">
        <f t="shared" si="1"/>
        <v>1.0609</v>
      </c>
      <c r="E35" s="5">
        <f t="shared" si="1"/>
        <v>1.092727</v>
      </c>
      <c r="F35" s="5">
        <f t="shared" si="1"/>
        <v>1.1255088099999999</v>
      </c>
      <c r="G35" s="5">
        <f t="shared" si="1"/>
        <v>1.1592740742999998</v>
      </c>
      <c r="H35" s="5">
        <f t="shared" si="1"/>
        <v>1.1940522965289999</v>
      </c>
      <c r="I35" s="5">
        <f t="shared" si="1"/>
        <v>1.22987386542487</v>
      </c>
      <c r="J35" s="5">
        <f t="shared" si="1"/>
        <v>1.2667700813876159</v>
      </c>
      <c r="K35" s="5">
        <f t="shared" si="1"/>
        <v>1.3047731838292445</v>
      </c>
      <c r="L35" s="5">
        <f t="shared" si="1"/>
        <v>1.3439163793441218</v>
      </c>
      <c r="M35" s="5">
        <f t="shared" si="1"/>
        <v>1.3842338707244455</v>
      </c>
      <c r="N35" s="5">
        <f t="shared" si="1"/>
        <v>1.4257608868461786</v>
      </c>
      <c r="O35" s="5">
        <f t="shared" si="1"/>
        <v>1.4685337134515639</v>
      </c>
      <c r="P35" s="5">
        <f t="shared" si="1"/>
        <v>1.512589724855111</v>
      </c>
      <c r="Q35" s="5">
        <f t="shared" si="1"/>
        <v>1.5579674166007644</v>
      </c>
      <c r="R35" s="5">
        <f t="shared" si="1"/>
        <v>1.6047064390987871</v>
      </c>
      <c r="S35" s="5">
        <f t="shared" si="1"/>
        <v>1.6528476322717507</v>
      </c>
      <c r="T35" s="5">
        <f t="shared" si="1"/>
        <v>1.7024330612399032</v>
      </c>
      <c r="U35" s="5">
        <f t="shared" si="1"/>
        <v>1.7535060530771003</v>
      </c>
      <c r="V35" s="5">
        <f t="shared" si="1"/>
        <v>1.8061112346694133</v>
      </c>
      <c r="W35" s="5">
        <f t="shared" si="1"/>
        <v>1.8602945717094954</v>
      </c>
      <c r="X35" s="5">
        <f t="shared" si="1"/>
        <v>1.9161034088607805</v>
      </c>
      <c r="Y35" s="5">
        <f t="shared" si="1"/>
        <v>1.973586511126604</v>
      </c>
      <c r="Z35" s="5">
        <f t="shared" si="1"/>
        <v>2.0327941064604018</v>
      </c>
      <c r="AA35" s="5">
        <f t="shared" si="1"/>
        <v>2.0937779296542138</v>
      </c>
    </row>
    <row r="36" spans="1:27" x14ac:dyDescent="0.45">
      <c r="A36" s="2" t="s">
        <v>53</v>
      </c>
      <c r="B36" s="5">
        <f t="shared" ref="B36" si="2">(1-$B$17)</f>
        <v>0.9</v>
      </c>
      <c r="C36" s="5">
        <f>(1-$B$17)</f>
        <v>0.9</v>
      </c>
      <c r="D36" s="5">
        <f t="shared" ref="D36" si="3">(1-$B$17)</f>
        <v>0.9</v>
      </c>
      <c r="E36" s="5">
        <f t="shared" ref="E36" si="4">(1-$B$18)</f>
        <v>0.75</v>
      </c>
      <c r="F36" s="5">
        <f>(1-$B$18)</f>
        <v>0.75</v>
      </c>
      <c r="G36" s="5">
        <f t="shared" ref="G36" si="5">(1-$B$18)</f>
        <v>0.75</v>
      </c>
      <c r="H36" s="5">
        <f t="shared" ref="H36" si="6">(1-$B$19)</f>
        <v>0.55000000000000004</v>
      </c>
      <c r="I36" s="5">
        <f>(1-$B$19)</f>
        <v>0.55000000000000004</v>
      </c>
      <c r="J36" s="5">
        <f t="shared" ref="J36" si="7">(1-$B$19)</f>
        <v>0.55000000000000004</v>
      </c>
      <c r="K36" s="5">
        <f t="shared" ref="K36" si="8">(1-$B$20)</f>
        <v>0.44999999999999996</v>
      </c>
      <c r="L36" s="5">
        <f>(1-$B$20)</f>
        <v>0.44999999999999996</v>
      </c>
      <c r="M36" s="5">
        <f t="shared" ref="M36" si="9">(1-$B$20)</f>
        <v>0.44999999999999996</v>
      </c>
      <c r="N36" s="32">
        <f t="shared" ref="N36" si="10">(1-$B$21)</f>
        <v>0</v>
      </c>
      <c r="O36" s="32">
        <f>(1-$B$21)</f>
        <v>0</v>
      </c>
      <c r="P36" s="32">
        <f t="shared" ref="P36:AA36" si="11">(1-$B$21)</f>
        <v>0</v>
      </c>
      <c r="Q36" s="32">
        <f t="shared" si="11"/>
        <v>0</v>
      </c>
      <c r="R36" s="32">
        <f t="shared" si="11"/>
        <v>0</v>
      </c>
      <c r="S36" s="32">
        <f t="shared" si="11"/>
        <v>0</v>
      </c>
      <c r="T36" s="32">
        <f t="shared" si="11"/>
        <v>0</v>
      </c>
      <c r="U36" s="32">
        <f t="shared" si="11"/>
        <v>0</v>
      </c>
      <c r="V36" s="32">
        <f t="shared" si="11"/>
        <v>0</v>
      </c>
      <c r="W36" s="32">
        <f t="shared" si="11"/>
        <v>0</v>
      </c>
      <c r="X36" s="32">
        <f t="shared" si="11"/>
        <v>0</v>
      </c>
      <c r="Y36" s="32">
        <f t="shared" si="11"/>
        <v>0</v>
      </c>
      <c r="Z36" s="32">
        <f t="shared" si="11"/>
        <v>0</v>
      </c>
      <c r="AA36" s="32">
        <f t="shared" si="11"/>
        <v>0</v>
      </c>
    </row>
    <row r="37" spans="1:27" x14ac:dyDescent="0.45">
      <c r="A37" s="2" t="s">
        <v>42</v>
      </c>
      <c r="B37" s="5">
        <f>1-B23</f>
        <v>0.99</v>
      </c>
      <c r="C37" s="5">
        <f t="shared" ref="C37:AA37" si="12">B37*(1-$B$24)</f>
        <v>0.98455500000000007</v>
      </c>
      <c r="D37" s="5">
        <f t="shared" si="12"/>
        <v>0.97913994750000011</v>
      </c>
      <c r="E37" s="5">
        <f t="shared" si="12"/>
        <v>0.97375467778875013</v>
      </c>
      <c r="F37" s="5">
        <f t="shared" si="12"/>
        <v>0.96839902706091208</v>
      </c>
      <c r="G37" s="5">
        <f t="shared" si="12"/>
        <v>0.96307283241207708</v>
      </c>
      <c r="H37" s="5">
        <f t="shared" si="12"/>
        <v>0.95777593183381071</v>
      </c>
      <c r="I37" s="5">
        <f t="shared" si="12"/>
        <v>0.95250816420872475</v>
      </c>
      <c r="J37" s="5">
        <f t="shared" si="12"/>
        <v>0.94726936930557681</v>
      </c>
      <c r="K37" s="5">
        <f t="shared" si="12"/>
        <v>0.94205938777439624</v>
      </c>
      <c r="L37" s="5">
        <f t="shared" si="12"/>
        <v>0.93687806114163708</v>
      </c>
      <c r="M37" s="5">
        <f t="shared" si="12"/>
        <v>0.93172523180535816</v>
      </c>
      <c r="N37" s="5">
        <f t="shared" si="12"/>
        <v>0.92660074303042872</v>
      </c>
      <c r="O37" s="5">
        <f t="shared" si="12"/>
        <v>0.92150443894376144</v>
      </c>
      <c r="P37" s="5">
        <f t="shared" si="12"/>
        <v>0.91643616452957077</v>
      </c>
      <c r="Q37" s="5">
        <f t="shared" si="12"/>
        <v>0.91139576562465818</v>
      </c>
      <c r="R37" s="5">
        <f t="shared" si="12"/>
        <v>0.90638308891372266</v>
      </c>
      <c r="S37" s="5">
        <f t="shared" si="12"/>
        <v>0.90139798192469722</v>
      </c>
      <c r="T37" s="5">
        <f t="shared" si="12"/>
        <v>0.89644029302411143</v>
      </c>
      <c r="U37" s="5">
        <f t="shared" si="12"/>
        <v>0.89150987141247884</v>
      </c>
      <c r="V37" s="5">
        <f t="shared" si="12"/>
        <v>0.8866065671197102</v>
      </c>
      <c r="W37" s="5">
        <f t="shared" si="12"/>
        <v>0.88173023100055181</v>
      </c>
      <c r="X37" s="5">
        <f t="shared" si="12"/>
        <v>0.8768807147300488</v>
      </c>
      <c r="Y37" s="5">
        <f t="shared" si="12"/>
        <v>0.87205787079903363</v>
      </c>
      <c r="Z37" s="5">
        <f t="shared" si="12"/>
        <v>0.86726155250963899</v>
      </c>
      <c r="AA37" s="5">
        <f t="shared" si="12"/>
        <v>0.86249161397083607</v>
      </c>
    </row>
    <row r="39" spans="1:27" x14ac:dyDescent="0.45">
      <c r="A39" s="1" t="s">
        <v>44</v>
      </c>
    </row>
    <row r="40" spans="1:27" x14ac:dyDescent="0.45">
      <c r="A40" s="11" t="s">
        <v>39</v>
      </c>
      <c r="B40" s="11">
        <v>0</v>
      </c>
      <c r="C40" s="11">
        <v>1</v>
      </c>
      <c r="D40" s="11">
        <v>2</v>
      </c>
      <c r="E40" s="11">
        <v>3</v>
      </c>
      <c r="F40" s="11">
        <v>4</v>
      </c>
      <c r="G40" s="11">
        <v>5</v>
      </c>
      <c r="H40" s="11">
        <v>6</v>
      </c>
      <c r="I40" s="11">
        <v>7</v>
      </c>
      <c r="J40" s="11">
        <v>8</v>
      </c>
      <c r="K40" s="11">
        <v>9</v>
      </c>
      <c r="L40" s="11">
        <v>10</v>
      </c>
      <c r="M40" s="11">
        <v>11</v>
      </c>
      <c r="N40" s="11">
        <v>12</v>
      </c>
      <c r="O40" s="11">
        <v>13</v>
      </c>
      <c r="P40" s="11">
        <v>14</v>
      </c>
      <c r="Q40" s="11">
        <v>15</v>
      </c>
      <c r="R40" s="11">
        <v>16</v>
      </c>
      <c r="S40" s="11">
        <v>17</v>
      </c>
      <c r="T40" s="11">
        <v>18</v>
      </c>
      <c r="U40" s="11">
        <v>19</v>
      </c>
      <c r="V40" s="11">
        <v>20</v>
      </c>
      <c r="W40" s="11">
        <v>21</v>
      </c>
      <c r="X40" s="11">
        <v>22</v>
      </c>
      <c r="Y40" s="11">
        <v>23</v>
      </c>
      <c r="Z40" s="11">
        <v>24</v>
      </c>
      <c r="AA40" s="11">
        <v>25</v>
      </c>
    </row>
    <row r="41" spans="1:27" x14ac:dyDescent="0.45">
      <c r="A41" s="2" t="s">
        <v>48</v>
      </c>
      <c r="B41" s="6">
        <f t="shared" ref="B41:AA41" si="13">$H$25*$B$25*B37</f>
        <v>89801.91</v>
      </c>
      <c r="C41" s="6">
        <f t="shared" si="13"/>
        <v>89307.999495000011</v>
      </c>
      <c r="D41" s="6">
        <f t="shared" si="13"/>
        <v>88816.805497777503</v>
      </c>
      <c r="E41" s="6">
        <f t="shared" si="13"/>
        <v>88328.313067539741</v>
      </c>
      <c r="F41" s="6">
        <f t="shared" si="13"/>
        <v>87842.507345668273</v>
      </c>
      <c r="G41" s="6">
        <f t="shared" si="13"/>
        <v>87359.373555267099</v>
      </c>
      <c r="H41" s="6">
        <f t="shared" si="13"/>
        <v>86878.897000713143</v>
      </c>
      <c r="I41" s="6">
        <f t="shared" si="13"/>
        <v>86401.063067209208</v>
      </c>
      <c r="J41" s="6">
        <f t="shared" si="13"/>
        <v>85925.857220339574</v>
      </c>
      <c r="K41" s="6">
        <f t="shared" si="13"/>
        <v>85453.265005627705</v>
      </c>
      <c r="L41" s="6">
        <f t="shared" si="13"/>
        <v>84983.272048096755</v>
      </c>
      <c r="M41" s="6">
        <f t="shared" si="13"/>
        <v>84515.864051832235</v>
      </c>
      <c r="N41" s="6">
        <f t="shared" si="13"/>
        <v>84051.026799547166</v>
      </c>
      <c r="O41" s="6">
        <f t="shared" si="13"/>
        <v>83588.746152149659</v>
      </c>
      <c r="P41" s="6">
        <f t="shared" si="13"/>
        <v>83129.00804831284</v>
      </c>
      <c r="Q41" s="6">
        <f t="shared" si="13"/>
        <v>82671.798504047125</v>
      </c>
      <c r="R41" s="6">
        <f t="shared" si="13"/>
        <v>82217.103612274863</v>
      </c>
      <c r="S41" s="6">
        <f t="shared" si="13"/>
        <v>81764.90954240736</v>
      </c>
      <c r="T41" s="6">
        <f t="shared" si="13"/>
        <v>81315.202539924125</v>
      </c>
      <c r="U41" s="6">
        <f t="shared" si="13"/>
        <v>80867.968925954541</v>
      </c>
      <c r="V41" s="6">
        <f t="shared" si="13"/>
        <v>80423.195096861789</v>
      </c>
      <c r="W41" s="6">
        <f t="shared" si="13"/>
        <v>79980.86752382906</v>
      </c>
      <c r="X41" s="6">
        <f t="shared" si="13"/>
        <v>79540.972752447997</v>
      </c>
      <c r="Y41" s="6">
        <f t="shared" si="13"/>
        <v>79103.497402309542</v>
      </c>
      <c r="Z41" s="6">
        <f t="shared" si="13"/>
        <v>78668.428166596845</v>
      </c>
      <c r="AA41" s="6">
        <f t="shared" si="13"/>
        <v>78235.751811680573</v>
      </c>
    </row>
    <row r="42" spans="1:27" x14ac:dyDescent="0.45">
      <c r="A42" s="2" t="s">
        <v>49</v>
      </c>
      <c r="B42" s="6">
        <f t="shared" ref="B42:AA42" si="14">B41*$H$26</f>
        <v>72899.926939266399</v>
      </c>
      <c r="C42" s="6">
        <f t="shared" si="14"/>
        <v>72498.977341100443</v>
      </c>
      <c r="D42" s="6">
        <f t="shared" si="14"/>
        <v>72100.232965724383</v>
      </c>
      <c r="E42" s="6">
        <f t="shared" si="14"/>
        <v>71703.681684412906</v>
      </c>
      <c r="F42" s="6">
        <f t="shared" si="14"/>
        <v>71309.311435148644</v>
      </c>
      <c r="G42" s="6">
        <f t="shared" si="14"/>
        <v>70917.110222255316</v>
      </c>
      <c r="H42" s="6">
        <f t="shared" si="14"/>
        <v>70527.066116032933</v>
      </c>
      <c r="I42" s="6">
        <f t="shared" si="14"/>
        <v>70139.167252394735</v>
      </c>
      <c r="J42" s="6">
        <f t="shared" si="14"/>
        <v>69753.401832506584</v>
      </c>
      <c r="K42" s="6">
        <f t="shared" si="14"/>
        <v>69369.758122427796</v>
      </c>
      <c r="L42" s="6">
        <f t="shared" si="14"/>
        <v>68988.224452754439</v>
      </c>
      <c r="M42" s="6">
        <f t="shared" si="14"/>
        <v>68608.789218264297</v>
      </c>
      <c r="N42" s="6">
        <f t="shared" si="14"/>
        <v>68231.440877563859</v>
      </c>
      <c r="O42" s="6">
        <f t="shared" si="14"/>
        <v>67856.167952737262</v>
      </c>
      <c r="P42" s="6">
        <f t="shared" si="14"/>
        <v>67482.959028997197</v>
      </c>
      <c r="Q42" s="6">
        <f t="shared" si="14"/>
        <v>67111.802754337725</v>
      </c>
      <c r="R42" s="6">
        <f t="shared" si="14"/>
        <v>66742.68783918886</v>
      </c>
      <c r="S42" s="6">
        <f t="shared" si="14"/>
        <v>66375.603056073334</v>
      </c>
      <c r="T42" s="6">
        <f t="shared" si="14"/>
        <v>66010.53723926493</v>
      </c>
      <c r="U42" s="6">
        <f t="shared" si="14"/>
        <v>65647.479284448971</v>
      </c>
      <c r="V42" s="6">
        <f t="shared" si="14"/>
        <v>65286.418148384502</v>
      </c>
      <c r="W42" s="6">
        <f t="shared" si="14"/>
        <v>64927.342848568398</v>
      </c>
      <c r="X42" s="6">
        <f t="shared" si="14"/>
        <v>64570.242462901268</v>
      </c>
      <c r="Y42" s="6">
        <f t="shared" si="14"/>
        <v>64215.106129355321</v>
      </c>
      <c r="Z42" s="6">
        <f t="shared" si="14"/>
        <v>63861.923045643867</v>
      </c>
      <c r="AA42" s="6">
        <f t="shared" si="14"/>
        <v>63510.682468892839</v>
      </c>
    </row>
    <row r="43" spans="1:27" x14ac:dyDescent="0.45">
      <c r="A43" s="2" t="s">
        <v>50</v>
      </c>
      <c r="B43" s="6">
        <f>B41-B42</f>
        <v>16901.983060733604</v>
      </c>
      <c r="C43" s="6">
        <f t="shared" ref="C43:AA43" si="15">C41-C42</f>
        <v>16809.022153899568</v>
      </c>
      <c r="D43" s="6">
        <f t="shared" si="15"/>
        <v>16716.57253205312</v>
      </c>
      <c r="E43" s="6">
        <f t="shared" si="15"/>
        <v>16624.631383126834</v>
      </c>
      <c r="F43" s="6">
        <f t="shared" si="15"/>
        <v>16533.195910519629</v>
      </c>
      <c r="G43" s="6">
        <f t="shared" si="15"/>
        <v>16442.263333011782</v>
      </c>
      <c r="H43" s="6">
        <f t="shared" si="15"/>
        <v>16351.83088468021</v>
      </c>
      <c r="I43" s="6">
        <f t="shared" si="15"/>
        <v>16261.895814814474</v>
      </c>
      <c r="J43" s="6">
        <f t="shared" si="15"/>
        <v>16172.45538783299</v>
      </c>
      <c r="K43" s="6">
        <f t="shared" si="15"/>
        <v>16083.506883199909</v>
      </c>
      <c r="L43" s="6">
        <f t="shared" si="15"/>
        <v>15995.047595342316</v>
      </c>
      <c r="M43" s="6">
        <f t="shared" si="15"/>
        <v>15907.074833567938</v>
      </c>
      <c r="N43" s="6">
        <f t="shared" si="15"/>
        <v>15819.585921983307</v>
      </c>
      <c r="O43" s="6">
        <f t="shared" si="15"/>
        <v>15732.578199412397</v>
      </c>
      <c r="P43" s="6">
        <f t="shared" si="15"/>
        <v>15646.049019315644</v>
      </c>
      <c r="Q43" s="6">
        <f t="shared" si="15"/>
        <v>15559.9957497094</v>
      </c>
      <c r="R43" s="6">
        <f t="shared" si="15"/>
        <v>15474.415773086002</v>
      </c>
      <c r="S43" s="6">
        <f t="shared" si="15"/>
        <v>15389.306486334026</v>
      </c>
      <c r="T43" s="6">
        <f t="shared" si="15"/>
        <v>15304.665300659195</v>
      </c>
      <c r="U43" s="6">
        <f t="shared" si="15"/>
        <v>15220.48964150557</v>
      </c>
      <c r="V43" s="6">
        <f t="shared" si="15"/>
        <v>15136.776948477287</v>
      </c>
      <c r="W43" s="6">
        <f t="shared" si="15"/>
        <v>15053.524675260662</v>
      </c>
      <c r="X43" s="6">
        <f t="shared" si="15"/>
        <v>14970.730289546729</v>
      </c>
      <c r="Y43" s="6">
        <f t="shared" si="15"/>
        <v>14888.391272954221</v>
      </c>
      <c r="Z43" s="6">
        <f t="shared" si="15"/>
        <v>14806.505120952977</v>
      </c>
      <c r="AA43" s="6">
        <f t="shared" si="15"/>
        <v>14725.069342787734</v>
      </c>
    </row>
    <row r="45" spans="1:27" x14ac:dyDescent="0.45">
      <c r="A45" s="1" t="s">
        <v>60</v>
      </c>
    </row>
    <row r="46" spans="1:27" x14ac:dyDescent="0.45">
      <c r="A46" s="11" t="s">
        <v>39</v>
      </c>
      <c r="B46" s="11">
        <v>0</v>
      </c>
      <c r="C46" s="11">
        <v>1</v>
      </c>
      <c r="D46" s="11">
        <v>2</v>
      </c>
      <c r="E46" s="11">
        <v>3</v>
      </c>
      <c r="F46" s="11">
        <v>4</v>
      </c>
      <c r="G46" s="11">
        <v>5</v>
      </c>
      <c r="H46" s="11">
        <v>6</v>
      </c>
      <c r="I46" s="11">
        <v>7</v>
      </c>
      <c r="J46" s="11">
        <v>8</v>
      </c>
      <c r="K46" s="11">
        <v>9</v>
      </c>
      <c r="L46" s="11">
        <v>10</v>
      </c>
      <c r="M46" s="11">
        <v>11</v>
      </c>
      <c r="N46" s="11">
        <v>12</v>
      </c>
      <c r="O46" s="11">
        <v>13</v>
      </c>
      <c r="P46" s="11">
        <v>14</v>
      </c>
      <c r="Q46" s="11">
        <v>15</v>
      </c>
      <c r="R46" s="11">
        <v>16</v>
      </c>
      <c r="S46" s="11">
        <v>17</v>
      </c>
      <c r="T46" s="11">
        <v>18</v>
      </c>
      <c r="U46" s="11">
        <v>19</v>
      </c>
      <c r="V46" s="11">
        <v>20</v>
      </c>
      <c r="W46" s="11">
        <v>21</v>
      </c>
      <c r="X46" s="11">
        <v>22</v>
      </c>
      <c r="Y46" s="11">
        <v>23</v>
      </c>
      <c r="Z46" s="11">
        <v>24</v>
      </c>
      <c r="AA46" s="11">
        <v>25</v>
      </c>
    </row>
    <row r="47" spans="1:27" x14ac:dyDescent="0.45">
      <c r="A47" s="2" t="s">
        <v>51</v>
      </c>
      <c r="B47" s="2">
        <f>B14</f>
        <v>3501</v>
      </c>
      <c r="C47" s="6">
        <f>$B$14*C35</f>
        <v>3606.03</v>
      </c>
      <c r="D47" s="6">
        <f t="shared" ref="D47:AA47" si="16">$B$14*D35</f>
        <v>3714.2109</v>
      </c>
      <c r="E47" s="6">
        <f t="shared" si="16"/>
        <v>3825.6372270000002</v>
      </c>
      <c r="F47" s="6">
        <f t="shared" si="16"/>
        <v>3940.4063438099997</v>
      </c>
      <c r="G47" s="6">
        <f t="shared" si="16"/>
        <v>4058.6185341242995</v>
      </c>
      <c r="H47" s="6">
        <f t="shared" si="16"/>
        <v>4180.3770901480284</v>
      </c>
      <c r="I47" s="6">
        <f t="shared" si="16"/>
        <v>4305.7884028524695</v>
      </c>
      <c r="J47" s="6">
        <f t="shared" si="16"/>
        <v>4434.9620549380434</v>
      </c>
      <c r="K47" s="6">
        <f t="shared" si="16"/>
        <v>4568.010916586185</v>
      </c>
      <c r="L47" s="6">
        <f t="shared" si="16"/>
        <v>4705.0512440837701</v>
      </c>
      <c r="M47" s="6">
        <f t="shared" si="16"/>
        <v>4846.202781406284</v>
      </c>
      <c r="N47" s="6">
        <f t="shared" si="16"/>
        <v>4991.5888648484715</v>
      </c>
      <c r="O47" s="6">
        <f t="shared" si="16"/>
        <v>5141.3365307939257</v>
      </c>
      <c r="P47" s="6">
        <f t="shared" si="16"/>
        <v>5295.5766267177432</v>
      </c>
      <c r="Q47" s="6">
        <f t="shared" si="16"/>
        <v>5454.4439255192765</v>
      </c>
      <c r="R47" s="6">
        <f t="shared" si="16"/>
        <v>5618.0772432848535</v>
      </c>
      <c r="S47" s="6">
        <f t="shared" si="16"/>
        <v>5786.6195605833991</v>
      </c>
      <c r="T47" s="6">
        <f t="shared" si="16"/>
        <v>5960.2181474009012</v>
      </c>
      <c r="U47" s="6">
        <f t="shared" si="16"/>
        <v>6139.0246918229277</v>
      </c>
      <c r="V47" s="6">
        <f t="shared" si="16"/>
        <v>6323.195432577616</v>
      </c>
      <c r="W47" s="6">
        <f t="shared" si="16"/>
        <v>6512.8912955549431</v>
      </c>
      <c r="X47" s="6">
        <f t="shared" si="16"/>
        <v>6708.2780344215926</v>
      </c>
      <c r="Y47" s="6">
        <f t="shared" si="16"/>
        <v>6909.5263754542402</v>
      </c>
      <c r="Z47" s="6">
        <f t="shared" si="16"/>
        <v>7116.8121667178666</v>
      </c>
      <c r="AA47" s="6">
        <f t="shared" si="16"/>
        <v>7330.3165317194025</v>
      </c>
    </row>
    <row r="48" spans="1:27" x14ac:dyDescent="0.45">
      <c r="A48" s="2" t="s">
        <v>52</v>
      </c>
      <c r="B48" s="2">
        <f>B15</f>
        <v>5422</v>
      </c>
      <c r="C48" s="6">
        <f>$B$15*C35</f>
        <v>5584.66</v>
      </c>
      <c r="D48" s="6">
        <f t="shared" ref="D48:AA48" si="17">$B$15*D35</f>
        <v>5752.1997999999994</v>
      </c>
      <c r="E48" s="6">
        <f t="shared" si="17"/>
        <v>5924.7657939999999</v>
      </c>
      <c r="F48" s="6">
        <f t="shared" si="17"/>
        <v>6102.5087678199998</v>
      </c>
      <c r="G48" s="6">
        <f t="shared" si="17"/>
        <v>6285.5840308545994</v>
      </c>
      <c r="H48" s="6">
        <f t="shared" si="17"/>
        <v>6474.1515517802372</v>
      </c>
      <c r="I48" s="6">
        <f t="shared" si="17"/>
        <v>6668.3760983336451</v>
      </c>
      <c r="J48" s="6">
        <f t="shared" si="17"/>
        <v>6868.4273812836536</v>
      </c>
      <c r="K48" s="6">
        <f t="shared" si="17"/>
        <v>7074.4802027221631</v>
      </c>
      <c r="L48" s="6">
        <f t="shared" si="17"/>
        <v>7286.714608803828</v>
      </c>
      <c r="M48" s="6">
        <f t="shared" si="17"/>
        <v>7505.3160470679431</v>
      </c>
      <c r="N48" s="6">
        <f t="shared" si="17"/>
        <v>7730.4755284799803</v>
      </c>
      <c r="O48" s="6">
        <f t="shared" si="17"/>
        <v>7962.38979433438</v>
      </c>
      <c r="P48" s="6">
        <f t="shared" si="17"/>
        <v>8201.2614881644113</v>
      </c>
      <c r="Q48" s="6">
        <f t="shared" si="17"/>
        <v>8447.2993328093453</v>
      </c>
      <c r="R48" s="6">
        <f t="shared" si="17"/>
        <v>8700.7183127936241</v>
      </c>
      <c r="S48" s="6">
        <f t="shared" si="17"/>
        <v>8961.7398621774319</v>
      </c>
      <c r="T48" s="6">
        <f t="shared" si="17"/>
        <v>9230.5920580427555</v>
      </c>
      <c r="U48" s="6">
        <f t="shared" si="17"/>
        <v>9507.509819784038</v>
      </c>
      <c r="V48" s="6">
        <f t="shared" si="17"/>
        <v>9792.7351143775595</v>
      </c>
      <c r="W48" s="6">
        <f t="shared" si="17"/>
        <v>10086.517167808885</v>
      </c>
      <c r="X48" s="6">
        <f t="shared" si="17"/>
        <v>10389.112682843152</v>
      </c>
      <c r="Y48" s="6">
        <f t="shared" si="17"/>
        <v>10700.786063328447</v>
      </c>
      <c r="Z48" s="6">
        <f t="shared" si="17"/>
        <v>11021.809645228299</v>
      </c>
      <c r="AA48" s="6">
        <f t="shared" si="17"/>
        <v>11352.463934585146</v>
      </c>
    </row>
    <row r="49" spans="1:27" x14ac:dyDescent="0.45">
      <c r="A49" s="2" t="s">
        <v>55</v>
      </c>
      <c r="B49" s="19">
        <f t="shared" ref="B49:AA49" si="18">B42*B47*B36/$H$29</f>
        <v>229.70037979293448</v>
      </c>
      <c r="C49" s="19">
        <f t="shared" si="18"/>
        <v>235.29013853519558</v>
      </c>
      <c r="D49" s="19">
        <f t="shared" si="18"/>
        <v>241.01592405644956</v>
      </c>
      <c r="E49" s="19">
        <f t="shared" si="18"/>
        <v>205.73420547363608</v>
      </c>
      <c r="F49" s="19">
        <f t="shared" si="18"/>
        <v>210.74074736383702</v>
      </c>
      <c r="G49" s="19">
        <f t="shared" si="18"/>
        <v>215.86912345093589</v>
      </c>
      <c r="H49" s="19">
        <f t="shared" si="18"/>
        <v>162.15635228475068</v>
      </c>
      <c r="I49" s="19">
        <f t="shared" si="18"/>
        <v>166.10242711760003</v>
      </c>
      <c r="J49" s="19">
        <f t="shared" si="18"/>
        <v>170.1445296815069</v>
      </c>
      <c r="K49" s="19">
        <f t="shared" si="18"/>
        <v>142.59681557288701</v>
      </c>
      <c r="L49" s="19">
        <f t="shared" si="18"/>
        <v>146.06690907985319</v>
      </c>
      <c r="M49" s="19">
        <f t="shared" si="18"/>
        <v>149.62144731231146</v>
      </c>
      <c r="N49" s="19">
        <f t="shared" si="18"/>
        <v>0</v>
      </c>
      <c r="O49" s="19">
        <f t="shared" si="18"/>
        <v>0</v>
      </c>
      <c r="P49" s="19">
        <f t="shared" si="18"/>
        <v>0</v>
      </c>
      <c r="Q49" s="19">
        <f t="shared" si="18"/>
        <v>0</v>
      </c>
      <c r="R49" s="19">
        <f t="shared" si="18"/>
        <v>0</v>
      </c>
      <c r="S49" s="19">
        <f t="shared" si="18"/>
        <v>0</v>
      </c>
      <c r="T49" s="19">
        <f t="shared" si="18"/>
        <v>0</v>
      </c>
      <c r="U49" s="19">
        <f t="shared" si="18"/>
        <v>0</v>
      </c>
      <c r="V49" s="19">
        <f t="shared" si="18"/>
        <v>0</v>
      </c>
      <c r="W49" s="19">
        <f t="shared" si="18"/>
        <v>0</v>
      </c>
      <c r="X49" s="19">
        <f t="shared" si="18"/>
        <v>0</v>
      </c>
      <c r="Y49" s="19">
        <f t="shared" si="18"/>
        <v>0</v>
      </c>
      <c r="Z49" s="19">
        <f t="shared" si="18"/>
        <v>0</v>
      </c>
      <c r="AA49" s="19">
        <f t="shared" si="18"/>
        <v>0</v>
      </c>
    </row>
    <row r="50" spans="1:27" x14ac:dyDescent="0.45">
      <c r="A50" s="2" t="s">
        <v>56</v>
      </c>
      <c r="B50" s="19">
        <f t="shared" ref="B50:AA50" si="19">B43*B48*B36/$H$29</f>
        <v>82.478296939767858</v>
      </c>
      <c r="C50" s="19">
        <f t="shared" si="19"/>
        <v>84.485406295797091</v>
      </c>
      <c r="D50" s="19">
        <f t="shared" si="19"/>
        <v>86.541358658005294</v>
      </c>
      <c r="E50" s="19">
        <f t="shared" si="19"/>
        <v>73.872785517456592</v>
      </c>
      <c r="F50" s="19">
        <f t="shared" si="19"/>
        <v>75.670479753023869</v>
      </c>
      <c r="G50" s="19">
        <f t="shared" si="19"/>
        <v>77.511920877813722</v>
      </c>
      <c r="H50" s="19">
        <f t="shared" si="19"/>
        <v>58.225327213075211</v>
      </c>
      <c r="I50" s="19">
        <f t="shared" si="19"/>
        <v>59.642240550805425</v>
      </c>
      <c r="J50" s="19">
        <f t="shared" si="19"/>
        <v>61.09363447460926</v>
      </c>
      <c r="K50" s="19">
        <f t="shared" si="19"/>
        <v>51.20210296599452</v>
      </c>
      <c r="L50" s="19">
        <f t="shared" si="19"/>
        <v>52.448106141672021</v>
      </c>
      <c r="M50" s="19">
        <f t="shared" si="19"/>
        <v>53.724430804629634</v>
      </c>
      <c r="N50" s="19">
        <f t="shared" si="19"/>
        <v>0</v>
      </c>
      <c r="O50" s="19">
        <f t="shared" si="19"/>
        <v>0</v>
      </c>
      <c r="P50" s="19">
        <f t="shared" si="19"/>
        <v>0</v>
      </c>
      <c r="Q50" s="19">
        <f t="shared" si="19"/>
        <v>0</v>
      </c>
      <c r="R50" s="19">
        <f t="shared" si="19"/>
        <v>0</v>
      </c>
      <c r="S50" s="19">
        <f t="shared" si="19"/>
        <v>0</v>
      </c>
      <c r="T50" s="19">
        <f t="shared" si="19"/>
        <v>0</v>
      </c>
      <c r="U50" s="19">
        <f t="shared" si="19"/>
        <v>0</v>
      </c>
      <c r="V50" s="19">
        <f t="shared" si="19"/>
        <v>0</v>
      </c>
      <c r="W50" s="19">
        <f t="shared" si="19"/>
        <v>0</v>
      </c>
      <c r="X50" s="19">
        <f t="shared" si="19"/>
        <v>0</v>
      </c>
      <c r="Y50" s="19">
        <f t="shared" si="19"/>
        <v>0</v>
      </c>
      <c r="Z50" s="19">
        <f t="shared" si="19"/>
        <v>0</v>
      </c>
      <c r="AA50" s="19">
        <f t="shared" si="19"/>
        <v>0</v>
      </c>
    </row>
    <row r="51" spans="1:27" x14ac:dyDescent="0.45">
      <c r="A51" s="2" t="s">
        <v>59</v>
      </c>
      <c r="B51" s="19">
        <f>B49+B50</f>
        <v>312.17867673270234</v>
      </c>
      <c r="C51" s="19">
        <f t="shared" ref="C51:AA51" si="20">C49+C50</f>
        <v>319.77554483099266</v>
      </c>
      <c r="D51" s="19">
        <f t="shared" si="20"/>
        <v>327.55728271445486</v>
      </c>
      <c r="E51" s="19">
        <f t="shared" si="20"/>
        <v>279.60699099109269</v>
      </c>
      <c r="F51" s="19">
        <f t="shared" si="20"/>
        <v>286.41122711686091</v>
      </c>
      <c r="G51" s="19">
        <f t="shared" si="20"/>
        <v>293.38104432874962</v>
      </c>
      <c r="H51" s="19">
        <f t="shared" si="20"/>
        <v>220.3816794978259</v>
      </c>
      <c r="I51" s="19">
        <f t="shared" si="20"/>
        <v>225.74466766840544</v>
      </c>
      <c r="J51" s="19">
        <f t="shared" si="20"/>
        <v>231.23816415611617</v>
      </c>
      <c r="K51" s="19">
        <f t="shared" si="20"/>
        <v>193.79891853888154</v>
      </c>
      <c r="L51" s="19">
        <f t="shared" si="20"/>
        <v>198.5150152215252</v>
      </c>
      <c r="M51" s="19">
        <f t="shared" si="20"/>
        <v>203.34587811694109</v>
      </c>
      <c r="N51" s="19">
        <f t="shared" si="20"/>
        <v>0</v>
      </c>
      <c r="O51" s="19">
        <f t="shared" si="20"/>
        <v>0</v>
      </c>
      <c r="P51" s="19">
        <f t="shared" si="20"/>
        <v>0</v>
      </c>
      <c r="Q51" s="19">
        <f t="shared" si="20"/>
        <v>0</v>
      </c>
      <c r="R51" s="19">
        <f t="shared" si="20"/>
        <v>0</v>
      </c>
      <c r="S51" s="19">
        <f t="shared" si="20"/>
        <v>0</v>
      </c>
      <c r="T51" s="19">
        <f t="shared" si="20"/>
        <v>0</v>
      </c>
      <c r="U51" s="19">
        <f t="shared" si="20"/>
        <v>0</v>
      </c>
      <c r="V51" s="19">
        <f t="shared" si="20"/>
        <v>0</v>
      </c>
      <c r="W51" s="19">
        <f t="shared" si="20"/>
        <v>0</v>
      </c>
      <c r="X51" s="19">
        <f t="shared" si="20"/>
        <v>0</v>
      </c>
      <c r="Y51" s="19">
        <f t="shared" si="20"/>
        <v>0</v>
      </c>
      <c r="Z51" s="19">
        <f t="shared" si="20"/>
        <v>0</v>
      </c>
      <c r="AA51" s="19">
        <f t="shared" si="20"/>
        <v>0</v>
      </c>
    </row>
    <row r="52" spans="1:27" x14ac:dyDescent="0.4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x14ac:dyDescent="0.45">
      <c r="A53" s="1" t="s">
        <v>99</v>
      </c>
    </row>
    <row r="54" spans="1:27" x14ac:dyDescent="0.45">
      <c r="A54" s="11" t="s">
        <v>39</v>
      </c>
      <c r="B54" s="11">
        <v>0</v>
      </c>
      <c r="C54" s="11">
        <v>1</v>
      </c>
      <c r="D54" s="11">
        <v>2</v>
      </c>
      <c r="E54" s="11">
        <v>3</v>
      </c>
      <c r="F54" s="11">
        <v>4</v>
      </c>
      <c r="G54" s="11">
        <v>5</v>
      </c>
      <c r="H54" s="11">
        <v>6</v>
      </c>
      <c r="I54" s="11">
        <v>7</v>
      </c>
      <c r="J54" s="11">
        <v>8</v>
      </c>
      <c r="K54" s="11">
        <v>9</v>
      </c>
      <c r="L54" s="11">
        <v>10</v>
      </c>
      <c r="M54" s="11">
        <v>11</v>
      </c>
      <c r="N54" s="11">
        <v>12</v>
      </c>
      <c r="O54" s="11">
        <v>13</v>
      </c>
      <c r="P54" s="11">
        <v>14</v>
      </c>
      <c r="Q54" s="11">
        <v>15</v>
      </c>
      <c r="R54" s="11">
        <v>16</v>
      </c>
      <c r="S54" s="11">
        <v>17</v>
      </c>
      <c r="T54" s="11">
        <v>18</v>
      </c>
      <c r="U54" s="11">
        <v>19</v>
      </c>
      <c r="V54" s="11">
        <v>20</v>
      </c>
      <c r="W54" s="11">
        <v>21</v>
      </c>
      <c r="X54" s="11">
        <v>22</v>
      </c>
      <c r="Y54" s="11">
        <v>23</v>
      </c>
      <c r="Z54" s="11">
        <v>24</v>
      </c>
      <c r="AA54" s="11">
        <v>25</v>
      </c>
    </row>
    <row r="55" spans="1:27" x14ac:dyDescent="0.45">
      <c r="A55" s="2" t="s">
        <v>100</v>
      </c>
      <c r="B55" s="19">
        <f>H20*B8</f>
        <v>0</v>
      </c>
      <c r="C55" s="19">
        <f>B60</f>
        <v>0</v>
      </c>
      <c r="D55" s="19">
        <f t="shared" ref="D55:F55" si="21">C60</f>
        <v>0</v>
      </c>
      <c r="E55" s="19">
        <f t="shared" si="21"/>
        <v>0</v>
      </c>
      <c r="F55" s="19">
        <f t="shared" si="21"/>
        <v>0</v>
      </c>
      <c r="G55" s="19"/>
      <c r="H55" s="19"/>
      <c r="I55" s="19"/>
      <c r="J55" s="19"/>
      <c r="K55" s="19"/>
      <c r="L55" s="19"/>
      <c r="M55" s="19"/>
      <c r="N55" s="19"/>
      <c r="O55" s="19"/>
      <c r="P55" s="19"/>
      <c r="Q55" s="19"/>
      <c r="R55" s="19"/>
      <c r="S55" s="19"/>
      <c r="T55" s="19"/>
      <c r="U55" s="19"/>
      <c r="V55" s="19"/>
      <c r="W55" s="19"/>
      <c r="X55" s="19"/>
      <c r="Y55" s="19"/>
      <c r="Z55" s="19"/>
      <c r="AA55" s="19"/>
    </row>
    <row r="56" spans="1:27" x14ac:dyDescent="0.45">
      <c r="A56" s="2" t="s">
        <v>101</v>
      </c>
      <c r="B56" s="19">
        <f>B55*$H$21</f>
        <v>0</v>
      </c>
      <c r="C56" s="19">
        <f>C55*$H$21</f>
        <v>0</v>
      </c>
      <c r="D56" s="19">
        <f>D55*$H$21</f>
        <v>0</v>
      </c>
      <c r="E56" s="19">
        <f>E55*$H$21</f>
        <v>0</v>
      </c>
      <c r="F56" s="19">
        <f>F55*$H$21</f>
        <v>0</v>
      </c>
      <c r="G56" s="19"/>
      <c r="H56" s="19"/>
      <c r="I56" s="19"/>
      <c r="J56" s="19"/>
      <c r="K56" s="19"/>
      <c r="L56" s="19"/>
      <c r="M56" s="19"/>
      <c r="N56" s="19"/>
      <c r="O56" s="19"/>
      <c r="P56" s="19"/>
      <c r="Q56" s="19"/>
      <c r="R56" s="19"/>
      <c r="S56" s="19"/>
      <c r="T56" s="19"/>
      <c r="U56" s="19"/>
      <c r="V56" s="19"/>
      <c r="W56" s="19"/>
      <c r="X56" s="19"/>
      <c r="Y56" s="19"/>
      <c r="Z56" s="19"/>
      <c r="AA56" s="19"/>
    </row>
    <row r="57" spans="1:27" x14ac:dyDescent="0.45">
      <c r="A57" s="2" t="s">
        <v>102</v>
      </c>
      <c r="B57" s="19">
        <f>-PMT($H$21,$H$22,$B$55)</f>
        <v>0</v>
      </c>
      <c r="C57" s="19">
        <f>-PMT($H$21,$H$22,$B$55)</f>
        <v>0</v>
      </c>
      <c r="D57" s="19">
        <f>-PMT($H$21,$H$22,$B$55)</f>
        <v>0</v>
      </c>
      <c r="E57" s="19">
        <f>-PMT($H$21,$H$22,$B$55)</f>
        <v>0</v>
      </c>
      <c r="F57" s="19">
        <f>-PMT($H$21,$H$22,$B$55)</f>
        <v>0</v>
      </c>
      <c r="G57" s="19"/>
      <c r="H57" s="19"/>
      <c r="I57" s="19"/>
      <c r="J57" s="19"/>
      <c r="K57" s="19"/>
      <c r="L57" s="19"/>
      <c r="M57" s="19"/>
      <c r="N57" s="19"/>
      <c r="O57" s="19"/>
      <c r="P57" s="19"/>
      <c r="Q57" s="19"/>
      <c r="R57" s="19"/>
      <c r="S57" s="19"/>
      <c r="T57" s="19"/>
      <c r="U57" s="19"/>
      <c r="V57" s="19"/>
      <c r="W57" s="19"/>
      <c r="X57" s="19"/>
      <c r="Y57" s="19"/>
      <c r="Z57" s="19"/>
      <c r="AA57" s="19"/>
    </row>
    <row r="58" spans="1:27" x14ac:dyDescent="0.45">
      <c r="A58" s="3" t="s">
        <v>103</v>
      </c>
      <c r="B58" s="19">
        <f>B57-B59</f>
        <v>0</v>
      </c>
      <c r="C58" s="19">
        <f t="shared" ref="C58:F58" si="22">C57-C59</f>
        <v>0</v>
      </c>
      <c r="D58" s="19">
        <f t="shared" si="22"/>
        <v>0</v>
      </c>
      <c r="E58" s="19">
        <f t="shared" si="22"/>
        <v>0</v>
      </c>
      <c r="F58" s="19">
        <f t="shared" si="22"/>
        <v>0</v>
      </c>
      <c r="G58" s="19"/>
      <c r="H58" s="19"/>
      <c r="I58" s="19"/>
      <c r="J58" s="19"/>
      <c r="K58" s="19"/>
      <c r="L58" s="19"/>
      <c r="M58" s="19"/>
      <c r="N58" s="19"/>
      <c r="O58" s="19"/>
      <c r="P58" s="19"/>
      <c r="Q58" s="19"/>
      <c r="R58" s="19"/>
      <c r="S58" s="19"/>
      <c r="T58" s="19"/>
      <c r="U58" s="19"/>
      <c r="V58" s="19"/>
      <c r="W58" s="19"/>
      <c r="X58" s="19"/>
      <c r="Y58" s="19"/>
      <c r="Z58" s="19"/>
      <c r="AA58" s="19"/>
    </row>
    <row r="59" spans="1:27" x14ac:dyDescent="0.45">
      <c r="A59" s="3" t="s">
        <v>104</v>
      </c>
      <c r="B59" s="19">
        <f>B56</f>
        <v>0</v>
      </c>
      <c r="C59" s="19">
        <f t="shared" ref="C59:F59" si="23">C56</f>
        <v>0</v>
      </c>
      <c r="D59" s="19">
        <f t="shared" si="23"/>
        <v>0</v>
      </c>
      <c r="E59" s="19">
        <f t="shared" si="23"/>
        <v>0</v>
      </c>
      <c r="F59" s="19">
        <f t="shared" si="23"/>
        <v>0</v>
      </c>
      <c r="G59" s="19"/>
      <c r="H59" s="19"/>
      <c r="I59" s="19"/>
      <c r="J59" s="19"/>
      <c r="K59" s="19"/>
      <c r="L59" s="19"/>
      <c r="M59" s="19"/>
      <c r="N59" s="19"/>
      <c r="O59" s="19"/>
      <c r="P59" s="19"/>
      <c r="Q59" s="19"/>
      <c r="R59" s="19"/>
      <c r="S59" s="19"/>
      <c r="T59" s="19"/>
      <c r="U59" s="19"/>
      <c r="V59" s="19"/>
      <c r="W59" s="19"/>
      <c r="X59" s="19"/>
      <c r="Y59" s="19"/>
      <c r="Z59" s="19"/>
      <c r="AA59" s="19"/>
    </row>
    <row r="60" spans="1:27" x14ac:dyDescent="0.45">
      <c r="A60" s="2" t="s">
        <v>105</v>
      </c>
      <c r="B60" s="19">
        <f>B55+B56-B57</f>
        <v>0</v>
      </c>
      <c r="C60" s="19">
        <f t="shared" ref="C60:F60" si="24">C55+C56-C57</f>
        <v>0</v>
      </c>
      <c r="D60" s="19">
        <f t="shared" si="24"/>
        <v>0</v>
      </c>
      <c r="E60" s="19">
        <f t="shared" si="24"/>
        <v>0</v>
      </c>
      <c r="F60" s="19">
        <f t="shared" si="24"/>
        <v>0</v>
      </c>
      <c r="G60" s="19"/>
      <c r="H60" s="19"/>
      <c r="I60" s="19"/>
      <c r="J60" s="19"/>
      <c r="K60" s="19"/>
      <c r="L60" s="19"/>
      <c r="M60" s="19"/>
      <c r="N60" s="19"/>
      <c r="O60" s="19"/>
      <c r="P60" s="19"/>
      <c r="Q60" s="19"/>
      <c r="R60" s="19"/>
      <c r="S60" s="19"/>
      <c r="T60" s="19"/>
      <c r="U60" s="19"/>
      <c r="V60" s="19"/>
      <c r="W60" s="19"/>
      <c r="X60" s="19"/>
      <c r="Y60" s="19"/>
      <c r="Z60" s="19"/>
      <c r="AA60" s="19"/>
    </row>
    <row r="62" spans="1:27" x14ac:dyDescent="0.45">
      <c r="A62" s="1" t="s">
        <v>68</v>
      </c>
    </row>
    <row r="63" spans="1:27" x14ac:dyDescent="0.45">
      <c r="A63" s="11" t="s">
        <v>39</v>
      </c>
      <c r="B63" s="11">
        <v>0</v>
      </c>
      <c r="C63" s="11">
        <v>1</v>
      </c>
      <c r="D63" s="11">
        <v>2</v>
      </c>
      <c r="E63" s="11">
        <v>3</v>
      </c>
      <c r="F63" s="11">
        <v>4</v>
      </c>
      <c r="G63" s="11">
        <v>5</v>
      </c>
      <c r="H63" s="11">
        <v>6</v>
      </c>
      <c r="I63" s="11">
        <v>7</v>
      </c>
      <c r="J63" s="11">
        <v>8</v>
      </c>
      <c r="K63" s="11">
        <v>9</v>
      </c>
      <c r="L63" s="11">
        <v>10</v>
      </c>
      <c r="M63" s="11">
        <v>11</v>
      </c>
      <c r="N63" s="11">
        <v>12</v>
      </c>
      <c r="O63" s="11">
        <v>13</v>
      </c>
      <c r="P63" s="11">
        <v>14</v>
      </c>
      <c r="Q63" s="11">
        <v>15</v>
      </c>
      <c r="R63" s="11">
        <v>16</v>
      </c>
      <c r="S63" s="11">
        <v>17</v>
      </c>
      <c r="T63" s="11">
        <v>18</v>
      </c>
      <c r="U63" s="11">
        <v>19</v>
      </c>
      <c r="V63" s="11">
        <v>20</v>
      </c>
      <c r="W63" s="11">
        <v>21</v>
      </c>
      <c r="X63" s="11">
        <v>22</v>
      </c>
      <c r="Y63" s="11">
        <v>23</v>
      </c>
      <c r="Z63" s="11">
        <v>24</v>
      </c>
      <c r="AA63" s="11">
        <v>25</v>
      </c>
    </row>
    <row r="64" spans="1:27" x14ac:dyDescent="0.45">
      <c r="A64" s="2" t="s">
        <v>61</v>
      </c>
      <c r="B64" s="19">
        <f>B51</f>
        <v>312.17867673270234</v>
      </c>
      <c r="C64" s="19">
        <f t="shared" ref="C64:M64" si="25">C51</f>
        <v>319.77554483099266</v>
      </c>
      <c r="D64" s="19">
        <f t="shared" si="25"/>
        <v>327.55728271445486</v>
      </c>
      <c r="E64" s="19">
        <f t="shared" si="25"/>
        <v>279.60699099109269</v>
      </c>
      <c r="F64" s="19">
        <f t="shared" si="25"/>
        <v>286.41122711686091</v>
      </c>
      <c r="G64" s="19">
        <f t="shared" si="25"/>
        <v>293.38104432874962</v>
      </c>
      <c r="H64" s="19">
        <f t="shared" si="25"/>
        <v>220.3816794978259</v>
      </c>
      <c r="I64" s="19">
        <f t="shared" si="25"/>
        <v>225.74466766840544</v>
      </c>
      <c r="J64" s="19">
        <f t="shared" si="25"/>
        <v>231.23816415611617</v>
      </c>
      <c r="K64" s="19">
        <f t="shared" si="25"/>
        <v>193.79891853888154</v>
      </c>
      <c r="L64" s="19">
        <f t="shared" si="25"/>
        <v>198.5150152215252</v>
      </c>
      <c r="M64" s="19">
        <f t="shared" si="25"/>
        <v>203.34587811694109</v>
      </c>
      <c r="N64" s="6"/>
      <c r="O64" s="6"/>
      <c r="P64" s="6"/>
      <c r="Q64" s="6"/>
      <c r="R64" s="6"/>
      <c r="S64" s="6"/>
      <c r="T64" s="6"/>
      <c r="U64" s="6"/>
      <c r="V64" s="6"/>
      <c r="W64" s="6"/>
      <c r="X64" s="6"/>
      <c r="Y64" s="6"/>
      <c r="Z64" s="6"/>
      <c r="AA64" s="6"/>
    </row>
    <row r="65" spans="1:27" x14ac:dyDescent="0.45">
      <c r="A65" s="3" t="s">
        <v>62</v>
      </c>
      <c r="B65" s="19">
        <f t="shared" ref="B65:M65" si="26">$B$28*B64</f>
        <v>31.217867673270234</v>
      </c>
      <c r="C65" s="19">
        <f t="shared" si="26"/>
        <v>31.977554483099269</v>
      </c>
      <c r="D65" s="19">
        <f t="shared" si="26"/>
        <v>32.755728271445484</v>
      </c>
      <c r="E65" s="19">
        <f t="shared" si="26"/>
        <v>27.96069909910927</v>
      </c>
      <c r="F65" s="19">
        <f t="shared" si="26"/>
        <v>28.641122711686094</v>
      </c>
      <c r="G65" s="19">
        <f t="shared" si="26"/>
        <v>29.338104432874964</v>
      </c>
      <c r="H65" s="19">
        <f t="shared" si="26"/>
        <v>22.03816794978259</v>
      </c>
      <c r="I65" s="19">
        <f t="shared" si="26"/>
        <v>22.574466766840544</v>
      </c>
      <c r="J65" s="19">
        <f t="shared" si="26"/>
        <v>23.123816415611618</v>
      </c>
      <c r="K65" s="19">
        <f t="shared" si="26"/>
        <v>19.379891853888154</v>
      </c>
      <c r="L65" s="19">
        <f t="shared" si="26"/>
        <v>19.851501522152521</v>
      </c>
      <c r="M65" s="19">
        <f t="shared" si="26"/>
        <v>20.33458781169411</v>
      </c>
      <c r="N65" s="6"/>
      <c r="O65" s="6"/>
      <c r="P65" s="6"/>
      <c r="Q65" s="6"/>
      <c r="R65" s="6"/>
      <c r="S65" s="6"/>
      <c r="T65" s="6"/>
      <c r="U65" s="6"/>
      <c r="V65" s="6"/>
      <c r="W65" s="6"/>
      <c r="X65" s="6"/>
      <c r="Y65" s="6"/>
      <c r="Z65" s="6"/>
      <c r="AA65" s="6"/>
    </row>
    <row r="66" spans="1:27" x14ac:dyDescent="0.45">
      <c r="A66" s="3" t="s">
        <v>26</v>
      </c>
      <c r="B66" s="19">
        <f t="shared" ref="B66:M66" si="27">$B$29*$B$6*B34</f>
        <v>0.76800000000000002</v>
      </c>
      <c r="C66" s="19">
        <f t="shared" si="27"/>
        <v>0.79104000000000008</v>
      </c>
      <c r="D66" s="19">
        <f t="shared" si="27"/>
        <v>0.81477120000000003</v>
      </c>
      <c r="E66" s="19">
        <f t="shared" si="27"/>
        <v>0.83921433600000006</v>
      </c>
      <c r="F66" s="19">
        <f t="shared" si="27"/>
        <v>0.86439076607999998</v>
      </c>
      <c r="G66" s="19">
        <f t="shared" si="27"/>
        <v>0.89032248906239986</v>
      </c>
      <c r="H66" s="19">
        <f t="shared" si="27"/>
        <v>0.91703216373427199</v>
      </c>
      <c r="I66" s="19">
        <f t="shared" si="27"/>
        <v>0.94454312864630019</v>
      </c>
      <c r="J66" s="19">
        <f t="shared" si="27"/>
        <v>0.97287942250568904</v>
      </c>
      <c r="K66" s="19">
        <f t="shared" si="27"/>
        <v>1.0020658051808597</v>
      </c>
      <c r="L66" s="19">
        <f t="shared" si="27"/>
        <v>1.0321277793362855</v>
      </c>
      <c r="M66" s="19">
        <f t="shared" si="27"/>
        <v>1.0630916127163741</v>
      </c>
      <c r="N66" s="19"/>
      <c r="O66" s="19"/>
      <c r="P66" s="19"/>
      <c r="Q66" s="19"/>
      <c r="R66" s="19"/>
      <c r="S66" s="19"/>
      <c r="T66" s="19"/>
      <c r="U66" s="19"/>
      <c r="V66" s="19"/>
      <c r="W66" s="19"/>
      <c r="X66" s="19"/>
      <c r="Y66" s="19"/>
      <c r="Z66" s="19"/>
      <c r="AA66" s="19"/>
    </row>
    <row r="67" spans="1:27" x14ac:dyDescent="0.45">
      <c r="A67" s="3" t="s">
        <v>63</v>
      </c>
      <c r="B67" s="19">
        <f>B65+B66</f>
        <v>31.985867673270235</v>
      </c>
      <c r="C67" s="19">
        <f t="shared" ref="C67:M67" si="28">C65+C66</f>
        <v>32.768594483099271</v>
      </c>
      <c r="D67" s="19">
        <f t="shared" si="28"/>
        <v>33.570499471445487</v>
      </c>
      <c r="E67" s="19">
        <f t="shared" si="28"/>
        <v>28.799913435109271</v>
      </c>
      <c r="F67" s="19">
        <f t="shared" si="28"/>
        <v>29.505513477766094</v>
      </c>
      <c r="G67" s="19">
        <f t="shared" si="28"/>
        <v>30.228426921937363</v>
      </c>
      <c r="H67" s="19">
        <f t="shared" si="28"/>
        <v>22.955200113516863</v>
      </c>
      <c r="I67" s="19">
        <f t="shared" si="28"/>
        <v>23.519009895486846</v>
      </c>
      <c r="J67" s="19">
        <f t="shared" si="28"/>
        <v>24.096695838117306</v>
      </c>
      <c r="K67" s="19">
        <f t="shared" si="28"/>
        <v>20.381957659069013</v>
      </c>
      <c r="L67" s="19">
        <f t="shared" si="28"/>
        <v>20.883629301488806</v>
      </c>
      <c r="M67" s="19">
        <f t="shared" si="28"/>
        <v>21.397679424410484</v>
      </c>
      <c r="N67" s="6"/>
      <c r="O67" s="6"/>
      <c r="P67" s="6"/>
      <c r="Q67" s="6"/>
      <c r="R67" s="6"/>
      <c r="S67" s="6"/>
      <c r="T67" s="6"/>
      <c r="U67" s="6"/>
      <c r="V67" s="6"/>
      <c r="W67" s="6"/>
      <c r="X67" s="6"/>
      <c r="Y67" s="6"/>
      <c r="Z67" s="6"/>
      <c r="AA67" s="6"/>
    </row>
    <row r="68" spans="1:27" x14ac:dyDescent="0.45">
      <c r="A68" s="2" t="s">
        <v>64</v>
      </c>
      <c r="B68" s="19">
        <f>B64-B67</f>
        <v>280.19280905943208</v>
      </c>
      <c r="C68" s="19">
        <f t="shared" ref="C68:M68" si="29">C64-C67</f>
        <v>287.00695034789339</v>
      </c>
      <c r="D68" s="19">
        <f t="shared" si="29"/>
        <v>293.98678324300937</v>
      </c>
      <c r="E68" s="19">
        <f t="shared" si="29"/>
        <v>250.80707755598343</v>
      </c>
      <c r="F68" s="19">
        <f t="shared" si="29"/>
        <v>256.90571363909481</v>
      </c>
      <c r="G68" s="19">
        <f t="shared" si="29"/>
        <v>263.15261740681228</v>
      </c>
      <c r="H68" s="19">
        <f t="shared" si="29"/>
        <v>197.42647938430903</v>
      </c>
      <c r="I68" s="19">
        <f t="shared" si="29"/>
        <v>202.22565777291859</v>
      </c>
      <c r="J68" s="19">
        <f t="shared" si="29"/>
        <v>207.14146831799886</v>
      </c>
      <c r="K68" s="19">
        <f t="shared" si="29"/>
        <v>173.41696087981254</v>
      </c>
      <c r="L68" s="19">
        <f t="shared" si="29"/>
        <v>177.63138592003639</v>
      </c>
      <c r="M68" s="19">
        <f t="shared" si="29"/>
        <v>181.94819869253061</v>
      </c>
      <c r="N68" s="6"/>
      <c r="O68" s="6"/>
      <c r="P68" s="6"/>
      <c r="Q68" s="6"/>
      <c r="R68" s="6"/>
      <c r="S68" s="6"/>
      <c r="T68" s="6"/>
      <c r="U68" s="6"/>
      <c r="V68" s="6"/>
      <c r="W68" s="6"/>
      <c r="X68" s="6"/>
      <c r="Y68" s="6"/>
      <c r="Z68" s="6"/>
      <c r="AA68" s="6"/>
    </row>
    <row r="69" spans="1:27" x14ac:dyDescent="0.45">
      <c r="A69" s="3" t="s">
        <v>65</v>
      </c>
      <c r="B69" s="19">
        <f>$B$6/$B$7</f>
        <v>256</v>
      </c>
      <c r="C69" s="19">
        <f t="shared" ref="C69:D69" si="30">$B$6/$B$7</f>
        <v>256</v>
      </c>
      <c r="D69" s="19">
        <f t="shared" si="30"/>
        <v>256</v>
      </c>
      <c r="E69" s="19"/>
      <c r="F69" s="19"/>
      <c r="G69" s="19"/>
      <c r="H69" s="19"/>
      <c r="I69" s="19"/>
      <c r="J69" s="19"/>
      <c r="K69" s="19"/>
      <c r="L69" s="19"/>
      <c r="M69" s="19"/>
    </row>
    <row r="70" spans="1:27" x14ac:dyDescent="0.45">
      <c r="A70" s="3" t="s">
        <v>66</v>
      </c>
      <c r="B70" s="19">
        <f>B59</f>
        <v>0</v>
      </c>
      <c r="C70" s="19">
        <f t="shared" ref="C70:F70" si="31">C59</f>
        <v>0</v>
      </c>
      <c r="D70" s="19">
        <f t="shared" si="31"/>
        <v>0</v>
      </c>
      <c r="E70" s="19">
        <f t="shared" si="31"/>
        <v>0</v>
      </c>
      <c r="F70" s="19">
        <f t="shared" si="31"/>
        <v>0</v>
      </c>
    </row>
    <row r="71" spans="1:27" x14ac:dyDescent="0.45">
      <c r="A71" s="2" t="s">
        <v>67</v>
      </c>
      <c r="B71" s="19">
        <f>B68-B69-B70</f>
        <v>24.192809059432079</v>
      </c>
      <c r="C71" s="19">
        <f t="shared" ref="C71:M71" si="32">C68-C69-C70</f>
        <v>31.006950347893394</v>
      </c>
      <c r="D71" s="19">
        <f t="shared" si="32"/>
        <v>37.98678324300937</v>
      </c>
      <c r="E71" s="19">
        <f t="shared" si="32"/>
        <v>250.80707755598343</v>
      </c>
      <c r="F71" s="19">
        <f t="shared" si="32"/>
        <v>256.90571363909481</v>
      </c>
      <c r="G71" s="19">
        <f t="shared" si="32"/>
        <v>263.15261740681228</v>
      </c>
      <c r="H71" s="19">
        <f t="shared" si="32"/>
        <v>197.42647938430903</v>
      </c>
      <c r="I71" s="19">
        <f t="shared" si="32"/>
        <v>202.22565777291859</v>
      </c>
      <c r="J71" s="19">
        <f t="shared" si="32"/>
        <v>207.14146831799886</v>
      </c>
      <c r="K71" s="19">
        <f t="shared" si="32"/>
        <v>173.41696087981254</v>
      </c>
      <c r="L71" s="19">
        <f t="shared" si="32"/>
        <v>177.63138592003639</v>
      </c>
      <c r="M71" s="19">
        <f t="shared" si="32"/>
        <v>181.94819869253061</v>
      </c>
      <c r="N71" s="6"/>
      <c r="O71" s="6"/>
      <c r="P71" s="6"/>
      <c r="Q71" s="6"/>
      <c r="R71" s="6"/>
      <c r="S71" s="6"/>
      <c r="T71" s="6"/>
      <c r="U71" s="6"/>
      <c r="V71" s="6"/>
      <c r="W71" s="6"/>
      <c r="X71" s="6"/>
      <c r="Y71" s="6"/>
      <c r="Z71" s="6"/>
      <c r="AA71" s="6"/>
    </row>
    <row r="72" spans="1:27" x14ac:dyDescent="0.45">
      <c r="A72" s="3" t="s">
        <v>57</v>
      </c>
      <c r="B72" s="19">
        <f t="shared" ref="B72:M72" si="33">B71*$H$28</f>
        <v>4.8385618118864162</v>
      </c>
      <c r="C72" s="19">
        <f t="shared" si="33"/>
        <v>6.2013900695786788</v>
      </c>
      <c r="D72" s="19">
        <f t="shared" si="33"/>
        <v>7.597356648601874</v>
      </c>
      <c r="E72" s="19">
        <f t="shared" si="33"/>
        <v>50.161415511196687</v>
      </c>
      <c r="F72" s="19">
        <f t="shared" si="33"/>
        <v>51.381142727818968</v>
      </c>
      <c r="G72" s="19">
        <f t="shared" si="33"/>
        <v>52.630523481362459</v>
      </c>
      <c r="H72" s="19">
        <f t="shared" si="33"/>
        <v>39.485295876861812</v>
      </c>
      <c r="I72" s="19">
        <f t="shared" si="33"/>
        <v>40.445131554583725</v>
      </c>
      <c r="J72" s="19">
        <f t="shared" si="33"/>
        <v>41.428293663599774</v>
      </c>
      <c r="K72" s="19">
        <f t="shared" si="33"/>
        <v>34.68339217596251</v>
      </c>
      <c r="L72" s="19">
        <f t="shared" si="33"/>
        <v>35.526277184007277</v>
      </c>
      <c r="M72" s="19">
        <f t="shared" si="33"/>
        <v>36.389639738506126</v>
      </c>
      <c r="N72" s="6"/>
      <c r="O72" s="6"/>
      <c r="P72" s="6"/>
      <c r="Q72" s="6"/>
      <c r="R72" s="6"/>
      <c r="S72" s="6"/>
      <c r="T72" s="6"/>
      <c r="U72" s="6"/>
      <c r="V72" s="6"/>
      <c r="W72" s="6"/>
      <c r="X72" s="6"/>
      <c r="Y72" s="6"/>
      <c r="Z72" s="6"/>
      <c r="AA72" s="6"/>
    </row>
    <row r="73" spans="1:27" x14ac:dyDescent="0.45">
      <c r="A73" s="2" t="s">
        <v>69</v>
      </c>
      <c r="B73" s="19">
        <f>B71-B72</f>
        <v>19.354247247545665</v>
      </c>
      <c r="C73" s="19">
        <f t="shared" ref="C73:M73" si="34">C71-C72</f>
        <v>24.805560278314715</v>
      </c>
      <c r="D73" s="19">
        <f t="shared" si="34"/>
        <v>30.389426594407496</v>
      </c>
      <c r="E73" s="19">
        <f t="shared" si="34"/>
        <v>200.64566204478675</v>
      </c>
      <c r="F73" s="19">
        <f t="shared" si="34"/>
        <v>205.52457091127584</v>
      </c>
      <c r="G73" s="19">
        <f t="shared" si="34"/>
        <v>210.52209392544984</v>
      </c>
      <c r="H73" s="19">
        <f t="shared" si="34"/>
        <v>157.94118350744722</v>
      </c>
      <c r="I73" s="19">
        <f t="shared" si="34"/>
        <v>161.78052621833487</v>
      </c>
      <c r="J73" s="19">
        <f t="shared" si="34"/>
        <v>165.7131746543991</v>
      </c>
      <c r="K73" s="19">
        <f t="shared" si="34"/>
        <v>138.73356870385004</v>
      </c>
      <c r="L73" s="19">
        <f t="shared" si="34"/>
        <v>142.10510873602911</v>
      </c>
      <c r="M73" s="19">
        <f t="shared" si="34"/>
        <v>145.55855895402448</v>
      </c>
      <c r="N73" s="6"/>
      <c r="O73" s="6"/>
      <c r="P73" s="6"/>
      <c r="Q73" s="6"/>
      <c r="R73" s="6"/>
      <c r="S73" s="6"/>
      <c r="T73" s="6"/>
      <c r="U73" s="6"/>
      <c r="V73" s="6"/>
      <c r="W73" s="6"/>
      <c r="X73" s="6"/>
      <c r="Y73" s="6"/>
      <c r="Z73" s="6"/>
      <c r="AA73" s="6"/>
    </row>
    <row r="75" spans="1:27" x14ac:dyDescent="0.45">
      <c r="A75" s="1" t="s">
        <v>95</v>
      </c>
    </row>
    <row r="76" spans="1:27" x14ac:dyDescent="0.45">
      <c r="A76" s="11" t="s">
        <v>39</v>
      </c>
      <c r="B76" s="11">
        <v>0</v>
      </c>
      <c r="C76" s="11">
        <v>1</v>
      </c>
      <c r="D76" s="11">
        <v>2</v>
      </c>
      <c r="E76" s="11">
        <v>3</v>
      </c>
      <c r="F76" s="11">
        <v>4</v>
      </c>
      <c r="G76" s="11">
        <v>5</v>
      </c>
      <c r="H76" s="11">
        <v>6</v>
      </c>
      <c r="I76" s="11">
        <v>7</v>
      </c>
      <c r="J76" s="11">
        <v>8</v>
      </c>
      <c r="K76" s="11">
        <v>9</v>
      </c>
      <c r="L76" s="11">
        <v>10</v>
      </c>
      <c r="M76" s="11">
        <v>11</v>
      </c>
      <c r="N76" s="11">
        <v>12</v>
      </c>
      <c r="O76" s="11">
        <v>13</v>
      </c>
      <c r="P76" s="11">
        <v>14</v>
      </c>
      <c r="Q76" s="11">
        <v>15</v>
      </c>
      <c r="R76" s="11">
        <v>16</v>
      </c>
      <c r="S76" s="11">
        <v>17</v>
      </c>
      <c r="T76" s="11">
        <v>18</v>
      </c>
      <c r="U76" s="11">
        <v>19</v>
      </c>
      <c r="V76" s="11">
        <v>20</v>
      </c>
      <c r="W76" s="11">
        <v>21</v>
      </c>
      <c r="X76" s="11">
        <v>22</v>
      </c>
      <c r="Y76" s="11">
        <v>23</v>
      </c>
      <c r="Z76" s="11">
        <v>24</v>
      </c>
      <c r="AA76" s="11">
        <v>25</v>
      </c>
    </row>
    <row r="77" spans="1:27" x14ac:dyDescent="0.45">
      <c r="A77" s="1" t="s">
        <v>71</v>
      </c>
      <c r="B77" s="35">
        <f>B78+B79</f>
        <v>343.39654440597258</v>
      </c>
      <c r="C77" s="35">
        <f t="shared" ref="C77:M77" si="35">C78+C79</f>
        <v>351.75309931409191</v>
      </c>
      <c r="D77" s="35">
        <f t="shared" si="35"/>
        <v>360.31301098590035</v>
      </c>
      <c r="E77" s="35">
        <f t="shared" si="35"/>
        <v>307.56769009020195</v>
      </c>
      <c r="F77" s="35">
        <f t="shared" si="35"/>
        <v>315.05234982854699</v>
      </c>
      <c r="G77" s="35">
        <f t="shared" si="35"/>
        <v>322.71914876162458</v>
      </c>
      <c r="H77" s="35">
        <f t="shared" si="35"/>
        <v>242.4198474476085</v>
      </c>
      <c r="I77" s="35">
        <f t="shared" si="35"/>
        <v>248.31913443524599</v>
      </c>
      <c r="J77" s="35">
        <f t="shared" si="35"/>
        <v>254.3619805717278</v>
      </c>
      <c r="K77" s="35">
        <f t="shared" si="35"/>
        <v>213.17881039276969</v>
      </c>
      <c r="L77" s="35">
        <f t="shared" si="35"/>
        <v>218.36651674367772</v>
      </c>
      <c r="M77" s="35">
        <f t="shared" si="35"/>
        <v>223.68046592863521</v>
      </c>
    </row>
    <row r="78" spans="1:27" x14ac:dyDescent="0.45">
      <c r="A78" s="3" t="s">
        <v>131</v>
      </c>
      <c r="B78" s="33">
        <f>B51</f>
        <v>312.17867673270234</v>
      </c>
      <c r="C78" s="33">
        <f t="shared" ref="C78:M78" si="36">C51</f>
        <v>319.77554483099266</v>
      </c>
      <c r="D78" s="33">
        <f t="shared" si="36"/>
        <v>327.55728271445486</v>
      </c>
      <c r="E78" s="33">
        <f t="shared" si="36"/>
        <v>279.60699099109269</v>
      </c>
      <c r="F78" s="33">
        <f t="shared" si="36"/>
        <v>286.41122711686091</v>
      </c>
      <c r="G78" s="33">
        <f t="shared" si="36"/>
        <v>293.38104432874962</v>
      </c>
      <c r="H78" s="33">
        <f t="shared" si="36"/>
        <v>220.3816794978259</v>
      </c>
      <c r="I78" s="33">
        <f t="shared" si="36"/>
        <v>225.74466766840544</v>
      </c>
      <c r="J78" s="33">
        <f t="shared" si="36"/>
        <v>231.23816415611617</v>
      </c>
      <c r="K78" s="33">
        <f t="shared" si="36"/>
        <v>193.79891853888154</v>
      </c>
      <c r="L78" s="33">
        <f t="shared" si="36"/>
        <v>198.5150152215252</v>
      </c>
      <c r="M78" s="33">
        <f t="shared" si="36"/>
        <v>203.34587811694109</v>
      </c>
      <c r="N78" s="6"/>
      <c r="O78" s="6"/>
      <c r="P78" s="6"/>
      <c r="Q78" s="6"/>
      <c r="R78" s="6"/>
      <c r="S78" s="6"/>
      <c r="T78" s="6"/>
      <c r="U78" s="6"/>
      <c r="V78" s="6"/>
      <c r="W78" s="6"/>
      <c r="X78" s="6"/>
      <c r="Y78" s="6"/>
      <c r="Z78" s="6"/>
      <c r="AA78" s="6"/>
    </row>
    <row r="79" spans="1:27" x14ac:dyDescent="0.45">
      <c r="A79" s="3" t="s">
        <v>126</v>
      </c>
      <c r="B79" s="33">
        <f>B78*$H$19</f>
        <v>31.217867673270234</v>
      </c>
      <c r="C79" s="33">
        <f t="shared" ref="C79:M79" si="37">C78*$H$19</f>
        <v>31.977554483099269</v>
      </c>
      <c r="D79" s="33">
        <f t="shared" si="37"/>
        <v>32.755728271445484</v>
      </c>
      <c r="E79" s="33">
        <f t="shared" si="37"/>
        <v>27.96069909910927</v>
      </c>
      <c r="F79" s="33">
        <f t="shared" si="37"/>
        <v>28.641122711686094</v>
      </c>
      <c r="G79" s="33">
        <f t="shared" si="37"/>
        <v>29.338104432874964</v>
      </c>
      <c r="H79" s="33">
        <f t="shared" si="37"/>
        <v>22.03816794978259</v>
      </c>
      <c r="I79" s="33">
        <f t="shared" si="37"/>
        <v>22.574466766840544</v>
      </c>
      <c r="J79" s="33">
        <f t="shared" si="37"/>
        <v>23.123816415611618</v>
      </c>
      <c r="K79" s="33">
        <f t="shared" si="37"/>
        <v>19.379891853888154</v>
      </c>
      <c r="L79" s="33">
        <f t="shared" si="37"/>
        <v>19.851501522152521</v>
      </c>
      <c r="M79" s="33">
        <f t="shared" si="37"/>
        <v>20.33458781169411</v>
      </c>
      <c r="N79" s="6"/>
      <c r="O79" s="6"/>
      <c r="P79" s="6"/>
      <c r="Q79" s="6"/>
      <c r="R79" s="6"/>
      <c r="S79" s="6"/>
      <c r="T79" s="6"/>
      <c r="U79" s="6"/>
      <c r="V79" s="6"/>
      <c r="W79" s="6"/>
      <c r="X79" s="6"/>
      <c r="Y79" s="6"/>
      <c r="Z79" s="6"/>
      <c r="AA79" s="6"/>
    </row>
    <row r="80" spans="1:27" x14ac:dyDescent="0.45">
      <c r="A80" s="1" t="s">
        <v>72</v>
      </c>
      <c r="B80" s="35">
        <f>SUM(B81:B84)</f>
        <v>879.98445444059723</v>
      </c>
      <c r="C80" s="35">
        <f t="shared" ref="C80:M80" si="38">SUM(C81:C84)</f>
        <v>36.045453931409199</v>
      </c>
      <c r="D80" s="35">
        <f t="shared" si="38"/>
        <v>36.927549418590033</v>
      </c>
      <c r="E80" s="35">
        <f t="shared" si="38"/>
        <v>31.679904778620198</v>
      </c>
      <c r="F80" s="35">
        <f t="shared" si="38"/>
        <v>32.456064825542704</v>
      </c>
      <c r="G80" s="35">
        <f t="shared" si="38"/>
        <v>33.251269614131097</v>
      </c>
      <c r="H80" s="35">
        <f t="shared" si="38"/>
        <v>25.25072012486855</v>
      </c>
      <c r="I80" s="35">
        <f t="shared" si="38"/>
        <v>25.870910885035531</v>
      </c>
      <c r="J80" s="35">
        <f t="shared" si="38"/>
        <v>26.506365421929036</v>
      </c>
      <c r="K80" s="35">
        <f t="shared" si="38"/>
        <v>22.420153424975915</v>
      </c>
      <c r="L80" s="35">
        <f t="shared" si="38"/>
        <v>22.971992231637685</v>
      </c>
      <c r="M80" s="35">
        <f t="shared" si="38"/>
        <v>23.537447366851531</v>
      </c>
    </row>
    <row r="81" spans="1:27" x14ac:dyDescent="0.45">
      <c r="A81" s="3" t="s">
        <v>132</v>
      </c>
      <c r="B81" s="34">
        <f>B6</f>
        <v>768</v>
      </c>
      <c r="C81" s="34"/>
      <c r="D81" s="34"/>
      <c r="E81" s="34"/>
      <c r="F81" s="34"/>
      <c r="G81" s="34"/>
      <c r="H81" s="34"/>
      <c r="I81" s="34"/>
      <c r="J81" s="34"/>
      <c r="K81" s="34"/>
      <c r="L81" s="34"/>
      <c r="M81" s="34"/>
    </row>
    <row r="82" spans="1:27" x14ac:dyDescent="0.45">
      <c r="A82" s="3" t="s">
        <v>127</v>
      </c>
      <c r="B82" s="34">
        <f>B81*H19</f>
        <v>76.800000000000011</v>
      </c>
      <c r="C82" s="34"/>
      <c r="D82" s="34"/>
      <c r="E82" s="34"/>
      <c r="F82" s="34"/>
      <c r="G82" s="34"/>
      <c r="H82" s="34"/>
      <c r="I82" s="34"/>
      <c r="J82" s="34"/>
      <c r="K82" s="34"/>
      <c r="L82" s="34"/>
      <c r="M82" s="34"/>
    </row>
    <row r="83" spans="1:27" x14ac:dyDescent="0.45">
      <c r="A83" s="3" t="s">
        <v>133</v>
      </c>
      <c r="B83" s="33">
        <f>B67</f>
        <v>31.985867673270235</v>
      </c>
      <c r="C83" s="33">
        <f>C67</f>
        <v>32.768594483099271</v>
      </c>
      <c r="D83" s="33">
        <f t="shared" ref="C83:M83" si="39">D67</f>
        <v>33.570499471445487</v>
      </c>
      <c r="E83" s="33">
        <f t="shared" si="39"/>
        <v>28.799913435109271</v>
      </c>
      <c r="F83" s="33">
        <f t="shared" si="39"/>
        <v>29.505513477766094</v>
      </c>
      <c r="G83" s="33">
        <f t="shared" si="39"/>
        <v>30.228426921937363</v>
      </c>
      <c r="H83" s="33">
        <f t="shared" si="39"/>
        <v>22.955200113516863</v>
      </c>
      <c r="I83" s="33">
        <f t="shared" si="39"/>
        <v>23.519009895486846</v>
      </c>
      <c r="J83" s="33">
        <f t="shared" si="39"/>
        <v>24.096695838117306</v>
      </c>
      <c r="K83" s="33">
        <f t="shared" si="39"/>
        <v>20.381957659069013</v>
      </c>
      <c r="L83" s="33">
        <f t="shared" si="39"/>
        <v>20.883629301488806</v>
      </c>
      <c r="M83" s="33">
        <f t="shared" si="39"/>
        <v>21.397679424410484</v>
      </c>
      <c r="N83" s="6"/>
      <c r="O83" s="6"/>
      <c r="P83" s="6"/>
      <c r="Q83" s="6"/>
      <c r="R83" s="6"/>
      <c r="S83" s="6"/>
      <c r="T83" s="6"/>
      <c r="U83" s="6"/>
      <c r="V83" s="6"/>
      <c r="W83" s="6"/>
      <c r="X83" s="6"/>
      <c r="Y83" s="6"/>
      <c r="Z83" s="6"/>
      <c r="AA83" s="6"/>
    </row>
    <row r="84" spans="1:27" x14ac:dyDescent="0.45">
      <c r="A84" s="3" t="s">
        <v>128</v>
      </c>
      <c r="B84" s="33">
        <f>$H$19*B83</f>
        <v>3.1985867673270238</v>
      </c>
      <c r="C84" s="33">
        <f t="shared" ref="C84:M84" si="40">$H$19*C83</f>
        <v>3.2768594483099274</v>
      </c>
      <c r="D84" s="33">
        <f t="shared" si="40"/>
        <v>3.357049947144549</v>
      </c>
      <c r="E84" s="33">
        <f t="shared" si="40"/>
        <v>2.8799913435109272</v>
      </c>
      <c r="F84" s="33">
        <f t="shared" si="40"/>
        <v>2.9505513477766097</v>
      </c>
      <c r="G84" s="33">
        <f t="shared" si="40"/>
        <v>3.0228426921937364</v>
      </c>
      <c r="H84" s="33">
        <f t="shared" si="40"/>
        <v>2.2955200113516865</v>
      </c>
      <c r="I84" s="33">
        <f t="shared" si="40"/>
        <v>2.3519009895486849</v>
      </c>
      <c r="J84" s="33">
        <f t="shared" si="40"/>
        <v>2.4096695838117306</v>
      </c>
      <c r="K84" s="33">
        <f t="shared" si="40"/>
        <v>2.0381957659069014</v>
      </c>
      <c r="L84" s="33">
        <f t="shared" si="40"/>
        <v>2.0883629301488806</v>
      </c>
      <c r="M84" s="33">
        <f t="shared" si="40"/>
        <v>2.1397679424410483</v>
      </c>
      <c r="N84" s="6"/>
      <c r="O84" s="6"/>
      <c r="P84" s="6"/>
      <c r="Q84" s="6"/>
      <c r="R84" s="6"/>
      <c r="S84" s="6"/>
      <c r="T84" s="6"/>
      <c r="U84" s="6"/>
      <c r="V84" s="6"/>
      <c r="W84" s="6"/>
      <c r="X84" s="6"/>
      <c r="Y84" s="6"/>
      <c r="Z84" s="6"/>
      <c r="AA84" s="6"/>
    </row>
    <row r="85" spans="1:27" x14ac:dyDescent="0.45">
      <c r="A85" s="36" t="s">
        <v>93</v>
      </c>
      <c r="B85" s="35">
        <f>B77-B80</f>
        <v>-536.58791003462466</v>
      </c>
      <c r="C85" s="35">
        <f t="shared" ref="C85:M85" si="41">C77-C80</f>
        <v>315.7076453826827</v>
      </c>
      <c r="D85" s="35">
        <f t="shared" si="41"/>
        <v>323.3854615673103</v>
      </c>
      <c r="E85" s="35">
        <f t="shared" si="41"/>
        <v>275.88778531158175</v>
      </c>
      <c r="F85" s="35">
        <f t="shared" si="41"/>
        <v>282.59628500300431</v>
      </c>
      <c r="G85" s="35">
        <f t="shared" si="41"/>
        <v>289.46787914749348</v>
      </c>
      <c r="H85" s="35">
        <f t="shared" si="41"/>
        <v>217.16912732273994</v>
      </c>
      <c r="I85" s="35">
        <f t="shared" si="41"/>
        <v>222.44822355021046</v>
      </c>
      <c r="J85" s="35">
        <f t="shared" si="41"/>
        <v>227.85561514979875</v>
      </c>
      <c r="K85" s="35">
        <f t="shared" si="41"/>
        <v>190.75865696779377</v>
      </c>
      <c r="L85" s="35">
        <f t="shared" si="41"/>
        <v>195.39452451204005</v>
      </c>
      <c r="M85" s="35">
        <f t="shared" si="41"/>
        <v>200.14301856178369</v>
      </c>
      <c r="N85" s="6"/>
      <c r="O85" s="6"/>
      <c r="P85" s="6"/>
      <c r="Q85" s="6"/>
      <c r="R85" s="6"/>
      <c r="S85" s="6"/>
      <c r="T85" s="6"/>
      <c r="U85" s="6"/>
      <c r="V85" s="6"/>
      <c r="W85" s="6"/>
      <c r="X85" s="6"/>
      <c r="Y85" s="6"/>
      <c r="Z85" s="6"/>
      <c r="AA85" s="6"/>
    </row>
    <row r="86" spans="1:27" x14ac:dyDescent="0.45">
      <c r="A86" s="3" t="s">
        <v>57</v>
      </c>
      <c r="B86" s="33">
        <f>B72</f>
        <v>4.8385618118864162</v>
      </c>
      <c r="C86" s="33">
        <f t="shared" ref="C86:M86" si="42">C72</f>
        <v>6.2013900695786788</v>
      </c>
      <c r="D86" s="33">
        <f t="shared" si="42"/>
        <v>7.597356648601874</v>
      </c>
      <c r="E86" s="33">
        <f t="shared" si="42"/>
        <v>50.161415511196687</v>
      </c>
      <c r="F86" s="33">
        <f t="shared" si="42"/>
        <v>51.381142727818968</v>
      </c>
      <c r="G86" s="33">
        <f t="shared" si="42"/>
        <v>52.630523481362459</v>
      </c>
      <c r="H86" s="33">
        <f t="shared" si="42"/>
        <v>39.485295876861812</v>
      </c>
      <c r="I86" s="33">
        <f t="shared" si="42"/>
        <v>40.445131554583725</v>
      </c>
      <c r="J86" s="33">
        <f t="shared" si="42"/>
        <v>41.428293663599774</v>
      </c>
      <c r="K86" s="33">
        <f t="shared" si="42"/>
        <v>34.68339217596251</v>
      </c>
      <c r="L86" s="33">
        <f t="shared" si="42"/>
        <v>35.526277184007277</v>
      </c>
      <c r="M86" s="33">
        <f t="shared" si="42"/>
        <v>36.389639738506126</v>
      </c>
      <c r="N86" s="6"/>
      <c r="O86" s="6"/>
      <c r="P86" s="6"/>
      <c r="Q86" s="6"/>
      <c r="R86" s="6"/>
      <c r="S86" s="6"/>
      <c r="T86" s="6"/>
      <c r="U86" s="6"/>
      <c r="V86" s="6"/>
      <c r="W86" s="6"/>
      <c r="X86" s="6"/>
      <c r="Y86" s="6"/>
      <c r="Z86" s="6"/>
      <c r="AA86" s="6"/>
    </row>
    <row r="87" spans="1:27" x14ac:dyDescent="0.45">
      <c r="A87" s="3" t="s">
        <v>129</v>
      </c>
      <c r="B87" s="33">
        <f>B79-B82-B84</f>
        <v>-48.780719094056799</v>
      </c>
      <c r="C87" s="33">
        <f t="shared" ref="C87:M87" si="43">C79-C82-C84</f>
        <v>28.700695034789341</v>
      </c>
      <c r="D87" s="33">
        <f t="shared" si="43"/>
        <v>29.398678324300935</v>
      </c>
      <c r="E87" s="33">
        <f t="shared" si="43"/>
        <v>25.080707755598343</v>
      </c>
      <c r="F87" s="33">
        <f t="shared" si="43"/>
        <v>25.690571363909484</v>
      </c>
      <c r="G87" s="33">
        <f t="shared" si="43"/>
        <v>26.315261740681226</v>
      </c>
      <c r="H87" s="33">
        <f t="shared" si="43"/>
        <v>19.742647938430903</v>
      </c>
      <c r="I87" s="33">
        <f t="shared" si="43"/>
        <v>20.222565777291859</v>
      </c>
      <c r="J87" s="33">
        <f t="shared" si="43"/>
        <v>20.714146831799887</v>
      </c>
      <c r="K87" s="33">
        <f t="shared" si="43"/>
        <v>17.341696087981251</v>
      </c>
      <c r="L87" s="33">
        <f t="shared" si="43"/>
        <v>17.763138592003642</v>
      </c>
      <c r="M87" s="33">
        <f t="shared" si="43"/>
        <v>18.194819869253063</v>
      </c>
      <c r="N87" s="6"/>
      <c r="O87" s="6"/>
      <c r="P87" s="6"/>
      <c r="Q87" s="6"/>
      <c r="R87" s="6"/>
      <c r="S87" s="6"/>
      <c r="T87" s="6"/>
      <c r="U87" s="6"/>
      <c r="V87" s="6"/>
      <c r="W87" s="6"/>
      <c r="X87" s="6"/>
      <c r="Y87" s="6"/>
      <c r="Z87" s="6"/>
      <c r="AA87" s="6"/>
    </row>
    <row r="88" spans="1:27" x14ac:dyDescent="0.45">
      <c r="A88" s="1" t="s">
        <v>96</v>
      </c>
      <c r="B88" s="35">
        <f>B85-B86-B87</f>
        <v>-492.64575275245426</v>
      </c>
      <c r="C88" s="35">
        <f t="shared" ref="C88:M88" si="44">C85-C86-C87</f>
        <v>280.80556027831466</v>
      </c>
      <c r="D88" s="35">
        <f t="shared" si="44"/>
        <v>286.3894265944075</v>
      </c>
      <c r="E88" s="35">
        <f t="shared" si="44"/>
        <v>200.64566204478672</v>
      </c>
      <c r="F88" s="35">
        <f t="shared" si="44"/>
        <v>205.52457091127587</v>
      </c>
      <c r="G88" s="35">
        <f t="shared" si="44"/>
        <v>210.52209392544981</v>
      </c>
      <c r="H88" s="35">
        <f t="shared" si="44"/>
        <v>157.94118350744722</v>
      </c>
      <c r="I88" s="35">
        <f t="shared" si="44"/>
        <v>161.78052621833487</v>
      </c>
      <c r="J88" s="35">
        <f t="shared" si="44"/>
        <v>165.7131746543991</v>
      </c>
      <c r="K88" s="35">
        <f t="shared" si="44"/>
        <v>138.73356870385001</v>
      </c>
      <c r="L88" s="35">
        <f t="shared" si="44"/>
        <v>142.10510873602914</v>
      </c>
      <c r="M88" s="35">
        <f t="shared" si="44"/>
        <v>145.55855895402451</v>
      </c>
      <c r="N88" s="6"/>
      <c r="O88" s="6"/>
      <c r="P88" s="6"/>
      <c r="Q88" s="6"/>
      <c r="R88" s="6"/>
      <c r="S88" s="6"/>
      <c r="T88" s="6"/>
      <c r="U88" s="6"/>
      <c r="V88" s="6"/>
      <c r="W88" s="6"/>
      <c r="X88" s="6"/>
      <c r="Y88" s="6"/>
      <c r="Z88" s="6"/>
      <c r="AA88" s="6"/>
    </row>
    <row r="89" spans="1:27" x14ac:dyDescent="0.45">
      <c r="A89" s="2" t="s">
        <v>75</v>
      </c>
      <c r="B89" s="5">
        <f t="shared" ref="B89:M89" si="45">(1+$H$23)^-B76</f>
        <v>1</v>
      </c>
      <c r="C89" s="5">
        <f t="shared" si="45"/>
        <v>0.92592592592592582</v>
      </c>
      <c r="D89" s="5">
        <f t="shared" si="45"/>
        <v>0.85733882030178321</v>
      </c>
      <c r="E89" s="5">
        <f t="shared" si="45"/>
        <v>0.79383224102016958</v>
      </c>
      <c r="F89" s="5">
        <f t="shared" si="45"/>
        <v>0.73502985279645328</v>
      </c>
      <c r="G89" s="5">
        <f t="shared" si="45"/>
        <v>0.68058319703375303</v>
      </c>
      <c r="H89" s="5">
        <f t="shared" si="45"/>
        <v>0.63016962688310452</v>
      </c>
      <c r="I89" s="5">
        <f t="shared" si="45"/>
        <v>0.58349039526213387</v>
      </c>
      <c r="J89" s="5">
        <f t="shared" si="45"/>
        <v>0.54026888450197574</v>
      </c>
      <c r="K89" s="5">
        <f t="shared" si="45"/>
        <v>0.50024896713145905</v>
      </c>
      <c r="L89" s="5">
        <f t="shared" si="45"/>
        <v>0.46319348808468425</v>
      </c>
      <c r="M89" s="5">
        <f t="shared" si="45"/>
        <v>0.42888285933767062</v>
      </c>
      <c r="N89" s="5"/>
      <c r="O89" s="5"/>
      <c r="P89" s="5"/>
      <c r="Q89" s="5"/>
      <c r="R89" s="5"/>
      <c r="S89" s="5"/>
      <c r="T89" s="5"/>
      <c r="U89" s="5"/>
      <c r="V89" s="5"/>
      <c r="W89" s="5"/>
      <c r="X89" s="5"/>
      <c r="Y89" s="5"/>
      <c r="Z89" s="5"/>
      <c r="AA89" s="5"/>
    </row>
    <row r="90" spans="1:27" x14ac:dyDescent="0.45">
      <c r="A90" s="2" t="s">
        <v>79</v>
      </c>
      <c r="B90" s="19">
        <f>B88*B89</f>
        <v>-492.64575275245426</v>
      </c>
      <c r="C90" s="19">
        <f t="shared" ref="C90:M90" si="46">C88*C89</f>
        <v>260.00514840584685</v>
      </c>
      <c r="D90" s="19">
        <f t="shared" si="46"/>
        <v>245.53277314335347</v>
      </c>
      <c r="E90" s="19">
        <f t="shared" si="46"/>
        <v>159.27899555198863</v>
      </c>
      <c r="F90" s="19">
        <f t="shared" si="46"/>
        <v>151.06669510296933</v>
      </c>
      <c r="G90" s="19">
        <f t="shared" si="46"/>
        <v>143.27779973002268</v>
      </c>
      <c r="H90" s="19">
        <f t="shared" si="46"/>
        <v>99.529736680363953</v>
      </c>
      <c r="I90" s="19">
        <f t="shared" si="46"/>
        <v>94.397383188852231</v>
      </c>
      <c r="J90" s="19">
        <f t="shared" si="46"/>
        <v>89.529672017813283</v>
      </c>
      <c r="K90" s="19">
        <f t="shared" si="46"/>
        <v>69.401324450562285</v>
      </c>
      <c r="L90" s="19">
        <f t="shared" si="46"/>
        <v>65.822160990094673</v>
      </c>
      <c r="M90" s="19">
        <f t="shared" si="46"/>
        <v>62.427570965272928</v>
      </c>
      <c r="N90" s="6"/>
      <c r="O90" s="6"/>
      <c r="P90" s="6"/>
      <c r="Q90" s="6"/>
      <c r="R90" s="6"/>
      <c r="S90" s="6"/>
      <c r="T90" s="6"/>
      <c r="U90" s="6"/>
      <c r="V90" s="6"/>
      <c r="W90" s="6"/>
      <c r="X90" s="6"/>
      <c r="Y90" s="6"/>
      <c r="Z90" s="6"/>
      <c r="AA90" s="6"/>
    </row>
    <row r="91" spans="1:27" x14ac:dyDescent="0.45">
      <c r="A91" s="2" t="s">
        <v>80</v>
      </c>
      <c r="B91" s="19">
        <f>B88</f>
        <v>-492.64575275245426</v>
      </c>
      <c r="C91" s="6">
        <f>B91+C88</f>
        <v>-211.8401924741396</v>
      </c>
      <c r="D91" s="6">
        <f t="shared" ref="D91:M91" si="47">C91+D88</f>
        <v>74.549234120267897</v>
      </c>
      <c r="E91" s="6">
        <f t="shared" si="47"/>
        <v>275.19489616505462</v>
      </c>
      <c r="F91" s="6">
        <f t="shared" si="47"/>
        <v>480.71946707633049</v>
      </c>
      <c r="G91" s="6">
        <f t="shared" si="47"/>
        <v>691.24156100178027</v>
      </c>
      <c r="H91" s="6">
        <f t="shared" si="47"/>
        <v>849.18274450922752</v>
      </c>
      <c r="I91" s="6">
        <f t="shared" si="47"/>
        <v>1010.9632707275624</v>
      </c>
      <c r="J91" s="6">
        <f t="shared" si="47"/>
        <v>1176.6764453819615</v>
      </c>
      <c r="K91" s="6">
        <f t="shared" si="47"/>
        <v>1315.4100140858116</v>
      </c>
      <c r="L91" s="6">
        <f t="shared" si="47"/>
        <v>1457.5151228218406</v>
      </c>
      <c r="M91" s="6">
        <f t="shared" si="47"/>
        <v>1603.073681775865</v>
      </c>
      <c r="N91" s="6"/>
      <c r="O91" s="6"/>
      <c r="P91" s="6"/>
      <c r="Q91" s="6"/>
      <c r="R91" s="6"/>
      <c r="S91" s="6"/>
      <c r="T91" s="6"/>
      <c r="U91" s="6"/>
      <c r="V91" s="6"/>
      <c r="W91" s="6"/>
      <c r="X91" s="6"/>
      <c r="Y91" s="6"/>
      <c r="Z91" s="6"/>
      <c r="AA91" s="6"/>
    </row>
    <row r="92" spans="1:27" x14ac:dyDescent="0.45">
      <c r="A92" s="2" t="s">
        <v>81</v>
      </c>
      <c r="B92" s="19">
        <f>B90</f>
        <v>-492.64575275245426</v>
      </c>
      <c r="C92" s="6">
        <f>B92+C90</f>
        <v>-232.6406043466074</v>
      </c>
      <c r="D92" s="6">
        <f t="shared" ref="D92:M92" si="48">C92+D90</f>
        <v>12.892168796746063</v>
      </c>
      <c r="E92" s="6">
        <f t="shared" si="48"/>
        <v>172.17116434873469</v>
      </c>
      <c r="F92" s="6">
        <f t="shared" si="48"/>
        <v>323.23785945170403</v>
      </c>
      <c r="G92" s="6">
        <f t="shared" si="48"/>
        <v>466.51565918172673</v>
      </c>
      <c r="H92" s="6">
        <f t="shared" si="48"/>
        <v>566.04539586209069</v>
      </c>
      <c r="I92" s="6">
        <f t="shared" si="48"/>
        <v>660.44277905094293</v>
      </c>
      <c r="J92" s="6">
        <f t="shared" si="48"/>
        <v>749.97245106875619</v>
      </c>
      <c r="K92" s="6">
        <f t="shared" si="48"/>
        <v>819.37377551931843</v>
      </c>
      <c r="L92" s="6">
        <f t="shared" si="48"/>
        <v>885.19593650941306</v>
      </c>
      <c r="M92" s="6">
        <f t="shared" si="48"/>
        <v>947.62350747468599</v>
      </c>
      <c r="N92" s="6"/>
      <c r="O92" s="6"/>
      <c r="P92" s="6"/>
      <c r="Q92" s="6"/>
      <c r="R92" s="6"/>
      <c r="S92" s="6"/>
      <c r="T92" s="6"/>
      <c r="U92" s="6"/>
      <c r="V92" s="6"/>
      <c r="W92" s="6"/>
      <c r="X92" s="6"/>
      <c r="Y92" s="6"/>
      <c r="Z92" s="6"/>
      <c r="AA92" s="6"/>
    </row>
    <row r="93" spans="1:27" x14ac:dyDescent="0.45">
      <c r="B93" s="19"/>
      <c r="C93" s="6"/>
      <c r="D93" s="6"/>
      <c r="E93" s="6"/>
      <c r="F93" s="6"/>
      <c r="G93" s="6"/>
      <c r="H93" s="6"/>
      <c r="I93" s="6"/>
      <c r="J93" s="6"/>
      <c r="K93" s="6"/>
      <c r="L93" s="6"/>
      <c r="M93" s="6"/>
      <c r="N93" s="6"/>
      <c r="O93" s="6"/>
      <c r="P93" s="6"/>
      <c r="Q93" s="6"/>
      <c r="R93" s="6"/>
      <c r="S93" s="6"/>
      <c r="T93" s="6"/>
      <c r="U93" s="6"/>
      <c r="V93" s="6"/>
      <c r="W93" s="6"/>
      <c r="X93" s="6"/>
      <c r="Y93" s="6"/>
      <c r="Z93" s="6"/>
      <c r="AA93" s="6"/>
    </row>
    <row r="94" spans="1:27" x14ac:dyDescent="0.45">
      <c r="A94" s="38" t="s">
        <v>115</v>
      </c>
      <c r="B94" s="39">
        <f>SUM(B90:M90)</f>
        <v>947.62350747468599</v>
      </c>
      <c r="C94" s="6"/>
    </row>
    <row r="95" spans="1:27" x14ac:dyDescent="0.45">
      <c r="A95" s="38" t="s">
        <v>116</v>
      </c>
      <c r="B95" s="50">
        <f>IRR(B88:M88)</f>
        <v>0.4843465976463428</v>
      </c>
      <c r="C95" s="4"/>
    </row>
    <row r="97" spans="1:27" x14ac:dyDescent="0.45">
      <c r="A97" s="1" t="s">
        <v>94</v>
      </c>
    </row>
    <row r="98" spans="1:27" x14ac:dyDescent="0.45">
      <c r="A98" s="11" t="s">
        <v>39</v>
      </c>
      <c r="B98" s="11">
        <v>0</v>
      </c>
      <c r="C98" s="11">
        <v>1</v>
      </c>
      <c r="D98" s="11">
        <v>2</v>
      </c>
      <c r="E98" s="11">
        <v>3</v>
      </c>
      <c r="F98" s="11">
        <v>4</v>
      </c>
      <c r="G98" s="11">
        <v>5</v>
      </c>
      <c r="H98" s="11">
        <v>6</v>
      </c>
      <c r="I98" s="11">
        <v>7</v>
      </c>
      <c r="J98" s="11">
        <v>8</v>
      </c>
      <c r="K98" s="11">
        <v>9</v>
      </c>
      <c r="L98" s="11">
        <v>10</v>
      </c>
      <c r="M98" s="11">
        <v>11</v>
      </c>
      <c r="N98" s="11">
        <v>12</v>
      </c>
      <c r="O98" s="11">
        <v>13</v>
      </c>
      <c r="P98" s="11">
        <v>14</v>
      </c>
      <c r="Q98" s="11">
        <v>15</v>
      </c>
      <c r="R98" s="11">
        <v>16</v>
      </c>
      <c r="S98" s="11">
        <v>17</v>
      </c>
      <c r="T98" s="11">
        <v>18</v>
      </c>
      <c r="U98" s="11">
        <v>19</v>
      </c>
      <c r="V98" s="11">
        <v>20</v>
      </c>
      <c r="W98" s="11">
        <v>21</v>
      </c>
      <c r="X98" s="11">
        <v>22</v>
      </c>
      <c r="Y98" s="11">
        <v>23</v>
      </c>
      <c r="Z98" s="11">
        <v>24</v>
      </c>
      <c r="AA98" s="11">
        <v>25</v>
      </c>
    </row>
    <row r="99" spans="1:27" x14ac:dyDescent="0.45">
      <c r="A99" s="1" t="s">
        <v>96</v>
      </c>
      <c r="B99" s="35">
        <f>B88</f>
        <v>-492.64575275245426</v>
      </c>
      <c r="C99" s="35">
        <f t="shared" ref="C99:M99" si="49">C88</f>
        <v>280.80556027831466</v>
      </c>
      <c r="D99" s="35">
        <f t="shared" si="49"/>
        <v>286.3894265944075</v>
      </c>
      <c r="E99" s="35">
        <f t="shared" si="49"/>
        <v>200.64566204478672</v>
      </c>
      <c r="F99" s="35">
        <f t="shared" si="49"/>
        <v>205.52457091127587</v>
      </c>
      <c r="G99" s="35">
        <f t="shared" si="49"/>
        <v>210.52209392544981</v>
      </c>
      <c r="H99" s="35">
        <f t="shared" si="49"/>
        <v>157.94118350744722</v>
      </c>
      <c r="I99" s="35">
        <f t="shared" si="49"/>
        <v>161.78052621833487</v>
      </c>
      <c r="J99" s="35">
        <f t="shared" si="49"/>
        <v>165.7131746543991</v>
      </c>
      <c r="K99" s="35">
        <f t="shared" si="49"/>
        <v>138.73356870385001</v>
      </c>
      <c r="L99" s="35">
        <f t="shared" si="49"/>
        <v>142.10510873602914</v>
      </c>
      <c r="M99" s="35">
        <f t="shared" si="49"/>
        <v>145.55855895402451</v>
      </c>
    </row>
    <row r="100" spans="1:27" x14ac:dyDescent="0.45">
      <c r="A100" s="3" t="s">
        <v>112</v>
      </c>
      <c r="B100" s="33">
        <f>B55</f>
        <v>0</v>
      </c>
      <c r="C100" s="33"/>
      <c r="D100" s="33"/>
      <c r="E100" s="33"/>
      <c r="F100" s="33"/>
      <c r="G100" s="33"/>
      <c r="H100" s="33"/>
      <c r="I100" s="33"/>
      <c r="J100" s="33"/>
      <c r="K100" s="33"/>
      <c r="L100" s="33"/>
      <c r="M100" s="33"/>
      <c r="N100" s="6"/>
      <c r="O100" s="6"/>
      <c r="P100" s="6"/>
      <c r="Q100" s="6"/>
      <c r="R100" s="6"/>
      <c r="S100" s="6"/>
      <c r="T100" s="6"/>
      <c r="U100" s="6"/>
      <c r="V100" s="6"/>
      <c r="W100" s="6"/>
      <c r="X100" s="6"/>
      <c r="Y100" s="6"/>
      <c r="Z100" s="6"/>
      <c r="AA100" s="6"/>
    </row>
    <row r="101" spans="1:27" x14ac:dyDescent="0.45">
      <c r="A101" s="3" t="s">
        <v>102</v>
      </c>
      <c r="B101" s="19">
        <f>B57</f>
        <v>0</v>
      </c>
      <c r="C101" s="19">
        <f t="shared" ref="C101:F101" si="50">C57</f>
        <v>0</v>
      </c>
      <c r="D101" s="19">
        <f t="shared" si="50"/>
        <v>0</v>
      </c>
      <c r="E101" s="19">
        <f t="shared" si="50"/>
        <v>0</v>
      </c>
      <c r="F101" s="19">
        <f t="shared" si="50"/>
        <v>0</v>
      </c>
      <c r="G101" s="35"/>
      <c r="H101" s="35"/>
      <c r="I101" s="35"/>
      <c r="J101" s="35"/>
      <c r="K101" s="35"/>
      <c r="L101" s="35"/>
      <c r="M101" s="35"/>
    </row>
    <row r="102" spans="1:27" x14ac:dyDescent="0.45">
      <c r="A102" s="36" t="s">
        <v>113</v>
      </c>
      <c r="B102" s="35">
        <f>B99+B100-B101</f>
        <v>-492.64575275245426</v>
      </c>
      <c r="C102" s="35">
        <f t="shared" ref="C102:M102" si="51">C99+C100-C101</f>
        <v>280.80556027831466</v>
      </c>
      <c r="D102" s="35">
        <f t="shared" si="51"/>
        <v>286.3894265944075</v>
      </c>
      <c r="E102" s="35">
        <f t="shared" si="51"/>
        <v>200.64566204478672</v>
      </c>
      <c r="F102" s="35">
        <f t="shared" si="51"/>
        <v>205.52457091127587</v>
      </c>
      <c r="G102" s="35">
        <f t="shared" si="51"/>
        <v>210.52209392544981</v>
      </c>
      <c r="H102" s="35">
        <f t="shared" si="51"/>
        <v>157.94118350744722</v>
      </c>
      <c r="I102" s="35">
        <f t="shared" si="51"/>
        <v>161.78052621833487</v>
      </c>
      <c r="J102" s="35">
        <f t="shared" si="51"/>
        <v>165.7131746543991</v>
      </c>
      <c r="K102" s="35">
        <f t="shared" si="51"/>
        <v>138.73356870385001</v>
      </c>
      <c r="L102" s="35">
        <f t="shared" si="51"/>
        <v>142.10510873602914</v>
      </c>
      <c r="M102" s="35">
        <f t="shared" si="51"/>
        <v>145.55855895402451</v>
      </c>
      <c r="N102" s="6"/>
      <c r="O102" s="6"/>
      <c r="P102" s="6"/>
      <c r="Q102" s="6"/>
      <c r="R102" s="6"/>
      <c r="S102" s="6"/>
      <c r="T102" s="6"/>
      <c r="U102" s="6"/>
      <c r="V102" s="6"/>
      <c r="W102" s="6"/>
      <c r="X102" s="6"/>
      <c r="Y102" s="6"/>
      <c r="Z102" s="6"/>
      <c r="AA102" s="6"/>
    </row>
    <row r="103" spans="1:27" x14ac:dyDescent="0.45">
      <c r="A103" s="36"/>
      <c r="B103" s="35"/>
      <c r="C103" s="35"/>
      <c r="D103" s="35"/>
      <c r="E103" s="35"/>
      <c r="F103" s="35"/>
      <c r="G103" s="35"/>
      <c r="H103" s="35"/>
      <c r="I103" s="35"/>
      <c r="J103" s="35"/>
      <c r="K103" s="35"/>
      <c r="L103" s="35"/>
      <c r="M103" s="35"/>
      <c r="N103" s="6"/>
      <c r="O103" s="6"/>
      <c r="P103" s="6"/>
      <c r="Q103" s="6"/>
      <c r="R103" s="6"/>
      <c r="S103" s="6"/>
      <c r="T103" s="6"/>
      <c r="U103" s="6"/>
      <c r="V103" s="6"/>
      <c r="W103" s="6"/>
      <c r="X103" s="6"/>
      <c r="Y103" s="6"/>
      <c r="Z103" s="6"/>
      <c r="AA103" s="6"/>
    </row>
    <row r="104" spans="1:27" x14ac:dyDescent="0.45">
      <c r="A104" s="40" t="s">
        <v>117</v>
      </c>
      <c r="B104" s="39">
        <f>NPV(B10,C102:M102)+B102</f>
        <v>947.62350747468599</v>
      </c>
      <c r="C104" s="35"/>
      <c r="D104" s="35"/>
      <c r="E104" s="35"/>
      <c r="F104" s="35"/>
      <c r="G104" s="35"/>
      <c r="H104" s="35"/>
      <c r="I104" s="35"/>
      <c r="J104" s="35"/>
      <c r="K104" s="35"/>
      <c r="L104" s="35"/>
      <c r="M104" s="35"/>
      <c r="N104" s="6"/>
      <c r="O104" s="6"/>
      <c r="P104" s="6"/>
      <c r="Q104" s="6"/>
      <c r="R104" s="6"/>
      <c r="S104" s="6"/>
      <c r="T104" s="6"/>
      <c r="U104" s="6"/>
      <c r="V104" s="6"/>
      <c r="W104" s="6"/>
      <c r="X104" s="6"/>
      <c r="Y104" s="6"/>
      <c r="Z104" s="6"/>
      <c r="AA104" s="6"/>
    </row>
    <row r="105" spans="1:27" x14ac:dyDescent="0.45">
      <c r="A105" s="38" t="s">
        <v>114</v>
      </c>
      <c r="B105" s="50">
        <f>IRR(B102:M102)</f>
        <v>0.4843465976463428</v>
      </c>
    </row>
    <row r="107" spans="1:27" x14ac:dyDescent="0.45">
      <c r="A107" s="25" t="s">
        <v>89</v>
      </c>
    </row>
    <row r="108" spans="1:27" x14ac:dyDescent="0.45">
      <c r="A108" s="24" t="s">
        <v>130</v>
      </c>
    </row>
  </sheetData>
  <mergeCells count="2">
    <mergeCell ref="A1:I1"/>
    <mergeCell ref="A2:I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GIC_3.2026</vt:lpstr>
      <vt:lpstr>UEH 1</vt:lpstr>
      <vt:lpstr>UEH 2</vt:lpstr>
      <vt:lpstr>UEH 3</vt:lpstr>
      <vt:lpstr>UEH 4</vt:lpstr>
      <vt:lpstr>UEH 5</vt:lpstr>
      <vt:lpstr>UEH 6</vt:lpstr>
      <vt:lpstr>UEH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Binh Phung Thanh</dc:creator>
  <cp:lastModifiedBy>Binh Phung Thanh</cp:lastModifiedBy>
  <dcterms:created xsi:type="dcterms:W3CDTF">2026-04-05T07:34:33Z</dcterms:created>
  <dcterms:modified xsi:type="dcterms:W3CDTF">2026-04-06T13:10:52Z</dcterms:modified>
</cp:coreProperties>
</file>