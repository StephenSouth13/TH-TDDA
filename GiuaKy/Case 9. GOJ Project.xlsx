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D:\1. Teaching\Thực hành TĐDA\Campbell &amp; Brown 2016 _ Case studies\Dự án nhóm K47\"/>
    </mc:Choice>
  </mc:AlternateContent>
  <xr:revisionPtr revIDLastSave="0" documentId="13_ncr:1_{F7148847-E117-4D62-8760-A867DA2B7EFA}" xr6:coauthVersionLast="47" xr6:coauthVersionMax="47" xr10:uidLastSave="{00000000-0000-0000-0000-000000000000}"/>
  <bookViews>
    <workbookView xWindow="-98" yWindow="-98" windowWidth="20715" windowHeight="13155" firstSheet="1" activeTab="1" xr2:uid="{00000000-000D-0000-FFFF-FFFF00000000}"/>
  </bookViews>
  <sheets>
    <sheet name="Trả lời của sinh viên" sheetId="6" r:id="rId1"/>
    <sheet name="Thông số" sheetId="1" r:id="rId2"/>
    <sheet name="Phương án 1_Thu phí" sheetId="2" r:id="rId3"/>
    <sheet name="Phương án 2_Không thu phí" sheetId="5" r:id="rId4"/>
    <sheet name="Figure"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8" i="5" l="1"/>
  <c r="AS7" i="5"/>
  <c r="H85" i="5"/>
  <c r="E171" i="5"/>
  <c r="D171" i="5"/>
  <c r="C171" i="5"/>
  <c r="E170" i="5"/>
  <c r="D170" i="5"/>
  <c r="C170" i="5"/>
  <c r="B168" i="5"/>
  <c r="D161" i="5"/>
  <c r="D132" i="5"/>
  <c r="B124" i="5"/>
  <c r="AV123" i="5"/>
  <c r="AU123" i="5"/>
  <c r="AT123" i="5"/>
  <c r="AS123" i="5"/>
  <c r="AR123" i="5"/>
  <c r="AQ123" i="5"/>
  <c r="AP123" i="5"/>
  <c r="AO123" i="5"/>
  <c r="AN123" i="5"/>
  <c r="AM123" i="5"/>
  <c r="AL123" i="5"/>
  <c r="AK123" i="5"/>
  <c r="AJ123" i="5"/>
  <c r="AI123" i="5"/>
  <c r="AH123" i="5"/>
  <c r="AG123" i="5"/>
  <c r="AF123" i="5"/>
  <c r="AE123" i="5"/>
  <c r="AD123" i="5"/>
  <c r="AC123" i="5"/>
  <c r="AB123" i="5"/>
  <c r="AA123" i="5"/>
  <c r="Z123" i="5"/>
  <c r="Y123" i="5"/>
  <c r="X123" i="5"/>
  <c r="B114" i="5"/>
  <c r="D108" i="5"/>
  <c r="E108" i="5" s="1"/>
  <c r="D92" i="5"/>
  <c r="B86" i="5"/>
  <c r="AV85" i="5"/>
  <c r="AU85" i="5"/>
  <c r="AT85" i="5"/>
  <c r="AS85" i="5"/>
  <c r="AR85" i="5"/>
  <c r="AQ85" i="5"/>
  <c r="AP85" i="5"/>
  <c r="AO85" i="5"/>
  <c r="AN85" i="5"/>
  <c r="AM85" i="5"/>
  <c r="AL85" i="5"/>
  <c r="AK85" i="5"/>
  <c r="AJ85" i="5"/>
  <c r="AI85" i="5"/>
  <c r="AH85" i="5"/>
  <c r="AG85" i="5"/>
  <c r="AF85" i="5"/>
  <c r="AE85" i="5"/>
  <c r="AD85" i="5"/>
  <c r="AC85" i="5"/>
  <c r="AB85" i="5"/>
  <c r="AA85" i="5"/>
  <c r="Z85" i="5"/>
  <c r="Y85" i="5"/>
  <c r="X85" i="5"/>
  <c r="W85" i="5"/>
  <c r="V85" i="5"/>
  <c r="U85" i="5"/>
  <c r="T85" i="5"/>
  <c r="S85" i="5"/>
  <c r="R85" i="5"/>
  <c r="Q85" i="5"/>
  <c r="P85" i="5"/>
  <c r="O85" i="5"/>
  <c r="N85" i="5"/>
  <c r="M85" i="5"/>
  <c r="L85" i="5"/>
  <c r="K85" i="5"/>
  <c r="J85" i="5"/>
  <c r="I85" i="5"/>
  <c r="G85" i="5"/>
  <c r="F85" i="5"/>
  <c r="E85" i="5"/>
  <c r="D85" i="5"/>
  <c r="C85" i="5"/>
  <c r="B85" i="5"/>
  <c r="F68" i="5"/>
  <c r="G68" i="5" s="1"/>
  <c r="AV42" i="5"/>
  <c r="AU42" i="5"/>
  <c r="AT42" i="5"/>
  <c r="AT77" i="5" s="1"/>
  <c r="AS42" i="5"/>
  <c r="AS138" i="5" s="1"/>
  <c r="AR42" i="5"/>
  <c r="AR77" i="5" s="1"/>
  <c r="AQ42" i="5"/>
  <c r="AP42" i="5"/>
  <c r="AP77" i="5" s="1"/>
  <c r="AO42" i="5"/>
  <c r="AN42" i="5"/>
  <c r="AM42" i="5"/>
  <c r="AL42" i="5"/>
  <c r="AL138" i="5" s="1"/>
  <c r="AK42" i="5"/>
  <c r="AK138" i="5" s="1"/>
  <c r="AJ42" i="5"/>
  <c r="AJ138" i="5" s="1"/>
  <c r="AI42" i="5"/>
  <c r="AI138" i="5" s="1"/>
  <c r="AH42" i="5"/>
  <c r="AH77" i="5" s="1"/>
  <c r="AG42" i="5"/>
  <c r="AF42" i="5"/>
  <c r="AF77" i="5" s="1"/>
  <c r="AE42" i="5"/>
  <c r="AE138" i="5" s="1"/>
  <c r="AD42" i="5"/>
  <c r="AD77" i="5" s="1"/>
  <c r="AC42" i="5"/>
  <c r="AC138" i="5" s="1"/>
  <c r="AB42" i="5"/>
  <c r="AB77" i="5" s="1"/>
  <c r="AA42" i="5"/>
  <c r="Z42" i="5"/>
  <c r="Y42" i="5"/>
  <c r="X42" i="5"/>
  <c r="W42" i="5"/>
  <c r="W77" i="5" s="1"/>
  <c r="W115" i="5" s="1"/>
  <c r="W117" i="5" s="1"/>
  <c r="V42" i="5"/>
  <c r="V98" i="5" s="1"/>
  <c r="U42" i="5"/>
  <c r="U138" i="5" s="1"/>
  <c r="T42" i="5"/>
  <c r="T98" i="5" s="1"/>
  <c r="S42" i="5"/>
  <c r="R42" i="5"/>
  <c r="R138" i="5" s="1"/>
  <c r="Q42" i="5"/>
  <c r="Q98" i="5" s="1"/>
  <c r="P42" i="5"/>
  <c r="O42" i="5"/>
  <c r="N42" i="5"/>
  <c r="N138" i="5" s="1"/>
  <c r="M42" i="5"/>
  <c r="M138" i="5" s="1"/>
  <c r="L42" i="5"/>
  <c r="L138" i="5" s="1"/>
  <c r="K42" i="5"/>
  <c r="J42" i="5"/>
  <c r="J138" i="5" s="1"/>
  <c r="I42" i="5"/>
  <c r="I138" i="5" s="1"/>
  <c r="H42" i="5"/>
  <c r="H138" i="5" s="1"/>
  <c r="G42" i="5"/>
  <c r="G77" i="5" s="1"/>
  <c r="G115" i="5" s="1"/>
  <c r="G117" i="5" s="1"/>
  <c r="F42" i="5"/>
  <c r="F138" i="5" s="1"/>
  <c r="E42" i="5"/>
  <c r="E138" i="5" s="1"/>
  <c r="D42" i="5"/>
  <c r="D138" i="5" s="1"/>
  <c r="C42" i="5"/>
  <c r="B42" i="5"/>
  <c r="AV34" i="5"/>
  <c r="AU34" i="5"/>
  <c r="AT34" i="5"/>
  <c r="AS34" i="5"/>
  <c r="AR34" i="5"/>
  <c r="AQ34" i="5"/>
  <c r="AP34" i="5"/>
  <c r="AO34" i="5"/>
  <c r="AN34" i="5"/>
  <c r="AM34" i="5"/>
  <c r="AL34" i="5"/>
  <c r="AK34" i="5"/>
  <c r="AJ34" i="5"/>
  <c r="AI34"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C34" i="5"/>
  <c r="B34" i="5"/>
  <c r="AV13" i="5"/>
  <c r="AV167" i="5" s="1"/>
  <c r="AU13" i="5"/>
  <c r="AU167" i="5" s="1"/>
  <c r="AT13" i="5"/>
  <c r="AS13" i="5"/>
  <c r="AR13" i="5"/>
  <c r="AQ13" i="5"/>
  <c r="AQ167" i="5" s="1"/>
  <c r="AP13" i="5"/>
  <c r="AP167" i="5" s="1"/>
  <c r="AO13" i="5"/>
  <c r="AO167" i="5" s="1"/>
  <c r="AN13" i="5"/>
  <c r="AM13" i="5"/>
  <c r="AM167" i="5" s="1"/>
  <c r="AL13" i="5"/>
  <c r="AK13" i="5"/>
  <c r="AJ13" i="5"/>
  <c r="AJ167" i="5" s="1"/>
  <c r="AI13" i="5"/>
  <c r="AI167" i="5" s="1"/>
  <c r="AH13" i="5"/>
  <c r="AH167" i="5" s="1"/>
  <c r="AG13" i="5"/>
  <c r="AF13" i="5"/>
  <c r="AE13" i="5"/>
  <c r="AE167" i="5" s="1"/>
  <c r="AD13" i="5"/>
  <c r="AC13" i="5"/>
  <c r="AB13" i="5"/>
  <c r="AB167" i="5" s="1"/>
  <c r="AA13" i="5"/>
  <c r="AA167" i="5" s="1"/>
  <c r="Z13" i="5"/>
  <c r="Z167" i="5" s="1"/>
  <c r="Y13" i="5"/>
  <c r="Y167" i="5" s="1"/>
  <c r="X13" i="5"/>
  <c r="W13" i="5"/>
  <c r="W167" i="5" s="1"/>
  <c r="V13" i="5"/>
  <c r="U13" i="5"/>
  <c r="T13" i="5"/>
  <c r="S13" i="5"/>
  <c r="S167" i="5" s="1"/>
  <c r="R13" i="5"/>
  <c r="R167" i="5" s="1"/>
  <c r="Q13" i="5"/>
  <c r="Q167" i="5" s="1"/>
  <c r="P13" i="5"/>
  <c r="P167" i="5" s="1"/>
  <c r="O13" i="5"/>
  <c r="O167" i="5" s="1"/>
  <c r="N13" i="5"/>
  <c r="M13" i="5"/>
  <c r="L13" i="5"/>
  <c r="K13" i="5"/>
  <c r="K167" i="5" s="1"/>
  <c r="J13" i="5"/>
  <c r="J167" i="5" s="1"/>
  <c r="I13" i="5"/>
  <c r="I167" i="5" s="1"/>
  <c r="H13" i="5"/>
  <c r="H167" i="5" s="1"/>
  <c r="G13" i="5"/>
  <c r="G167" i="5" s="1"/>
  <c r="F13" i="5"/>
  <c r="F26" i="5" s="1"/>
  <c r="E13" i="5"/>
  <c r="D13" i="5"/>
  <c r="D167" i="5" s="1"/>
  <c r="C13" i="5"/>
  <c r="C167" i="5" s="1"/>
  <c r="B13" i="5"/>
  <c r="B167" i="5" s="1"/>
  <c r="AV10" i="5"/>
  <c r="AU10" i="5"/>
  <c r="AT10" i="5"/>
  <c r="AS10" i="5"/>
  <c r="AR10" i="5"/>
  <c r="AQ10" i="5"/>
  <c r="AP10" i="5"/>
  <c r="AO10" i="5"/>
  <c r="AN10" i="5"/>
  <c r="AM10" i="5"/>
  <c r="AL10" i="5"/>
  <c r="AK10" i="5"/>
  <c r="AJ10" i="5"/>
  <c r="AI10"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AV8" i="5"/>
  <c r="AU8" i="5"/>
  <c r="AT8" i="5"/>
  <c r="AS8" i="5"/>
  <c r="AP8" i="5"/>
  <c r="AN8" i="5"/>
  <c r="AM8" i="5"/>
  <c r="AL8" i="5"/>
  <c r="AK8" i="5"/>
  <c r="AJ8" i="5"/>
  <c r="AG8" i="5"/>
  <c r="AF8" i="5"/>
  <c r="AE8" i="5"/>
  <c r="AD8" i="5"/>
  <c r="AC8" i="5"/>
  <c r="AB8" i="5"/>
  <c r="Y8" i="5"/>
  <c r="X8" i="5"/>
  <c r="W8" i="5"/>
  <c r="V8" i="5"/>
  <c r="U8" i="5"/>
  <c r="T8" i="5"/>
  <c r="Q8" i="5"/>
  <c r="P8" i="5"/>
  <c r="O8" i="5"/>
  <c r="N8" i="5"/>
  <c r="M8" i="5"/>
  <c r="L8" i="5"/>
  <c r="I8" i="5"/>
  <c r="H8" i="5"/>
  <c r="G8" i="5"/>
  <c r="F8" i="5"/>
  <c r="F23" i="5" s="1"/>
  <c r="E8" i="5"/>
  <c r="D8" i="5"/>
  <c r="AP7" i="5"/>
  <c r="AO7" i="5"/>
  <c r="AN7" i="5"/>
  <c r="AM7" i="5"/>
  <c r="AL7" i="5"/>
  <c r="AD7" i="5"/>
  <c r="AA7" i="5"/>
  <c r="Z7" i="5"/>
  <c r="Y7" i="5"/>
  <c r="V7" i="5"/>
  <c r="P7" i="5"/>
  <c r="O7" i="5"/>
  <c r="J7" i="5"/>
  <c r="I7" i="5"/>
  <c r="H7" i="5"/>
  <c r="D155" i="2"/>
  <c r="E155" i="2" s="1"/>
  <c r="F155" i="2" s="1"/>
  <c r="D128" i="2"/>
  <c r="B110" i="2"/>
  <c r="B120" i="2"/>
  <c r="D104" i="2"/>
  <c r="E104" i="2" s="1"/>
  <c r="F104" i="2" s="1"/>
  <c r="F65" i="2"/>
  <c r="D89" i="2"/>
  <c r="E89" i="2" s="1"/>
  <c r="F89" i="2" s="1"/>
  <c r="B82" i="2"/>
  <c r="C82" i="2"/>
  <c r="D82" i="2"/>
  <c r="E82" i="2"/>
  <c r="F82" i="2"/>
  <c r="G82" i="2"/>
  <c r="H82" i="2"/>
  <c r="I82" i="2"/>
  <c r="J82" i="2"/>
  <c r="K82" i="2"/>
  <c r="L82" i="2"/>
  <c r="M82" i="2"/>
  <c r="N82" i="2"/>
  <c r="O82" i="2"/>
  <c r="P82" i="2"/>
  <c r="Q82" i="2"/>
  <c r="R82" i="2"/>
  <c r="S82" i="2"/>
  <c r="T82" i="2"/>
  <c r="U82" i="2"/>
  <c r="V82" i="2"/>
  <c r="W82" i="2"/>
  <c r="X82" i="2"/>
  <c r="Y82" i="2"/>
  <c r="Z82" i="2"/>
  <c r="AA82" i="2"/>
  <c r="AB82" i="2"/>
  <c r="AC82" i="2"/>
  <c r="AD82" i="2"/>
  <c r="AE82" i="2"/>
  <c r="AF82" i="2"/>
  <c r="AG82" i="2"/>
  <c r="AH82" i="2"/>
  <c r="AI82" i="2"/>
  <c r="AJ82" i="2"/>
  <c r="AK82" i="2"/>
  <c r="AL82" i="2"/>
  <c r="AM82" i="2"/>
  <c r="AN82" i="2"/>
  <c r="AO82" i="2"/>
  <c r="AP82" i="2"/>
  <c r="AQ82" i="2"/>
  <c r="AR82" i="2"/>
  <c r="AS82" i="2"/>
  <c r="AT82" i="2"/>
  <c r="AU82" i="2"/>
  <c r="AV82" i="2"/>
  <c r="B83" i="2"/>
  <c r="AV119" i="2"/>
  <c r="AU119" i="2"/>
  <c r="AT119" i="2"/>
  <c r="AS119" i="2"/>
  <c r="AR119" i="2"/>
  <c r="AQ119" i="2"/>
  <c r="AP119" i="2"/>
  <c r="AO119" i="2"/>
  <c r="AN119" i="2"/>
  <c r="AM119" i="2"/>
  <c r="AL119" i="2"/>
  <c r="AK119" i="2"/>
  <c r="AJ119" i="2"/>
  <c r="AI119" i="2"/>
  <c r="AH119" i="2"/>
  <c r="AG119" i="2"/>
  <c r="AF119" i="2"/>
  <c r="AE119" i="2"/>
  <c r="AD119" i="2"/>
  <c r="AC119" i="2"/>
  <c r="AB119" i="2"/>
  <c r="AA119" i="2"/>
  <c r="Z119" i="2"/>
  <c r="Y119" i="2"/>
  <c r="X119" i="2"/>
  <c r="G181" i="1"/>
  <c r="G182" i="1" s="1"/>
  <c r="G183" i="1" s="1"/>
  <c r="I10" i="1"/>
  <c r="H166" i="5" s="1"/>
  <c r="I9" i="1"/>
  <c r="F166" i="5" s="1"/>
  <c r="C49" i="1"/>
  <c r="D22" i="1"/>
  <c r="C22" i="1"/>
  <c r="F65" i="1"/>
  <c r="E102" i="1" s="1"/>
  <c r="F74" i="1"/>
  <c r="AV10" i="2"/>
  <c r="AU10" i="2"/>
  <c r="AT10" i="2"/>
  <c r="AS10" i="2"/>
  <c r="AR10" i="2"/>
  <c r="AQ10" i="2"/>
  <c r="AP10" i="2"/>
  <c r="AO10" i="2"/>
  <c r="AN10" i="2"/>
  <c r="AM10" i="2"/>
  <c r="AL10" i="2"/>
  <c r="AK10" i="2"/>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AV8" i="2"/>
  <c r="AU8" i="2"/>
  <c r="AT8" i="2"/>
  <c r="AS8" i="2"/>
  <c r="AP8" i="2"/>
  <c r="AO8" i="2"/>
  <c r="AN8" i="2"/>
  <c r="AM8" i="2"/>
  <c r="AL8" i="2"/>
  <c r="AK8" i="2"/>
  <c r="AH8" i="2"/>
  <c r="AG8" i="2"/>
  <c r="AF8" i="2"/>
  <c r="AE8" i="2"/>
  <c r="AD8" i="2"/>
  <c r="AC8" i="2"/>
  <c r="Z8" i="2"/>
  <c r="Y8" i="2"/>
  <c r="X8" i="2"/>
  <c r="W8" i="2"/>
  <c r="V8" i="2"/>
  <c r="U8" i="2"/>
  <c r="R8" i="2"/>
  <c r="Q8" i="2"/>
  <c r="P8" i="2"/>
  <c r="O8" i="2"/>
  <c r="N8" i="2"/>
  <c r="M8" i="2"/>
  <c r="J8" i="2"/>
  <c r="I8" i="2"/>
  <c r="H8" i="2"/>
  <c r="G8" i="2"/>
  <c r="F8" i="2"/>
  <c r="F23" i="2" s="1"/>
  <c r="E8" i="2"/>
  <c r="AR7" i="2"/>
  <c r="AQ7" i="2"/>
  <c r="AP7" i="2"/>
  <c r="AO7" i="2"/>
  <c r="AN7" i="2"/>
  <c r="AH7" i="2"/>
  <c r="AG7" i="2"/>
  <c r="AF7" i="2"/>
  <c r="AE7" i="2"/>
  <c r="AD7" i="2"/>
  <c r="Z7" i="2"/>
  <c r="Y7" i="2"/>
  <c r="X7" i="2"/>
  <c r="W7" i="2"/>
  <c r="V7" i="2"/>
  <c r="R7" i="2"/>
  <c r="Q7" i="2"/>
  <c r="P7" i="2"/>
  <c r="O7" i="2"/>
  <c r="N7" i="2"/>
  <c r="J7" i="2"/>
  <c r="I7" i="2"/>
  <c r="H7" i="2"/>
  <c r="G7" i="2"/>
  <c r="F7" i="2"/>
  <c r="C8" i="2"/>
  <c r="C7" i="2"/>
  <c r="F102" i="1"/>
  <c r="F101" i="1"/>
  <c r="F97" i="1"/>
  <c r="F96" i="1"/>
  <c r="F94" i="1"/>
  <c r="F93" i="1"/>
  <c r="H64" i="1"/>
  <c r="G64" i="1"/>
  <c r="F64" i="1"/>
  <c r="H65" i="1"/>
  <c r="G65" i="1"/>
  <c r="H36" i="1"/>
  <c r="G36" i="1"/>
  <c r="F36" i="1"/>
  <c r="E36" i="1"/>
  <c r="D36" i="1"/>
  <c r="H35" i="1"/>
  <c r="G35" i="1"/>
  <c r="F35" i="1"/>
  <c r="E35" i="1"/>
  <c r="D35" i="1"/>
  <c r="C36" i="1"/>
  <c r="C35" i="1"/>
  <c r="H33" i="1"/>
  <c r="G33" i="1"/>
  <c r="F33" i="1"/>
  <c r="E33" i="1"/>
  <c r="D33" i="1"/>
  <c r="C33" i="1"/>
  <c r="H32" i="1"/>
  <c r="G32" i="1"/>
  <c r="F32" i="1"/>
  <c r="E32" i="1"/>
  <c r="D32" i="1"/>
  <c r="C32" i="1"/>
  <c r="C48" i="1"/>
  <c r="H73" i="1"/>
  <c r="G73" i="1"/>
  <c r="F73" i="1"/>
  <c r="H74" i="1"/>
  <c r="G74" i="1"/>
  <c r="G93" i="1"/>
  <c r="C122" i="1"/>
  <c r="C121" i="1"/>
  <c r="D121" i="1" s="1"/>
  <c r="E121" i="1" s="1"/>
  <c r="F128" i="1" s="1"/>
  <c r="F18" i="5" l="1"/>
  <c r="F18" i="2"/>
  <c r="S7" i="2"/>
  <c r="AI7" i="2"/>
  <c r="AE7" i="5"/>
  <c r="AE9" i="5" s="1"/>
  <c r="D7" i="2"/>
  <c r="L7" i="2"/>
  <c r="T7" i="2"/>
  <c r="AB7" i="2"/>
  <c r="AJ7" i="2"/>
  <c r="AV7" i="2"/>
  <c r="AV9" i="2" s="1"/>
  <c r="K8" i="2"/>
  <c r="S8" i="2"/>
  <c r="AA8" i="2"/>
  <c r="AI8" i="2"/>
  <c r="AQ8" i="2"/>
  <c r="AQ9" i="2" s="1"/>
  <c r="F7" i="5"/>
  <c r="R7" i="5"/>
  <c r="AF7" i="5"/>
  <c r="AV7" i="5"/>
  <c r="AV9" i="5" s="1"/>
  <c r="AV127" i="5" s="1"/>
  <c r="J8" i="5"/>
  <c r="J9" i="5" s="1"/>
  <c r="R8" i="5"/>
  <c r="Z8" i="5"/>
  <c r="Z9" i="5" s="1"/>
  <c r="AH8" i="5"/>
  <c r="AQ8" i="5"/>
  <c r="K7" i="2"/>
  <c r="AA7" i="2"/>
  <c r="AU7" i="2"/>
  <c r="AU9" i="2" s="1"/>
  <c r="C7" i="5"/>
  <c r="C125" i="5" s="1"/>
  <c r="Q7" i="5"/>
  <c r="AU7" i="5"/>
  <c r="E7" i="2"/>
  <c r="M7" i="2"/>
  <c r="U7" i="2"/>
  <c r="AC7" i="2"/>
  <c r="AC9" i="2" s="1"/>
  <c r="AM7" i="2"/>
  <c r="AM9" i="2" s="1"/>
  <c r="D8" i="2"/>
  <c r="L8" i="2"/>
  <c r="T8" i="2"/>
  <c r="AB8" i="2"/>
  <c r="AJ8" i="2"/>
  <c r="AR8" i="2"/>
  <c r="AR9" i="2" s="1"/>
  <c r="G7" i="5"/>
  <c r="G55" i="5" s="1"/>
  <c r="S7" i="5"/>
  <c r="AI7" i="5"/>
  <c r="C8" i="5"/>
  <c r="K8" i="5"/>
  <c r="S8" i="5"/>
  <c r="AA8" i="5"/>
  <c r="AA9" i="5" s="1"/>
  <c r="AI8" i="5"/>
  <c r="AR8" i="5"/>
  <c r="AK7" i="2"/>
  <c r="AK9" i="2" s="1"/>
  <c r="AS7" i="2"/>
  <c r="AS9" i="2" s="1"/>
  <c r="K7" i="5"/>
  <c r="W7" i="5"/>
  <c r="AG7" i="5"/>
  <c r="AQ7" i="5"/>
  <c r="AL7" i="2"/>
  <c r="AT7" i="2"/>
  <c r="N7" i="5"/>
  <c r="X7" i="5"/>
  <c r="X9" i="5" s="1"/>
  <c r="AH7" i="5"/>
  <c r="AT7" i="5"/>
  <c r="D7" i="5"/>
  <c r="L7" i="5"/>
  <c r="L9" i="5" s="1"/>
  <c r="T7" i="5"/>
  <c r="AB7" i="5"/>
  <c r="AJ7" i="5"/>
  <c r="AJ9" i="5" s="1"/>
  <c r="AR7" i="5"/>
  <c r="E7" i="5"/>
  <c r="M7" i="5"/>
  <c r="U7" i="5"/>
  <c r="AC7" i="5"/>
  <c r="AK7" i="5"/>
  <c r="B26" i="5"/>
  <c r="O9" i="5"/>
  <c r="AM9" i="5"/>
  <c r="G26" i="5"/>
  <c r="H26" i="5"/>
  <c r="P26" i="5"/>
  <c r="AR138" i="5"/>
  <c r="AI26" i="5"/>
  <c r="H9" i="5"/>
  <c r="P9" i="5"/>
  <c r="AF9" i="5"/>
  <c r="AN9" i="5"/>
  <c r="AH26" i="5"/>
  <c r="AJ26" i="5"/>
  <c r="C26" i="5"/>
  <c r="AM26" i="5"/>
  <c r="AD138" i="5"/>
  <c r="AH138" i="5"/>
  <c r="L77" i="5"/>
  <c r="L115" i="5" s="1"/>
  <c r="L117" i="5" s="1"/>
  <c r="T77" i="5"/>
  <c r="T115" i="5" s="1"/>
  <c r="T123" i="5" s="1"/>
  <c r="AP9" i="5"/>
  <c r="D26" i="5"/>
  <c r="AF138" i="5"/>
  <c r="AC77" i="5"/>
  <c r="M98" i="5"/>
  <c r="Q26" i="5"/>
  <c r="N98" i="5"/>
  <c r="R26" i="5"/>
  <c r="M77" i="5"/>
  <c r="M115" i="5" s="1"/>
  <c r="M117" i="5" s="1"/>
  <c r="AE77" i="5"/>
  <c r="S26" i="5"/>
  <c r="N77" i="5"/>
  <c r="N115" i="5" s="1"/>
  <c r="N123" i="5" s="1"/>
  <c r="Z26" i="5"/>
  <c r="AP26" i="5"/>
  <c r="K26" i="5"/>
  <c r="AB26" i="5"/>
  <c r="AU26" i="5"/>
  <c r="E77" i="5"/>
  <c r="E115" i="5" s="1"/>
  <c r="V77" i="5"/>
  <c r="V115" i="5" s="1"/>
  <c r="AS77" i="5"/>
  <c r="F98" i="5"/>
  <c r="V138" i="5"/>
  <c r="F167" i="5"/>
  <c r="AK77" i="5"/>
  <c r="AL77" i="5"/>
  <c r="AT138" i="5"/>
  <c r="J26" i="5"/>
  <c r="AA26" i="5"/>
  <c r="AQ26" i="5"/>
  <c r="U77" i="5"/>
  <c r="U115" i="5" s="1"/>
  <c r="U117" i="5" s="1"/>
  <c r="E98" i="5"/>
  <c r="AD9" i="5"/>
  <c r="O26" i="5"/>
  <c r="AE26" i="5"/>
  <c r="AV26" i="5"/>
  <c r="F77" i="5"/>
  <c r="F115" i="5" s="1"/>
  <c r="F123" i="5" s="1"/>
  <c r="L98" i="5"/>
  <c r="AB138" i="5"/>
  <c r="F171" i="5"/>
  <c r="G20" i="5"/>
  <c r="F29" i="5"/>
  <c r="U167" i="5"/>
  <c r="U26" i="5"/>
  <c r="AS9" i="5"/>
  <c r="C138" i="5"/>
  <c r="C77" i="5"/>
  <c r="S98" i="5"/>
  <c r="S138" i="5"/>
  <c r="AQ138" i="5"/>
  <c r="AQ77" i="5"/>
  <c r="X167" i="5"/>
  <c r="X26" i="5"/>
  <c r="AF167" i="5"/>
  <c r="AF26" i="5"/>
  <c r="AN167" i="5"/>
  <c r="AN26" i="5"/>
  <c r="E92" i="5"/>
  <c r="G123" i="5"/>
  <c r="Y9" i="5"/>
  <c r="I9" i="5"/>
  <c r="I26" i="5"/>
  <c r="Y26" i="5"/>
  <c r="G138" i="5"/>
  <c r="G98" i="5"/>
  <c r="O138" i="5"/>
  <c r="O77" i="5"/>
  <c r="O115" i="5" s="1"/>
  <c r="O98" i="5"/>
  <c r="W138" i="5"/>
  <c r="W98" i="5"/>
  <c r="AM138" i="5"/>
  <c r="AM77" i="5"/>
  <c r="AU138" i="5"/>
  <c r="AU77" i="5"/>
  <c r="M167" i="5"/>
  <c r="M26" i="5"/>
  <c r="AC167" i="5"/>
  <c r="AC26" i="5"/>
  <c r="AS167" i="5"/>
  <c r="AS26" i="5"/>
  <c r="F108" i="5"/>
  <c r="E132" i="5"/>
  <c r="K98" i="5"/>
  <c r="K138" i="5"/>
  <c r="K77" i="5"/>
  <c r="K115" i="5" s="1"/>
  <c r="AL9" i="5"/>
  <c r="H68" i="5"/>
  <c r="AI77" i="5"/>
  <c r="H98" i="5"/>
  <c r="H77" i="5"/>
  <c r="H115" i="5" s="1"/>
  <c r="AN138" i="5"/>
  <c r="AN77" i="5"/>
  <c r="C98" i="5"/>
  <c r="W123" i="5"/>
  <c r="E167" i="5"/>
  <c r="E26" i="5"/>
  <c r="AK26" i="5"/>
  <c r="AK167" i="5"/>
  <c r="AA138" i="5"/>
  <c r="AA77" i="5"/>
  <c r="V9" i="5"/>
  <c r="V103" i="5" s="1"/>
  <c r="AG167" i="5"/>
  <c r="AG26" i="5"/>
  <c r="S77" i="5"/>
  <c r="S115" i="5" s="1"/>
  <c r="AO26" i="5"/>
  <c r="P98" i="5"/>
  <c r="P77" i="5"/>
  <c r="P115" i="5" s="1"/>
  <c r="P138" i="5"/>
  <c r="X138" i="5"/>
  <c r="X77" i="5"/>
  <c r="AV138" i="5"/>
  <c r="AV77" i="5"/>
  <c r="AO9" i="5"/>
  <c r="L167" i="5"/>
  <c r="L26" i="5"/>
  <c r="T167" i="5"/>
  <c r="T26" i="5"/>
  <c r="AR167" i="5"/>
  <c r="AR26" i="5"/>
  <c r="I98" i="5"/>
  <c r="I77" i="5"/>
  <c r="Q138" i="5"/>
  <c r="Q77" i="5"/>
  <c r="Y138" i="5"/>
  <c r="Y77" i="5"/>
  <c r="AG77" i="5"/>
  <c r="AG138" i="5"/>
  <c r="AO77" i="5"/>
  <c r="AO138" i="5"/>
  <c r="E161" i="5"/>
  <c r="B98" i="5"/>
  <c r="B138" i="5"/>
  <c r="B77" i="5"/>
  <c r="B115" i="5" s="1"/>
  <c r="B123" i="5" s="1"/>
  <c r="J98" i="5"/>
  <c r="J77" i="5"/>
  <c r="J115" i="5" s="1"/>
  <c r="R98" i="5"/>
  <c r="R77" i="5"/>
  <c r="R115" i="5" s="1"/>
  <c r="Z138" i="5"/>
  <c r="Z77" i="5"/>
  <c r="AJ77" i="5"/>
  <c r="N167" i="5"/>
  <c r="N26" i="5"/>
  <c r="V167" i="5"/>
  <c r="V26" i="5"/>
  <c r="AD167" i="5"/>
  <c r="AD26" i="5"/>
  <c r="AL167" i="5"/>
  <c r="AL26" i="5"/>
  <c r="AT167" i="5"/>
  <c r="AT26" i="5"/>
  <c r="W26" i="5"/>
  <c r="T138" i="5"/>
  <c r="AP138" i="5"/>
  <c r="D98" i="5"/>
  <c r="D77" i="5"/>
  <c r="D115" i="5" s="1"/>
  <c r="H55" i="5"/>
  <c r="U98" i="5"/>
  <c r="E128" i="2"/>
  <c r="G65" i="2"/>
  <c r="E43" i="1"/>
  <c r="F66" i="1"/>
  <c r="C43" i="1"/>
  <c r="F43" i="1"/>
  <c r="C39" i="1"/>
  <c r="C42" i="1" s="1"/>
  <c r="G43" i="1"/>
  <c r="H43" i="1"/>
  <c r="C57" i="1"/>
  <c r="D43" i="1"/>
  <c r="C38" i="1"/>
  <c r="H72" i="1"/>
  <c r="H77" i="1" s="1"/>
  <c r="F72" i="1"/>
  <c r="F77" i="1" s="1"/>
  <c r="G72" i="1"/>
  <c r="G77" i="1" s="1"/>
  <c r="I9" i="2"/>
  <c r="AG9" i="2"/>
  <c r="AO9" i="2"/>
  <c r="AH9" i="2"/>
  <c r="C9" i="2"/>
  <c r="Z9" i="2"/>
  <c r="F9" i="2"/>
  <c r="N9" i="2"/>
  <c r="V9" i="2"/>
  <c r="V99" i="2" s="1"/>
  <c r="AD9" i="2"/>
  <c r="G9" i="2"/>
  <c r="O9" i="2"/>
  <c r="W9" i="2"/>
  <c r="W99" i="2" s="1"/>
  <c r="AE9" i="2"/>
  <c r="H9" i="2"/>
  <c r="X9" i="2"/>
  <c r="AN9" i="2"/>
  <c r="Q9" i="2"/>
  <c r="Y9" i="2"/>
  <c r="R9" i="2"/>
  <c r="P9" i="2"/>
  <c r="AF9" i="2"/>
  <c r="J9" i="2"/>
  <c r="AP9" i="2"/>
  <c r="G61" i="1"/>
  <c r="F61" i="1"/>
  <c r="F67" i="1" s="1"/>
  <c r="H61" i="1"/>
  <c r="I29" i="1"/>
  <c r="F99" i="2" l="1"/>
  <c r="AR9" i="5"/>
  <c r="S9" i="2"/>
  <c r="C53" i="5"/>
  <c r="G9" i="5"/>
  <c r="G143" i="5"/>
  <c r="C151" i="5"/>
  <c r="C153" i="5"/>
  <c r="N9" i="5"/>
  <c r="AI9" i="5"/>
  <c r="G125" i="5"/>
  <c r="S9" i="5"/>
  <c r="AI9" i="2"/>
  <c r="AA9" i="2"/>
  <c r="E9" i="5"/>
  <c r="D9" i="2"/>
  <c r="E53" i="5"/>
  <c r="T9" i="2"/>
  <c r="E9" i="2"/>
  <c r="C9" i="5"/>
  <c r="AH9" i="5"/>
  <c r="U9" i="2"/>
  <c r="M9" i="2"/>
  <c r="R9" i="5"/>
  <c r="D9" i="5"/>
  <c r="K9" i="5"/>
  <c r="F125" i="5"/>
  <c r="F9" i="5"/>
  <c r="U9" i="5"/>
  <c r="AB9" i="2"/>
  <c r="K9" i="2"/>
  <c r="L9" i="2"/>
  <c r="C55" i="5"/>
  <c r="Q9" i="5"/>
  <c r="AJ9" i="2"/>
  <c r="D53" i="5"/>
  <c r="F55" i="5"/>
  <c r="AU9" i="5"/>
  <c r="AU87" i="5" s="1"/>
  <c r="W9" i="5"/>
  <c r="AT9" i="2"/>
  <c r="T9" i="5"/>
  <c r="AG9" i="5"/>
  <c r="AL9" i="2"/>
  <c r="AC9" i="5"/>
  <c r="AK9" i="5"/>
  <c r="AQ9" i="5"/>
  <c r="AT9" i="5"/>
  <c r="D55" i="5"/>
  <c r="D125" i="5"/>
  <c r="E55" i="5"/>
  <c r="E125" i="5"/>
  <c r="AB9" i="5"/>
  <c r="M9" i="5"/>
  <c r="F53" i="5"/>
  <c r="U123" i="5"/>
  <c r="T117" i="5"/>
  <c r="L123" i="5"/>
  <c r="AV87" i="5"/>
  <c r="F117" i="5"/>
  <c r="V123" i="5"/>
  <c r="V117" i="5"/>
  <c r="E117" i="5"/>
  <c r="E123" i="5"/>
  <c r="N117" i="5"/>
  <c r="M123" i="5"/>
  <c r="J117" i="5"/>
  <c r="J123" i="5"/>
  <c r="F161" i="5"/>
  <c r="V37" i="5"/>
  <c r="F170" i="5"/>
  <c r="G15" i="5"/>
  <c r="F27" i="5"/>
  <c r="I115" i="5"/>
  <c r="H123" i="5"/>
  <c r="H117" i="5"/>
  <c r="K123" i="5"/>
  <c r="K117" i="5"/>
  <c r="R117" i="5"/>
  <c r="R123" i="5"/>
  <c r="AR22" i="5"/>
  <c r="AR29" i="5" s="1"/>
  <c r="AJ22" i="5"/>
  <c r="AJ29" i="5" s="1"/>
  <c r="AB22" i="5"/>
  <c r="AB29" i="5" s="1"/>
  <c r="T22" i="5"/>
  <c r="T29" i="5" s="1"/>
  <c r="L22" i="5"/>
  <c r="L29" i="5" s="1"/>
  <c r="AQ22" i="5"/>
  <c r="AQ29" i="5" s="1"/>
  <c r="AI22" i="5"/>
  <c r="AI29" i="5" s="1"/>
  <c r="AA22" i="5"/>
  <c r="AA29" i="5" s="1"/>
  <c r="S22" i="5"/>
  <c r="S29" i="5" s="1"/>
  <c r="K22" i="5"/>
  <c r="K29" i="5" s="1"/>
  <c r="AT22" i="5"/>
  <c r="AT29" i="5" s="1"/>
  <c r="AH22" i="5"/>
  <c r="AH29" i="5" s="1"/>
  <c r="X22" i="5"/>
  <c r="X29" i="5" s="1"/>
  <c r="N22" i="5"/>
  <c r="N29" i="5" s="1"/>
  <c r="AS22" i="5"/>
  <c r="AS29" i="5" s="1"/>
  <c r="AG22" i="5"/>
  <c r="AG29" i="5" s="1"/>
  <c r="W22" i="5"/>
  <c r="W29" i="5" s="1"/>
  <c r="M22" i="5"/>
  <c r="M29" i="5" s="1"/>
  <c r="AP22" i="5"/>
  <c r="AP29" i="5" s="1"/>
  <c r="AF22" i="5"/>
  <c r="AF29" i="5" s="1"/>
  <c r="V22" i="5"/>
  <c r="V29" i="5" s="1"/>
  <c r="J22" i="5"/>
  <c r="J29" i="5" s="1"/>
  <c r="AK22" i="5"/>
  <c r="AK29" i="5" s="1"/>
  <c r="Q22" i="5"/>
  <c r="Q29" i="5" s="1"/>
  <c r="AE22" i="5"/>
  <c r="AE29" i="5" s="1"/>
  <c r="P22" i="5"/>
  <c r="P29" i="5" s="1"/>
  <c r="AC22" i="5"/>
  <c r="AC29" i="5" s="1"/>
  <c r="Y22" i="5"/>
  <c r="Y29" i="5" s="1"/>
  <c r="AM22" i="5"/>
  <c r="AM29" i="5" s="1"/>
  <c r="I22" i="5"/>
  <c r="I29" i="5" s="1"/>
  <c r="AN22" i="5"/>
  <c r="AN29" i="5" s="1"/>
  <c r="G22" i="5"/>
  <c r="G29" i="5" s="1"/>
  <c r="AL22" i="5"/>
  <c r="AL29" i="5" s="1"/>
  <c r="AD22" i="5"/>
  <c r="AD29" i="5" s="1"/>
  <c r="O22" i="5"/>
  <c r="O29" i="5" s="1"/>
  <c r="G21" i="5"/>
  <c r="AO22" i="5"/>
  <c r="AO29" i="5" s="1"/>
  <c r="Z22" i="5"/>
  <c r="Z29" i="5" s="1"/>
  <c r="H22" i="5"/>
  <c r="H29" i="5" s="1"/>
  <c r="U22" i="5"/>
  <c r="U29" i="5" s="1"/>
  <c r="R22" i="5"/>
  <c r="R29" i="5" s="1"/>
  <c r="S123" i="5"/>
  <c r="S117" i="5"/>
  <c r="C115" i="5"/>
  <c r="F92" i="5"/>
  <c r="F30" i="5"/>
  <c r="Q115" i="5"/>
  <c r="O117" i="5"/>
  <c r="O123" i="5"/>
  <c r="D117" i="5"/>
  <c r="D123" i="5"/>
  <c r="P117" i="5"/>
  <c r="P123" i="5"/>
  <c r="F132" i="5"/>
  <c r="F128" i="2"/>
  <c r="AV123" i="2"/>
  <c r="H65" i="2"/>
  <c r="AU123" i="2"/>
  <c r="C44" i="1"/>
  <c r="C51" i="5" s="1"/>
  <c r="F68" i="1"/>
  <c r="C115" i="1"/>
  <c r="E115" i="1" s="1"/>
  <c r="C112" i="1"/>
  <c r="D112" i="1" s="1"/>
  <c r="AV42" i="2"/>
  <c r="AU42" i="2"/>
  <c r="AT42" i="2"/>
  <c r="AS42" i="2"/>
  <c r="AR42" i="2"/>
  <c r="AQ42" i="2"/>
  <c r="AP42" i="2"/>
  <c r="AO42" i="2"/>
  <c r="AN42" i="2"/>
  <c r="AM42" i="2"/>
  <c r="AL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F42" i="2"/>
  <c r="E42" i="2"/>
  <c r="D42" i="2"/>
  <c r="C42" i="2"/>
  <c r="B42" i="2"/>
  <c r="AV13" i="2"/>
  <c r="AU13" i="2"/>
  <c r="AT13" i="2"/>
  <c r="AS13" i="2"/>
  <c r="AR13" i="2"/>
  <c r="AQ13" i="2"/>
  <c r="AP13" i="2"/>
  <c r="AO13" i="2"/>
  <c r="AN13" i="2"/>
  <c r="AM13" i="2"/>
  <c r="AL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F13" i="2"/>
  <c r="E13" i="2"/>
  <c r="D13" i="2"/>
  <c r="C13" i="2"/>
  <c r="B13"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34" i="2"/>
  <c r="F29" i="2"/>
  <c r="I227" i="1"/>
  <c r="I228" i="1" s="1"/>
  <c r="I229" i="1" s="1"/>
  <c r="H181" i="1"/>
  <c r="H182" i="1" s="1"/>
  <c r="H183" i="1" s="1"/>
  <c r="H143" i="5" s="1"/>
  <c r="I181" i="1"/>
  <c r="I182" i="1" s="1"/>
  <c r="F190" i="1"/>
  <c r="G190" i="1" s="1"/>
  <c r="H190" i="1" s="1"/>
  <c r="F189" i="1"/>
  <c r="G189" i="1" s="1"/>
  <c r="F188" i="1"/>
  <c r="G188" i="1" s="1"/>
  <c r="H188" i="1" s="1"/>
  <c r="D136" i="1"/>
  <c r="D139" i="1" s="1"/>
  <c r="D135" i="1"/>
  <c r="D138" i="1" s="1"/>
  <c r="C148" i="1"/>
  <c r="C156" i="1" s="1"/>
  <c r="E197" i="1" s="1"/>
  <c r="E205" i="1" s="1"/>
  <c r="C214" i="1" s="1"/>
  <c r="C147" i="1"/>
  <c r="C155" i="1" s="1"/>
  <c r="E196" i="1" s="1"/>
  <c r="E204" i="1" s="1"/>
  <c r="C213" i="1" s="1"/>
  <c r="C146" i="1"/>
  <c r="C123" i="1"/>
  <c r="G123" i="1" s="1"/>
  <c r="G122" i="1"/>
  <c r="E18" i="1"/>
  <c r="C108" i="1"/>
  <c r="C100" i="1"/>
  <c r="C99" i="1"/>
  <c r="C101" i="1"/>
  <c r="E101" i="1" s="1"/>
  <c r="I11" i="1"/>
  <c r="I85" i="1"/>
  <c r="I83" i="1"/>
  <c r="I82" i="1"/>
  <c r="I22" i="1"/>
  <c r="I23" i="1"/>
  <c r="I41" i="1"/>
  <c r="I40" i="1"/>
  <c r="G101" i="1"/>
  <c r="E48" i="1"/>
  <c r="B100" i="1"/>
  <c r="B99" i="1"/>
  <c r="B101" i="1"/>
  <c r="B102" i="1"/>
  <c r="G96" i="1"/>
  <c r="G97" i="1"/>
  <c r="G94" i="1"/>
  <c r="F56" i="1"/>
  <c r="F153" i="5" s="1"/>
  <c r="C56" i="1"/>
  <c r="H49" i="1"/>
  <c r="G49" i="1"/>
  <c r="F49" i="1"/>
  <c r="E49" i="1"/>
  <c r="D49" i="1"/>
  <c r="G48" i="1"/>
  <c r="F48" i="1"/>
  <c r="H23" i="1"/>
  <c r="G23" i="1"/>
  <c r="F23" i="1"/>
  <c r="E23" i="1"/>
  <c r="D23" i="1"/>
  <c r="C23" i="1"/>
  <c r="C24" i="1" s="1"/>
  <c r="H22" i="1"/>
  <c r="G22" i="1"/>
  <c r="F22" i="1"/>
  <c r="E22" i="1"/>
  <c r="D110" i="1"/>
  <c r="E166" i="2"/>
  <c r="D166" i="2"/>
  <c r="C166" i="2"/>
  <c r="E165" i="2"/>
  <c r="D165" i="2"/>
  <c r="C165" i="2"/>
  <c r="B163" i="2"/>
  <c r="I37" i="1"/>
  <c r="I30" i="1"/>
  <c r="C156" i="5" l="1"/>
  <c r="C157" i="5" s="1"/>
  <c r="C154" i="1"/>
  <c r="E195" i="1" s="1"/>
  <c r="E203" i="1" s="1"/>
  <c r="C212" i="1" s="1"/>
  <c r="F146" i="1"/>
  <c r="C113" i="1"/>
  <c r="G113" i="1" s="1"/>
  <c r="D108" i="1"/>
  <c r="E108" i="1"/>
  <c r="C158" i="5"/>
  <c r="W103" i="5"/>
  <c r="F103" i="5"/>
  <c r="AU127" i="5"/>
  <c r="C60" i="5"/>
  <c r="C61" i="5" s="1"/>
  <c r="C63" i="5" s="1"/>
  <c r="W37" i="5"/>
  <c r="F127" i="5"/>
  <c r="G23" i="5"/>
  <c r="H20" i="5" s="1"/>
  <c r="C123" i="5"/>
  <c r="C117" i="5"/>
  <c r="AC127" i="5"/>
  <c r="AC31" i="5"/>
  <c r="AC87" i="5" s="1"/>
  <c r="AC30" i="5"/>
  <c r="AB127" i="5"/>
  <c r="AB30" i="5"/>
  <c r="AB31" i="5"/>
  <c r="AB87" i="5" s="1"/>
  <c r="P127" i="5"/>
  <c r="P30" i="5"/>
  <c r="I123" i="5"/>
  <c r="I117" i="5"/>
  <c r="F28" i="5"/>
  <c r="F31" i="5"/>
  <c r="F87" i="5" s="1"/>
  <c r="U127" i="5"/>
  <c r="U30" i="5"/>
  <c r="AL127" i="5"/>
  <c r="AL31" i="5"/>
  <c r="AL87" i="5" s="1"/>
  <c r="AL30" i="5"/>
  <c r="AE31" i="5"/>
  <c r="AE87" i="5" s="1"/>
  <c r="AE127" i="5"/>
  <c r="AE30" i="5"/>
  <c r="W127" i="5"/>
  <c r="W31" i="5"/>
  <c r="W87" i="5" s="1"/>
  <c r="W30" i="5"/>
  <c r="S127" i="5"/>
  <c r="S30" i="5"/>
  <c r="AR30" i="5"/>
  <c r="AR127" i="5"/>
  <c r="AR31" i="5"/>
  <c r="AR87" i="5" s="1"/>
  <c r="S17" i="5"/>
  <c r="S103" i="5" s="1"/>
  <c r="K17" i="5"/>
  <c r="K103" i="5" s="1"/>
  <c r="R17" i="5"/>
  <c r="R103" i="5" s="1"/>
  <c r="J17" i="5"/>
  <c r="J103" i="5" s="1"/>
  <c r="Q17" i="5"/>
  <c r="Q103" i="5" s="1"/>
  <c r="G17" i="5"/>
  <c r="G103" i="5" s="1"/>
  <c r="P17" i="5"/>
  <c r="P103" i="5" s="1"/>
  <c r="L17" i="5"/>
  <c r="L103" i="5" s="1"/>
  <c r="I17" i="5"/>
  <c r="I103" i="5" s="1"/>
  <c r="N17" i="5"/>
  <c r="N103" i="5" s="1"/>
  <c r="M17" i="5"/>
  <c r="M103" i="5" s="1"/>
  <c r="U17" i="5"/>
  <c r="U103" i="5" s="1"/>
  <c r="O17" i="5"/>
  <c r="O103" i="5" s="1"/>
  <c r="H17" i="5"/>
  <c r="H103" i="5" s="1"/>
  <c r="G16" i="5"/>
  <c r="G37" i="5" s="1"/>
  <c r="T17" i="5"/>
  <c r="T103" i="5" s="1"/>
  <c r="Y127" i="5"/>
  <c r="Y31" i="5"/>
  <c r="Y87" i="5" s="1"/>
  <c r="Y30" i="5"/>
  <c r="T30" i="5"/>
  <c r="T127" i="5"/>
  <c r="AT30" i="5"/>
  <c r="AT31" i="5"/>
  <c r="AT87" i="5" s="1"/>
  <c r="AT127" i="5"/>
  <c r="R127" i="5"/>
  <c r="R30" i="5"/>
  <c r="K127" i="5"/>
  <c r="K30" i="5"/>
  <c r="H127" i="5"/>
  <c r="H30" i="5"/>
  <c r="AA127" i="5"/>
  <c r="AA31" i="5"/>
  <c r="AA87" i="5" s="1"/>
  <c r="AA30" i="5"/>
  <c r="Z30" i="5"/>
  <c r="Z127" i="5"/>
  <c r="Z31" i="5"/>
  <c r="Z87" i="5" s="1"/>
  <c r="AN31" i="5"/>
  <c r="AN87" i="5" s="1"/>
  <c r="AN30" i="5"/>
  <c r="AN127" i="5"/>
  <c r="AK127" i="5"/>
  <c r="AK31" i="5"/>
  <c r="AK87" i="5" s="1"/>
  <c r="AK30" i="5"/>
  <c r="AS127" i="5"/>
  <c r="AS31" i="5"/>
  <c r="AS87" i="5" s="1"/>
  <c r="AS30" i="5"/>
  <c r="AI127" i="5"/>
  <c r="AI30" i="5"/>
  <c r="AI31" i="5"/>
  <c r="AI87" i="5" s="1"/>
  <c r="AF31" i="5"/>
  <c r="AF87" i="5" s="1"/>
  <c r="AF30" i="5"/>
  <c r="AF127" i="5"/>
  <c r="M30" i="5"/>
  <c r="M127" i="5"/>
  <c r="Q127" i="5"/>
  <c r="Q30" i="5"/>
  <c r="AO127" i="5"/>
  <c r="AO31" i="5"/>
  <c r="AO87" i="5" s="1"/>
  <c r="AO30" i="5"/>
  <c r="I127" i="5"/>
  <c r="I30" i="5"/>
  <c r="J30" i="5"/>
  <c r="J127" i="5"/>
  <c r="N30" i="5"/>
  <c r="N127" i="5"/>
  <c r="AQ127" i="5"/>
  <c r="AQ31" i="5"/>
  <c r="AQ87" i="5" s="1"/>
  <c r="AQ30" i="5"/>
  <c r="O127" i="5"/>
  <c r="O30" i="5"/>
  <c r="AH30" i="5"/>
  <c r="AH31" i="5"/>
  <c r="AH87" i="5" s="1"/>
  <c r="AH127" i="5"/>
  <c r="AD127" i="5"/>
  <c r="AD30" i="5"/>
  <c r="AD31" i="5"/>
  <c r="AD87" i="5" s="1"/>
  <c r="AP30" i="5"/>
  <c r="AP127" i="5"/>
  <c r="AP31" i="5"/>
  <c r="AP87" i="5" s="1"/>
  <c r="AJ30" i="5"/>
  <c r="AJ31" i="5"/>
  <c r="AJ87" i="5" s="1"/>
  <c r="AJ127" i="5"/>
  <c r="G127" i="5"/>
  <c r="G30" i="5"/>
  <c r="AG127" i="5"/>
  <c r="AG31" i="5"/>
  <c r="AG87" i="5" s="1"/>
  <c r="AG30" i="5"/>
  <c r="Q123" i="5"/>
  <c r="Q117" i="5"/>
  <c r="AM127" i="5"/>
  <c r="AM30" i="5"/>
  <c r="AM31" i="5"/>
  <c r="AM87" i="5" s="1"/>
  <c r="V30" i="5"/>
  <c r="V127" i="5"/>
  <c r="V31" i="5"/>
  <c r="V87" i="5" s="1"/>
  <c r="X31" i="5"/>
  <c r="X87" i="5" s="1"/>
  <c r="X30" i="5"/>
  <c r="X127" i="5"/>
  <c r="L127" i="5"/>
  <c r="L30" i="5"/>
  <c r="F30" i="2"/>
  <c r="F123" i="2"/>
  <c r="C45" i="1"/>
  <c r="D107" i="1" s="1"/>
  <c r="D115" i="1"/>
  <c r="F161" i="2"/>
  <c r="H161" i="2"/>
  <c r="F113" i="1"/>
  <c r="F115" i="1"/>
  <c r="F108" i="1"/>
  <c r="G115" i="1"/>
  <c r="H115" i="1"/>
  <c r="I115" i="1"/>
  <c r="I113" i="1"/>
  <c r="F70" i="1"/>
  <c r="F69" i="1"/>
  <c r="G108" i="1" s="1"/>
  <c r="AJ26" i="2"/>
  <c r="AJ162" i="2"/>
  <c r="K26" i="2"/>
  <c r="K162" i="2"/>
  <c r="AA26" i="2"/>
  <c r="AA162" i="2"/>
  <c r="M26" i="2"/>
  <c r="M162" i="2"/>
  <c r="AC26" i="2"/>
  <c r="AC162" i="2"/>
  <c r="AS26" i="2"/>
  <c r="AS162" i="2"/>
  <c r="N26" i="2"/>
  <c r="N162" i="2"/>
  <c r="V26" i="2"/>
  <c r="V162" i="2"/>
  <c r="AL26" i="2"/>
  <c r="AL162" i="2"/>
  <c r="G26" i="2"/>
  <c r="G162" i="2"/>
  <c r="W26" i="2"/>
  <c r="W162" i="2"/>
  <c r="AM26" i="2"/>
  <c r="AM162" i="2"/>
  <c r="H26" i="2"/>
  <c r="H162" i="2"/>
  <c r="P26" i="2"/>
  <c r="P162" i="2"/>
  <c r="X26" i="2"/>
  <c r="X162" i="2"/>
  <c r="AF26" i="2"/>
  <c r="AF162" i="2"/>
  <c r="AN26" i="2"/>
  <c r="AN162" i="2"/>
  <c r="AV26" i="2"/>
  <c r="AV162" i="2"/>
  <c r="C26" i="2"/>
  <c r="C162" i="2"/>
  <c r="S26" i="2"/>
  <c r="S162" i="2"/>
  <c r="AQ26" i="2"/>
  <c r="AQ162" i="2"/>
  <c r="D26" i="2"/>
  <c r="D162" i="2"/>
  <c r="L26" i="2"/>
  <c r="L162" i="2"/>
  <c r="AB26" i="2"/>
  <c r="AB162" i="2"/>
  <c r="AR26" i="2"/>
  <c r="AR162" i="2"/>
  <c r="E26" i="2"/>
  <c r="E162" i="2"/>
  <c r="U26" i="2"/>
  <c r="U162" i="2"/>
  <c r="AK26" i="2"/>
  <c r="AK162" i="2"/>
  <c r="F26" i="2"/>
  <c r="F162" i="2"/>
  <c r="AD26" i="2"/>
  <c r="AD162" i="2"/>
  <c r="AT26" i="2"/>
  <c r="AT162" i="2"/>
  <c r="O26" i="2"/>
  <c r="O162" i="2"/>
  <c r="AE26" i="2"/>
  <c r="AE162" i="2"/>
  <c r="AU26" i="2"/>
  <c r="AU162" i="2"/>
  <c r="I26" i="2"/>
  <c r="I162" i="2"/>
  <c r="Q26" i="2"/>
  <c r="Q162" i="2"/>
  <c r="Y26" i="2"/>
  <c r="Y162" i="2"/>
  <c r="AG26" i="2"/>
  <c r="AG162" i="2"/>
  <c r="AO26" i="2"/>
  <c r="AO162" i="2"/>
  <c r="AI26" i="2"/>
  <c r="AI162" i="2"/>
  <c r="T26" i="2"/>
  <c r="T162" i="2"/>
  <c r="B26" i="2"/>
  <c r="B162" i="2"/>
  <c r="J26" i="2"/>
  <c r="J162" i="2"/>
  <c r="R26" i="2"/>
  <c r="R162" i="2"/>
  <c r="Z26" i="2"/>
  <c r="Z162" i="2"/>
  <c r="AH26" i="2"/>
  <c r="AH162" i="2"/>
  <c r="AP26" i="2"/>
  <c r="AP162" i="2"/>
  <c r="G110" i="1"/>
  <c r="E100" i="1"/>
  <c r="F100" i="1" s="1"/>
  <c r="I100" i="1" s="1"/>
  <c r="E99" i="1"/>
  <c r="F99" i="1" s="1"/>
  <c r="G102" i="1"/>
  <c r="M134" i="2"/>
  <c r="U74" i="2"/>
  <c r="U111" i="2" s="1"/>
  <c r="F27" i="2"/>
  <c r="G20" i="2"/>
  <c r="H74" i="2"/>
  <c r="H111" i="2" s="1"/>
  <c r="I134" i="2"/>
  <c r="AG74" i="2"/>
  <c r="AO74" i="2"/>
  <c r="T95" i="2"/>
  <c r="X74" i="2"/>
  <c r="V95" i="2"/>
  <c r="AN134" i="2"/>
  <c r="H205" i="1"/>
  <c r="D212" i="1"/>
  <c r="D214" i="1"/>
  <c r="H203" i="1"/>
  <c r="H197" i="1"/>
  <c r="H195" i="1"/>
  <c r="I183" i="1"/>
  <c r="G121" i="1"/>
  <c r="I121" i="1" s="1"/>
  <c r="F121" i="1"/>
  <c r="I122" i="1"/>
  <c r="H122" i="1"/>
  <c r="I123" i="1"/>
  <c r="I156" i="1" s="1"/>
  <c r="H123" i="1"/>
  <c r="I24" i="1"/>
  <c r="H38" i="1"/>
  <c r="H39" i="1"/>
  <c r="H42" i="1" s="1"/>
  <c r="H48" i="1"/>
  <c r="D48" i="1"/>
  <c r="E57" i="1"/>
  <c r="F57" i="1"/>
  <c r="F151" i="5" s="1"/>
  <c r="F156" i="5" s="1"/>
  <c r="F157" i="5" s="1"/>
  <c r="F158" i="5" s="1"/>
  <c r="G57" i="1"/>
  <c r="G38" i="1"/>
  <c r="I36" i="1"/>
  <c r="F38" i="1"/>
  <c r="I35" i="1"/>
  <c r="G39" i="1"/>
  <c r="G42" i="1" s="1"/>
  <c r="D39" i="1"/>
  <c r="D42" i="1" s="1"/>
  <c r="E39" i="1"/>
  <c r="E42" i="1" s="1"/>
  <c r="I33" i="1"/>
  <c r="F39" i="1"/>
  <c r="F42" i="1" s="1"/>
  <c r="E38" i="1"/>
  <c r="I32" i="1"/>
  <c r="D38" i="1"/>
  <c r="G24" i="1"/>
  <c r="F24" i="1"/>
  <c r="H24" i="1"/>
  <c r="D24" i="1"/>
  <c r="E24" i="1"/>
  <c r="I190" i="1"/>
  <c r="J134" i="2"/>
  <c r="J74" i="2"/>
  <c r="J111" i="2" s="1"/>
  <c r="J95" i="2"/>
  <c r="AH134" i="2"/>
  <c r="AH74" i="2"/>
  <c r="AQ74" i="2"/>
  <c r="AQ134" i="2"/>
  <c r="B134" i="2"/>
  <c r="B74" i="2"/>
  <c r="B111" i="2" s="1"/>
  <c r="B119" i="2" s="1"/>
  <c r="B95" i="2"/>
  <c r="S95" i="2"/>
  <c r="S134" i="2"/>
  <c r="S74" i="2"/>
  <c r="S111" i="2" s="1"/>
  <c r="Y74" i="2"/>
  <c r="Y134" i="2"/>
  <c r="O95" i="2"/>
  <c r="I188" i="1"/>
  <c r="F166" i="2"/>
  <c r="U95" i="2"/>
  <c r="U134" i="2"/>
  <c r="I189" i="1"/>
  <c r="E213" i="1" s="1"/>
  <c r="I213" i="1" s="1"/>
  <c r="H221" i="1" s="1"/>
  <c r="H189" i="1"/>
  <c r="D213" i="1" s="1"/>
  <c r="O74" i="2"/>
  <c r="O111" i="2" s="1"/>
  <c r="AF74" i="2"/>
  <c r="M95" i="2"/>
  <c r="M74" i="2"/>
  <c r="M111" i="2" s="1"/>
  <c r="W134" i="2"/>
  <c r="W74" i="2"/>
  <c r="W111" i="2" s="1"/>
  <c r="J143" i="5" l="1"/>
  <c r="O143" i="5"/>
  <c r="P143" i="5"/>
  <c r="I143" i="5"/>
  <c r="V143" i="5"/>
  <c r="S143" i="5"/>
  <c r="Q143" i="5"/>
  <c r="M143" i="5"/>
  <c r="N143" i="5"/>
  <c r="K143" i="5"/>
  <c r="R143" i="5"/>
  <c r="W143" i="5"/>
  <c r="T143" i="5"/>
  <c r="U143" i="5"/>
  <c r="L143" i="5"/>
  <c r="F112" i="1"/>
  <c r="F114" i="1" s="1"/>
  <c r="E151" i="5"/>
  <c r="E156" i="5" s="1"/>
  <c r="E157" i="5" s="1"/>
  <c r="E158" i="5" s="1"/>
  <c r="E113" i="1"/>
  <c r="D113" i="1"/>
  <c r="D114" i="1" s="1"/>
  <c r="H112" i="1"/>
  <c r="G151" i="5"/>
  <c r="H113" i="1"/>
  <c r="W147" i="5" s="1"/>
  <c r="C64" i="5"/>
  <c r="AV48" i="5"/>
  <c r="G171" i="5"/>
  <c r="G18" i="5"/>
  <c r="H15" i="5" s="1"/>
  <c r="J27" i="5"/>
  <c r="N27" i="5"/>
  <c r="R27" i="5"/>
  <c r="I27" i="5"/>
  <c r="K27" i="5"/>
  <c r="U27" i="5"/>
  <c r="C65" i="5"/>
  <c r="C124" i="5"/>
  <c r="C128" i="5" s="1"/>
  <c r="C129" i="5" s="1"/>
  <c r="C86" i="5"/>
  <c r="L27" i="5"/>
  <c r="T27" i="5"/>
  <c r="H27" i="5"/>
  <c r="P27" i="5"/>
  <c r="H21" i="5"/>
  <c r="H23" i="5" s="1"/>
  <c r="Q27" i="5"/>
  <c r="M27" i="5"/>
  <c r="S27" i="5"/>
  <c r="O27" i="5"/>
  <c r="G27" i="5"/>
  <c r="F28" i="2"/>
  <c r="F31" i="2"/>
  <c r="O134" i="2"/>
  <c r="AF134" i="2"/>
  <c r="W95" i="2"/>
  <c r="W113" i="2"/>
  <c r="W119" i="2"/>
  <c r="M113" i="2"/>
  <c r="M119" i="2"/>
  <c r="J113" i="2"/>
  <c r="J119" i="2"/>
  <c r="U113" i="2"/>
  <c r="U119" i="2"/>
  <c r="H113" i="2"/>
  <c r="H119" i="2"/>
  <c r="O113" i="2"/>
  <c r="O119" i="2"/>
  <c r="S113" i="2"/>
  <c r="S119" i="2"/>
  <c r="E150" i="2"/>
  <c r="E151" i="2" s="1"/>
  <c r="G112" i="1"/>
  <c r="F98" i="1"/>
  <c r="I99" i="1"/>
  <c r="I98" i="1" s="1"/>
  <c r="G99" i="1"/>
  <c r="G100" i="1"/>
  <c r="AP22" i="2"/>
  <c r="AP29" i="2" s="1"/>
  <c r="AH22" i="2"/>
  <c r="AH29" i="2" s="1"/>
  <c r="Z22" i="2"/>
  <c r="Z29" i="2" s="1"/>
  <c r="R22" i="2"/>
  <c r="R29" i="2" s="1"/>
  <c r="J22" i="2"/>
  <c r="J29" i="2" s="1"/>
  <c r="AO22" i="2"/>
  <c r="AO29" i="2" s="1"/>
  <c r="AG22" i="2"/>
  <c r="AG29" i="2" s="1"/>
  <c r="Y22" i="2"/>
  <c r="Y29" i="2" s="1"/>
  <c r="Q22" i="2"/>
  <c r="Q29" i="2" s="1"/>
  <c r="I22" i="2"/>
  <c r="I29" i="2" s="1"/>
  <c r="AN22" i="2"/>
  <c r="AN29" i="2" s="1"/>
  <c r="AF22" i="2"/>
  <c r="AF29" i="2" s="1"/>
  <c r="X22" i="2"/>
  <c r="X29" i="2" s="1"/>
  <c r="P22" i="2"/>
  <c r="P29" i="2" s="1"/>
  <c r="H22" i="2"/>
  <c r="AM22" i="2"/>
  <c r="AM29" i="2" s="1"/>
  <c r="AE22" i="2"/>
  <c r="AE29" i="2" s="1"/>
  <c r="W22" i="2"/>
  <c r="W29" i="2" s="1"/>
  <c r="O22" i="2"/>
  <c r="O29" i="2" s="1"/>
  <c r="G22" i="2"/>
  <c r="G29" i="2" s="1"/>
  <c r="AQ22" i="2"/>
  <c r="AQ29" i="2" s="1"/>
  <c r="AA22" i="2"/>
  <c r="AA29" i="2" s="1"/>
  <c r="K22" i="2"/>
  <c r="K29" i="2" s="1"/>
  <c r="AL22" i="2"/>
  <c r="AL29" i="2" s="1"/>
  <c r="V22" i="2"/>
  <c r="V29" i="2" s="1"/>
  <c r="AK22" i="2"/>
  <c r="AK29" i="2" s="1"/>
  <c r="U22" i="2"/>
  <c r="U29" i="2" s="1"/>
  <c r="AJ22" i="2"/>
  <c r="AJ29" i="2" s="1"/>
  <c r="T22" i="2"/>
  <c r="T29" i="2" s="1"/>
  <c r="AI22" i="2"/>
  <c r="AI29" i="2" s="1"/>
  <c r="S22" i="2"/>
  <c r="S29" i="2" s="1"/>
  <c r="AT22" i="2"/>
  <c r="AT29" i="2" s="1"/>
  <c r="AD22" i="2"/>
  <c r="AD29" i="2" s="1"/>
  <c r="N22" i="2"/>
  <c r="N29" i="2" s="1"/>
  <c r="AS22" i="2"/>
  <c r="AS29" i="2" s="1"/>
  <c r="AC22" i="2"/>
  <c r="AC29" i="2" s="1"/>
  <c r="M22" i="2"/>
  <c r="M29" i="2" s="1"/>
  <c r="AR22" i="2"/>
  <c r="AR29" i="2" s="1"/>
  <c r="AB22" i="2"/>
  <c r="AB29" i="2" s="1"/>
  <c r="L22" i="2"/>
  <c r="L29" i="2" s="1"/>
  <c r="G66" i="1"/>
  <c r="G53" i="5" s="1"/>
  <c r="H66" i="1"/>
  <c r="H53" i="5" s="1"/>
  <c r="D57" i="1"/>
  <c r="D151" i="5" s="1"/>
  <c r="D156" i="5" s="1"/>
  <c r="D157" i="5" s="1"/>
  <c r="D158" i="5" s="1"/>
  <c r="C150" i="2"/>
  <c r="H212" i="1"/>
  <c r="G220" i="1" s="1"/>
  <c r="G212" i="1"/>
  <c r="F220" i="1" s="1"/>
  <c r="F165" i="2"/>
  <c r="F212" i="1"/>
  <c r="E220" i="1" s="1"/>
  <c r="G15" i="2"/>
  <c r="G21" i="2"/>
  <c r="X134" i="2"/>
  <c r="H134" i="2"/>
  <c r="AN74" i="2"/>
  <c r="I74" i="2"/>
  <c r="I111" i="2" s="1"/>
  <c r="T134" i="2"/>
  <c r="T74" i="2"/>
  <c r="T111" i="2" s="1"/>
  <c r="H95" i="2"/>
  <c r="I95" i="2"/>
  <c r="V74" i="2"/>
  <c r="V111" i="2" s="1"/>
  <c r="AG134" i="2"/>
  <c r="AU134" i="2"/>
  <c r="AU74" i="2"/>
  <c r="AO134" i="2"/>
  <c r="V134" i="2"/>
  <c r="AE134" i="2"/>
  <c r="AE74" i="2"/>
  <c r="AS134" i="2"/>
  <c r="AS74" i="2"/>
  <c r="I205" i="1"/>
  <c r="E214" i="1"/>
  <c r="I214" i="1" s="1"/>
  <c r="H222" i="1" s="1"/>
  <c r="F214" i="1"/>
  <c r="E222" i="1" s="1"/>
  <c r="H214" i="1"/>
  <c r="G222" i="1" s="1"/>
  <c r="G214" i="1"/>
  <c r="F222" i="1" s="1"/>
  <c r="H213" i="1"/>
  <c r="F213" i="1"/>
  <c r="E221" i="1" s="1"/>
  <c r="G213" i="1"/>
  <c r="F221" i="1" s="1"/>
  <c r="I203" i="1"/>
  <c r="E212" i="1"/>
  <c r="I212" i="1" s="1"/>
  <c r="H220" i="1" s="1"/>
  <c r="I196" i="1"/>
  <c r="I204" i="1"/>
  <c r="H196" i="1"/>
  <c r="H204" i="1"/>
  <c r="I195" i="1"/>
  <c r="I197" i="1"/>
  <c r="F154" i="1"/>
  <c r="I146" i="1"/>
  <c r="I128" i="1"/>
  <c r="H147" i="1"/>
  <c r="H155" i="1"/>
  <c r="H129" i="1"/>
  <c r="I147" i="1"/>
  <c r="I129" i="1"/>
  <c r="E164" i="1"/>
  <c r="I164" i="1" s="1"/>
  <c r="G173" i="1" s="1"/>
  <c r="G128" i="1"/>
  <c r="G146" i="1"/>
  <c r="G154" i="1"/>
  <c r="I154" i="1"/>
  <c r="D167" i="1"/>
  <c r="F167" i="1" s="1"/>
  <c r="D176" i="1" s="1"/>
  <c r="H130" i="1"/>
  <c r="H156" i="1"/>
  <c r="H148" i="1"/>
  <c r="I148" i="1"/>
  <c r="I130" i="1"/>
  <c r="I155" i="1"/>
  <c r="D166" i="1"/>
  <c r="E166" i="1"/>
  <c r="I166" i="1" s="1"/>
  <c r="G175" i="1" s="1"/>
  <c r="E167" i="1"/>
  <c r="I167" i="1" s="1"/>
  <c r="G176" i="1" s="1"/>
  <c r="D164" i="1"/>
  <c r="E165" i="1"/>
  <c r="I165" i="1" s="1"/>
  <c r="G174" i="1" s="1"/>
  <c r="H121" i="1"/>
  <c r="G10" i="1"/>
  <c r="G9" i="1"/>
  <c r="I42" i="1"/>
  <c r="H57" i="1"/>
  <c r="H151" i="5" s="1"/>
  <c r="G67" i="1"/>
  <c r="H67" i="1"/>
  <c r="G44" i="1"/>
  <c r="G51" i="5" s="1"/>
  <c r="F44" i="1"/>
  <c r="F51" i="5" s="1"/>
  <c r="F60" i="5" s="1"/>
  <c r="F61" i="5" s="1"/>
  <c r="D44" i="1"/>
  <c r="D51" i="5" s="1"/>
  <c r="D60" i="5" s="1"/>
  <c r="D61" i="5" s="1"/>
  <c r="E44" i="1"/>
  <c r="E51" i="5" s="1"/>
  <c r="E60" i="5" s="1"/>
  <c r="E61" i="5" s="1"/>
  <c r="I39" i="1"/>
  <c r="H44" i="1"/>
  <c r="H51" i="5" s="1"/>
  <c r="I38" i="1"/>
  <c r="C93" i="1" s="1"/>
  <c r="E93" i="1" s="1"/>
  <c r="P95" i="2"/>
  <c r="P134" i="2"/>
  <c r="P74" i="2"/>
  <c r="P111" i="2" s="1"/>
  <c r="E95" i="2"/>
  <c r="E134" i="2"/>
  <c r="E74" i="2"/>
  <c r="E111" i="2" s="1"/>
  <c r="L74" i="2"/>
  <c r="L111" i="2" s="1"/>
  <c r="L95" i="2"/>
  <c r="L134" i="2"/>
  <c r="AP134" i="2"/>
  <c r="AP74" i="2"/>
  <c r="AL74" i="2"/>
  <c r="AL134" i="2"/>
  <c r="N95" i="2"/>
  <c r="N74" i="2"/>
  <c r="N111" i="2" s="1"/>
  <c r="N134" i="2"/>
  <c r="AJ74" i="2"/>
  <c r="AJ134" i="2"/>
  <c r="D74" i="2"/>
  <c r="D111" i="2" s="1"/>
  <c r="D95" i="2"/>
  <c r="D134" i="2"/>
  <c r="AI134" i="2"/>
  <c r="AI74" i="2"/>
  <c r="K134" i="2"/>
  <c r="K74" i="2"/>
  <c r="K111" i="2" s="1"/>
  <c r="K95" i="2"/>
  <c r="AT134" i="2"/>
  <c r="AT74" i="2"/>
  <c r="AB74" i="2"/>
  <c r="AB134" i="2"/>
  <c r="AC74" i="2"/>
  <c r="AC134" i="2"/>
  <c r="AV134" i="2"/>
  <c r="AV74" i="2"/>
  <c r="AM134" i="2"/>
  <c r="AM74" i="2"/>
  <c r="AA74" i="2"/>
  <c r="AA134" i="2"/>
  <c r="AK74" i="2"/>
  <c r="AK134" i="2"/>
  <c r="Q74" i="2"/>
  <c r="Q111" i="2" s="1"/>
  <c r="Q95" i="2"/>
  <c r="Q134" i="2"/>
  <c r="G134" i="2"/>
  <c r="G95" i="2"/>
  <c r="G74" i="2"/>
  <c r="G111" i="2" s="1"/>
  <c r="R134" i="2"/>
  <c r="R74" i="2"/>
  <c r="R111" i="2" s="1"/>
  <c r="R95" i="2"/>
  <c r="F95" i="2"/>
  <c r="F134" i="2"/>
  <c r="F74" i="2"/>
  <c r="F111" i="2" s="1"/>
  <c r="AD134" i="2"/>
  <c r="AD74" i="2"/>
  <c r="Z134" i="2"/>
  <c r="Z74" i="2"/>
  <c r="AR74" i="2"/>
  <c r="AR134" i="2"/>
  <c r="C95" i="2"/>
  <c r="C134" i="2"/>
  <c r="C74" i="2"/>
  <c r="E64" i="5" l="1"/>
  <c r="E63" i="5"/>
  <c r="D64" i="5"/>
  <c r="D63" i="5"/>
  <c r="F63" i="5"/>
  <c r="F64" i="5"/>
  <c r="G170" i="5"/>
  <c r="H171" i="5"/>
  <c r="I20" i="5"/>
  <c r="L28" i="5"/>
  <c r="L31" i="5"/>
  <c r="L87" i="5" s="1"/>
  <c r="H16" i="5"/>
  <c r="H37" i="5" s="1"/>
  <c r="C168" i="5"/>
  <c r="C78" i="5"/>
  <c r="I31" i="5"/>
  <c r="I87" i="5" s="1"/>
  <c r="I28" i="5"/>
  <c r="P31" i="5"/>
  <c r="P87" i="5" s="1"/>
  <c r="P28" i="5"/>
  <c r="R28" i="5"/>
  <c r="R31" i="5"/>
  <c r="R87" i="5" s="1"/>
  <c r="O31" i="5"/>
  <c r="O87" i="5" s="1"/>
  <c r="O28" i="5"/>
  <c r="Q31" i="5"/>
  <c r="Q87" i="5" s="1"/>
  <c r="Q28" i="5"/>
  <c r="C99" i="5"/>
  <c r="C104" i="5" s="1"/>
  <c r="C88" i="5"/>
  <c r="J28" i="5"/>
  <c r="J31" i="5"/>
  <c r="J87" i="5" s="1"/>
  <c r="K28" i="5"/>
  <c r="K31" i="5"/>
  <c r="K87" i="5" s="1"/>
  <c r="T28" i="5"/>
  <c r="T31" i="5"/>
  <c r="T87" i="5" s="1"/>
  <c r="M31" i="5"/>
  <c r="M87" i="5" s="1"/>
  <c r="M28" i="5"/>
  <c r="H31" i="5"/>
  <c r="H87" i="5" s="1"/>
  <c r="H28" i="5"/>
  <c r="U31" i="5"/>
  <c r="U87" i="5" s="1"/>
  <c r="U28" i="5"/>
  <c r="N31" i="5"/>
  <c r="N87" i="5" s="1"/>
  <c r="N28" i="5"/>
  <c r="G28" i="5"/>
  <c r="G31" i="5"/>
  <c r="G87" i="5" s="1"/>
  <c r="S28" i="5"/>
  <c r="S31" i="5"/>
  <c r="S87" i="5" s="1"/>
  <c r="L123" i="2"/>
  <c r="L30" i="2"/>
  <c r="AT31" i="2"/>
  <c r="AT30" i="2"/>
  <c r="AT123" i="2"/>
  <c r="AL30" i="2"/>
  <c r="AL123" i="2"/>
  <c r="AL31" i="2"/>
  <c r="AM30" i="2"/>
  <c r="AM123" i="2"/>
  <c r="AM31" i="2"/>
  <c r="Y31" i="2"/>
  <c r="Y123" i="2"/>
  <c r="Y30" i="2"/>
  <c r="AB31" i="2"/>
  <c r="AB123" i="2"/>
  <c r="AB30" i="2"/>
  <c r="S30" i="2"/>
  <c r="S123" i="2"/>
  <c r="K30" i="2"/>
  <c r="K123" i="2"/>
  <c r="H29" i="2"/>
  <c r="AG31" i="2"/>
  <c r="AG30" i="2"/>
  <c r="AG123" i="2"/>
  <c r="AR31" i="2"/>
  <c r="AR123" i="2"/>
  <c r="AR30" i="2"/>
  <c r="AI30" i="2"/>
  <c r="AI123" i="2"/>
  <c r="AI31" i="2"/>
  <c r="AA30" i="2"/>
  <c r="AA123" i="2"/>
  <c r="AA31" i="2"/>
  <c r="P123" i="2"/>
  <c r="P30" i="2"/>
  <c r="AO123" i="2"/>
  <c r="AO31" i="2"/>
  <c r="AO30" i="2"/>
  <c r="AC31" i="2"/>
  <c r="AC30" i="2"/>
  <c r="AC123" i="2"/>
  <c r="AJ123" i="2"/>
  <c r="AJ31" i="2"/>
  <c r="AJ30" i="2"/>
  <c r="G30" i="2"/>
  <c r="G123" i="2"/>
  <c r="R30" i="2"/>
  <c r="R123" i="2"/>
  <c r="AS30" i="2"/>
  <c r="AS123" i="2"/>
  <c r="AS31" i="2"/>
  <c r="U30" i="2"/>
  <c r="U123" i="2"/>
  <c r="O123" i="2"/>
  <c r="O30" i="2"/>
  <c r="AN123" i="2"/>
  <c r="AN31" i="2"/>
  <c r="AN30" i="2"/>
  <c r="M30" i="2"/>
  <c r="M123" i="2"/>
  <c r="T123" i="2"/>
  <c r="T30" i="2"/>
  <c r="AQ30" i="2"/>
  <c r="AQ123" i="2"/>
  <c r="AQ31" i="2"/>
  <c r="X123" i="2"/>
  <c r="X31" i="2"/>
  <c r="X30" i="2"/>
  <c r="J30" i="2"/>
  <c r="J123" i="2"/>
  <c r="AF123" i="2"/>
  <c r="AF31" i="2"/>
  <c r="AF30" i="2"/>
  <c r="Z31" i="2"/>
  <c r="Z30" i="2"/>
  <c r="Z123" i="2"/>
  <c r="N30" i="2"/>
  <c r="N123" i="2"/>
  <c r="AK31" i="2"/>
  <c r="AK30" i="2"/>
  <c r="AK123" i="2"/>
  <c r="W30" i="2"/>
  <c r="W123" i="2"/>
  <c r="W31" i="2"/>
  <c r="I30" i="2"/>
  <c r="I123" i="2"/>
  <c r="AH31" i="2"/>
  <c r="AH30" i="2"/>
  <c r="AH123" i="2"/>
  <c r="AD123" i="2"/>
  <c r="AD31" i="2"/>
  <c r="AD30" i="2"/>
  <c r="V31" i="2"/>
  <c r="V123" i="2"/>
  <c r="V30" i="2"/>
  <c r="AE123" i="2"/>
  <c r="AE30" i="2"/>
  <c r="AE31" i="2"/>
  <c r="Q30" i="2"/>
  <c r="Q123" i="2"/>
  <c r="AP31" i="2"/>
  <c r="AP123" i="2"/>
  <c r="AP30" i="2"/>
  <c r="F113" i="2"/>
  <c r="F119" i="2"/>
  <c r="P113" i="2"/>
  <c r="P119" i="2"/>
  <c r="Q113" i="2"/>
  <c r="Q119" i="2"/>
  <c r="L113" i="2"/>
  <c r="L119" i="2"/>
  <c r="T113" i="2"/>
  <c r="T119" i="2"/>
  <c r="D113" i="2"/>
  <c r="D119" i="2"/>
  <c r="I113" i="2"/>
  <c r="I119" i="2"/>
  <c r="K113" i="2"/>
  <c r="K119" i="2"/>
  <c r="R113" i="2"/>
  <c r="R119" i="2"/>
  <c r="V113" i="2"/>
  <c r="V119" i="2"/>
  <c r="N113" i="2"/>
  <c r="N119" i="2"/>
  <c r="G113" i="2"/>
  <c r="G119" i="2"/>
  <c r="E113" i="2"/>
  <c r="E119" i="2"/>
  <c r="I112" i="1"/>
  <c r="E112" i="1"/>
  <c r="H69" i="1"/>
  <c r="I108" i="1" s="1"/>
  <c r="G69" i="1"/>
  <c r="H70" i="1"/>
  <c r="H68" i="1"/>
  <c r="F45" i="1"/>
  <c r="G107" i="1" s="1"/>
  <c r="G45" i="1"/>
  <c r="H107" i="1" s="1"/>
  <c r="E45" i="1"/>
  <c r="F107" i="1" s="1"/>
  <c r="E57" i="2"/>
  <c r="E58" i="2" s="1"/>
  <c r="E61" i="2" s="1"/>
  <c r="G70" i="1"/>
  <c r="G68" i="1"/>
  <c r="H45" i="1"/>
  <c r="I107" i="1" s="1"/>
  <c r="D45" i="1"/>
  <c r="E107" i="1" s="1"/>
  <c r="D57" i="2"/>
  <c r="D58" i="2" s="1"/>
  <c r="D61" i="2" s="1"/>
  <c r="G98" i="1"/>
  <c r="F157" i="1"/>
  <c r="G16" i="2"/>
  <c r="Q17" i="2"/>
  <c r="I17" i="2"/>
  <c r="P17" i="2"/>
  <c r="H17" i="2"/>
  <c r="O17" i="2"/>
  <c r="G17" i="2"/>
  <c r="N17" i="2"/>
  <c r="J17" i="2"/>
  <c r="U17" i="2"/>
  <c r="T17" i="2"/>
  <c r="S17" i="2"/>
  <c r="R17" i="2"/>
  <c r="M17" i="2"/>
  <c r="L17" i="2"/>
  <c r="K17" i="2"/>
  <c r="C151" i="2"/>
  <c r="G114" i="1"/>
  <c r="F150" i="2"/>
  <c r="F151" i="2" s="1"/>
  <c r="E152" i="2"/>
  <c r="C111" i="2"/>
  <c r="I220" i="1"/>
  <c r="G221" i="1"/>
  <c r="I221" i="1" s="1"/>
  <c r="G167" i="1"/>
  <c r="E176" i="1" s="1"/>
  <c r="H167" i="1"/>
  <c r="F176" i="1" s="1"/>
  <c r="D165" i="1"/>
  <c r="G165" i="1" s="1"/>
  <c r="E174" i="1" s="1"/>
  <c r="H128" i="1"/>
  <c r="H154" i="1"/>
  <c r="H157" i="1" s="1"/>
  <c r="H146" i="1"/>
  <c r="F131" i="1"/>
  <c r="F164" i="1"/>
  <c r="D173" i="1" s="1"/>
  <c r="H164" i="1"/>
  <c r="F173" i="1" s="1"/>
  <c r="G164" i="1"/>
  <c r="E173" i="1" s="1"/>
  <c r="F166" i="1"/>
  <c r="D175" i="1" s="1"/>
  <c r="H166" i="1"/>
  <c r="F175" i="1" s="1"/>
  <c r="G166" i="1"/>
  <c r="E175" i="1" s="1"/>
  <c r="G136" i="1"/>
  <c r="H136" i="1" s="1"/>
  <c r="F149" i="1"/>
  <c r="C96" i="1"/>
  <c r="C94" i="1"/>
  <c r="C90" i="1"/>
  <c r="E90" i="1" s="1"/>
  <c r="F90" i="1" s="1"/>
  <c r="C91" i="1"/>
  <c r="E91" i="1" s="1"/>
  <c r="C97" i="1"/>
  <c r="I44" i="1"/>
  <c r="H144" i="5" l="1"/>
  <c r="G144" i="5"/>
  <c r="H142" i="5"/>
  <c r="G142" i="5"/>
  <c r="H35" i="5"/>
  <c r="H126" i="5" s="1"/>
  <c r="G35" i="5"/>
  <c r="G126" i="5" s="1"/>
  <c r="V144" i="5"/>
  <c r="O144" i="5"/>
  <c r="J144" i="5"/>
  <c r="I144" i="5"/>
  <c r="S144" i="5"/>
  <c r="P144" i="5"/>
  <c r="L144" i="5"/>
  <c r="M144" i="5"/>
  <c r="Q144" i="5"/>
  <c r="W144" i="5"/>
  <c r="U144" i="5"/>
  <c r="N144" i="5"/>
  <c r="K144" i="5"/>
  <c r="T144" i="5"/>
  <c r="R144" i="5"/>
  <c r="S27" i="2"/>
  <c r="S31" i="2" s="1"/>
  <c r="S99" i="2"/>
  <c r="T27" i="2"/>
  <c r="T31" i="2" s="1"/>
  <c r="T99" i="2"/>
  <c r="K27" i="2"/>
  <c r="K28" i="2" s="1"/>
  <c r="K99" i="2"/>
  <c r="N27" i="2"/>
  <c r="N28" i="2" s="1"/>
  <c r="N99" i="2"/>
  <c r="G27" i="2"/>
  <c r="G31" i="2" s="1"/>
  <c r="G99" i="2"/>
  <c r="M27" i="2"/>
  <c r="M28" i="2" s="1"/>
  <c r="M99" i="2"/>
  <c r="O27" i="2"/>
  <c r="O31" i="2" s="1"/>
  <c r="O99" i="2"/>
  <c r="P27" i="2"/>
  <c r="P31" i="2" s="1"/>
  <c r="P99" i="2"/>
  <c r="I27" i="2"/>
  <c r="I28" i="2" s="1"/>
  <c r="I99" i="2"/>
  <c r="U27" i="2"/>
  <c r="U31" i="2" s="1"/>
  <c r="U99" i="2"/>
  <c r="Q27" i="2"/>
  <c r="Q31" i="2" s="1"/>
  <c r="Q99" i="2"/>
  <c r="J27" i="2"/>
  <c r="J28" i="2" s="1"/>
  <c r="J99" i="2"/>
  <c r="L27" i="2"/>
  <c r="L99" i="2"/>
  <c r="R27" i="2"/>
  <c r="R31" i="2" s="1"/>
  <c r="R99" i="2"/>
  <c r="H27" i="2"/>
  <c r="H31" i="2" s="1"/>
  <c r="H99" i="2"/>
  <c r="H98" i="1"/>
  <c r="O58" i="5"/>
  <c r="G58" i="5"/>
  <c r="U58" i="5"/>
  <c r="N58" i="5"/>
  <c r="Q58" i="5"/>
  <c r="W58" i="5"/>
  <c r="R58" i="5"/>
  <c r="M58" i="5"/>
  <c r="T58" i="5"/>
  <c r="S58" i="5"/>
  <c r="H58" i="5"/>
  <c r="P58" i="5"/>
  <c r="K58" i="5"/>
  <c r="L58" i="5"/>
  <c r="J58" i="5"/>
  <c r="I58" i="5"/>
  <c r="V58" i="5"/>
  <c r="E65" i="5"/>
  <c r="E86" i="5"/>
  <c r="E124" i="5"/>
  <c r="E128" i="5" s="1"/>
  <c r="E129" i="5" s="1"/>
  <c r="D65" i="5"/>
  <c r="D124" i="5"/>
  <c r="D128" i="5" s="1"/>
  <c r="D129" i="5" s="1"/>
  <c r="D86" i="5"/>
  <c r="F124" i="5"/>
  <c r="F128" i="5" s="1"/>
  <c r="F129" i="5" s="1"/>
  <c r="F86" i="5"/>
  <c r="F65" i="5"/>
  <c r="E114" i="1"/>
  <c r="AV146" i="5"/>
  <c r="H18" i="5"/>
  <c r="I21" i="5"/>
  <c r="I23" i="5" s="1"/>
  <c r="C89" i="5"/>
  <c r="C105" i="5"/>
  <c r="L28" i="2"/>
  <c r="L31" i="2"/>
  <c r="M31" i="2"/>
  <c r="H123" i="2"/>
  <c r="H30" i="2"/>
  <c r="C113" i="2"/>
  <c r="C119" i="2"/>
  <c r="I136" i="1"/>
  <c r="I69" i="1"/>
  <c r="H108" i="1"/>
  <c r="I90" i="1"/>
  <c r="D150" i="2"/>
  <c r="D151" i="2" s="1"/>
  <c r="F91" i="1"/>
  <c r="F88" i="1" s="1"/>
  <c r="I70" i="1"/>
  <c r="G134" i="1"/>
  <c r="H134" i="1" s="1"/>
  <c r="C152" i="2"/>
  <c r="F152" i="2"/>
  <c r="I114" i="1"/>
  <c r="H114" i="1"/>
  <c r="F109" i="1"/>
  <c r="D60" i="2"/>
  <c r="E109" i="1"/>
  <c r="E60" i="2"/>
  <c r="G109" i="1"/>
  <c r="I109" i="1"/>
  <c r="F165" i="1"/>
  <c r="D174" i="1" s="1"/>
  <c r="H165" i="1"/>
  <c r="F174" i="1" s="1"/>
  <c r="I176" i="1"/>
  <c r="H173" i="1"/>
  <c r="E97" i="1"/>
  <c r="G139" i="1"/>
  <c r="H139" i="1" s="1"/>
  <c r="I139" i="1" s="1"/>
  <c r="G135" i="1"/>
  <c r="H135" i="1" s="1"/>
  <c r="I135" i="1" s="1"/>
  <c r="E96" i="1"/>
  <c r="G138" i="1"/>
  <c r="E94" i="1"/>
  <c r="G137" i="1"/>
  <c r="H137" i="1" s="1"/>
  <c r="H131" i="1"/>
  <c r="H149" i="1"/>
  <c r="I45" i="1"/>
  <c r="I175" i="1"/>
  <c r="I31" i="2" l="1"/>
  <c r="T28" i="2"/>
  <c r="S28" i="2"/>
  <c r="J142" i="5"/>
  <c r="S142" i="5"/>
  <c r="P142" i="5"/>
  <c r="O142" i="5"/>
  <c r="V142" i="5"/>
  <c r="I142" i="5"/>
  <c r="T142" i="5"/>
  <c r="L142" i="5"/>
  <c r="W142" i="5"/>
  <c r="N142" i="5"/>
  <c r="R142" i="5"/>
  <c r="M142" i="5"/>
  <c r="Q142" i="5"/>
  <c r="U142" i="5"/>
  <c r="K142" i="5"/>
  <c r="J35" i="5"/>
  <c r="J126" i="5" s="1"/>
  <c r="O35" i="5"/>
  <c r="O126" i="5" s="1"/>
  <c r="V35" i="5"/>
  <c r="V126" i="5" s="1"/>
  <c r="P35" i="5"/>
  <c r="P126" i="5" s="1"/>
  <c r="I35" i="5"/>
  <c r="I126" i="5" s="1"/>
  <c r="R35" i="5"/>
  <c r="R126" i="5" s="1"/>
  <c r="U35" i="5"/>
  <c r="U126" i="5" s="1"/>
  <c r="S35" i="5"/>
  <c r="S126" i="5" s="1"/>
  <c r="K35" i="5"/>
  <c r="K126" i="5" s="1"/>
  <c r="T35" i="5"/>
  <c r="T126" i="5" s="1"/>
  <c r="Q35" i="5"/>
  <c r="Q126" i="5" s="1"/>
  <c r="L35" i="5"/>
  <c r="L126" i="5" s="1"/>
  <c r="N35" i="5"/>
  <c r="N126" i="5" s="1"/>
  <c r="M35" i="5"/>
  <c r="M126" i="5" s="1"/>
  <c r="W35" i="5"/>
  <c r="W126" i="5" s="1"/>
  <c r="R28" i="2"/>
  <c r="G28" i="2"/>
  <c r="K31" i="2"/>
  <c r="U28" i="2"/>
  <c r="P28" i="2"/>
  <c r="Q28" i="2"/>
  <c r="O28" i="2"/>
  <c r="J31" i="2"/>
  <c r="N31" i="2"/>
  <c r="H28" i="2"/>
  <c r="E88" i="5"/>
  <c r="E89" i="5" s="1"/>
  <c r="E99" i="5"/>
  <c r="E104" i="5" s="1"/>
  <c r="D88" i="5"/>
  <c r="D89" i="5" s="1"/>
  <c r="D99" i="5"/>
  <c r="D104" i="5" s="1"/>
  <c r="E78" i="5"/>
  <c r="E168" i="5"/>
  <c r="F88" i="5"/>
  <c r="F89" i="5" s="1"/>
  <c r="F99" i="5"/>
  <c r="F104" i="5" s="1"/>
  <c r="F168" i="5"/>
  <c r="F78" i="5"/>
  <c r="D168" i="5"/>
  <c r="D78" i="5"/>
  <c r="H109" i="1"/>
  <c r="H170" i="5"/>
  <c r="I15" i="5"/>
  <c r="C180" i="5"/>
  <c r="C116" i="5"/>
  <c r="C118" i="5" s="1"/>
  <c r="C119" i="5" s="1"/>
  <c r="I171" i="5"/>
  <c r="J20" i="5"/>
  <c r="D85" i="2"/>
  <c r="D86" i="2" s="1"/>
  <c r="D120" i="2"/>
  <c r="E96" i="2"/>
  <c r="E100" i="2" s="1"/>
  <c r="E120" i="2"/>
  <c r="G12" i="1"/>
  <c r="H10" i="1" s="1"/>
  <c r="C57" i="2"/>
  <c r="C58" i="2" s="1"/>
  <c r="C60" i="2" s="1"/>
  <c r="I137" i="1"/>
  <c r="I134" i="1"/>
  <c r="D152" i="2"/>
  <c r="G91" i="1"/>
  <c r="I91" i="1"/>
  <c r="I88" i="1" s="1"/>
  <c r="F57" i="2"/>
  <c r="F58" i="2" s="1"/>
  <c r="F60" i="2" s="1"/>
  <c r="G90" i="1"/>
  <c r="E62" i="2"/>
  <c r="D62" i="2"/>
  <c r="D109" i="1"/>
  <c r="I174" i="1"/>
  <c r="H206" i="1" s="1"/>
  <c r="H177" i="1"/>
  <c r="H198" i="1"/>
  <c r="H138" i="1"/>
  <c r="H145" i="5" l="1"/>
  <c r="G145" i="5"/>
  <c r="E85" i="2"/>
  <c r="E86" i="2" s="1"/>
  <c r="D105" i="5"/>
  <c r="X154" i="5"/>
  <c r="X156" i="5" s="1"/>
  <c r="T154" i="5"/>
  <c r="T156" i="5" s="1"/>
  <c r="U154" i="5"/>
  <c r="U156" i="5" s="1"/>
  <c r="Z154" i="5"/>
  <c r="Z156" i="5" s="1"/>
  <c r="K154" i="5"/>
  <c r="K156" i="5" s="1"/>
  <c r="AF154" i="5"/>
  <c r="AF156" i="5" s="1"/>
  <c r="AI154" i="5"/>
  <c r="AI156" i="5" s="1"/>
  <c r="AN154" i="5"/>
  <c r="AN156" i="5" s="1"/>
  <c r="V154" i="5"/>
  <c r="V156" i="5" s="1"/>
  <c r="AC154" i="5"/>
  <c r="AC156" i="5" s="1"/>
  <c r="H154" i="5"/>
  <c r="H156" i="5" s="1"/>
  <c r="S154" i="5"/>
  <c r="S156" i="5" s="1"/>
  <c r="Q154" i="5"/>
  <c r="Q156" i="5" s="1"/>
  <c r="AB154" i="5"/>
  <c r="AB156" i="5" s="1"/>
  <c r="AR154" i="5"/>
  <c r="AR156" i="5" s="1"/>
  <c r="AK154" i="5"/>
  <c r="AK156" i="5" s="1"/>
  <c r="P154" i="5"/>
  <c r="P156" i="5" s="1"/>
  <c r="AA154" i="5"/>
  <c r="AA156" i="5" s="1"/>
  <c r="L154" i="5"/>
  <c r="L156" i="5" s="1"/>
  <c r="AS154" i="5"/>
  <c r="AS156" i="5" s="1"/>
  <c r="I154" i="5"/>
  <c r="I156" i="5" s="1"/>
  <c r="AT154" i="5"/>
  <c r="AT156" i="5" s="1"/>
  <c r="AV154" i="5"/>
  <c r="AV156" i="5" s="1"/>
  <c r="AG154" i="5"/>
  <c r="AG156" i="5" s="1"/>
  <c r="AD154" i="5"/>
  <c r="AD156" i="5" s="1"/>
  <c r="AL154" i="5"/>
  <c r="AL156" i="5" s="1"/>
  <c r="AU154" i="5"/>
  <c r="AU156" i="5" s="1"/>
  <c r="AO154" i="5"/>
  <c r="AO156" i="5" s="1"/>
  <c r="J154" i="5"/>
  <c r="J156" i="5" s="1"/>
  <c r="AM154" i="5"/>
  <c r="AM156" i="5" s="1"/>
  <c r="N154" i="5"/>
  <c r="N156" i="5" s="1"/>
  <c r="M154" i="5"/>
  <c r="M156" i="5" s="1"/>
  <c r="G154" i="5"/>
  <c r="G156" i="5" s="1"/>
  <c r="R154" i="5"/>
  <c r="R156" i="5" s="1"/>
  <c r="AQ154" i="5"/>
  <c r="AQ156" i="5" s="1"/>
  <c r="AJ154" i="5"/>
  <c r="AJ156" i="5" s="1"/>
  <c r="O154" i="5"/>
  <c r="O156" i="5" s="1"/>
  <c r="AH154" i="5"/>
  <c r="AH156" i="5" s="1"/>
  <c r="AE154" i="5"/>
  <c r="AE156" i="5" s="1"/>
  <c r="AP154" i="5"/>
  <c r="AP156" i="5" s="1"/>
  <c r="W154" i="5"/>
  <c r="W156" i="5" s="1"/>
  <c r="Y154" i="5"/>
  <c r="Y156" i="5" s="1"/>
  <c r="F105" i="5"/>
  <c r="F116" i="5" s="1"/>
  <c r="F118" i="5" s="1"/>
  <c r="E105" i="5"/>
  <c r="E116" i="5" s="1"/>
  <c r="E118" i="5" s="1"/>
  <c r="I16" i="5"/>
  <c r="I37" i="5" s="1"/>
  <c r="J21" i="5"/>
  <c r="J23" i="5" s="1"/>
  <c r="E124" i="2"/>
  <c r="E125" i="2" s="1"/>
  <c r="D124" i="2"/>
  <c r="D125" i="2" s="1"/>
  <c r="D96" i="2"/>
  <c r="D100" i="2" s="1"/>
  <c r="F96" i="2"/>
  <c r="F100" i="2" s="1"/>
  <c r="F120" i="2"/>
  <c r="C61" i="2"/>
  <c r="I138" i="1"/>
  <c r="H9" i="1"/>
  <c r="G11" i="1"/>
  <c r="H11" i="1" s="1"/>
  <c r="H140" i="1"/>
  <c r="D75" i="2"/>
  <c r="D163" i="2"/>
  <c r="E75" i="2"/>
  <c r="E163" i="2"/>
  <c r="F103" i="1"/>
  <c r="I103" i="1"/>
  <c r="F61" i="2"/>
  <c r="G88" i="1"/>
  <c r="F62" i="2"/>
  <c r="I177" i="1"/>
  <c r="J145" i="5" l="1"/>
  <c r="O145" i="5"/>
  <c r="V145" i="5"/>
  <c r="P145" i="5"/>
  <c r="I145" i="5"/>
  <c r="S145" i="5"/>
  <c r="R145" i="5"/>
  <c r="Q145" i="5"/>
  <c r="T145" i="5"/>
  <c r="K145" i="5"/>
  <c r="U145" i="5"/>
  <c r="L145" i="5"/>
  <c r="N145" i="5"/>
  <c r="M145" i="5"/>
  <c r="W145" i="5"/>
  <c r="D116" i="5"/>
  <c r="D118" i="5" s="1"/>
  <c r="D119" i="5" s="1"/>
  <c r="D120" i="5" s="1"/>
  <c r="H88" i="1"/>
  <c r="H103" i="1" s="1"/>
  <c r="R56" i="5"/>
  <c r="AD56" i="5"/>
  <c r="Y56" i="5"/>
  <c r="AA56" i="5"/>
  <c r="X56" i="5"/>
  <c r="H56" i="5"/>
  <c r="AO56" i="5"/>
  <c r="AI56" i="5"/>
  <c r="V56" i="5"/>
  <c r="AF56" i="5"/>
  <c r="S56" i="5"/>
  <c r="O56" i="5"/>
  <c r="P56" i="5"/>
  <c r="AQ56" i="5"/>
  <c r="AJ56" i="5"/>
  <c r="AM56" i="5"/>
  <c r="W56" i="5"/>
  <c r="AG56" i="5"/>
  <c r="L56" i="5"/>
  <c r="T56" i="5"/>
  <c r="AB56" i="5"/>
  <c r="AE56" i="5"/>
  <c r="AH56" i="5"/>
  <c r="AR56" i="5"/>
  <c r="I56" i="5"/>
  <c r="K56" i="5"/>
  <c r="AC56" i="5"/>
  <c r="Q56" i="5"/>
  <c r="M56" i="5"/>
  <c r="AL56" i="5"/>
  <c r="AP56" i="5"/>
  <c r="AK56" i="5"/>
  <c r="AT56" i="5"/>
  <c r="Z56" i="5"/>
  <c r="AS56" i="5"/>
  <c r="AN56" i="5"/>
  <c r="G56" i="5"/>
  <c r="AV56" i="5"/>
  <c r="U56" i="5"/>
  <c r="N56" i="5"/>
  <c r="J56" i="5"/>
  <c r="AU56" i="5"/>
  <c r="J171" i="5"/>
  <c r="K20" i="5"/>
  <c r="I18" i="5"/>
  <c r="F124" i="2"/>
  <c r="F125" i="2" s="1"/>
  <c r="D101" i="2"/>
  <c r="D112" i="2" s="1"/>
  <c r="D114" i="2" s="1"/>
  <c r="E101" i="2"/>
  <c r="E112" i="2" s="1"/>
  <c r="E114" i="2" s="1"/>
  <c r="F85" i="2"/>
  <c r="F86" i="2" s="1"/>
  <c r="C96" i="2"/>
  <c r="C120" i="2"/>
  <c r="I140" i="1"/>
  <c r="H141" i="1"/>
  <c r="AP150" i="2"/>
  <c r="AH150" i="2"/>
  <c r="Z150" i="2"/>
  <c r="R150" i="2"/>
  <c r="J150" i="2"/>
  <c r="AC150" i="2"/>
  <c r="T150" i="2"/>
  <c r="S150" i="2"/>
  <c r="AO150" i="2"/>
  <c r="AG150" i="2"/>
  <c r="Y150" i="2"/>
  <c r="Q150" i="2"/>
  <c r="I150" i="2"/>
  <c r="AL150" i="2"/>
  <c r="V150" i="2"/>
  <c r="AK150" i="2"/>
  <c r="AR150" i="2"/>
  <c r="L150" i="2"/>
  <c r="AA150" i="2"/>
  <c r="AV150" i="2"/>
  <c r="AN150" i="2"/>
  <c r="AF150" i="2"/>
  <c r="X150" i="2"/>
  <c r="P150" i="2"/>
  <c r="H150" i="2"/>
  <c r="AS150" i="2"/>
  <c r="M150" i="2"/>
  <c r="AB150" i="2"/>
  <c r="AQ150" i="2"/>
  <c r="AU150" i="2"/>
  <c r="AM150" i="2"/>
  <c r="AE150" i="2"/>
  <c r="W150" i="2"/>
  <c r="O150" i="2"/>
  <c r="G150" i="2"/>
  <c r="AT150" i="2"/>
  <c r="AD150" i="2"/>
  <c r="N150" i="2"/>
  <c r="U150" i="2"/>
  <c r="AJ150" i="2"/>
  <c r="AI150" i="2"/>
  <c r="K150" i="2"/>
  <c r="I12" i="1"/>
  <c r="C62" i="2"/>
  <c r="C75" i="2" s="1"/>
  <c r="G103" i="1"/>
  <c r="F75" i="2"/>
  <c r="F163" i="2"/>
  <c r="I222" i="1"/>
  <c r="I223" i="1" s="1"/>
  <c r="E119" i="5" l="1"/>
  <c r="F119" i="5" s="1"/>
  <c r="F120" i="5" s="1"/>
  <c r="AI49" i="5"/>
  <c r="K49" i="5"/>
  <c r="AN49" i="5"/>
  <c r="U49" i="5"/>
  <c r="Q49" i="5"/>
  <c r="AR49" i="5"/>
  <c r="AC49" i="5"/>
  <c r="AK49" i="5"/>
  <c r="L49" i="5"/>
  <c r="P49" i="5"/>
  <c r="M49" i="5"/>
  <c r="AB49" i="5"/>
  <c r="Q60" i="5"/>
  <c r="AF49" i="5"/>
  <c r="AV49" i="5"/>
  <c r="I49" i="5"/>
  <c r="AL49" i="5"/>
  <c r="AG49" i="5"/>
  <c r="AJ49" i="5"/>
  <c r="V49" i="5"/>
  <c r="T49" i="5"/>
  <c r="AO49" i="5"/>
  <c r="AD49" i="5"/>
  <c r="AH49" i="5"/>
  <c r="AM49" i="5"/>
  <c r="V60" i="5"/>
  <c r="I60" i="5"/>
  <c r="J60" i="5"/>
  <c r="S60" i="5"/>
  <c r="AA60" i="5"/>
  <c r="P60" i="5"/>
  <c r="M60" i="5"/>
  <c r="X60" i="5"/>
  <c r="U60" i="5"/>
  <c r="AC60" i="5"/>
  <c r="R60" i="5"/>
  <c r="G60" i="5"/>
  <c r="O60" i="5"/>
  <c r="AG60" i="5"/>
  <c r="AS60" i="5"/>
  <c r="AO60" i="5"/>
  <c r="W60" i="5"/>
  <c r="AL60" i="5"/>
  <c r="L60" i="5"/>
  <c r="AK60" i="5"/>
  <c r="AB60" i="5"/>
  <c r="Z60" i="5"/>
  <c r="AD60" i="5"/>
  <c r="N60" i="5"/>
  <c r="AT60" i="5"/>
  <c r="AF60" i="5"/>
  <c r="AJ60" i="5"/>
  <c r="H60" i="5"/>
  <c r="K60" i="5"/>
  <c r="T60" i="5"/>
  <c r="AS49" i="5"/>
  <c r="S49" i="5"/>
  <c r="O49" i="5"/>
  <c r="AP49" i="5"/>
  <c r="AT49" i="5"/>
  <c r="X49" i="5"/>
  <c r="Y149" i="5"/>
  <c r="Y157" i="5" s="1"/>
  <c r="AJ149" i="5"/>
  <c r="AJ157" i="5" s="1"/>
  <c r="AF149" i="5"/>
  <c r="AF157" i="5" s="1"/>
  <c r="Q141" i="5"/>
  <c r="Q149" i="5" s="1"/>
  <c r="Q157" i="5" s="1"/>
  <c r="AR149" i="5"/>
  <c r="AR157" i="5" s="1"/>
  <c r="N141" i="5"/>
  <c r="N149" i="5" s="1"/>
  <c r="N157" i="5" s="1"/>
  <c r="AL149" i="5"/>
  <c r="AL157" i="5" s="1"/>
  <c r="AT149" i="5"/>
  <c r="AT157" i="5" s="1"/>
  <c r="AN149" i="5"/>
  <c r="AN157" i="5" s="1"/>
  <c r="T141" i="5"/>
  <c r="T149" i="5" s="1"/>
  <c r="T157" i="5" s="1"/>
  <c r="AK149" i="5"/>
  <c r="AK157" i="5" s="1"/>
  <c r="X149" i="5"/>
  <c r="X157" i="5" s="1"/>
  <c r="AO149" i="5"/>
  <c r="AO157" i="5" s="1"/>
  <c r="AD149" i="5"/>
  <c r="AD157" i="5" s="1"/>
  <c r="AE149" i="5"/>
  <c r="AE157" i="5" s="1"/>
  <c r="L141" i="5"/>
  <c r="L149" i="5" s="1"/>
  <c r="L157" i="5" s="1"/>
  <c r="Z149" i="5"/>
  <c r="Z157" i="5" s="1"/>
  <c r="U141" i="5"/>
  <c r="U149" i="5" s="1"/>
  <c r="U157" i="5" s="1"/>
  <c r="AU149" i="5"/>
  <c r="AU157" i="5" s="1"/>
  <c r="W141" i="5"/>
  <c r="W149" i="5" s="1"/>
  <c r="W157" i="5" s="1"/>
  <c r="AB149" i="5"/>
  <c r="AB157" i="5" s="1"/>
  <c r="K141" i="5"/>
  <c r="K149" i="5" s="1"/>
  <c r="K157" i="5" s="1"/>
  <c r="AM149" i="5"/>
  <c r="AM157" i="5" s="1"/>
  <c r="P141" i="5"/>
  <c r="P149" i="5" s="1"/>
  <c r="P157" i="5" s="1"/>
  <c r="I141" i="5"/>
  <c r="I149" i="5" s="1"/>
  <c r="I157" i="5" s="1"/>
  <c r="M141" i="5"/>
  <c r="M149" i="5" s="1"/>
  <c r="M157" i="5" s="1"/>
  <c r="AS149" i="5"/>
  <c r="AS157" i="5" s="1"/>
  <c r="AP149" i="5"/>
  <c r="AP157" i="5" s="1"/>
  <c r="AV149" i="5"/>
  <c r="AV157" i="5" s="1"/>
  <c r="AH149" i="5"/>
  <c r="AH157" i="5" s="1"/>
  <c r="AC149" i="5"/>
  <c r="AC157" i="5" s="1"/>
  <c r="AI149" i="5"/>
  <c r="AI157" i="5" s="1"/>
  <c r="V141" i="5"/>
  <c r="V149" i="5" s="1"/>
  <c r="V157" i="5" s="1"/>
  <c r="AG149" i="5"/>
  <c r="AG157" i="5" s="1"/>
  <c r="AQ149" i="5"/>
  <c r="AQ157" i="5" s="1"/>
  <c r="R141" i="5"/>
  <c r="R149" i="5" s="1"/>
  <c r="R157" i="5" s="1"/>
  <c r="S141" i="5"/>
  <c r="S149" i="5" s="1"/>
  <c r="S157" i="5" s="1"/>
  <c r="J141" i="5"/>
  <c r="J149" i="5" s="1"/>
  <c r="J157" i="5" s="1"/>
  <c r="AA149" i="5"/>
  <c r="AA157" i="5" s="1"/>
  <c r="O141" i="5"/>
  <c r="O149" i="5" s="1"/>
  <c r="O157" i="5" s="1"/>
  <c r="N49" i="5"/>
  <c r="K36" i="5"/>
  <c r="T36" i="5"/>
  <c r="W36" i="5"/>
  <c r="W38" i="5" s="1"/>
  <c r="W39" i="5" s="1"/>
  <c r="W62" i="5" s="1"/>
  <c r="Q36" i="5"/>
  <c r="J36" i="5"/>
  <c r="L36" i="5"/>
  <c r="M36" i="5"/>
  <c r="V36" i="5"/>
  <c r="V38" i="5" s="1"/>
  <c r="V39" i="5" s="1"/>
  <c r="V62" i="5" s="1"/>
  <c r="I36" i="5"/>
  <c r="I38" i="5" s="1"/>
  <c r="I39" i="5" s="1"/>
  <c r="I62" i="5" s="1"/>
  <c r="U36" i="5"/>
  <c r="R36" i="5"/>
  <c r="O36" i="5"/>
  <c r="S36" i="5"/>
  <c r="H36" i="5"/>
  <c r="H38" i="5" s="1"/>
  <c r="H39" i="5" s="1"/>
  <c r="H62" i="5" s="1"/>
  <c r="G36" i="5"/>
  <c r="G38" i="5" s="1"/>
  <c r="G39" i="5" s="1"/>
  <c r="G62" i="5" s="1"/>
  <c r="P36" i="5"/>
  <c r="N36" i="5"/>
  <c r="Z49" i="5"/>
  <c r="J49" i="5"/>
  <c r="Y49" i="5"/>
  <c r="AU49" i="5"/>
  <c r="AH60" i="5"/>
  <c r="R49" i="5"/>
  <c r="AE49" i="5"/>
  <c r="AQ49" i="5"/>
  <c r="AA49" i="5"/>
  <c r="W49" i="5"/>
  <c r="C65" i="2"/>
  <c r="D65" i="2" s="1"/>
  <c r="AT76" i="2" s="1"/>
  <c r="C68" i="5"/>
  <c r="D166" i="5"/>
  <c r="I170" i="5"/>
  <c r="J15" i="5"/>
  <c r="K21" i="5"/>
  <c r="K23" i="5" s="1"/>
  <c r="C124" i="2"/>
  <c r="C125" i="2" s="1"/>
  <c r="C100" i="2"/>
  <c r="C85" i="2"/>
  <c r="C86" i="2" s="1"/>
  <c r="F101" i="2"/>
  <c r="F112" i="2" s="1"/>
  <c r="F114" i="2" s="1"/>
  <c r="D161" i="2"/>
  <c r="C163" i="2"/>
  <c r="AV144" i="2"/>
  <c r="AV151" i="2" s="1"/>
  <c r="AN144" i="2"/>
  <c r="AN151" i="2" s="1"/>
  <c r="AF144" i="2"/>
  <c r="AF151" i="2" s="1"/>
  <c r="AF152" i="2" s="1"/>
  <c r="X144" i="2"/>
  <c r="P144" i="2"/>
  <c r="P151" i="2" s="1"/>
  <c r="AU144" i="2"/>
  <c r="AU151" i="2" s="1"/>
  <c r="AM144" i="2"/>
  <c r="AM151" i="2" s="1"/>
  <c r="AM152" i="2" s="1"/>
  <c r="AE144" i="2"/>
  <c r="AE151" i="2" s="1"/>
  <c r="AE152" i="2" s="1"/>
  <c r="W144" i="2"/>
  <c r="O144" i="2"/>
  <c r="O151" i="2" s="1"/>
  <c r="O152" i="2" s="1"/>
  <c r="AP144" i="2"/>
  <c r="AP151" i="2" s="1"/>
  <c r="AP152" i="2" s="1"/>
  <c r="AT144" i="2"/>
  <c r="AL144" i="2"/>
  <c r="AL151" i="2" s="1"/>
  <c r="AD144" i="2"/>
  <c r="AD151" i="2" s="1"/>
  <c r="V144" i="2"/>
  <c r="N144" i="2"/>
  <c r="N151" i="2" s="1"/>
  <c r="AI144" i="2"/>
  <c r="K144" i="2"/>
  <c r="K151" i="2" s="1"/>
  <c r="K152" i="2" s="1"/>
  <c r="AH144" i="2"/>
  <c r="AH151" i="2" s="1"/>
  <c r="Z144" i="2"/>
  <c r="Z151" i="2" s="1"/>
  <c r="R144" i="2"/>
  <c r="R151" i="2" s="1"/>
  <c r="R152" i="2" s="1"/>
  <c r="J144" i="2"/>
  <c r="J151" i="2" s="1"/>
  <c r="J152" i="2" s="1"/>
  <c r="Y144" i="2"/>
  <c r="AS144" i="2"/>
  <c r="AS151" i="2" s="1"/>
  <c r="AK144" i="2"/>
  <c r="AC144" i="2"/>
  <c r="AC151" i="2" s="1"/>
  <c r="AC152" i="2" s="1"/>
  <c r="U144" i="2"/>
  <c r="U151" i="2" s="1"/>
  <c r="M144" i="2"/>
  <c r="M151" i="2" s="1"/>
  <c r="AQ144" i="2"/>
  <c r="AQ151" i="2" s="1"/>
  <c r="AA144" i="2"/>
  <c r="AA151" i="2" s="1"/>
  <c r="S144" i="2"/>
  <c r="S151" i="2" s="1"/>
  <c r="S152" i="2" s="1"/>
  <c r="AG144" i="2"/>
  <c r="AG151" i="2" s="1"/>
  <c r="I144" i="2"/>
  <c r="AR144" i="2"/>
  <c r="AR151" i="2" s="1"/>
  <c r="AJ144" i="2"/>
  <c r="AJ151" i="2" s="1"/>
  <c r="AB144" i="2"/>
  <c r="AB151" i="2" s="1"/>
  <c r="T144" i="2"/>
  <c r="T151" i="2" s="1"/>
  <c r="L144" i="2"/>
  <c r="AO144" i="2"/>
  <c r="AO151" i="2" s="1"/>
  <c r="Q144" i="2"/>
  <c r="Q151" i="2" s="1"/>
  <c r="Q152" i="2" s="1"/>
  <c r="I141" i="1"/>
  <c r="R48" i="2"/>
  <c r="AS48" i="2"/>
  <c r="Z48" i="2"/>
  <c r="O48" i="2"/>
  <c r="K48" i="2"/>
  <c r="M48" i="2"/>
  <c r="Q48" i="2"/>
  <c r="AR48" i="2"/>
  <c r="AP48" i="2"/>
  <c r="AJ48" i="2"/>
  <c r="AD48" i="2"/>
  <c r="AQ48" i="2"/>
  <c r="AH48" i="2"/>
  <c r="T48" i="2"/>
  <c r="S48" i="2"/>
  <c r="W48" i="2"/>
  <c r="AV48" i="2"/>
  <c r="Y48" i="2"/>
  <c r="P48" i="2"/>
  <c r="AM48" i="2"/>
  <c r="V48" i="2"/>
  <c r="AT48" i="2"/>
  <c r="AO48" i="2"/>
  <c r="L48" i="2"/>
  <c r="AK48" i="2"/>
  <c r="N48" i="2"/>
  <c r="X48" i="2"/>
  <c r="AC48" i="2"/>
  <c r="AB48" i="2"/>
  <c r="AU48" i="2"/>
  <c r="I48" i="2"/>
  <c r="AI48" i="2"/>
  <c r="AG48" i="2"/>
  <c r="U48" i="2"/>
  <c r="AL48" i="2"/>
  <c r="AF48" i="2"/>
  <c r="AN48" i="2"/>
  <c r="AE48" i="2"/>
  <c r="AA48" i="2"/>
  <c r="J48" i="2"/>
  <c r="E120" i="5" l="1"/>
  <c r="K76" i="2"/>
  <c r="AI60" i="5"/>
  <c r="AI61" i="5" s="1"/>
  <c r="L76" i="2"/>
  <c r="AM60" i="5"/>
  <c r="AM61" i="5" s="1"/>
  <c r="AU76" i="2"/>
  <c r="AE60" i="5"/>
  <c r="AE61" i="5" s="1"/>
  <c r="AE63" i="5" s="1"/>
  <c r="AQ60" i="5"/>
  <c r="AQ61" i="5" s="1"/>
  <c r="AQ64" i="5" s="1"/>
  <c r="AO76" i="2"/>
  <c r="AL76" i="2"/>
  <c r="V76" i="2"/>
  <c r="AB61" i="5"/>
  <c r="AB64" i="5" s="1"/>
  <c r="AB76" i="2"/>
  <c r="O76" i="2"/>
  <c r="AK61" i="5"/>
  <c r="AK64" i="5" s="1"/>
  <c r="G76" i="2"/>
  <c r="Y60" i="5"/>
  <c r="Y61" i="5" s="1"/>
  <c r="E76" i="2"/>
  <c r="E77" i="2" s="1"/>
  <c r="F76" i="2"/>
  <c r="F77" i="2" s="1"/>
  <c r="S76" i="2"/>
  <c r="U76" i="2"/>
  <c r="D76" i="2"/>
  <c r="D77" i="2" s="1"/>
  <c r="J76" i="2"/>
  <c r="R76" i="2"/>
  <c r="AH76" i="2"/>
  <c r="P76" i="2"/>
  <c r="I76" i="2"/>
  <c r="AE76" i="2"/>
  <c r="M76" i="2"/>
  <c r="Z76" i="2"/>
  <c r="AS76" i="2"/>
  <c r="X76" i="2"/>
  <c r="AV60" i="5"/>
  <c r="AV61" i="5" s="1"/>
  <c r="W76" i="2"/>
  <c r="T76" i="2"/>
  <c r="AD76" i="2"/>
  <c r="AM76" i="2"/>
  <c r="AI76" i="2"/>
  <c r="AR76" i="2"/>
  <c r="AQ76" i="2"/>
  <c r="AJ76" i="2"/>
  <c r="AV76" i="2"/>
  <c r="AN60" i="5"/>
  <c r="AN61" i="5" s="1"/>
  <c r="V61" i="5"/>
  <c r="V64" i="5" s="1"/>
  <c r="W61" i="5"/>
  <c r="W63" i="5" s="1"/>
  <c r="AP60" i="5"/>
  <c r="AP61" i="5" s="1"/>
  <c r="AP63" i="5" s="1"/>
  <c r="U61" i="5"/>
  <c r="U64" i="5" s="1"/>
  <c r="R61" i="5"/>
  <c r="R64" i="5" s="1"/>
  <c r="AO61" i="5"/>
  <c r="AO63" i="5" s="1"/>
  <c r="Q61" i="5"/>
  <c r="Q64" i="5" s="1"/>
  <c r="AT61" i="5"/>
  <c r="AT64" i="5" s="1"/>
  <c r="AR60" i="5"/>
  <c r="AR61" i="5" s="1"/>
  <c r="AR63" i="5" s="1"/>
  <c r="N61" i="5"/>
  <c r="N64" i="5" s="1"/>
  <c r="AU60" i="5"/>
  <c r="AU61" i="5" s="1"/>
  <c r="K61" i="5"/>
  <c r="K64" i="5" s="1"/>
  <c r="I158" i="5"/>
  <c r="Z158" i="5"/>
  <c r="Y158" i="5"/>
  <c r="S61" i="5"/>
  <c r="S64" i="5" s="1"/>
  <c r="AG61" i="5"/>
  <c r="L61" i="5"/>
  <c r="L64" i="5" s="1"/>
  <c r="L158" i="5"/>
  <c r="H141" i="5"/>
  <c r="H149" i="5" s="1"/>
  <c r="H157" i="5" s="1"/>
  <c r="G141" i="5"/>
  <c r="G149" i="5" s="1"/>
  <c r="G157" i="5" s="1"/>
  <c r="R158" i="5"/>
  <c r="AP158" i="5"/>
  <c r="W158" i="5"/>
  <c r="X158" i="5"/>
  <c r="Q158" i="5"/>
  <c r="AH61" i="5"/>
  <c r="P61" i="5"/>
  <c r="P64" i="5" s="1"/>
  <c r="AC61" i="5"/>
  <c r="Z61" i="5"/>
  <c r="AQ158" i="5"/>
  <c r="AS158" i="5"/>
  <c r="AU158" i="5"/>
  <c r="AK158" i="5"/>
  <c r="AF158" i="5"/>
  <c r="M158" i="5"/>
  <c r="T158" i="5"/>
  <c r="X61" i="5"/>
  <c r="AI158" i="5"/>
  <c r="M61" i="5"/>
  <c r="M64" i="5" s="1"/>
  <c r="AC158" i="5"/>
  <c r="AE158" i="5"/>
  <c r="AJ61" i="5"/>
  <c r="AA61" i="5"/>
  <c r="J61" i="5"/>
  <c r="J64" i="5" s="1"/>
  <c r="J158" i="5"/>
  <c r="AH158" i="5"/>
  <c r="K158" i="5"/>
  <c r="AD158" i="5"/>
  <c r="N158" i="5"/>
  <c r="O61" i="5"/>
  <c r="O64" i="5" s="1"/>
  <c r="AS61" i="5"/>
  <c r="T61" i="5"/>
  <c r="T64" i="5" s="1"/>
  <c r="AG158" i="5"/>
  <c r="U158" i="5"/>
  <c r="AJ158" i="5"/>
  <c r="AD61" i="5"/>
  <c r="V158" i="5"/>
  <c r="AN158" i="5"/>
  <c r="O158" i="5"/>
  <c r="P158" i="5"/>
  <c r="AT158" i="5"/>
  <c r="G49" i="5"/>
  <c r="G61" i="5" s="1"/>
  <c r="AF61" i="5"/>
  <c r="AA158" i="5"/>
  <c r="AM158" i="5"/>
  <c r="AL158" i="5"/>
  <c r="H49" i="5"/>
  <c r="H61" i="5" s="1"/>
  <c r="AL61" i="5"/>
  <c r="AA76" i="2"/>
  <c r="H76" i="2"/>
  <c r="N76" i="2"/>
  <c r="AP76" i="2"/>
  <c r="S158" i="5"/>
  <c r="AV158" i="5"/>
  <c r="AB158" i="5"/>
  <c r="AO158" i="5"/>
  <c r="AR158" i="5"/>
  <c r="I61" i="5"/>
  <c r="AC76" i="2"/>
  <c r="Q76" i="2"/>
  <c r="C76" i="2"/>
  <c r="C77" i="2" s="1"/>
  <c r="C78" i="2" s="1"/>
  <c r="Y76" i="2"/>
  <c r="AK76" i="2"/>
  <c r="AF76" i="2"/>
  <c r="AG76" i="2"/>
  <c r="AN76" i="2"/>
  <c r="D68" i="5"/>
  <c r="J16" i="5"/>
  <c r="J37" i="5" s="1"/>
  <c r="J38" i="5" s="1"/>
  <c r="J39" i="5" s="1"/>
  <c r="J62" i="5" s="1"/>
  <c r="K171" i="5"/>
  <c r="L20" i="5"/>
  <c r="V57" i="2"/>
  <c r="V58" i="2" s="1"/>
  <c r="W57" i="2"/>
  <c r="W58" i="2" s="1"/>
  <c r="H144" i="2"/>
  <c r="G144" i="2"/>
  <c r="T57" i="2"/>
  <c r="T58" i="2" s="1"/>
  <c r="Q57" i="2"/>
  <c r="Q58" i="2" s="1"/>
  <c r="U57" i="2"/>
  <c r="U58" i="2" s="1"/>
  <c r="N57" i="2"/>
  <c r="N58" i="2" s="1"/>
  <c r="AQ57" i="2"/>
  <c r="AQ58" i="2" s="1"/>
  <c r="AQ61" i="2" s="1"/>
  <c r="Z57" i="2"/>
  <c r="Z58" i="2" s="1"/>
  <c r="Z61" i="2" s="1"/>
  <c r="AB57" i="2"/>
  <c r="AB58" i="2" s="1"/>
  <c r="AB61" i="2" s="1"/>
  <c r="AO57" i="2"/>
  <c r="AO58" i="2" s="1"/>
  <c r="AO61" i="2" s="1"/>
  <c r="AI57" i="2"/>
  <c r="AI58" i="2" s="1"/>
  <c r="AI61" i="2" s="1"/>
  <c r="M57" i="2"/>
  <c r="M58" i="2" s="1"/>
  <c r="AK57" i="2"/>
  <c r="AK58" i="2" s="1"/>
  <c r="AK61" i="2" s="1"/>
  <c r="AD57" i="2"/>
  <c r="AD58" i="2" s="1"/>
  <c r="AD61" i="2" s="1"/>
  <c r="R57" i="2"/>
  <c r="R58" i="2" s="1"/>
  <c r="J57" i="2"/>
  <c r="J58" i="2" s="1"/>
  <c r="AT57" i="2"/>
  <c r="AT58" i="2" s="1"/>
  <c r="AT61" i="2" s="1"/>
  <c r="S57" i="2"/>
  <c r="S58" i="2" s="1"/>
  <c r="Y57" i="2"/>
  <c r="Y58" i="2" s="1"/>
  <c r="Y61" i="2" s="1"/>
  <c r="I57" i="2"/>
  <c r="I58" i="2" s="1"/>
  <c r="I61" i="2" s="1"/>
  <c r="AU57" i="2"/>
  <c r="AU58" i="2" s="1"/>
  <c r="AU61" i="2" s="1"/>
  <c r="O57" i="2"/>
  <c r="O58" i="2" s="1"/>
  <c r="X57" i="2"/>
  <c r="X58" i="2" s="1"/>
  <c r="X61" i="2" s="1"/>
  <c r="H57" i="2"/>
  <c r="AH57" i="2"/>
  <c r="AH58" i="2" s="1"/>
  <c r="AH61" i="2" s="1"/>
  <c r="AN57" i="2"/>
  <c r="AN58" i="2" s="1"/>
  <c r="AN61" i="2" s="1"/>
  <c r="P57" i="2"/>
  <c r="P58" i="2" s="1"/>
  <c r="AG57" i="2"/>
  <c r="AG58" i="2" s="1"/>
  <c r="AG61" i="2" s="1"/>
  <c r="AM57" i="2"/>
  <c r="AM58" i="2" s="1"/>
  <c r="AM61" i="2" s="1"/>
  <c r="AR57" i="2"/>
  <c r="AR58" i="2" s="1"/>
  <c r="AR61" i="2" s="1"/>
  <c r="L57" i="2"/>
  <c r="L58" i="2" s="1"/>
  <c r="K57" i="2"/>
  <c r="K58" i="2" s="1"/>
  <c r="AF57" i="2"/>
  <c r="AF58" i="2" s="1"/>
  <c r="AF61" i="2" s="1"/>
  <c r="G57" i="2"/>
  <c r="AL57" i="2"/>
  <c r="AL58" i="2" s="1"/>
  <c r="AL61" i="2" s="1"/>
  <c r="AA57" i="2"/>
  <c r="AA58" i="2" s="1"/>
  <c r="AA61" i="2" s="1"/>
  <c r="AV57" i="2"/>
  <c r="AV58" i="2" s="1"/>
  <c r="AV61" i="2" s="1"/>
  <c r="AP57" i="2"/>
  <c r="AP58" i="2" s="1"/>
  <c r="AP61" i="2" s="1"/>
  <c r="AC57" i="2"/>
  <c r="AC58" i="2" s="1"/>
  <c r="AC61" i="2" s="1"/>
  <c r="AJ57" i="2"/>
  <c r="AJ58" i="2" s="1"/>
  <c r="AJ61" i="2" s="1"/>
  <c r="AE57" i="2"/>
  <c r="AE58" i="2" s="1"/>
  <c r="AE61" i="2" s="1"/>
  <c r="AS57" i="2"/>
  <c r="AS58" i="2" s="1"/>
  <c r="AS61" i="2" s="1"/>
  <c r="C101" i="2"/>
  <c r="C112" i="2" s="1"/>
  <c r="C114" i="2" s="1"/>
  <c r="C115" i="2" s="1"/>
  <c r="D115" i="2" s="1"/>
  <c r="C175" i="2"/>
  <c r="AN152" i="2"/>
  <c r="AJ152" i="2"/>
  <c r="N152" i="2"/>
  <c r="AG152" i="2"/>
  <c r="AS152" i="2"/>
  <c r="AA152" i="2"/>
  <c r="AQ152" i="2"/>
  <c r="T152" i="2"/>
  <c r="AU152" i="2"/>
  <c r="U152" i="2"/>
  <c r="M152" i="2"/>
  <c r="AD152" i="2"/>
  <c r="AB152" i="2"/>
  <c r="AR152" i="2"/>
  <c r="AH152" i="2"/>
  <c r="AL152" i="2"/>
  <c r="Z152" i="2"/>
  <c r="AO152" i="2"/>
  <c r="AV152" i="2"/>
  <c r="P152" i="2"/>
  <c r="Y151" i="2"/>
  <c r="G48" i="2"/>
  <c r="H48" i="2"/>
  <c r="AI151" i="2"/>
  <c r="AT151" i="2"/>
  <c r="W151" i="2"/>
  <c r="L151" i="2"/>
  <c r="X151" i="2"/>
  <c r="I151" i="2"/>
  <c r="AK151" i="2"/>
  <c r="V151" i="2"/>
  <c r="D72" i="5" l="1" a="1"/>
  <c r="D72" i="5" s="1"/>
  <c r="AQ63" i="5"/>
  <c r="AQ124" i="5" s="1"/>
  <c r="AQ128" i="5" s="1"/>
  <c r="AQ129" i="5" s="1"/>
  <c r="V63" i="5"/>
  <c r="V124" i="5" s="1"/>
  <c r="V128" i="5" s="1"/>
  <c r="V129" i="5" s="1"/>
  <c r="AO64" i="5"/>
  <c r="AK63" i="5"/>
  <c r="AK124" i="5" s="1"/>
  <c r="AK128" i="5" s="1"/>
  <c r="AK129" i="5" s="1"/>
  <c r="AB63" i="5"/>
  <c r="AB86" i="5" s="1"/>
  <c r="AB88" i="5" s="1"/>
  <c r="AB89" i="5" s="1"/>
  <c r="AE64" i="5"/>
  <c r="AP64" i="5"/>
  <c r="D78" i="2"/>
  <c r="D79" i="2" s="1"/>
  <c r="AT63" i="5"/>
  <c r="AT86" i="5" s="1"/>
  <c r="AT88" i="5" s="1"/>
  <c r="AT89" i="5" s="1"/>
  <c r="W64" i="5"/>
  <c r="AR64" i="5"/>
  <c r="AA64" i="5"/>
  <c r="AA63" i="5"/>
  <c r="X63" i="5"/>
  <c r="X64" i="5"/>
  <c r="H64" i="5"/>
  <c r="H63" i="5"/>
  <c r="H158" i="5"/>
  <c r="W86" i="5"/>
  <c r="W124" i="5"/>
  <c r="W128" i="5" s="1"/>
  <c r="W129" i="5" s="1"/>
  <c r="W65" i="5"/>
  <c r="AN63" i="5"/>
  <c r="AN64" i="5"/>
  <c r="AF63" i="5"/>
  <c r="AF64" i="5"/>
  <c r="AU63" i="5"/>
  <c r="AU64" i="5"/>
  <c r="AL63" i="5"/>
  <c r="AL64" i="5"/>
  <c r="G158" i="5"/>
  <c r="AH63" i="5"/>
  <c r="AH64" i="5"/>
  <c r="AM63" i="5"/>
  <c r="AM64" i="5"/>
  <c r="AV64" i="5"/>
  <c r="AV63" i="5"/>
  <c r="AS64" i="5"/>
  <c r="AS63" i="5"/>
  <c r="AJ64" i="5"/>
  <c r="AJ63" i="5"/>
  <c r="AD63" i="5"/>
  <c r="AD64" i="5"/>
  <c r="AO124" i="5"/>
  <c r="AO128" i="5" s="1"/>
  <c r="AO129" i="5" s="1"/>
  <c r="AO65" i="5"/>
  <c r="AO86" i="5"/>
  <c r="AO88" i="5" s="1"/>
  <c r="AO89" i="5" s="1"/>
  <c r="AC63" i="5"/>
  <c r="AC64" i="5"/>
  <c r="I64" i="5"/>
  <c r="I63" i="5"/>
  <c r="AE124" i="5"/>
  <c r="AE128" i="5" s="1"/>
  <c r="AE129" i="5" s="1"/>
  <c r="AE86" i="5"/>
  <c r="AE88" i="5" s="1"/>
  <c r="AE89" i="5" s="1"/>
  <c r="AE65" i="5"/>
  <c r="AP65" i="5"/>
  <c r="AP86" i="5"/>
  <c r="AP88" i="5" s="1"/>
  <c r="AP89" i="5" s="1"/>
  <c r="AP124" i="5"/>
  <c r="AP128" i="5" s="1"/>
  <c r="AP129" i="5" s="1"/>
  <c r="AR65" i="5"/>
  <c r="AR86" i="5"/>
  <c r="AR88" i="5" s="1"/>
  <c r="AR89" i="5" s="1"/>
  <c r="AR124" i="5"/>
  <c r="AR128" i="5" s="1"/>
  <c r="AR129" i="5" s="1"/>
  <c r="V65" i="5"/>
  <c r="V86" i="5"/>
  <c r="G63" i="5"/>
  <c r="G64" i="5"/>
  <c r="Y63" i="5"/>
  <c r="Y64" i="5"/>
  <c r="Z64" i="5"/>
  <c r="Z63" i="5"/>
  <c r="AI63" i="5"/>
  <c r="AI64" i="5"/>
  <c r="AG64" i="5"/>
  <c r="AG63" i="5"/>
  <c r="AF79" i="5"/>
  <c r="AH79" i="5"/>
  <c r="W79" i="5"/>
  <c r="AD79" i="5"/>
  <c r="AT79" i="5"/>
  <c r="AP79" i="5"/>
  <c r="AR79" i="5"/>
  <c r="AB79" i="5"/>
  <c r="G79" i="5"/>
  <c r="AQ79" i="5"/>
  <c r="F79" i="5"/>
  <c r="F80" i="5" s="1"/>
  <c r="V79" i="5"/>
  <c r="J79" i="5"/>
  <c r="T79" i="5"/>
  <c r="X79" i="5"/>
  <c r="R79" i="5"/>
  <c r="N79" i="5"/>
  <c r="M79" i="5"/>
  <c r="AV79" i="5"/>
  <c r="AK79" i="5"/>
  <c r="AM79" i="5"/>
  <c r="E79" i="5"/>
  <c r="E80" i="5" s="1"/>
  <c r="P79" i="5"/>
  <c r="Y79" i="5"/>
  <c r="Z79" i="5"/>
  <c r="L79" i="5"/>
  <c r="AS79" i="5"/>
  <c r="H79" i="5"/>
  <c r="O79" i="5"/>
  <c r="I79" i="5"/>
  <c r="K79" i="5"/>
  <c r="S79" i="5"/>
  <c r="C79" i="5"/>
  <c r="C80" i="5" s="1"/>
  <c r="C81" i="5" s="1"/>
  <c r="AJ79" i="5"/>
  <c r="AO79" i="5"/>
  <c r="AL79" i="5"/>
  <c r="AI79" i="5"/>
  <c r="AA79" i="5"/>
  <c r="AU79" i="5"/>
  <c r="AN79" i="5"/>
  <c r="D79" i="5"/>
  <c r="D80" i="5" s="1"/>
  <c r="Q79" i="5"/>
  <c r="AG79" i="5"/>
  <c r="AE79" i="5"/>
  <c r="U79" i="5"/>
  <c r="AC79" i="5"/>
  <c r="J18" i="5"/>
  <c r="K15" i="5" s="1"/>
  <c r="J63" i="5"/>
  <c r="L21" i="5"/>
  <c r="L23" i="5" s="1"/>
  <c r="G59" i="2"/>
  <c r="H58" i="2"/>
  <c r="H61" i="2" s="1"/>
  <c r="G58" i="2"/>
  <c r="G61" i="2" s="1"/>
  <c r="AK152" i="2"/>
  <c r="W152" i="2"/>
  <c r="AT152" i="2"/>
  <c r="V152" i="2"/>
  <c r="L152" i="2"/>
  <c r="I152" i="2"/>
  <c r="Y152" i="2"/>
  <c r="X152" i="2"/>
  <c r="AI152" i="2"/>
  <c r="U61" i="2"/>
  <c r="R61" i="2"/>
  <c r="Q61" i="2"/>
  <c r="K61" i="2"/>
  <c r="P61" i="2"/>
  <c r="O61" i="2"/>
  <c r="W61" i="2"/>
  <c r="V61" i="2"/>
  <c r="N61" i="2"/>
  <c r="M61" i="2"/>
  <c r="L61" i="2"/>
  <c r="S61" i="2"/>
  <c r="J61" i="2"/>
  <c r="T61" i="2"/>
  <c r="D116" i="2"/>
  <c r="E115" i="2"/>
  <c r="D69" i="2" a="1"/>
  <c r="D69" i="2" s="1"/>
  <c r="G151" i="2"/>
  <c r="G152" i="2" s="1"/>
  <c r="H151" i="2"/>
  <c r="H152" i="2" s="1"/>
  <c r="C157" i="2" l="1"/>
  <c r="AQ86" i="5"/>
  <c r="AQ88" i="5" s="1"/>
  <c r="AQ89" i="5" s="1"/>
  <c r="AQ65" i="5"/>
  <c r="AK65" i="5"/>
  <c r="AK73" i="5" s="1"/>
  <c r="AK86" i="5"/>
  <c r="AK88" i="5" s="1"/>
  <c r="AK89" i="5" s="1"/>
  <c r="C163" i="5"/>
  <c r="AB65" i="5"/>
  <c r="AB78" i="5" s="1"/>
  <c r="AB80" i="5" s="1"/>
  <c r="C70" i="5"/>
  <c r="AB124" i="5"/>
  <c r="AB128" i="5" s="1"/>
  <c r="AB129" i="5" s="1"/>
  <c r="AT65" i="5"/>
  <c r="AT168" i="5" s="1"/>
  <c r="E78" i="2"/>
  <c r="E79" i="2" s="1"/>
  <c r="AT124" i="5"/>
  <c r="AT128" i="5" s="1"/>
  <c r="AT129" i="5" s="1"/>
  <c r="AR73" i="5"/>
  <c r="AR168" i="5"/>
  <c r="AR78" i="5"/>
  <c r="AR80" i="5" s="1"/>
  <c r="AF65" i="5"/>
  <c r="AF124" i="5"/>
  <c r="AF128" i="5" s="1"/>
  <c r="AF129" i="5" s="1"/>
  <c r="AF86" i="5"/>
  <c r="AF88" i="5" s="1"/>
  <c r="AF89" i="5" s="1"/>
  <c r="Z124" i="5"/>
  <c r="Z128" i="5" s="1"/>
  <c r="Z129" i="5" s="1"/>
  <c r="Z65" i="5"/>
  <c r="Z86" i="5"/>
  <c r="Z88" i="5" s="1"/>
  <c r="Z89" i="5" s="1"/>
  <c r="AK78" i="5"/>
  <c r="AK80" i="5" s="1"/>
  <c r="AK168" i="5"/>
  <c r="AN86" i="5"/>
  <c r="AN88" i="5" s="1"/>
  <c r="AN89" i="5" s="1"/>
  <c r="AN65" i="5"/>
  <c r="AN124" i="5"/>
  <c r="AN128" i="5" s="1"/>
  <c r="AN129" i="5" s="1"/>
  <c r="AI86" i="5"/>
  <c r="AI88" i="5" s="1"/>
  <c r="AI89" i="5" s="1"/>
  <c r="AI65" i="5"/>
  <c r="AI124" i="5"/>
  <c r="AI128" i="5" s="1"/>
  <c r="AI129" i="5" s="1"/>
  <c r="V78" i="5"/>
  <c r="V80" i="5" s="1"/>
  <c r="V73" i="5"/>
  <c r="V168" i="5"/>
  <c r="AE168" i="5"/>
  <c r="AE78" i="5"/>
  <c r="AE80" i="5" s="1"/>
  <c r="AE73" i="5"/>
  <c r="AO73" i="5"/>
  <c r="AO78" i="5"/>
  <c r="AO80" i="5" s="1"/>
  <c r="AO168" i="5"/>
  <c r="AS86" i="5"/>
  <c r="AS88" i="5" s="1"/>
  <c r="AS89" i="5" s="1"/>
  <c r="AS65" i="5"/>
  <c r="AS124" i="5"/>
  <c r="AS128" i="5" s="1"/>
  <c r="AS129" i="5" s="1"/>
  <c r="AM86" i="5"/>
  <c r="AM88" i="5" s="1"/>
  <c r="AM89" i="5" s="1"/>
  <c r="AM124" i="5"/>
  <c r="AM128" i="5" s="1"/>
  <c r="AM129" i="5" s="1"/>
  <c r="AM65" i="5"/>
  <c r="W78" i="5"/>
  <c r="W80" i="5" s="1"/>
  <c r="W168" i="5"/>
  <c r="W73" i="5"/>
  <c r="X124" i="5"/>
  <c r="X128" i="5" s="1"/>
  <c r="X129" i="5" s="1"/>
  <c r="X86" i="5"/>
  <c r="X88" i="5" s="1"/>
  <c r="X89" i="5" s="1"/>
  <c r="X65" i="5"/>
  <c r="AH86" i="5"/>
  <c r="AH88" i="5" s="1"/>
  <c r="AH89" i="5" s="1"/>
  <c r="AH124" i="5"/>
  <c r="AH128" i="5" s="1"/>
  <c r="AH129" i="5" s="1"/>
  <c r="AH65" i="5"/>
  <c r="C69" i="5"/>
  <c r="AD124" i="5"/>
  <c r="AD128" i="5" s="1"/>
  <c r="AD129" i="5" s="1"/>
  <c r="AD65" i="5"/>
  <c r="AD86" i="5"/>
  <c r="AD88" i="5" s="1"/>
  <c r="AD89" i="5" s="1"/>
  <c r="G65" i="5"/>
  <c r="G86" i="5"/>
  <c r="G124" i="5"/>
  <c r="G128" i="5" s="1"/>
  <c r="G129" i="5" s="1"/>
  <c r="I124" i="5"/>
  <c r="I128" i="5" s="1"/>
  <c r="I129" i="5" s="1"/>
  <c r="I65" i="5"/>
  <c r="I86" i="5"/>
  <c r="AC124" i="5"/>
  <c r="AC128" i="5" s="1"/>
  <c r="AC129" i="5" s="1"/>
  <c r="AC86" i="5"/>
  <c r="AC88" i="5" s="1"/>
  <c r="AC89" i="5" s="1"/>
  <c r="AC65" i="5"/>
  <c r="AJ86" i="5"/>
  <c r="AJ88" i="5" s="1"/>
  <c r="AJ89" i="5" s="1"/>
  <c r="AJ124" i="5"/>
  <c r="AJ128" i="5" s="1"/>
  <c r="AJ129" i="5" s="1"/>
  <c r="AJ65" i="5"/>
  <c r="V99" i="5"/>
  <c r="V104" i="5" s="1"/>
  <c r="V88" i="5"/>
  <c r="V89" i="5" s="1"/>
  <c r="AP168" i="5"/>
  <c r="AP73" i="5"/>
  <c r="AP78" i="5"/>
  <c r="AP80" i="5" s="1"/>
  <c r="AL124" i="5"/>
  <c r="AL128" i="5" s="1"/>
  <c r="AL129" i="5" s="1"/>
  <c r="AL86" i="5"/>
  <c r="AL88" i="5" s="1"/>
  <c r="AL89" i="5" s="1"/>
  <c r="AL65" i="5"/>
  <c r="AA86" i="5"/>
  <c r="AA88" i="5" s="1"/>
  <c r="AA89" i="5" s="1"/>
  <c r="AA65" i="5"/>
  <c r="AA124" i="5"/>
  <c r="AA128" i="5" s="1"/>
  <c r="AA129" i="5" s="1"/>
  <c r="AG124" i="5"/>
  <c r="AG128" i="5" s="1"/>
  <c r="AG129" i="5" s="1"/>
  <c r="AG86" i="5"/>
  <c r="AG88" i="5" s="1"/>
  <c r="AG89" i="5" s="1"/>
  <c r="AG65" i="5"/>
  <c r="AQ168" i="5"/>
  <c r="AQ78" i="5"/>
  <c r="AQ80" i="5" s="1"/>
  <c r="AQ73" i="5"/>
  <c r="AU65" i="5"/>
  <c r="AU124" i="5"/>
  <c r="AU128" i="5" s="1"/>
  <c r="AU129" i="5" s="1"/>
  <c r="AU86" i="5"/>
  <c r="AU88" i="5" s="1"/>
  <c r="AU89" i="5" s="1"/>
  <c r="H124" i="5"/>
  <c r="H128" i="5" s="1"/>
  <c r="H129" i="5" s="1"/>
  <c r="H86" i="5"/>
  <c r="H65" i="5"/>
  <c r="Y65" i="5"/>
  <c r="Y124" i="5"/>
  <c r="Y128" i="5" s="1"/>
  <c r="Y129" i="5" s="1"/>
  <c r="Y86" i="5"/>
  <c r="Y88" i="5" s="1"/>
  <c r="Y89" i="5" s="1"/>
  <c r="AV86" i="5"/>
  <c r="AV88" i="5" s="1"/>
  <c r="AV89" i="5" s="1"/>
  <c r="AV65" i="5"/>
  <c r="AV124" i="5"/>
  <c r="AV128" i="5" s="1"/>
  <c r="AV129" i="5" s="1"/>
  <c r="D162" i="5"/>
  <c r="C162" i="5"/>
  <c r="F162" i="5"/>
  <c r="E162" i="5"/>
  <c r="W99" i="5"/>
  <c r="W104" i="5" s="1"/>
  <c r="W88" i="5"/>
  <c r="W89" i="5" s="1"/>
  <c r="D81" i="5"/>
  <c r="E81" i="5" s="1"/>
  <c r="J170" i="5"/>
  <c r="L171" i="5"/>
  <c r="M20" i="5"/>
  <c r="J124" i="5"/>
  <c r="J128" i="5" s="1"/>
  <c r="J129" i="5" s="1"/>
  <c r="J86" i="5"/>
  <c r="J65" i="5"/>
  <c r="K16" i="5"/>
  <c r="K37" i="5" s="1"/>
  <c r="K38" i="5" s="1"/>
  <c r="K39" i="5" s="1"/>
  <c r="K62" i="5" s="1"/>
  <c r="G60" i="2"/>
  <c r="D156" i="2"/>
  <c r="C156" i="2"/>
  <c r="F156" i="2"/>
  <c r="E156" i="2"/>
  <c r="C66" i="2"/>
  <c r="C67" i="2"/>
  <c r="F115" i="2"/>
  <c r="F116" i="2" s="1"/>
  <c r="E116" i="2"/>
  <c r="AB73" i="5" l="1"/>
  <c r="AB168" i="5"/>
  <c r="AT78" i="5"/>
  <c r="AT80" i="5" s="1"/>
  <c r="AT73" i="5"/>
  <c r="F78" i="2"/>
  <c r="F79" i="2" s="1"/>
  <c r="AC78" i="5"/>
  <c r="AC80" i="5" s="1"/>
  <c r="AC73" i="5"/>
  <c r="AC168" i="5"/>
  <c r="Z73" i="5"/>
  <c r="Z168" i="5"/>
  <c r="Z78" i="5"/>
  <c r="Z80" i="5" s="1"/>
  <c r="H78" i="5"/>
  <c r="H80" i="5" s="1"/>
  <c r="H168" i="5"/>
  <c r="AG73" i="5"/>
  <c r="AG78" i="5"/>
  <c r="AG80" i="5" s="1"/>
  <c r="AG168" i="5"/>
  <c r="AM78" i="5"/>
  <c r="AM80" i="5" s="1"/>
  <c r="AM168" i="5"/>
  <c r="AM73" i="5"/>
  <c r="AI78" i="5"/>
  <c r="AI80" i="5" s="1"/>
  <c r="AI73" i="5"/>
  <c r="AI168" i="5"/>
  <c r="D82" i="5"/>
  <c r="AJ168" i="5"/>
  <c r="AJ78" i="5"/>
  <c r="AJ80" i="5" s="1"/>
  <c r="AJ73" i="5"/>
  <c r="AH168" i="5"/>
  <c r="AH73" i="5"/>
  <c r="AH78" i="5"/>
  <c r="AH80" i="5" s="1"/>
  <c r="AN168" i="5"/>
  <c r="AN73" i="5"/>
  <c r="AN78" i="5"/>
  <c r="AN80" i="5" s="1"/>
  <c r="H99" i="5"/>
  <c r="H104" i="5" s="1"/>
  <c r="H88" i="5"/>
  <c r="H89" i="5" s="1"/>
  <c r="V105" i="5"/>
  <c r="V116" i="5" s="1"/>
  <c r="V118" i="5" s="1"/>
  <c r="I99" i="5"/>
  <c r="I104" i="5" s="1"/>
  <c r="I88" i="5"/>
  <c r="I89" i="5" s="1"/>
  <c r="AL168" i="5"/>
  <c r="AL73" i="5"/>
  <c r="AL78" i="5"/>
  <c r="AL80" i="5" s="1"/>
  <c r="I73" i="5"/>
  <c r="I78" i="5"/>
  <c r="I80" i="5" s="1"/>
  <c r="I168" i="5"/>
  <c r="AD78" i="5"/>
  <c r="AD80" i="5" s="1"/>
  <c r="AD73" i="5"/>
  <c r="AD168" i="5"/>
  <c r="X168" i="5"/>
  <c r="X73" i="5"/>
  <c r="X78" i="5"/>
  <c r="X80" i="5" s="1"/>
  <c r="AV78" i="5"/>
  <c r="AV80" i="5" s="1"/>
  <c r="AV168" i="5"/>
  <c r="AU169" i="5" s="1"/>
  <c r="AV73" i="5"/>
  <c r="W105" i="5"/>
  <c r="W116" i="5" s="1"/>
  <c r="W118" i="5" s="1"/>
  <c r="AU168" i="5"/>
  <c r="AU78" i="5"/>
  <c r="AU80" i="5" s="1"/>
  <c r="AU73" i="5"/>
  <c r="AS168" i="5"/>
  <c r="AS78" i="5"/>
  <c r="AS80" i="5" s="1"/>
  <c r="AS73" i="5"/>
  <c r="AF168" i="5"/>
  <c r="AF73" i="5"/>
  <c r="AF78" i="5"/>
  <c r="AF80" i="5" s="1"/>
  <c r="G168" i="5"/>
  <c r="G78" i="5"/>
  <c r="G80" i="5" s="1"/>
  <c r="Y168" i="5"/>
  <c r="Y73" i="5"/>
  <c r="Y78" i="5"/>
  <c r="Y80" i="5" s="1"/>
  <c r="AA168" i="5"/>
  <c r="AA73" i="5"/>
  <c r="AA78" i="5"/>
  <c r="AA80" i="5" s="1"/>
  <c r="G88" i="5"/>
  <c r="G89" i="5" s="1"/>
  <c r="G99" i="5"/>
  <c r="G104" i="5" s="1"/>
  <c r="E82" i="5"/>
  <c r="F81" i="5"/>
  <c r="K18" i="5"/>
  <c r="M21" i="5"/>
  <c r="M23" i="5" s="1"/>
  <c r="K63" i="5"/>
  <c r="J168" i="5"/>
  <c r="J73" i="5"/>
  <c r="J78" i="5"/>
  <c r="J80" i="5" s="1"/>
  <c r="J99" i="5"/>
  <c r="J104" i="5" s="1"/>
  <c r="J88" i="5"/>
  <c r="G96" i="2"/>
  <c r="G120" i="2"/>
  <c r="G62" i="2"/>
  <c r="X169" i="5" l="1"/>
  <c r="X173" i="5" s="1"/>
  <c r="AQ169" i="5"/>
  <c r="AQ173" i="5" s="1"/>
  <c r="V169" i="5"/>
  <c r="V173" i="5" s="1"/>
  <c r="AC169" i="5"/>
  <c r="AC173" i="5" s="1"/>
  <c r="AK169" i="5"/>
  <c r="AK173" i="5" s="1"/>
  <c r="AE169" i="5"/>
  <c r="AE173" i="5" s="1"/>
  <c r="AM169" i="5"/>
  <c r="AM173" i="5" s="1"/>
  <c r="Y169" i="5"/>
  <c r="Y173" i="5" s="1"/>
  <c r="AI169" i="5"/>
  <c r="AI173" i="5" s="1"/>
  <c r="U169" i="5"/>
  <c r="AD169" i="5"/>
  <c r="AD173" i="5" s="1"/>
  <c r="G105" i="5"/>
  <c r="AL169" i="5"/>
  <c r="AL173" i="5" s="1"/>
  <c r="AU172" i="5"/>
  <c r="AU173" i="5"/>
  <c r="AU174" i="5"/>
  <c r="I105" i="5"/>
  <c r="I116" i="5" s="1"/>
  <c r="I118" i="5" s="1"/>
  <c r="AR169" i="5"/>
  <c r="AR173" i="5" s="1"/>
  <c r="AF169" i="5"/>
  <c r="AF173" i="5" s="1"/>
  <c r="AJ169" i="5"/>
  <c r="AJ173" i="5" s="1"/>
  <c r="AG169" i="5"/>
  <c r="AG173" i="5" s="1"/>
  <c r="AN169" i="5"/>
  <c r="AN173" i="5" s="1"/>
  <c r="Z169" i="5"/>
  <c r="Z173" i="5" s="1"/>
  <c r="AO169" i="5"/>
  <c r="AO173" i="5" s="1"/>
  <c r="AH169" i="5"/>
  <c r="AH173" i="5" s="1"/>
  <c r="AB169" i="5"/>
  <c r="AB173" i="5" s="1"/>
  <c r="AT169" i="5"/>
  <c r="AT173" i="5" s="1"/>
  <c r="H105" i="5"/>
  <c r="H116" i="5" s="1"/>
  <c r="H118" i="5" s="1"/>
  <c r="AP169" i="5"/>
  <c r="AP173" i="5" s="1"/>
  <c r="AA169" i="5"/>
  <c r="AA173" i="5" s="1"/>
  <c r="W169" i="5"/>
  <c r="W173" i="5" s="1"/>
  <c r="AS169" i="5"/>
  <c r="AS173" i="5" s="1"/>
  <c r="F82" i="5"/>
  <c r="G81" i="5"/>
  <c r="M171" i="5"/>
  <c r="N20" i="5"/>
  <c r="J89" i="5"/>
  <c r="J105" i="5"/>
  <c r="K65" i="5"/>
  <c r="K86" i="5"/>
  <c r="K124" i="5"/>
  <c r="K128" i="5" s="1"/>
  <c r="K129" i="5" s="1"/>
  <c r="K170" i="5"/>
  <c r="L15" i="5"/>
  <c r="G124" i="2"/>
  <c r="G125" i="2" s="1"/>
  <c r="G75" i="2"/>
  <c r="G77" i="2" s="1"/>
  <c r="G78" i="2" s="1"/>
  <c r="G163" i="2"/>
  <c r="G116" i="5" l="1"/>
  <c r="G118" i="5" s="1"/>
  <c r="G119" i="5" s="1"/>
  <c r="H119" i="5" s="1"/>
  <c r="H120" i="5" s="1"/>
  <c r="AU175" i="5"/>
  <c r="AU176" i="5"/>
  <c r="AU177" i="5"/>
  <c r="G82" i="5"/>
  <c r="H81" i="5"/>
  <c r="K168" i="5"/>
  <c r="K78" i="5"/>
  <c r="K80" i="5" s="1"/>
  <c r="K73" i="5"/>
  <c r="J116" i="5"/>
  <c r="J118" i="5" s="1"/>
  <c r="N21" i="5"/>
  <c r="N23" i="5" s="1"/>
  <c r="K99" i="5"/>
  <c r="K104" i="5" s="1"/>
  <c r="K88" i="5"/>
  <c r="L16" i="5"/>
  <c r="L37" i="5" s="1"/>
  <c r="L38" i="5" s="1"/>
  <c r="L39" i="5" s="1"/>
  <c r="L62" i="5" s="1"/>
  <c r="G79" i="2"/>
  <c r="G120" i="5" l="1"/>
  <c r="AU178" i="5"/>
  <c r="I119" i="5"/>
  <c r="I120" i="5" s="1"/>
  <c r="H82" i="5"/>
  <c r="I81" i="5"/>
  <c r="L18" i="5"/>
  <c r="L170" i="5" s="1"/>
  <c r="N171" i="5"/>
  <c r="O20" i="5"/>
  <c r="K105" i="5"/>
  <c r="L63" i="5"/>
  <c r="K89" i="5"/>
  <c r="G100" i="2"/>
  <c r="G18" i="2"/>
  <c r="G165" i="2" s="1"/>
  <c r="J119" i="5" l="1"/>
  <c r="J120" i="5" s="1"/>
  <c r="I82" i="5"/>
  <c r="J81" i="5"/>
  <c r="M15" i="5"/>
  <c r="M16" i="5" s="1"/>
  <c r="M37" i="5" s="1"/>
  <c r="M38" i="5" s="1"/>
  <c r="M39" i="5" s="1"/>
  <c r="M62" i="5" s="1"/>
  <c r="K116" i="5"/>
  <c r="K118" i="5" s="1"/>
  <c r="O21" i="5"/>
  <c r="O23" i="5" s="1"/>
  <c r="L124" i="5"/>
  <c r="L128" i="5" s="1"/>
  <c r="L129" i="5" s="1"/>
  <c r="L65" i="5"/>
  <c r="L86" i="5"/>
  <c r="G101" i="2"/>
  <c r="G112" i="2" s="1"/>
  <c r="G114" i="2" s="1"/>
  <c r="G115" i="2" s="1"/>
  <c r="H15" i="2"/>
  <c r="H16" i="2" s="1"/>
  <c r="K119" i="5" l="1"/>
  <c r="K120" i="5" s="1"/>
  <c r="J82" i="5"/>
  <c r="K81" i="5"/>
  <c r="K82" i="5" s="1"/>
  <c r="O171" i="5"/>
  <c r="P20" i="5"/>
  <c r="L168" i="5"/>
  <c r="L78" i="5"/>
  <c r="L80" i="5" s="1"/>
  <c r="L73" i="5"/>
  <c r="M63" i="5"/>
  <c r="M18" i="5"/>
  <c r="L88" i="5"/>
  <c r="L89" i="5" s="1"/>
  <c r="L99" i="5"/>
  <c r="L104" i="5" s="1"/>
  <c r="H18" i="2"/>
  <c r="H165" i="2" s="1"/>
  <c r="G116" i="2"/>
  <c r="L81" i="5" l="1"/>
  <c r="L82" i="5" s="1"/>
  <c r="M65" i="5"/>
  <c r="M86" i="5"/>
  <c r="M124" i="5"/>
  <c r="M128" i="5" s="1"/>
  <c r="M129" i="5" s="1"/>
  <c r="L105" i="5"/>
  <c r="P21" i="5"/>
  <c r="P23" i="5" s="1"/>
  <c r="M170" i="5"/>
  <c r="N15" i="5"/>
  <c r="I15" i="2"/>
  <c r="I16" i="2" s="1"/>
  <c r="L116" i="5" l="1"/>
  <c r="L118" i="5" s="1"/>
  <c r="L119" i="5" s="1"/>
  <c r="L120" i="5" s="1"/>
  <c r="N16" i="5"/>
  <c r="N37" i="5" s="1"/>
  <c r="N38" i="5" s="1"/>
  <c r="N39" i="5" s="1"/>
  <c r="N62" i="5" s="1"/>
  <c r="P171" i="5"/>
  <c r="Q20" i="5"/>
  <c r="M99" i="5"/>
  <c r="M104" i="5" s="1"/>
  <c r="M88" i="5"/>
  <c r="M89" i="5" s="1"/>
  <c r="M168" i="5"/>
  <c r="M73" i="5"/>
  <c r="M78" i="5"/>
  <c r="M80" i="5" s="1"/>
  <c r="M81" i="5" s="1"/>
  <c r="I18" i="2"/>
  <c r="I165" i="2" s="1"/>
  <c r="M105" i="5" l="1"/>
  <c r="Q21" i="5"/>
  <c r="Q23" i="5" s="1"/>
  <c r="N63" i="5"/>
  <c r="N18" i="5"/>
  <c r="M82" i="5"/>
  <c r="J15" i="2"/>
  <c r="J16" i="2" s="1"/>
  <c r="M116" i="5" l="1"/>
  <c r="M118" i="5" s="1"/>
  <c r="M119" i="5" s="1"/>
  <c r="M120" i="5" s="1"/>
  <c r="Q171" i="5"/>
  <c r="R20" i="5"/>
  <c r="N170" i="5"/>
  <c r="O15" i="5"/>
  <c r="N86" i="5"/>
  <c r="N65" i="5"/>
  <c r="N124" i="5"/>
  <c r="N128" i="5" s="1"/>
  <c r="N129" i="5" s="1"/>
  <c r="J18" i="2"/>
  <c r="K15" i="2" s="1"/>
  <c r="N168" i="5" l="1"/>
  <c r="N78" i="5"/>
  <c r="N80" i="5" s="1"/>
  <c r="N81" i="5" s="1"/>
  <c r="N73" i="5"/>
  <c r="R21" i="5"/>
  <c r="R23" i="5" s="1"/>
  <c r="N88" i="5"/>
  <c r="N89" i="5" s="1"/>
  <c r="N99" i="5"/>
  <c r="N104" i="5" s="1"/>
  <c r="O16" i="5"/>
  <c r="O37" i="5" s="1"/>
  <c r="O38" i="5" s="1"/>
  <c r="O39" i="5" s="1"/>
  <c r="O62" i="5" s="1"/>
  <c r="J165" i="2"/>
  <c r="K16" i="2"/>
  <c r="R171" i="5" l="1"/>
  <c r="S20" i="5"/>
  <c r="N105" i="5"/>
  <c r="N82" i="5"/>
  <c r="O63" i="5"/>
  <c r="O18" i="5"/>
  <c r="K18" i="2"/>
  <c r="K165" i="2" s="1"/>
  <c r="N116" i="5" l="1"/>
  <c r="N118" i="5" s="1"/>
  <c r="N119" i="5" s="1"/>
  <c r="N120" i="5" s="1"/>
  <c r="O86" i="5"/>
  <c r="O124" i="5"/>
  <c r="O128" i="5" s="1"/>
  <c r="O129" i="5" s="1"/>
  <c r="O65" i="5"/>
  <c r="S21" i="5"/>
  <c r="S23" i="5" s="1"/>
  <c r="O170" i="5"/>
  <c r="P15" i="5"/>
  <c r="L15" i="2"/>
  <c r="L16" i="2" s="1"/>
  <c r="P16" i="5" l="1"/>
  <c r="P37" i="5" s="1"/>
  <c r="P38" i="5" s="1"/>
  <c r="P39" i="5" s="1"/>
  <c r="P62" i="5" s="1"/>
  <c r="O168" i="5"/>
  <c r="O78" i="5"/>
  <c r="O80" i="5" s="1"/>
  <c r="O81" i="5" s="1"/>
  <c r="O73" i="5"/>
  <c r="S171" i="5"/>
  <c r="T20" i="5"/>
  <c r="O88" i="5"/>
  <c r="O89" i="5" s="1"/>
  <c r="O99" i="5"/>
  <c r="O104" i="5" s="1"/>
  <c r="L18" i="2"/>
  <c r="P18" i="5" l="1"/>
  <c r="P170" i="5" s="1"/>
  <c r="O82" i="5"/>
  <c r="O105" i="5"/>
  <c r="O116" i="5" s="1"/>
  <c r="O118" i="5" s="1"/>
  <c r="O119" i="5" s="1"/>
  <c r="T21" i="5"/>
  <c r="T23" i="5" s="1"/>
  <c r="P63" i="5"/>
  <c r="M15" i="2"/>
  <c r="L165" i="2"/>
  <c r="Q15" i="5" l="1"/>
  <c r="Q16" i="5" s="1"/>
  <c r="Q37" i="5" s="1"/>
  <c r="Q38" i="5" s="1"/>
  <c r="Q39" i="5" s="1"/>
  <c r="Q62" i="5" s="1"/>
  <c r="P124" i="5"/>
  <c r="P128" i="5" s="1"/>
  <c r="P129" i="5" s="1"/>
  <c r="P65" i="5"/>
  <c r="P86" i="5"/>
  <c r="T171" i="5"/>
  <c r="U20" i="5"/>
  <c r="O120" i="5"/>
  <c r="M16" i="2"/>
  <c r="P88" i="5" l="1"/>
  <c r="P89" i="5" s="1"/>
  <c r="P99" i="5"/>
  <c r="P104" i="5" s="1"/>
  <c r="P168" i="5"/>
  <c r="P73" i="5"/>
  <c r="P78" i="5"/>
  <c r="P80" i="5" s="1"/>
  <c r="P81" i="5" s="1"/>
  <c r="Q63" i="5"/>
  <c r="U21" i="5"/>
  <c r="U23" i="5" s="1"/>
  <c r="Q18" i="5"/>
  <c r="M18" i="2"/>
  <c r="U171" i="5" l="1"/>
  <c r="V20" i="5"/>
  <c r="P105" i="5"/>
  <c r="P116" i="5" s="1"/>
  <c r="P118" i="5" s="1"/>
  <c r="P119" i="5" s="1"/>
  <c r="Q86" i="5"/>
  <c r="Q124" i="5"/>
  <c r="Q128" i="5" s="1"/>
  <c r="Q129" i="5" s="1"/>
  <c r="Q65" i="5"/>
  <c r="P82" i="5"/>
  <c r="Q170" i="5"/>
  <c r="R15" i="5"/>
  <c r="N15" i="2"/>
  <c r="M165" i="2"/>
  <c r="V21" i="5" l="1"/>
  <c r="V23" i="5" s="1"/>
  <c r="Q88" i="5"/>
  <c r="Q89" i="5" s="1"/>
  <c r="Q99" i="5"/>
  <c r="Q104" i="5" s="1"/>
  <c r="P120" i="5"/>
  <c r="R16" i="5"/>
  <c r="R37" i="5" s="1"/>
  <c r="R38" i="5" s="1"/>
  <c r="R39" i="5" s="1"/>
  <c r="R62" i="5" s="1"/>
  <c r="Q168" i="5"/>
  <c r="Q73" i="5"/>
  <c r="Q78" i="5"/>
  <c r="Q80" i="5" s="1"/>
  <c r="Q81" i="5" s="1"/>
  <c r="U174" i="5"/>
  <c r="N16" i="2"/>
  <c r="R18" i="5" l="1"/>
  <c r="R170" i="5" s="1"/>
  <c r="Q82" i="5"/>
  <c r="Q105" i="5"/>
  <c r="Q116" i="5" s="1"/>
  <c r="Q118" i="5" s="1"/>
  <c r="Q119" i="5" s="1"/>
  <c r="R63" i="5"/>
  <c r="V171" i="5"/>
  <c r="W20" i="5"/>
  <c r="N18" i="2"/>
  <c r="N165" i="2" s="1"/>
  <c r="S15" i="5" l="1"/>
  <c r="S16" i="5" s="1"/>
  <c r="S37" i="5" s="1"/>
  <c r="S38" i="5" s="1"/>
  <c r="S39" i="5" s="1"/>
  <c r="S62" i="5" s="1"/>
  <c r="W21" i="5"/>
  <c r="W23" i="5" s="1"/>
  <c r="R124" i="5"/>
  <c r="R128" i="5" s="1"/>
  <c r="R129" i="5" s="1"/>
  <c r="R86" i="5"/>
  <c r="R65" i="5"/>
  <c r="Q120" i="5"/>
  <c r="V174" i="5"/>
  <c r="V172" i="5"/>
  <c r="O15" i="2"/>
  <c r="O16" i="2" s="1"/>
  <c r="W171" i="5" l="1"/>
  <c r="X20" i="5"/>
  <c r="R168" i="5"/>
  <c r="R73" i="5"/>
  <c r="R78" i="5"/>
  <c r="R80" i="5" s="1"/>
  <c r="R81" i="5" s="1"/>
  <c r="S63" i="5"/>
  <c r="S18" i="5"/>
  <c r="R99" i="5"/>
  <c r="R104" i="5" s="1"/>
  <c r="R88" i="5"/>
  <c r="R89" i="5" s="1"/>
  <c r="V176" i="5"/>
  <c r="V175" i="5"/>
  <c r="V177" i="5"/>
  <c r="O18" i="2"/>
  <c r="P15" i="2" s="1"/>
  <c r="S124" i="5" l="1"/>
  <c r="S128" i="5" s="1"/>
  <c r="S129" i="5" s="1"/>
  <c r="S86" i="5"/>
  <c r="S65" i="5"/>
  <c r="R82" i="5"/>
  <c r="S170" i="5"/>
  <c r="T15" i="5"/>
  <c r="V178" i="5"/>
  <c r="X21" i="5"/>
  <c r="X23" i="5" s="1"/>
  <c r="R105" i="5"/>
  <c r="R116" i="5" s="1"/>
  <c r="R118" i="5" s="1"/>
  <c r="R119" i="5" s="1"/>
  <c r="W174" i="5"/>
  <c r="W172" i="5"/>
  <c r="O165" i="2"/>
  <c r="P16" i="2"/>
  <c r="X171" i="5" l="1"/>
  <c r="Y20" i="5"/>
  <c r="T16" i="5"/>
  <c r="T37" i="5" s="1"/>
  <c r="T38" i="5" s="1"/>
  <c r="T39" i="5" s="1"/>
  <c r="T62" i="5" s="1"/>
  <c r="T18" i="5"/>
  <c r="W175" i="5"/>
  <c r="W176" i="5"/>
  <c r="W177" i="5"/>
  <c r="S168" i="5"/>
  <c r="S78" i="5"/>
  <c r="S80" i="5" s="1"/>
  <c r="S81" i="5" s="1"/>
  <c r="S73" i="5"/>
  <c r="R120" i="5"/>
  <c r="S99" i="5"/>
  <c r="S104" i="5" s="1"/>
  <c r="S88" i="5"/>
  <c r="S89" i="5" s="1"/>
  <c r="P18" i="2"/>
  <c r="P165" i="2" s="1"/>
  <c r="W178" i="5" l="1"/>
  <c r="S82" i="5"/>
  <c r="T63" i="5"/>
  <c r="S105" i="5"/>
  <c r="S116" i="5" s="1"/>
  <c r="S118" i="5" s="1"/>
  <c r="S119" i="5" s="1"/>
  <c r="T170" i="5"/>
  <c r="U15" i="5"/>
  <c r="Y21" i="5"/>
  <c r="Y23" i="5" s="1"/>
  <c r="X174" i="5"/>
  <c r="X172" i="5"/>
  <c r="X177" i="5" s="1"/>
  <c r="Q15" i="2"/>
  <c r="Q16" i="2" s="1"/>
  <c r="Y171" i="5" l="1"/>
  <c r="Z20" i="5"/>
  <c r="U16" i="5"/>
  <c r="U37" i="5" s="1"/>
  <c r="U38" i="5" s="1"/>
  <c r="U39" i="5" s="1"/>
  <c r="U62" i="5" s="1"/>
  <c r="S120" i="5"/>
  <c r="T124" i="5"/>
  <c r="T128" i="5" s="1"/>
  <c r="T129" i="5" s="1"/>
  <c r="T86" i="5"/>
  <c r="T65" i="5"/>
  <c r="X176" i="5"/>
  <c r="X178" i="5" s="1"/>
  <c r="X175" i="5"/>
  <c r="Q18" i="2"/>
  <c r="U18" i="5" l="1"/>
  <c r="U170" i="5" s="1"/>
  <c r="T168" i="5"/>
  <c r="T78" i="5"/>
  <c r="T80" i="5" s="1"/>
  <c r="T81" i="5" s="1"/>
  <c r="T73" i="5"/>
  <c r="U63" i="5"/>
  <c r="Z21" i="5"/>
  <c r="Z23" i="5" s="1"/>
  <c r="T99" i="5"/>
  <c r="T104" i="5" s="1"/>
  <c r="T88" i="5"/>
  <c r="T89" i="5" s="1"/>
  <c r="U173" i="5"/>
  <c r="U172" i="5"/>
  <c r="Y174" i="5"/>
  <c r="Y172" i="5"/>
  <c r="R15" i="2"/>
  <c r="Q165" i="2"/>
  <c r="Z171" i="5" l="1"/>
  <c r="AA20" i="5"/>
  <c r="U65" i="5"/>
  <c r="D70" i="5" s="1"/>
  <c r="U86" i="5"/>
  <c r="U124" i="5"/>
  <c r="U128" i="5" s="1"/>
  <c r="U129" i="5" s="1"/>
  <c r="U175" i="5"/>
  <c r="U177" i="5"/>
  <c r="U176" i="5"/>
  <c r="T105" i="5"/>
  <c r="T116" i="5" s="1"/>
  <c r="T118" i="5" s="1"/>
  <c r="T119" i="5" s="1"/>
  <c r="Y175" i="5"/>
  <c r="Y176" i="5"/>
  <c r="Y177" i="5"/>
  <c r="T82" i="5"/>
  <c r="R16" i="2"/>
  <c r="U178" i="5" l="1"/>
  <c r="F133" i="5"/>
  <c r="C134" i="5"/>
  <c r="D133" i="5"/>
  <c r="E133" i="5"/>
  <c r="C133" i="5"/>
  <c r="Y178" i="5"/>
  <c r="U99" i="5"/>
  <c r="U104" i="5" s="1"/>
  <c r="U88" i="5"/>
  <c r="U168" i="5"/>
  <c r="U78" i="5"/>
  <c r="U80" i="5" s="1"/>
  <c r="U81" i="5" s="1"/>
  <c r="U73" i="5"/>
  <c r="D73" i="5" s="1"/>
  <c r="H69" i="5"/>
  <c r="F69" i="5"/>
  <c r="E69" i="5"/>
  <c r="G69" i="5"/>
  <c r="D69" i="5"/>
  <c r="C183" i="5" s="1"/>
  <c r="T120" i="5"/>
  <c r="AA21" i="5"/>
  <c r="AA23" i="5" s="1"/>
  <c r="Z174" i="5"/>
  <c r="Z172" i="5"/>
  <c r="Z177" i="5" s="1"/>
  <c r="R18" i="2"/>
  <c r="AA171" i="5" l="1"/>
  <c r="AB20" i="5"/>
  <c r="U105" i="5"/>
  <c r="C110" i="5" s="1"/>
  <c r="U89" i="5"/>
  <c r="Z176" i="5"/>
  <c r="Z178" i="5" s="1"/>
  <c r="Z175" i="5"/>
  <c r="U82" i="5"/>
  <c r="V81" i="5"/>
  <c r="T169" i="5"/>
  <c r="C169" i="5"/>
  <c r="E169" i="5"/>
  <c r="D169" i="5"/>
  <c r="G169" i="5"/>
  <c r="F169" i="5"/>
  <c r="H169" i="5"/>
  <c r="I169" i="5"/>
  <c r="J169" i="5"/>
  <c r="K169" i="5"/>
  <c r="L169" i="5"/>
  <c r="M169" i="5"/>
  <c r="N169" i="5"/>
  <c r="O169" i="5"/>
  <c r="S169" i="5"/>
  <c r="R169" i="5"/>
  <c r="Q169" i="5"/>
  <c r="P169" i="5"/>
  <c r="S15" i="2"/>
  <c r="R165" i="2"/>
  <c r="C93" i="5" l="1"/>
  <c r="C95" i="5"/>
  <c r="F172" i="5"/>
  <c r="F174" i="5"/>
  <c r="F173" i="5"/>
  <c r="N172" i="5"/>
  <c r="N174" i="5"/>
  <c r="N173" i="5"/>
  <c r="G172" i="5"/>
  <c r="G174" i="5"/>
  <c r="G173" i="5"/>
  <c r="M172" i="5"/>
  <c r="M174" i="5"/>
  <c r="M173" i="5"/>
  <c r="D172" i="5"/>
  <c r="D173" i="5"/>
  <c r="D174" i="5"/>
  <c r="L172" i="5"/>
  <c r="L174" i="5"/>
  <c r="L173" i="5"/>
  <c r="F93" i="5"/>
  <c r="E93" i="5"/>
  <c r="D93" i="5"/>
  <c r="P172" i="5"/>
  <c r="P174" i="5"/>
  <c r="P173" i="5"/>
  <c r="C174" i="5"/>
  <c r="C172" i="5"/>
  <c r="C173" i="5"/>
  <c r="J172" i="5"/>
  <c r="J174" i="5"/>
  <c r="J173" i="5"/>
  <c r="U116" i="5"/>
  <c r="U118" i="5" s="1"/>
  <c r="U119" i="5" s="1"/>
  <c r="F109" i="5"/>
  <c r="E109" i="5"/>
  <c r="C109" i="5"/>
  <c r="D109" i="5"/>
  <c r="R172" i="5"/>
  <c r="R174" i="5"/>
  <c r="R173" i="5"/>
  <c r="AB21" i="5"/>
  <c r="AB23" i="5" s="1"/>
  <c r="O172" i="5"/>
  <c r="O174" i="5"/>
  <c r="O173" i="5"/>
  <c r="E172" i="5"/>
  <c r="E174" i="5"/>
  <c r="E173" i="5"/>
  <c r="K172" i="5"/>
  <c r="K174" i="5"/>
  <c r="K173" i="5"/>
  <c r="Q172" i="5"/>
  <c r="Q174" i="5"/>
  <c r="Q173" i="5"/>
  <c r="T172" i="5"/>
  <c r="T174" i="5"/>
  <c r="T173" i="5"/>
  <c r="I172" i="5"/>
  <c r="I174" i="5"/>
  <c r="I173" i="5"/>
  <c r="V82" i="5"/>
  <c r="W81" i="5"/>
  <c r="S172" i="5"/>
  <c r="S174" i="5"/>
  <c r="S173" i="5"/>
  <c r="H172" i="5"/>
  <c r="H174" i="5"/>
  <c r="H173" i="5"/>
  <c r="AA174" i="5"/>
  <c r="AA172" i="5"/>
  <c r="AA177" i="5" s="1"/>
  <c r="S16" i="2"/>
  <c r="O175" i="5" l="1"/>
  <c r="O177" i="5"/>
  <c r="O176" i="5"/>
  <c r="H175" i="5"/>
  <c r="H177" i="5"/>
  <c r="H176" i="5"/>
  <c r="I175" i="5"/>
  <c r="I177" i="5"/>
  <c r="I176" i="5"/>
  <c r="AB171" i="5"/>
  <c r="AC20" i="5"/>
  <c r="N175" i="5"/>
  <c r="N177" i="5"/>
  <c r="N176" i="5"/>
  <c r="N178" i="5" s="1"/>
  <c r="K175" i="5"/>
  <c r="K177" i="5"/>
  <c r="K176" i="5"/>
  <c r="C175" i="5"/>
  <c r="C176" i="5"/>
  <c r="C177" i="5"/>
  <c r="W82" i="5"/>
  <c r="X81" i="5"/>
  <c r="E175" i="5"/>
  <c r="E177" i="5"/>
  <c r="E176" i="5"/>
  <c r="R175" i="5"/>
  <c r="R177" i="5"/>
  <c r="R176" i="5"/>
  <c r="L175" i="5"/>
  <c r="L177" i="5"/>
  <c r="L176" i="5"/>
  <c r="L178" i="5" s="1"/>
  <c r="J175" i="5"/>
  <c r="J177" i="5"/>
  <c r="J176" i="5"/>
  <c r="P175" i="5"/>
  <c r="P177" i="5"/>
  <c r="P176" i="5"/>
  <c r="G175" i="5"/>
  <c r="G177" i="5"/>
  <c r="G176" i="5"/>
  <c r="Q175" i="5"/>
  <c r="Q177" i="5"/>
  <c r="Q176" i="5"/>
  <c r="D175" i="5"/>
  <c r="D177" i="5"/>
  <c r="D176" i="5"/>
  <c r="D178" i="5" s="1"/>
  <c r="V119" i="5"/>
  <c r="U120" i="5"/>
  <c r="M175" i="5"/>
  <c r="M177" i="5"/>
  <c r="M176" i="5"/>
  <c r="AA175" i="5"/>
  <c r="AA176" i="5"/>
  <c r="AA178" i="5" s="1"/>
  <c r="S175" i="5"/>
  <c r="S177" i="5"/>
  <c r="S176" i="5"/>
  <c r="T175" i="5"/>
  <c r="T177" i="5"/>
  <c r="T176" i="5"/>
  <c r="F175" i="5"/>
  <c r="F177" i="5"/>
  <c r="F176" i="5"/>
  <c r="F178" i="5" s="1"/>
  <c r="S18" i="2"/>
  <c r="R178" i="5" l="1"/>
  <c r="H178" i="5"/>
  <c r="S178" i="5"/>
  <c r="G178" i="5"/>
  <c r="P178" i="5"/>
  <c r="J178" i="5"/>
  <c r="T178" i="5"/>
  <c r="M178" i="5"/>
  <c r="Q178" i="5"/>
  <c r="C178" i="5"/>
  <c r="D179" i="5" s="1"/>
  <c r="AC21" i="5"/>
  <c r="AC23" i="5" s="1"/>
  <c r="O178" i="5"/>
  <c r="V120" i="5"/>
  <c r="W119" i="5"/>
  <c r="W120" i="5" s="1"/>
  <c r="X82" i="5"/>
  <c r="Y81" i="5"/>
  <c r="AB174" i="5"/>
  <c r="AB172" i="5"/>
  <c r="E178" i="5"/>
  <c r="K178" i="5"/>
  <c r="I178" i="5"/>
  <c r="S165" i="2"/>
  <c r="T15" i="2"/>
  <c r="C112" i="5" l="1"/>
  <c r="AC171" i="5"/>
  <c r="AD20" i="5"/>
  <c r="AB176" i="5"/>
  <c r="AB175" i="5"/>
  <c r="AB177" i="5"/>
  <c r="D180" i="5"/>
  <c r="E179" i="5"/>
  <c r="Z81" i="5"/>
  <c r="Y82" i="5"/>
  <c r="T16" i="2"/>
  <c r="AA81" i="5" l="1"/>
  <c r="Z82" i="5"/>
  <c r="F179" i="5"/>
  <c r="E180" i="5"/>
  <c r="AB178" i="5"/>
  <c r="AD21" i="5"/>
  <c r="AD23" i="5" s="1"/>
  <c r="AC174" i="5"/>
  <c r="AC172" i="5"/>
  <c r="T18" i="2"/>
  <c r="AD171" i="5" l="1"/>
  <c r="AE20" i="5"/>
  <c r="AC175" i="5"/>
  <c r="AC176" i="5"/>
  <c r="F180" i="5"/>
  <c r="G179" i="5"/>
  <c r="AC177" i="5"/>
  <c r="AB81" i="5"/>
  <c r="AA82" i="5"/>
  <c r="T165" i="2"/>
  <c r="U15" i="2"/>
  <c r="AE21" i="5" l="1"/>
  <c r="AE23" i="5" s="1"/>
  <c r="AC81" i="5"/>
  <c r="AB82" i="5"/>
  <c r="H179" i="5"/>
  <c r="G180" i="5"/>
  <c r="AC178" i="5"/>
  <c r="AD174" i="5"/>
  <c r="AD172" i="5"/>
  <c r="AD177" i="5" s="1"/>
  <c r="U16" i="2"/>
  <c r="H180" i="5" l="1"/>
  <c r="I179" i="5"/>
  <c r="AC82" i="5"/>
  <c r="AD81" i="5"/>
  <c r="AE171" i="5"/>
  <c r="AF20" i="5"/>
  <c r="AD176" i="5"/>
  <c r="AD178" i="5" s="1"/>
  <c r="AD175" i="5"/>
  <c r="U18" i="2"/>
  <c r="U165" i="2" s="1"/>
  <c r="G85" i="2"/>
  <c r="G23" i="2"/>
  <c r="H20" i="2" s="1"/>
  <c r="AF21" i="5" l="1"/>
  <c r="AF23" i="5" s="1"/>
  <c r="AE174" i="5"/>
  <c r="AE172" i="5"/>
  <c r="AE81" i="5"/>
  <c r="AD82" i="5"/>
  <c r="J179" i="5"/>
  <c r="I180" i="5"/>
  <c r="G86" i="2"/>
  <c r="H21" i="2"/>
  <c r="H59" i="2" s="1"/>
  <c r="H60" i="2" s="1"/>
  <c r="G166" i="2"/>
  <c r="AE82" i="5" l="1"/>
  <c r="AF81" i="5"/>
  <c r="J180" i="5"/>
  <c r="K179" i="5"/>
  <c r="AE175" i="5"/>
  <c r="AE176" i="5"/>
  <c r="AE177" i="5"/>
  <c r="AF171" i="5"/>
  <c r="AG20" i="5"/>
  <c r="H96" i="2"/>
  <c r="H100" i="2" s="1"/>
  <c r="H120" i="2"/>
  <c r="H23" i="2"/>
  <c r="H166" i="2" s="1"/>
  <c r="H62" i="2"/>
  <c r="AG81" i="5" l="1"/>
  <c r="AF82" i="5"/>
  <c r="AG21" i="5"/>
  <c r="AG23" i="5" s="1"/>
  <c r="AF174" i="5"/>
  <c r="AF172" i="5"/>
  <c r="AE178" i="5"/>
  <c r="L179" i="5"/>
  <c r="K180" i="5"/>
  <c r="H124" i="2"/>
  <c r="H125" i="2" s="1"/>
  <c r="H85" i="2"/>
  <c r="H86" i="2" s="1"/>
  <c r="H163" i="2"/>
  <c r="I20" i="2"/>
  <c r="I21" i="2" s="1"/>
  <c r="I59" i="2" s="1"/>
  <c r="H75" i="2"/>
  <c r="H77" i="2" s="1"/>
  <c r="H78" i="2" s="1"/>
  <c r="AG171" i="5" l="1"/>
  <c r="AH20" i="5"/>
  <c r="AF176" i="5"/>
  <c r="AF175" i="5"/>
  <c r="AF177" i="5"/>
  <c r="M179" i="5"/>
  <c r="L180" i="5"/>
  <c r="AH81" i="5"/>
  <c r="AG82" i="5"/>
  <c r="H101" i="2"/>
  <c r="H112" i="2" s="1"/>
  <c r="H114" i="2" s="1"/>
  <c r="H115" i="2" s="1"/>
  <c r="I60" i="2"/>
  <c r="I120" i="2" s="1"/>
  <c r="I23" i="2"/>
  <c r="J20" i="2" s="1"/>
  <c r="J21" i="2" s="1"/>
  <c r="J59" i="2" s="1"/>
  <c r="H79" i="2"/>
  <c r="AH82" i="5" l="1"/>
  <c r="AI81" i="5"/>
  <c r="N179" i="5"/>
  <c r="M180" i="5"/>
  <c r="AF178" i="5"/>
  <c r="AH21" i="5"/>
  <c r="AH23" i="5" s="1"/>
  <c r="AG174" i="5"/>
  <c r="AG172" i="5"/>
  <c r="AG177" i="5" s="1"/>
  <c r="I124" i="2"/>
  <c r="I125" i="2" s="1"/>
  <c r="I62" i="2"/>
  <c r="I166" i="2"/>
  <c r="J60" i="2"/>
  <c r="H116" i="2"/>
  <c r="J23" i="2"/>
  <c r="AH171" i="5" l="1"/>
  <c r="AI20" i="5"/>
  <c r="N180" i="5"/>
  <c r="O179" i="5"/>
  <c r="AG175" i="5"/>
  <c r="AG176" i="5"/>
  <c r="AG178" i="5" s="1"/>
  <c r="AJ81" i="5"/>
  <c r="AI82" i="5"/>
  <c r="J85" i="2"/>
  <c r="J86" i="2" s="1"/>
  <c r="J120" i="2"/>
  <c r="I163" i="2"/>
  <c r="I75" i="2"/>
  <c r="I77" i="2" s="1"/>
  <c r="I78" i="2" s="1"/>
  <c r="I79" i="2" s="1"/>
  <c r="I70" i="2"/>
  <c r="I96" i="2"/>
  <c r="I100" i="2" s="1"/>
  <c r="I85" i="2"/>
  <c r="K20" i="2"/>
  <c r="J166" i="2"/>
  <c r="J62" i="2"/>
  <c r="J163" i="2" s="1"/>
  <c r="AH174" i="5" l="1"/>
  <c r="AH172" i="5"/>
  <c r="AH177" i="5" s="1"/>
  <c r="AK81" i="5"/>
  <c r="AJ82" i="5"/>
  <c r="P179" i="5"/>
  <c r="O180" i="5"/>
  <c r="AI21" i="5"/>
  <c r="AI23" i="5" s="1"/>
  <c r="J124" i="2"/>
  <c r="J125" i="2" s="1"/>
  <c r="I101" i="2"/>
  <c r="I112" i="2" s="1"/>
  <c r="I114" i="2" s="1"/>
  <c r="I115" i="2" s="1"/>
  <c r="I116" i="2" s="1"/>
  <c r="J96" i="2"/>
  <c r="J100" i="2" s="1"/>
  <c r="I86" i="2"/>
  <c r="K21" i="2"/>
  <c r="K59" i="2" s="1"/>
  <c r="J75" i="2"/>
  <c r="J77" i="2" s="1"/>
  <c r="J78" i="2" s="1"/>
  <c r="J70" i="2"/>
  <c r="AI171" i="5" l="1"/>
  <c r="AJ20" i="5"/>
  <c r="P180" i="5"/>
  <c r="Q179" i="5"/>
  <c r="AK82" i="5"/>
  <c r="AL81" i="5"/>
  <c r="AH176" i="5"/>
  <c r="AH178" i="5" s="1"/>
  <c r="AH175" i="5"/>
  <c r="J101" i="2"/>
  <c r="J112" i="2" s="1"/>
  <c r="J114" i="2" s="1"/>
  <c r="J115" i="2" s="1"/>
  <c r="J79" i="2"/>
  <c r="K60" i="2"/>
  <c r="K23" i="2"/>
  <c r="AL82" i="5" l="1"/>
  <c r="AM81" i="5"/>
  <c r="Q180" i="5"/>
  <c r="R179" i="5"/>
  <c r="AJ21" i="5"/>
  <c r="AJ23" i="5" s="1"/>
  <c r="AI174" i="5"/>
  <c r="AI172" i="5"/>
  <c r="AI177" i="5" s="1"/>
  <c r="K85" i="2"/>
  <c r="K120" i="2"/>
  <c r="K62" i="2"/>
  <c r="J116" i="2"/>
  <c r="K166" i="2"/>
  <c r="L20" i="2"/>
  <c r="AJ171" i="5" l="1"/>
  <c r="AK20" i="5"/>
  <c r="R180" i="5"/>
  <c r="S179" i="5"/>
  <c r="AM82" i="5"/>
  <c r="AN81" i="5"/>
  <c r="AI175" i="5"/>
  <c r="AI176" i="5"/>
  <c r="AI178" i="5" s="1"/>
  <c r="K124" i="2"/>
  <c r="K125" i="2" s="1"/>
  <c r="K96" i="2"/>
  <c r="K100" i="2" s="1"/>
  <c r="K163" i="2"/>
  <c r="K86" i="2"/>
  <c r="K75" i="2"/>
  <c r="K77" i="2" s="1"/>
  <c r="K78" i="2" s="1"/>
  <c r="K70" i="2"/>
  <c r="L21" i="2"/>
  <c r="L59" i="2" s="1"/>
  <c r="AK21" i="5" l="1"/>
  <c r="AK23" i="5" s="1"/>
  <c r="AN82" i="5"/>
  <c r="AO81" i="5"/>
  <c r="T179" i="5"/>
  <c r="S180" i="5"/>
  <c r="AJ174" i="5"/>
  <c r="AJ172" i="5"/>
  <c r="AJ177" i="5" s="1"/>
  <c r="K101" i="2"/>
  <c r="K112" i="2" s="1"/>
  <c r="K114" i="2" s="1"/>
  <c r="K115" i="2" s="1"/>
  <c r="K79" i="2"/>
  <c r="L60" i="2"/>
  <c r="L23" i="2"/>
  <c r="AK171" i="5" l="1"/>
  <c r="AL20" i="5"/>
  <c r="U179" i="5"/>
  <c r="T180" i="5"/>
  <c r="AP81" i="5"/>
  <c r="AO82" i="5"/>
  <c r="AJ176" i="5"/>
  <c r="AJ178" i="5" s="1"/>
  <c r="AJ175" i="5"/>
  <c r="L85" i="2"/>
  <c r="L86" i="2" s="1"/>
  <c r="L120" i="2"/>
  <c r="L62" i="2"/>
  <c r="L163" i="2" s="1"/>
  <c r="K116" i="2"/>
  <c r="M20" i="2"/>
  <c r="L166" i="2"/>
  <c r="AP82" i="5" l="1"/>
  <c r="AQ81" i="5"/>
  <c r="V179" i="5"/>
  <c r="U180" i="5"/>
  <c r="AL21" i="5"/>
  <c r="AL23" i="5" s="1"/>
  <c r="AK174" i="5"/>
  <c r="AK172" i="5"/>
  <c r="L124" i="2"/>
  <c r="L125" i="2" s="1"/>
  <c r="L96" i="2"/>
  <c r="L100" i="2" s="1"/>
  <c r="M21" i="2"/>
  <c r="M59" i="2" s="1"/>
  <c r="L70" i="2"/>
  <c r="L75" i="2"/>
  <c r="L77" i="2" s="1"/>
  <c r="L78" i="2" s="1"/>
  <c r="AR81" i="5" l="1"/>
  <c r="AQ82" i="5"/>
  <c r="AK176" i="5"/>
  <c r="AK175" i="5"/>
  <c r="AK177" i="5"/>
  <c r="AL171" i="5"/>
  <c r="AM20" i="5"/>
  <c r="V180" i="5"/>
  <c r="W179" i="5"/>
  <c r="L101" i="2"/>
  <c r="L112" i="2" s="1"/>
  <c r="L114" i="2" s="1"/>
  <c r="L115" i="2" s="1"/>
  <c r="M23" i="2"/>
  <c r="M166" i="2" s="1"/>
  <c r="L79" i="2"/>
  <c r="M60" i="2"/>
  <c r="X179" i="5" l="1"/>
  <c r="W180" i="5"/>
  <c r="AR82" i="5"/>
  <c r="AS81" i="5"/>
  <c r="AM21" i="5"/>
  <c r="AM23" i="5" s="1"/>
  <c r="AL174" i="5"/>
  <c r="AL172" i="5"/>
  <c r="AL177" i="5" s="1"/>
  <c r="AK178" i="5"/>
  <c r="M96" i="2"/>
  <c r="M100" i="2" s="1"/>
  <c r="M120" i="2"/>
  <c r="N20" i="2"/>
  <c r="N21" i="2" s="1"/>
  <c r="N59" i="2" s="1"/>
  <c r="L116" i="2"/>
  <c r="M62" i="2"/>
  <c r="M163" i="2" s="1"/>
  <c r="AM171" i="5" l="1"/>
  <c r="AN20" i="5"/>
  <c r="AS82" i="5"/>
  <c r="AT81" i="5"/>
  <c r="AL176" i="5"/>
  <c r="AL178" i="5" s="1"/>
  <c r="AL175" i="5"/>
  <c r="X180" i="5"/>
  <c r="Y179" i="5"/>
  <c r="M124" i="2"/>
  <c r="M125" i="2" s="1"/>
  <c r="M85" i="2"/>
  <c r="M86" i="2" s="1"/>
  <c r="N23" i="2"/>
  <c r="O20" i="2" s="1"/>
  <c r="N60" i="2"/>
  <c r="M75" i="2"/>
  <c r="M77" i="2" s="1"/>
  <c r="M78" i="2" s="1"/>
  <c r="M70" i="2"/>
  <c r="AN21" i="5" l="1"/>
  <c r="AN23" i="5" s="1"/>
  <c r="Y180" i="5"/>
  <c r="Z179" i="5"/>
  <c r="AU81" i="5"/>
  <c r="AT82" i="5"/>
  <c r="AM174" i="5"/>
  <c r="AM172" i="5"/>
  <c r="AM177" i="5" s="1"/>
  <c r="M101" i="2"/>
  <c r="M112" i="2" s="1"/>
  <c r="M114" i="2" s="1"/>
  <c r="M115" i="2" s="1"/>
  <c r="M116" i="2" s="1"/>
  <c r="N85" i="2"/>
  <c r="N86" i="2" s="1"/>
  <c r="N120" i="2"/>
  <c r="N166" i="2"/>
  <c r="O21" i="2"/>
  <c r="O59" i="2" s="1"/>
  <c r="M79" i="2"/>
  <c r="N62" i="2"/>
  <c r="N163" i="2" s="1"/>
  <c r="AU82" i="5" l="1"/>
  <c r="AV81" i="5"/>
  <c r="AV82" i="5" s="1"/>
  <c r="D74" i="5" s="1"/>
  <c r="Z180" i="5"/>
  <c r="AA179" i="5"/>
  <c r="AN171" i="5"/>
  <c r="AO20" i="5"/>
  <c r="AM175" i="5"/>
  <c r="AM176" i="5"/>
  <c r="AM178" i="5" s="1"/>
  <c r="N124" i="2"/>
  <c r="N125" i="2" s="1"/>
  <c r="N96" i="2"/>
  <c r="N100" i="2" s="1"/>
  <c r="O23" i="2"/>
  <c r="P20" i="2" s="1"/>
  <c r="O60" i="2"/>
  <c r="N70" i="2"/>
  <c r="N75" i="2"/>
  <c r="N77" i="2" s="1"/>
  <c r="N78" i="2" s="1"/>
  <c r="AO21" i="5" l="1"/>
  <c r="AO23" i="5" s="1"/>
  <c r="AN174" i="5"/>
  <c r="AN172" i="5"/>
  <c r="AB179" i="5"/>
  <c r="AA180" i="5"/>
  <c r="N101" i="2"/>
  <c r="N112" i="2" s="1"/>
  <c r="N114" i="2" s="1"/>
  <c r="N115" i="2" s="1"/>
  <c r="N116" i="2" s="1"/>
  <c r="O96" i="2"/>
  <c r="O100" i="2" s="1"/>
  <c r="O120" i="2"/>
  <c r="O166" i="2"/>
  <c r="P21" i="2"/>
  <c r="P59" i="2" s="1"/>
  <c r="N79" i="2"/>
  <c r="O62" i="2"/>
  <c r="O163" i="2" s="1"/>
  <c r="AB180" i="5" l="1"/>
  <c r="AC179" i="5"/>
  <c r="AN176" i="5"/>
  <c r="AN175" i="5"/>
  <c r="AN177" i="5"/>
  <c r="AO171" i="5"/>
  <c r="AP20" i="5"/>
  <c r="O124" i="2"/>
  <c r="O125" i="2" s="1"/>
  <c r="O85" i="2"/>
  <c r="O86" i="2" s="1"/>
  <c r="P23" i="2"/>
  <c r="P166" i="2" s="1"/>
  <c r="O75" i="2"/>
  <c r="O77" i="2" s="1"/>
  <c r="O78" i="2" s="1"/>
  <c r="O70" i="2"/>
  <c r="P60" i="2"/>
  <c r="AP21" i="5" l="1"/>
  <c r="AP23" i="5" s="1"/>
  <c r="AO174" i="5"/>
  <c r="AO172" i="5"/>
  <c r="AN178" i="5"/>
  <c r="AD179" i="5"/>
  <c r="AC180" i="5"/>
  <c r="O101" i="2"/>
  <c r="O112" i="2" s="1"/>
  <c r="O114" i="2" s="1"/>
  <c r="O115" i="2" s="1"/>
  <c r="O116" i="2" s="1"/>
  <c r="P96" i="2"/>
  <c r="P100" i="2" s="1"/>
  <c r="P120" i="2"/>
  <c r="Q20" i="2"/>
  <c r="Q21" i="2" s="1"/>
  <c r="Q59" i="2" s="1"/>
  <c r="P62" i="2"/>
  <c r="P163" i="2" s="1"/>
  <c r="O79" i="2"/>
  <c r="AQ20" i="5" l="1"/>
  <c r="AP171" i="5"/>
  <c r="AE179" i="5"/>
  <c r="AD180" i="5"/>
  <c r="AO175" i="5"/>
  <c r="AO176" i="5"/>
  <c r="AO177" i="5"/>
  <c r="P124" i="2"/>
  <c r="P125" i="2" s="1"/>
  <c r="P85" i="2"/>
  <c r="P86" i="2" s="1"/>
  <c r="Q23" i="2"/>
  <c r="Q166" i="2" s="1"/>
  <c r="P70" i="2"/>
  <c r="P75" i="2"/>
  <c r="P77" i="2" s="1"/>
  <c r="P78" i="2" s="1"/>
  <c r="Q60" i="2"/>
  <c r="AP174" i="5" l="1"/>
  <c r="AP172" i="5"/>
  <c r="AP177" i="5" s="1"/>
  <c r="AO178" i="5"/>
  <c r="AF179" i="5"/>
  <c r="AE180" i="5"/>
  <c r="AQ21" i="5"/>
  <c r="AQ23" i="5" s="1"/>
  <c r="P101" i="2"/>
  <c r="P112" i="2" s="1"/>
  <c r="P114" i="2" s="1"/>
  <c r="P115" i="2" s="1"/>
  <c r="P116" i="2" s="1"/>
  <c r="Q96" i="2"/>
  <c r="Q100" i="2" s="1"/>
  <c r="Q120" i="2"/>
  <c r="R20" i="2"/>
  <c r="R21" i="2" s="1"/>
  <c r="R59" i="2" s="1"/>
  <c r="P79" i="2"/>
  <c r="Q62" i="2"/>
  <c r="Q163" i="2" s="1"/>
  <c r="Q85" i="2" l="1"/>
  <c r="Q86" i="2" s="1"/>
  <c r="AR20" i="5"/>
  <c r="AQ171" i="5"/>
  <c r="AF180" i="5"/>
  <c r="AG179" i="5"/>
  <c r="AP175" i="5"/>
  <c r="AP176" i="5"/>
  <c r="AP178" i="5" s="1"/>
  <c r="Q124" i="2"/>
  <c r="Q125" i="2" s="1"/>
  <c r="R23" i="2"/>
  <c r="R166" i="2" s="1"/>
  <c r="Q70" i="2"/>
  <c r="Q75" i="2"/>
  <c r="Q77" i="2" s="1"/>
  <c r="Q78" i="2" s="1"/>
  <c r="R60" i="2"/>
  <c r="AH179" i="5" l="1"/>
  <c r="AG180" i="5"/>
  <c r="AQ174" i="5"/>
  <c r="AQ172" i="5"/>
  <c r="AR21" i="5"/>
  <c r="AR23" i="5" s="1"/>
  <c r="Q101" i="2"/>
  <c r="Q112" i="2" s="1"/>
  <c r="Q114" i="2" s="1"/>
  <c r="Q115" i="2" s="1"/>
  <c r="Q116" i="2" s="1"/>
  <c r="R85" i="2"/>
  <c r="R86" i="2" s="1"/>
  <c r="R120" i="2"/>
  <c r="S20" i="2"/>
  <c r="S21" i="2" s="1"/>
  <c r="S59" i="2" s="1"/>
  <c r="Q79" i="2"/>
  <c r="R62" i="2"/>
  <c r="R163" i="2" s="1"/>
  <c r="AR171" i="5" l="1"/>
  <c r="AS20" i="5"/>
  <c r="AQ175" i="5"/>
  <c r="AQ176" i="5"/>
  <c r="AQ177" i="5"/>
  <c r="AH180" i="5"/>
  <c r="AI179" i="5"/>
  <c r="R124" i="2"/>
  <c r="R125" i="2" s="1"/>
  <c r="R96" i="2"/>
  <c r="R100" i="2" s="1"/>
  <c r="S23" i="2"/>
  <c r="S166" i="2" s="1"/>
  <c r="R70" i="2"/>
  <c r="R75" i="2"/>
  <c r="R77" i="2" s="1"/>
  <c r="R78" i="2" s="1"/>
  <c r="S60" i="2"/>
  <c r="AS21" i="5" l="1"/>
  <c r="AS23" i="5" s="1"/>
  <c r="AR174" i="5"/>
  <c r="AR172" i="5"/>
  <c r="AJ179" i="5"/>
  <c r="AI180" i="5"/>
  <c r="AQ178" i="5"/>
  <c r="R101" i="2"/>
  <c r="R112" i="2" s="1"/>
  <c r="R114" i="2" s="1"/>
  <c r="R115" i="2" s="1"/>
  <c r="R116" i="2" s="1"/>
  <c r="S85" i="2"/>
  <c r="S86" i="2" s="1"/>
  <c r="S120" i="2"/>
  <c r="T20" i="2"/>
  <c r="T21" i="2" s="1"/>
  <c r="T59" i="2" s="1"/>
  <c r="R79" i="2"/>
  <c r="S62" i="2"/>
  <c r="S163" i="2" s="1"/>
  <c r="AS171" i="5" l="1"/>
  <c r="AT20" i="5"/>
  <c r="AJ180" i="5"/>
  <c r="AK179" i="5"/>
  <c r="AR176" i="5"/>
  <c r="AR175" i="5"/>
  <c r="AR177" i="5"/>
  <c r="S124" i="2"/>
  <c r="S125" i="2" s="1"/>
  <c r="S96" i="2"/>
  <c r="S100" i="2" s="1"/>
  <c r="S70" i="2"/>
  <c r="S75" i="2"/>
  <c r="S77" i="2" s="1"/>
  <c r="S78" i="2" s="1"/>
  <c r="T60" i="2"/>
  <c r="T23" i="2"/>
  <c r="AR178" i="5" l="1"/>
  <c r="AL179" i="5"/>
  <c r="AK180" i="5"/>
  <c r="AT21" i="5"/>
  <c r="AT23" i="5" s="1"/>
  <c r="AT171" i="5" s="1"/>
  <c r="AS174" i="5"/>
  <c r="AS172" i="5"/>
  <c r="S101" i="2"/>
  <c r="S112" i="2" s="1"/>
  <c r="S114" i="2" s="1"/>
  <c r="S115" i="2" s="1"/>
  <c r="S116" i="2" s="1"/>
  <c r="T85" i="2"/>
  <c r="T86" i="2" s="1"/>
  <c r="T120" i="2"/>
  <c r="U20" i="2"/>
  <c r="T166" i="2"/>
  <c r="T62" i="2"/>
  <c r="T163" i="2" s="1"/>
  <c r="S79" i="2"/>
  <c r="AT174" i="5" l="1"/>
  <c r="AT172" i="5"/>
  <c r="AS176" i="5"/>
  <c r="AS175" i="5"/>
  <c r="AS177" i="5"/>
  <c r="AL180" i="5"/>
  <c r="AM179" i="5"/>
  <c r="T124" i="2"/>
  <c r="T125" i="2" s="1"/>
  <c r="T96" i="2"/>
  <c r="T100" i="2" s="1"/>
  <c r="T75" i="2"/>
  <c r="T77" i="2" s="1"/>
  <c r="T78" i="2" s="1"/>
  <c r="T70" i="2"/>
  <c r="U21" i="2"/>
  <c r="U59" i="2" s="1"/>
  <c r="AN179" i="5" l="1"/>
  <c r="AM180" i="5"/>
  <c r="AS178" i="5"/>
  <c r="AT176" i="5"/>
  <c r="AT175" i="5"/>
  <c r="AT177" i="5"/>
  <c r="T101" i="2"/>
  <c r="T112" i="2" s="1"/>
  <c r="T114" i="2" s="1"/>
  <c r="T115" i="2" s="1"/>
  <c r="T116" i="2" s="1"/>
  <c r="U23" i="2"/>
  <c r="U166" i="2" s="1"/>
  <c r="U60" i="2"/>
  <c r="T79" i="2"/>
  <c r="AT178" i="5" l="1"/>
  <c r="AN180" i="5"/>
  <c r="AO179" i="5"/>
  <c r="U96" i="2"/>
  <c r="U100" i="2" s="1"/>
  <c r="U120" i="2"/>
  <c r="V20" i="2"/>
  <c r="V21" i="2" s="1"/>
  <c r="V59" i="2" s="1"/>
  <c r="U62" i="2"/>
  <c r="U163" i="2" s="1"/>
  <c r="AP179" i="5" l="1"/>
  <c r="AO180" i="5"/>
  <c r="U124" i="2"/>
  <c r="U125" i="2" s="1"/>
  <c r="U85" i="2"/>
  <c r="U86" i="2" s="1"/>
  <c r="V23" i="2"/>
  <c r="W20" i="2" s="1"/>
  <c r="U75" i="2"/>
  <c r="U77" i="2" s="1"/>
  <c r="U78" i="2" s="1"/>
  <c r="U70" i="2"/>
  <c r="V60" i="2"/>
  <c r="AP180" i="5" l="1"/>
  <c r="AQ179" i="5"/>
  <c r="U101" i="2"/>
  <c r="U112" i="2" s="1"/>
  <c r="U114" i="2" s="1"/>
  <c r="U115" i="2" s="1"/>
  <c r="U116" i="2" s="1"/>
  <c r="V96" i="2"/>
  <c r="V100" i="2" s="1"/>
  <c r="V120" i="2"/>
  <c r="V166" i="2"/>
  <c r="V62" i="2"/>
  <c r="V163" i="2" s="1"/>
  <c r="U79" i="2"/>
  <c r="W21" i="2"/>
  <c r="W59" i="2" s="1"/>
  <c r="AQ180" i="5" l="1"/>
  <c r="AR179" i="5"/>
  <c r="V124" i="2"/>
  <c r="V125" i="2" s="1"/>
  <c r="V85" i="2"/>
  <c r="V86" i="2" s="1"/>
  <c r="W23" i="2"/>
  <c r="W60" i="2"/>
  <c r="V70" i="2"/>
  <c r="V75" i="2"/>
  <c r="V77" i="2" s="1"/>
  <c r="V78" i="2" s="1"/>
  <c r="AR180" i="5" l="1"/>
  <c r="AS179" i="5"/>
  <c r="V101" i="2"/>
  <c r="V112" i="2" s="1"/>
  <c r="V114" i="2" s="1"/>
  <c r="V115" i="2" s="1"/>
  <c r="V116" i="2" s="1"/>
  <c r="W96" i="2"/>
  <c r="W100" i="2" s="1"/>
  <c r="W120" i="2"/>
  <c r="V79" i="2"/>
  <c r="W62" i="2"/>
  <c r="W163" i="2" s="1"/>
  <c r="W166" i="2"/>
  <c r="X20" i="2"/>
  <c r="AT179" i="5" l="1"/>
  <c r="AS180" i="5"/>
  <c r="W124" i="2"/>
  <c r="W125" i="2" s="1"/>
  <c r="W85" i="2"/>
  <c r="W86" i="2" s="1"/>
  <c r="W75" i="2"/>
  <c r="W77" i="2" s="1"/>
  <c r="W78" i="2" s="1"/>
  <c r="W70" i="2"/>
  <c r="X21" i="2"/>
  <c r="X59" i="2" s="1"/>
  <c r="AT180" i="5" l="1"/>
  <c r="AU179" i="5"/>
  <c r="W101" i="2"/>
  <c r="F105" i="2" s="1"/>
  <c r="X23" i="2"/>
  <c r="Y20" i="2" s="1"/>
  <c r="X60" i="2"/>
  <c r="W79" i="2"/>
  <c r="AV179" i="5" l="1"/>
  <c r="AV180" i="5" s="1"/>
  <c r="AU180" i="5"/>
  <c r="E105" i="2"/>
  <c r="C105" i="2"/>
  <c r="C106" i="2"/>
  <c r="D105" i="2"/>
  <c r="W112" i="2"/>
  <c r="W114" i="2" s="1"/>
  <c r="W115" i="2" s="1"/>
  <c r="W116" i="2" s="1"/>
  <c r="C108" i="2" s="1"/>
  <c r="X85" i="2"/>
  <c r="X86" i="2" s="1"/>
  <c r="X120" i="2"/>
  <c r="X166" i="2"/>
  <c r="X62" i="2"/>
  <c r="X163" i="2" s="1"/>
  <c r="Y21" i="2"/>
  <c r="Y59" i="2" s="1"/>
  <c r="D183" i="5" l="1"/>
  <c r="X124" i="2"/>
  <c r="X125" i="2" s="1"/>
  <c r="Y60" i="2"/>
  <c r="Y23" i="2"/>
  <c r="X75" i="2"/>
  <c r="X77" i="2" s="1"/>
  <c r="X78" i="2" s="1"/>
  <c r="X70" i="2"/>
  <c r="Y85" i="2" l="1"/>
  <c r="Y86" i="2" s="1"/>
  <c r="Y120" i="2"/>
  <c r="X79" i="2"/>
  <c r="Z20" i="2"/>
  <c r="Y166" i="2"/>
  <c r="Y62" i="2"/>
  <c r="Y163" i="2" s="1"/>
  <c r="Y124" i="2" l="1"/>
  <c r="Y125" i="2" s="1"/>
  <c r="Z21" i="2"/>
  <c r="Z59" i="2" s="1"/>
  <c r="Y70" i="2"/>
  <c r="Y75" i="2"/>
  <c r="Y77" i="2" s="1"/>
  <c r="Y78" i="2" s="1"/>
  <c r="Z23" i="2" l="1"/>
  <c r="Z166" i="2" s="1"/>
  <c r="Y79" i="2"/>
  <c r="Z60" i="2"/>
  <c r="Z85" i="2" l="1"/>
  <c r="Z86" i="2" s="1"/>
  <c r="Z120" i="2"/>
  <c r="AA20" i="2"/>
  <c r="AA21" i="2" s="1"/>
  <c r="AA59" i="2" s="1"/>
  <c r="Z62" i="2"/>
  <c r="Z163" i="2" s="1"/>
  <c r="Z124" i="2" l="1"/>
  <c r="Z125" i="2" s="1"/>
  <c r="AA23" i="2"/>
  <c r="AA166" i="2" s="1"/>
  <c r="AA60" i="2"/>
  <c r="Z70" i="2"/>
  <c r="Z75" i="2"/>
  <c r="Z77" i="2" s="1"/>
  <c r="Z78" i="2" s="1"/>
  <c r="AA85" i="2" l="1"/>
  <c r="AA86" i="2" s="1"/>
  <c r="AA120" i="2"/>
  <c r="AB20" i="2"/>
  <c r="AB21" i="2" s="1"/>
  <c r="AB59" i="2" s="1"/>
  <c r="Z79" i="2"/>
  <c r="AA62" i="2"/>
  <c r="AA163" i="2" s="1"/>
  <c r="AA124" i="2" l="1"/>
  <c r="AA125" i="2" s="1"/>
  <c r="AA75" i="2"/>
  <c r="AA77" i="2" s="1"/>
  <c r="AA78" i="2" s="1"/>
  <c r="AA70" i="2"/>
  <c r="AB23" i="2"/>
  <c r="AB60" i="2"/>
  <c r="AB85" i="2" l="1"/>
  <c r="AB86" i="2" s="1"/>
  <c r="AB120" i="2"/>
  <c r="AB62" i="2"/>
  <c r="AB163" i="2" s="1"/>
  <c r="AA79" i="2"/>
  <c r="AC20" i="2"/>
  <c r="AB166" i="2"/>
  <c r="AB124" i="2" l="1"/>
  <c r="AB125" i="2" s="1"/>
  <c r="AC21" i="2"/>
  <c r="AC59" i="2" s="1"/>
  <c r="AB75" i="2"/>
  <c r="AB77" i="2" s="1"/>
  <c r="AB78" i="2" s="1"/>
  <c r="AB70" i="2"/>
  <c r="AC23" i="2" l="1"/>
  <c r="AD20" i="2" s="1"/>
  <c r="AC60" i="2"/>
  <c r="AB79" i="2"/>
  <c r="AC85" i="2" l="1"/>
  <c r="AC86" i="2" s="1"/>
  <c r="AC120" i="2"/>
  <c r="AC166" i="2"/>
  <c r="AC62" i="2"/>
  <c r="AC163" i="2" s="1"/>
  <c r="AD21" i="2"/>
  <c r="AD59" i="2" s="1"/>
  <c r="AC124" i="2" l="1"/>
  <c r="AC125" i="2" s="1"/>
  <c r="AC75" i="2"/>
  <c r="AC77" i="2" s="1"/>
  <c r="AC78" i="2" s="1"/>
  <c r="AC70" i="2"/>
  <c r="AD60" i="2"/>
  <c r="AD23" i="2"/>
  <c r="AD85" i="2" l="1"/>
  <c r="AD86" i="2" s="1"/>
  <c r="AD120" i="2"/>
  <c r="AD166" i="2"/>
  <c r="AE20" i="2"/>
  <c r="AD62" i="2"/>
  <c r="AD163" i="2" s="1"/>
  <c r="AC79" i="2"/>
  <c r="AD124" i="2" l="1"/>
  <c r="AD125" i="2" s="1"/>
  <c r="AE21" i="2"/>
  <c r="AE59" i="2" s="1"/>
  <c r="AD70" i="2"/>
  <c r="AD75" i="2"/>
  <c r="AD77" i="2" s="1"/>
  <c r="AD78" i="2" s="1"/>
  <c r="AE60" i="2" l="1"/>
  <c r="AD79" i="2"/>
  <c r="AE23" i="2"/>
  <c r="AE85" i="2" l="1"/>
  <c r="AE86" i="2" s="1"/>
  <c r="AE120" i="2"/>
  <c r="AE166" i="2"/>
  <c r="AF20" i="2"/>
  <c r="AE62" i="2"/>
  <c r="AE163" i="2" s="1"/>
  <c r="AE124" i="2" l="1"/>
  <c r="AE125" i="2" s="1"/>
  <c r="AE70" i="2"/>
  <c r="AE75" i="2"/>
  <c r="AE77" i="2" s="1"/>
  <c r="AE78" i="2" s="1"/>
  <c r="AF21" i="2"/>
  <c r="AF59" i="2" s="1"/>
  <c r="AF60" i="2" l="1"/>
  <c r="AF23" i="2"/>
  <c r="AE79" i="2"/>
  <c r="AF85" i="2" l="1"/>
  <c r="AF86" i="2" s="1"/>
  <c r="AF120" i="2"/>
  <c r="AF166" i="2"/>
  <c r="AG20" i="2"/>
  <c r="AF62" i="2"/>
  <c r="AF163" i="2" s="1"/>
  <c r="AF124" i="2" l="1"/>
  <c r="AF125" i="2" s="1"/>
  <c r="AF75" i="2"/>
  <c r="AF77" i="2" s="1"/>
  <c r="AF78" i="2" s="1"/>
  <c r="AF70" i="2"/>
  <c r="AG21" i="2"/>
  <c r="AG59" i="2" s="1"/>
  <c r="AG23" i="2" l="1"/>
  <c r="AG166" i="2" s="1"/>
  <c r="AG60" i="2"/>
  <c r="AF79" i="2"/>
  <c r="AG85" i="2" l="1"/>
  <c r="AG86" i="2" s="1"/>
  <c r="AG120" i="2"/>
  <c r="AH20" i="2"/>
  <c r="AH21" i="2" s="1"/>
  <c r="AH59" i="2" s="1"/>
  <c r="AG62" i="2"/>
  <c r="AG163" i="2" s="1"/>
  <c r="AG124" i="2" l="1"/>
  <c r="AG125" i="2" s="1"/>
  <c r="AH23" i="2"/>
  <c r="AH60" i="2"/>
  <c r="AG75" i="2"/>
  <c r="AG77" i="2" s="1"/>
  <c r="AG78" i="2" s="1"/>
  <c r="AG70" i="2"/>
  <c r="AH85" i="2" l="1"/>
  <c r="AH86" i="2" s="1"/>
  <c r="AH120" i="2"/>
  <c r="AG79" i="2"/>
  <c r="AH62" i="2"/>
  <c r="AH163" i="2" s="1"/>
  <c r="AI20" i="2"/>
  <c r="AH166" i="2"/>
  <c r="AH124" i="2" l="1"/>
  <c r="AH125" i="2" s="1"/>
  <c r="AI21" i="2"/>
  <c r="AI59" i="2" s="1"/>
  <c r="AH75" i="2"/>
  <c r="AH77" i="2" s="1"/>
  <c r="AH78" i="2" s="1"/>
  <c r="AH70" i="2"/>
  <c r="AH79" i="2" l="1"/>
  <c r="AI23" i="2"/>
  <c r="AI60" i="2"/>
  <c r="AI85" i="2" l="1"/>
  <c r="AI86" i="2" s="1"/>
  <c r="AI120" i="2"/>
  <c r="AI62" i="2"/>
  <c r="AI163" i="2" s="1"/>
  <c r="AJ20" i="2"/>
  <c r="AI166" i="2"/>
  <c r="AI124" i="2" l="1"/>
  <c r="AI125" i="2" s="1"/>
  <c r="AI70" i="2"/>
  <c r="AI75" i="2"/>
  <c r="AI77" i="2" s="1"/>
  <c r="AI78" i="2" s="1"/>
  <c r="AJ21" i="2"/>
  <c r="AJ59" i="2" s="1"/>
  <c r="AJ23" i="2" l="1"/>
  <c r="AK20" i="2" s="1"/>
  <c r="AJ60" i="2"/>
  <c r="AI79" i="2"/>
  <c r="AJ85" i="2" l="1"/>
  <c r="AJ86" i="2" s="1"/>
  <c r="AJ120" i="2"/>
  <c r="AJ166" i="2"/>
  <c r="AK21" i="2"/>
  <c r="AK59" i="2" s="1"/>
  <c r="AJ62" i="2"/>
  <c r="AJ163" i="2" s="1"/>
  <c r="AJ124" i="2" l="1"/>
  <c r="AJ125" i="2" s="1"/>
  <c r="AJ70" i="2"/>
  <c r="AJ75" i="2"/>
  <c r="AJ77" i="2" s="1"/>
  <c r="AJ78" i="2" s="1"/>
  <c r="AK23" i="2"/>
  <c r="AK60" i="2"/>
  <c r="AK85" i="2" l="1"/>
  <c r="AK86" i="2" s="1"/>
  <c r="AK120" i="2"/>
  <c r="AK62" i="2"/>
  <c r="AK163" i="2" s="1"/>
  <c r="AL20" i="2"/>
  <c r="AK166" i="2"/>
  <c r="AJ79" i="2"/>
  <c r="AK124" i="2" l="1"/>
  <c r="AK125" i="2" s="1"/>
  <c r="AL21" i="2"/>
  <c r="AL59" i="2" s="1"/>
  <c r="AK75" i="2"/>
  <c r="AK77" i="2" s="1"/>
  <c r="AK78" i="2" s="1"/>
  <c r="AK70" i="2"/>
  <c r="AL60" i="2" l="1"/>
  <c r="AK79" i="2"/>
  <c r="AL23" i="2"/>
  <c r="AL85" i="2" l="1"/>
  <c r="AL86" i="2" s="1"/>
  <c r="AL120" i="2"/>
  <c r="AL62" i="2"/>
  <c r="AL163" i="2" s="1"/>
  <c r="AL166" i="2"/>
  <c r="AM20" i="2"/>
  <c r="AL124" i="2" l="1"/>
  <c r="AL125" i="2" s="1"/>
  <c r="AM21" i="2"/>
  <c r="AM59" i="2" s="1"/>
  <c r="AL70" i="2"/>
  <c r="AL75" i="2"/>
  <c r="AL77" i="2" s="1"/>
  <c r="AL78" i="2" s="1"/>
  <c r="AM23" i="2" l="1"/>
  <c r="AN20" i="2" s="1"/>
  <c r="AL79" i="2"/>
  <c r="AM60" i="2"/>
  <c r="AM85" i="2" l="1"/>
  <c r="AM86" i="2" s="1"/>
  <c r="AM120" i="2"/>
  <c r="AM166" i="2"/>
  <c r="AN21" i="2"/>
  <c r="AN59" i="2" s="1"/>
  <c r="AM62" i="2"/>
  <c r="AM163" i="2" s="1"/>
  <c r="AM124" i="2" l="1"/>
  <c r="AM125" i="2" s="1"/>
  <c r="AM75" i="2"/>
  <c r="AM77" i="2" s="1"/>
  <c r="AM78" i="2" s="1"/>
  <c r="AM70" i="2"/>
  <c r="AN60" i="2"/>
  <c r="AN23" i="2"/>
  <c r="AN85" i="2" l="1"/>
  <c r="AN86" i="2" s="1"/>
  <c r="AN120" i="2"/>
  <c r="AM79" i="2"/>
  <c r="AN166" i="2"/>
  <c r="AO20" i="2"/>
  <c r="AN62" i="2"/>
  <c r="AN163" i="2" s="1"/>
  <c r="AN124" i="2" l="1"/>
  <c r="AN125" i="2" s="1"/>
  <c r="AO21" i="2"/>
  <c r="AO59" i="2" s="1"/>
  <c r="AN75" i="2"/>
  <c r="AN77" i="2" s="1"/>
  <c r="AN78" i="2" s="1"/>
  <c r="AN70" i="2"/>
  <c r="AN79" i="2" l="1"/>
  <c r="AO23" i="2"/>
  <c r="AO60" i="2"/>
  <c r="AO85" i="2" l="1"/>
  <c r="AO86" i="2" s="1"/>
  <c r="AO120" i="2"/>
  <c r="AO62" i="2"/>
  <c r="AO163" i="2" s="1"/>
  <c r="AO166" i="2"/>
  <c r="AP20" i="2"/>
  <c r="AO124" i="2" l="1"/>
  <c r="AO125" i="2" s="1"/>
  <c r="AP21" i="2"/>
  <c r="AP59" i="2" s="1"/>
  <c r="AO70" i="2"/>
  <c r="AO75" i="2"/>
  <c r="AO77" i="2" s="1"/>
  <c r="AO78" i="2" s="1"/>
  <c r="AP23" i="2" l="1"/>
  <c r="AP166" i="2" s="1"/>
  <c r="AP60" i="2"/>
  <c r="AO79" i="2"/>
  <c r="AP85" i="2" l="1"/>
  <c r="AP86" i="2" s="1"/>
  <c r="AP120" i="2"/>
  <c r="AQ20" i="2"/>
  <c r="AQ21" i="2" s="1"/>
  <c r="AQ59" i="2" s="1"/>
  <c r="AP62" i="2"/>
  <c r="AP163" i="2" s="1"/>
  <c r="AP124" i="2" l="1"/>
  <c r="AP125" i="2" s="1"/>
  <c r="AQ23" i="2"/>
  <c r="AQ60" i="2"/>
  <c r="AP70" i="2"/>
  <c r="AP75" i="2"/>
  <c r="AP77" i="2" s="1"/>
  <c r="AP78" i="2" s="1"/>
  <c r="AQ85" i="2" l="1"/>
  <c r="AQ86" i="2" s="1"/>
  <c r="AQ120" i="2"/>
  <c r="AQ62" i="2"/>
  <c r="AQ163" i="2" s="1"/>
  <c r="AR20" i="2"/>
  <c r="AQ166" i="2"/>
  <c r="AP79" i="2"/>
  <c r="AQ124" i="2" l="1"/>
  <c r="AQ125" i="2" s="1"/>
  <c r="AQ70" i="2"/>
  <c r="AQ75" i="2"/>
  <c r="AQ77" i="2" s="1"/>
  <c r="AQ78" i="2" s="1"/>
  <c r="AR21" i="2"/>
  <c r="AR59" i="2" s="1"/>
  <c r="AR23" i="2" l="1"/>
  <c r="AQ79" i="2"/>
  <c r="AR60" i="2"/>
  <c r="AR85" i="2" l="1"/>
  <c r="AR86" i="2" s="1"/>
  <c r="AR120" i="2"/>
  <c r="AR166" i="2"/>
  <c r="AS20" i="2"/>
  <c r="AR62" i="2"/>
  <c r="AR163" i="2" s="1"/>
  <c r="AR124" i="2" l="1"/>
  <c r="AR125" i="2" s="1"/>
  <c r="AS21" i="2"/>
  <c r="AS59" i="2" s="1"/>
  <c r="AR75" i="2"/>
  <c r="AR77" i="2" s="1"/>
  <c r="AR78" i="2" s="1"/>
  <c r="AR70" i="2"/>
  <c r="AS60" i="2" l="1"/>
  <c r="AS23" i="2"/>
  <c r="AR79" i="2"/>
  <c r="AS85" i="2" l="1"/>
  <c r="AS86" i="2" s="1"/>
  <c r="AS120" i="2"/>
  <c r="AS62" i="2"/>
  <c r="AS163" i="2" s="1"/>
  <c r="AS166" i="2"/>
  <c r="AT20" i="2"/>
  <c r="AS124" i="2" l="1"/>
  <c r="AS125" i="2" s="1"/>
  <c r="AT21" i="2"/>
  <c r="AT59" i="2" s="1"/>
  <c r="AS70" i="2"/>
  <c r="AS75" i="2"/>
  <c r="AS77" i="2" s="1"/>
  <c r="AS78" i="2" s="1"/>
  <c r="AT23" i="2" l="1"/>
  <c r="AT166" i="2" s="1"/>
  <c r="AT60" i="2"/>
  <c r="AS79" i="2"/>
  <c r="AT85" i="2" l="1"/>
  <c r="AT86" i="2" s="1"/>
  <c r="AT120" i="2"/>
  <c r="AT62" i="2"/>
  <c r="AT163" i="2" s="1"/>
  <c r="AU59" i="2"/>
  <c r="AT124" i="2" l="1"/>
  <c r="AT125" i="2" s="1"/>
  <c r="AT70" i="2"/>
  <c r="D70" i="2" s="1"/>
  <c r="AT75" i="2"/>
  <c r="AT77" i="2" s="1"/>
  <c r="AT78" i="2" s="1"/>
  <c r="AU60" i="2"/>
  <c r="AU85" i="2" l="1"/>
  <c r="AU86" i="2" s="1"/>
  <c r="AU120" i="2"/>
  <c r="AU62" i="2"/>
  <c r="AU163" i="2" s="1"/>
  <c r="AT79" i="2"/>
  <c r="AV59" i="2"/>
  <c r="AU124" i="2" l="1"/>
  <c r="AU125" i="2" s="1"/>
  <c r="AV60" i="2"/>
  <c r="AU75" i="2"/>
  <c r="AU77" i="2" s="1"/>
  <c r="AU78" i="2" s="1"/>
  <c r="AU70" i="2"/>
  <c r="AV85" i="2" l="1"/>
  <c r="AV86" i="2" s="1"/>
  <c r="AV120" i="2"/>
  <c r="AU79" i="2"/>
  <c r="AV62" i="2"/>
  <c r="AV124" i="2" l="1"/>
  <c r="AV125" i="2" s="1"/>
  <c r="C91" i="2"/>
  <c r="AV163" i="2"/>
  <c r="C164" i="2" s="1"/>
  <c r="H66" i="2"/>
  <c r="F66" i="2"/>
  <c r="E66" i="2"/>
  <c r="G66" i="2"/>
  <c r="D66" i="2"/>
  <c r="C178" i="2" s="1"/>
  <c r="E90" i="2"/>
  <c r="D90" i="2"/>
  <c r="F90" i="2"/>
  <c r="C90" i="2"/>
  <c r="AV75" i="2"/>
  <c r="AV77" i="2" s="1"/>
  <c r="AV78" i="2" s="1"/>
  <c r="AV79" i="2" s="1"/>
  <c r="D71" i="2" s="1"/>
  <c r="AV70" i="2"/>
  <c r="D67" i="2"/>
  <c r="C130" i="2" l="1"/>
  <c r="C129" i="2"/>
  <c r="D129" i="2"/>
  <c r="F129" i="2"/>
  <c r="E129" i="2"/>
  <c r="AU164" i="2"/>
  <c r="AU169" i="2" s="1"/>
  <c r="Z164" i="2"/>
  <c r="Z169" i="2" s="1"/>
  <c r="Y164" i="2"/>
  <c r="Y167" i="2" s="1"/>
  <c r="X164" i="2"/>
  <c r="X168" i="2" s="1"/>
  <c r="AP164" i="2"/>
  <c r="AP167" i="2" s="1"/>
  <c r="AN164" i="2"/>
  <c r="AN167" i="2" s="1"/>
  <c r="AH164" i="2"/>
  <c r="AH167" i="2" s="1"/>
  <c r="J164" i="2"/>
  <c r="J169" i="2" s="1"/>
  <c r="Q164" i="2"/>
  <c r="Q168" i="2" s="1"/>
  <c r="P164" i="2"/>
  <c r="P167" i="2" s="1"/>
  <c r="AG164" i="2"/>
  <c r="AG168" i="2" s="1"/>
  <c r="I164" i="2"/>
  <c r="I167" i="2" s="1"/>
  <c r="AF164" i="2"/>
  <c r="AF167" i="2" s="1"/>
  <c r="H164" i="2"/>
  <c r="H167" i="2" s="1"/>
  <c r="AO164" i="2"/>
  <c r="AO167" i="2" s="1"/>
  <c r="R164" i="2"/>
  <c r="R168" i="2" s="1"/>
  <c r="W164" i="2"/>
  <c r="W167" i="2" s="1"/>
  <c r="O164" i="2"/>
  <c r="O168" i="2" s="1"/>
  <c r="AQ164" i="2"/>
  <c r="AQ169" i="2" s="1"/>
  <c r="AL164" i="2"/>
  <c r="AL167" i="2" s="1"/>
  <c r="AD164" i="2"/>
  <c r="AD169" i="2" s="1"/>
  <c r="V164" i="2"/>
  <c r="V167" i="2" s="1"/>
  <c r="N164" i="2"/>
  <c r="N169" i="2" s="1"/>
  <c r="G164" i="2"/>
  <c r="G167" i="2" s="1"/>
  <c r="AT164" i="2"/>
  <c r="AT169" i="2" s="1"/>
  <c r="AK164" i="2"/>
  <c r="AK167" i="2" s="1"/>
  <c r="AC164" i="2"/>
  <c r="AC168" i="2" s="1"/>
  <c r="U164" i="2"/>
  <c r="U167" i="2" s="1"/>
  <c r="M164" i="2"/>
  <c r="M167" i="2" s="1"/>
  <c r="D164" i="2"/>
  <c r="D168" i="2" s="1"/>
  <c r="AM164" i="2"/>
  <c r="AM168" i="2" s="1"/>
  <c r="AJ164" i="2"/>
  <c r="AJ167" i="2" s="1"/>
  <c r="AB164" i="2"/>
  <c r="AB169" i="2" s="1"/>
  <c r="T164" i="2"/>
  <c r="T167" i="2" s="1"/>
  <c r="L164" i="2"/>
  <c r="L168" i="2" s="1"/>
  <c r="F164" i="2"/>
  <c r="F169" i="2" s="1"/>
  <c r="AE164" i="2"/>
  <c r="AE168" i="2" s="1"/>
  <c r="E164" i="2"/>
  <c r="E167" i="2" s="1"/>
  <c r="AR164" i="2"/>
  <c r="AR169" i="2" s="1"/>
  <c r="AS164" i="2"/>
  <c r="AS169" i="2" s="1"/>
  <c r="AI164" i="2"/>
  <c r="AI168" i="2" s="1"/>
  <c r="AA164" i="2"/>
  <c r="AA168" i="2" s="1"/>
  <c r="S164" i="2"/>
  <c r="S168" i="2" s="1"/>
  <c r="K164" i="2"/>
  <c r="K168" i="2" s="1"/>
  <c r="C169" i="2"/>
  <c r="C168" i="2"/>
  <c r="C167" i="2"/>
  <c r="AN169" i="2" l="1"/>
  <c r="H169" i="2"/>
  <c r="Y169" i="2"/>
  <c r="Y168" i="2"/>
  <c r="AU168" i="2"/>
  <c r="AU167" i="2"/>
  <c r="AU171" i="2" s="1"/>
  <c r="U168" i="2"/>
  <c r="AC169" i="2"/>
  <c r="Z168" i="2"/>
  <c r="O167" i="2"/>
  <c r="O171" i="2" s="1"/>
  <c r="O169" i="2"/>
  <c r="Z167" i="2"/>
  <c r="Z172" i="2" s="1"/>
  <c r="AP168" i="2"/>
  <c r="X169" i="2"/>
  <c r="X167" i="2"/>
  <c r="X172" i="2" s="1"/>
  <c r="I169" i="2"/>
  <c r="K169" i="2"/>
  <c r="I168" i="2"/>
  <c r="K167" i="2"/>
  <c r="K171" i="2" s="1"/>
  <c r="AF168" i="2"/>
  <c r="N167" i="2"/>
  <c r="N171" i="2" s="1"/>
  <c r="V169" i="2"/>
  <c r="AF169" i="2"/>
  <c r="N168" i="2"/>
  <c r="AH169" i="2"/>
  <c r="AH168" i="2"/>
  <c r="J167" i="2"/>
  <c r="J172" i="2" s="1"/>
  <c r="H168" i="2"/>
  <c r="AO169" i="2"/>
  <c r="R169" i="2"/>
  <c r="AP169" i="2"/>
  <c r="AM169" i="2"/>
  <c r="J168" i="2"/>
  <c r="R167" i="2"/>
  <c r="R170" i="2" s="1"/>
  <c r="AR168" i="2"/>
  <c r="AM167" i="2"/>
  <c r="AM170" i="2" s="1"/>
  <c r="AR167" i="2"/>
  <c r="AR170" i="2" s="1"/>
  <c r="Q169" i="2"/>
  <c r="AC167" i="2"/>
  <c r="AC172" i="2" s="1"/>
  <c r="P169" i="2"/>
  <c r="Q167" i="2"/>
  <c r="Q171" i="2" s="1"/>
  <c r="P168" i="2"/>
  <c r="AO168" i="2"/>
  <c r="AG167" i="2"/>
  <c r="AG172" i="2" s="1"/>
  <c r="AQ168" i="2"/>
  <c r="AN168" i="2"/>
  <c r="AG169" i="2"/>
  <c r="S169" i="2"/>
  <c r="AS167" i="2"/>
  <c r="AS171" i="2" s="1"/>
  <c r="L169" i="2"/>
  <c r="AQ167" i="2"/>
  <c r="AQ170" i="2" s="1"/>
  <c r="F167" i="2"/>
  <c r="F171" i="2" s="1"/>
  <c r="F168" i="2"/>
  <c r="E168" i="2"/>
  <c r="M169" i="2"/>
  <c r="D167" i="2"/>
  <c r="D170" i="2" s="1"/>
  <c r="V168" i="2"/>
  <c r="D169" i="2"/>
  <c r="AD168" i="2"/>
  <c r="AD167" i="2"/>
  <c r="AD170" i="2" s="1"/>
  <c r="S167" i="2"/>
  <c r="S170" i="2" s="1"/>
  <c r="L167" i="2"/>
  <c r="L171" i="2" s="1"/>
  <c r="M168" i="2"/>
  <c r="G168" i="2"/>
  <c r="AL169" i="2"/>
  <c r="AE167" i="2"/>
  <c r="AE170" i="2" s="1"/>
  <c r="AL168" i="2"/>
  <c r="T169" i="2"/>
  <c r="U169" i="2"/>
  <c r="AS168" i="2"/>
  <c r="AJ168" i="2"/>
  <c r="T168" i="2"/>
  <c r="AK169" i="2"/>
  <c r="W169" i="2"/>
  <c r="AK168" i="2"/>
  <c r="AA169" i="2"/>
  <c r="AA167" i="2"/>
  <c r="AA171" i="2" s="1"/>
  <c r="AI169" i="2"/>
  <c r="AB168" i="2"/>
  <c r="W168" i="2"/>
  <c r="AI167" i="2"/>
  <c r="AI170" i="2" s="1"/>
  <c r="AB167" i="2"/>
  <c r="AB170" i="2" s="1"/>
  <c r="AT167" i="2"/>
  <c r="AT171" i="2" s="1"/>
  <c r="AJ169" i="2"/>
  <c r="AT168" i="2"/>
  <c r="E169" i="2"/>
  <c r="G169" i="2"/>
  <c r="AE169" i="2"/>
  <c r="M170" i="2"/>
  <c r="M171" i="2"/>
  <c r="M172" i="2"/>
  <c r="AL171" i="2"/>
  <c r="AL170" i="2"/>
  <c r="AL172" i="2"/>
  <c r="U170" i="2"/>
  <c r="U171" i="2"/>
  <c r="U172" i="2"/>
  <c r="V171" i="2"/>
  <c r="V170" i="2"/>
  <c r="V172" i="2"/>
  <c r="AN171" i="2"/>
  <c r="AN170" i="2"/>
  <c r="AN172" i="2"/>
  <c r="AP171" i="2"/>
  <c r="AP170" i="2"/>
  <c r="AP172" i="2"/>
  <c r="AJ171" i="2"/>
  <c r="AJ170" i="2"/>
  <c r="AJ172" i="2"/>
  <c r="E172" i="2"/>
  <c r="E170" i="2"/>
  <c r="E171" i="2"/>
  <c r="C172" i="2"/>
  <c r="C170" i="2"/>
  <c r="C171" i="2"/>
  <c r="T170" i="2"/>
  <c r="T171" i="2"/>
  <c r="T172" i="2"/>
  <c r="P171" i="2"/>
  <c r="P170" i="2"/>
  <c r="P172" i="2"/>
  <c r="I171" i="2"/>
  <c r="I170" i="2"/>
  <c r="I172" i="2"/>
  <c r="AH170" i="2"/>
  <c r="AH171" i="2"/>
  <c r="AH172" i="2"/>
  <c r="Y171" i="2"/>
  <c r="Y170" i="2"/>
  <c r="Y172" i="2"/>
  <c r="AK170" i="2"/>
  <c r="AK171" i="2"/>
  <c r="AK172" i="2"/>
  <c r="W170" i="2"/>
  <c r="W171" i="2"/>
  <c r="W172" i="2"/>
  <c r="AO170" i="2"/>
  <c r="AO171" i="2"/>
  <c r="AO172" i="2"/>
  <c r="AF171" i="2"/>
  <c r="AF170" i="2"/>
  <c r="AF172" i="2"/>
  <c r="G170" i="2"/>
  <c r="G171" i="2"/>
  <c r="G172" i="2"/>
  <c r="H170" i="2"/>
  <c r="H171" i="2"/>
  <c r="H172" i="2"/>
  <c r="O170" i="2" l="1"/>
  <c r="K170" i="2"/>
  <c r="X170" i="2"/>
  <c r="Z170" i="2"/>
  <c r="Z171" i="2"/>
  <c r="Z173" i="2" s="1"/>
  <c r="O172" i="2"/>
  <c r="O173" i="2" s="1"/>
  <c r="AU172" i="2"/>
  <c r="AU170" i="2"/>
  <c r="AR172" i="2"/>
  <c r="L170" i="2"/>
  <c r="N172" i="2"/>
  <c r="N170" i="2"/>
  <c r="X171" i="2"/>
  <c r="AC170" i="2"/>
  <c r="AR171" i="2"/>
  <c r="L172" i="2"/>
  <c r="L173" i="2" s="1"/>
  <c r="K172" i="2"/>
  <c r="K173" i="2" s="1"/>
  <c r="J170" i="2"/>
  <c r="J171" i="2"/>
  <c r="J173" i="2" s="1"/>
  <c r="AM172" i="2"/>
  <c r="AM171" i="2"/>
  <c r="R171" i="2"/>
  <c r="F172" i="2"/>
  <c r="F173" i="2" s="1"/>
  <c r="F170" i="2"/>
  <c r="R172" i="2"/>
  <c r="AC171" i="2"/>
  <c r="AC173" i="2" s="1"/>
  <c r="AS172" i="2"/>
  <c r="AS173" i="2" s="1"/>
  <c r="AS170" i="2"/>
  <c r="AQ172" i="2"/>
  <c r="Q172" i="2"/>
  <c r="Q173" i="2" s="1"/>
  <c r="AQ171" i="2"/>
  <c r="AB172" i="2"/>
  <c r="AD171" i="2"/>
  <c r="AG171" i="2"/>
  <c r="AG173" i="2" s="1"/>
  <c r="Q170" i="2"/>
  <c r="AG170" i="2"/>
  <c r="AD172" i="2"/>
  <c r="AB171" i="2"/>
  <c r="D172" i="2"/>
  <c r="AT170" i="2"/>
  <c r="D171" i="2"/>
  <c r="AE172" i="2"/>
  <c r="AE171" i="2"/>
  <c r="S171" i="2"/>
  <c r="AT172" i="2"/>
  <c r="AT173" i="2" s="1"/>
  <c r="AA172" i="2"/>
  <c r="AA173" i="2" s="1"/>
  <c r="S172" i="2"/>
  <c r="AA170" i="2"/>
  <c r="AI171" i="2"/>
  <c r="AI172" i="2"/>
  <c r="C173" i="2"/>
  <c r="D174" i="2" s="1"/>
  <c r="D175" i="2" s="1"/>
  <c r="V173" i="2"/>
  <c r="P173" i="2"/>
  <c r="AK173" i="2"/>
  <c r="AP173" i="2"/>
  <c r="X173" i="2"/>
  <c r="G173" i="2"/>
  <c r="W173" i="2"/>
  <c r="AJ173" i="2"/>
  <c r="AN173" i="2"/>
  <c r="AL173" i="2"/>
  <c r="Y173" i="2"/>
  <c r="AU173" i="2"/>
  <c r="AO173" i="2"/>
  <c r="H173" i="2"/>
  <c r="U173" i="2"/>
  <c r="AH173" i="2"/>
  <c r="T173" i="2"/>
  <c r="I173" i="2"/>
  <c r="AF173" i="2"/>
  <c r="N173" i="2"/>
  <c r="E173" i="2"/>
  <c r="M173" i="2"/>
  <c r="AM173" i="2" l="1"/>
  <c r="AR173" i="2"/>
  <c r="AQ173" i="2"/>
  <c r="AE173" i="2"/>
  <c r="AB173" i="2"/>
  <c r="D173" i="2"/>
  <c r="E174" i="2" s="1"/>
  <c r="E175" i="2" s="1"/>
  <c r="AD173" i="2"/>
  <c r="R173" i="2"/>
  <c r="S173" i="2"/>
  <c r="AI173" i="2"/>
  <c r="F174" i="2" l="1"/>
  <c r="F175" i="2" s="1"/>
  <c r="G174" i="2" l="1"/>
  <c r="G175" i="2" s="1"/>
  <c r="H174" i="2" l="1"/>
  <c r="H175" i="2" s="1"/>
  <c r="I174" i="2" l="1"/>
  <c r="I175" i="2" s="1"/>
  <c r="J174" i="2" l="1"/>
  <c r="J175" i="2" s="1"/>
  <c r="K174" i="2" l="1"/>
  <c r="K175" i="2" s="1"/>
  <c r="L174" i="2" l="1"/>
  <c r="L175" i="2" s="1"/>
  <c r="M174" i="2" l="1"/>
  <c r="M175" i="2" s="1"/>
  <c r="N174" i="2" l="1"/>
  <c r="N175" i="2" s="1"/>
  <c r="O174" i="2" l="1"/>
  <c r="O175" i="2" s="1"/>
  <c r="P174" i="2" l="1"/>
  <c r="P175" i="2" s="1"/>
  <c r="Q174" i="2" l="1"/>
  <c r="Q175" i="2" s="1"/>
  <c r="R174" i="2" l="1"/>
  <c r="R175" i="2" s="1"/>
  <c r="S174" i="2" l="1"/>
  <c r="S175" i="2" s="1"/>
  <c r="T174" i="2" l="1"/>
  <c r="T175" i="2" s="1"/>
  <c r="U174" i="2" l="1"/>
  <c r="U175" i="2" s="1"/>
  <c r="V174" i="2" l="1"/>
  <c r="V175" i="2" s="1"/>
  <c r="W174" i="2" l="1"/>
  <c r="W175" i="2" s="1"/>
  <c r="X174" i="2" l="1"/>
  <c r="X175" i="2" s="1"/>
  <c r="Y174" i="2" l="1"/>
  <c r="Y175" i="2" s="1"/>
  <c r="Z174" i="2" l="1"/>
  <c r="Z175" i="2" s="1"/>
  <c r="AA174" i="2" l="1"/>
  <c r="AA175" i="2" s="1"/>
  <c r="AB174" i="2" l="1"/>
  <c r="AB175" i="2" s="1"/>
  <c r="AC174" i="2" l="1"/>
  <c r="AC175" i="2" s="1"/>
  <c r="AD174" i="2" l="1"/>
  <c r="AD175" i="2" s="1"/>
  <c r="AE174" i="2" l="1"/>
  <c r="AE175" i="2" s="1"/>
  <c r="AF174" i="2" l="1"/>
  <c r="AF175" i="2" s="1"/>
  <c r="AG174" i="2" l="1"/>
  <c r="AG175" i="2" s="1"/>
  <c r="AH174" i="2" l="1"/>
  <c r="AH175" i="2" s="1"/>
  <c r="AI174" i="2" l="1"/>
  <c r="AI175" i="2" s="1"/>
  <c r="AJ174" i="2" l="1"/>
  <c r="AJ175" i="2" s="1"/>
  <c r="AK174" i="2" l="1"/>
  <c r="AK175" i="2" s="1"/>
  <c r="AL174" i="2" l="1"/>
  <c r="AL175" i="2" s="1"/>
  <c r="AM174" i="2" l="1"/>
  <c r="AM175" i="2" s="1"/>
  <c r="AN174" i="2" l="1"/>
  <c r="AN175" i="2" s="1"/>
  <c r="AO174" i="2" l="1"/>
  <c r="AO175" i="2" s="1"/>
  <c r="AP174" i="2" l="1"/>
  <c r="AP175" i="2" s="1"/>
  <c r="AQ174" i="2" l="1"/>
  <c r="AQ175" i="2" s="1"/>
  <c r="AR174" i="2" l="1"/>
  <c r="AR175" i="2" s="1"/>
  <c r="AS174" i="2" l="1"/>
  <c r="AS175" i="2" s="1"/>
  <c r="AT174" i="2" l="1"/>
  <c r="AT175" i="2" s="1"/>
  <c r="AU174" i="2" l="1"/>
  <c r="AU175" i="2" s="1"/>
  <c r="AV174" i="2" l="1"/>
  <c r="AV175" i="2" s="1"/>
  <c r="D17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D9" authorId="0" shapeId="0" xr:uid="{0F472349-EA23-4E8D-B88C-424B6832AEBC}">
      <text>
        <r>
          <rPr>
            <sz val="12"/>
            <color indexed="81"/>
            <rFont val="Tahoma"/>
            <family val="2"/>
          </rPr>
          <t>2016, trả trong 15 năm.</t>
        </r>
      </text>
    </comment>
    <comment ref="D10" authorId="0" shapeId="0" xr:uid="{1A1C721B-0761-4F50-8B9F-9D3FCE64C1B1}">
      <text>
        <r>
          <rPr>
            <sz val="12"/>
            <color indexed="81"/>
            <rFont val="Tahoma"/>
            <family val="2"/>
          </rPr>
          <t>2016, trả trong 40 năm.</t>
        </r>
      </text>
    </comment>
    <comment ref="F15" authorId="0" shapeId="0" xr:uid="{B434DFB1-3D95-487E-A442-45ACA68E18EC}">
      <text>
        <r>
          <rPr>
            <sz val="12"/>
            <color indexed="81"/>
            <rFont val="Tahoma"/>
            <family val="2"/>
          </rPr>
          <t>Chỉ đạt 36% trong tổng số 60% số lượng xe sử dụng cao tốc mới.</t>
        </r>
      </text>
    </comment>
    <comment ref="G15" authorId="0" shapeId="0" xr:uid="{1FA1A61E-430E-4270-998C-1CD08908296B}">
      <text>
        <r>
          <rPr>
            <sz val="12"/>
            <color indexed="81"/>
            <rFont val="Tahoma"/>
            <family val="2"/>
          </rPr>
          <t>Đạt 100% tổng số 60% số lượng xe sử dụng cao tốc mới.</t>
        </r>
      </text>
    </comment>
    <comment ref="I42" authorId="0" shapeId="0" xr:uid="{9A514758-F14B-4192-B72F-92FCC7574727}">
      <text>
        <r>
          <rPr>
            <sz val="18"/>
            <color indexed="81"/>
            <rFont val="Tahoma"/>
            <family val="2"/>
          </rPr>
          <t>ĐỂ TÍNH CƠ CẤU VỐN CỦA DỰ ÁN.</t>
        </r>
      </text>
    </comment>
    <comment ref="I45" authorId="0" shapeId="0" xr:uid="{9CE8AF67-2115-49FA-87D2-32F4E167285D}">
      <text>
        <r>
          <rPr>
            <sz val="18"/>
            <color indexed="81"/>
            <rFont val="Tahoma"/>
            <family val="2"/>
          </rPr>
          <t>ĐỂ TÍNH GIÁ TRỊ KHẤU HAO (NẾU CÓ).</t>
        </r>
      </text>
    </comment>
    <comment ref="I69" authorId="0" shapeId="0" xr:uid="{B81B5A86-0562-44C3-82DE-AE0BE3CE32D3}">
      <text>
        <r>
          <rPr>
            <sz val="18"/>
            <color indexed="81"/>
            <rFont val="Tahoma"/>
            <family val="2"/>
          </rPr>
          <t>ĐỂ TÍNH KHẤU HAO (NẾU CÓ).</t>
        </r>
      </text>
    </comment>
    <comment ref="I70" authorId="0" shapeId="0" xr:uid="{5CCC5330-19F7-4D3C-B993-678DA81952C3}">
      <text>
        <r>
          <rPr>
            <sz val="18"/>
            <color indexed="81"/>
            <rFont val="Tahoma"/>
            <family val="2"/>
          </rPr>
          <t>ĐỂ TÍNH CƠ CẤU VỐN CỦA DỰ ÁN.</t>
        </r>
      </text>
    </comment>
    <comment ref="B125" authorId="0" shapeId="0" xr:uid="{1C7037B0-C3A4-4876-B329-EA90B43E69A1}">
      <text>
        <r>
          <rPr>
            <sz val="18"/>
            <color indexed="81"/>
            <rFont val="Tahoma"/>
            <family val="2"/>
          </rPr>
          <t>1) ĐIỀU NÀY CÓ NGHĨA CÁC KHOẢN VAT ĐẦU VÀO KHÔNG ĐƯỢC HOÀN LẠI.
2) TĂNG THEO LƯU LƯỢNG XE.
3) NHÂN CHO 365 NGÀY/NĂM.</t>
        </r>
      </text>
    </comment>
    <comment ref="B133" authorId="0" shapeId="0" xr:uid="{0B773D3E-2EE0-440C-9786-D2EB3790263A}">
      <text>
        <r>
          <rPr>
            <sz val="18"/>
            <color indexed="81"/>
            <rFont val="Tahoma"/>
            <family val="2"/>
          </rPr>
          <t>1) KHÔNG THAY ĐỔI THEO LƯU LƯỢNG XE.
2) CŨNG ĐƯỢC XEM LÀ MỘT PHẦN TRONG NGÂN LƯU VÀO CỦA QUAN ĐIỂM DỰ ÁN/TIPV BỞI VÌ KHOẢN TIẾT KIỆM NÀY LÀ LỢI ÍCH BẰNG TIỀN CỦA GOJ.</t>
        </r>
      </text>
    </comment>
    <comment ref="B143" authorId="0" shapeId="0" xr:uid="{B04F6176-4E04-4602-A5DB-2BF6EC6C46F4}">
      <text>
        <r>
          <rPr>
            <sz val="18"/>
            <color indexed="81"/>
            <rFont val="Tahoma"/>
            <family val="2"/>
          </rPr>
          <t>1) TĂNG THEO MỨC TĂNG CỦA LƯU LƯỢNG XE.
2) NHÂN 365 NGÀY/NĂM</t>
        </r>
      </text>
    </comment>
    <comment ref="B151" authorId="0" shapeId="0" xr:uid="{D3EC8153-0D88-4D23-B090-2DEBB3C4FC1A}">
      <text>
        <r>
          <rPr>
            <sz val="18"/>
            <color indexed="81"/>
            <rFont val="Tahoma"/>
            <family val="2"/>
          </rPr>
          <t>1) TĂNG THEO MỨC TĂNG CỦA LƯU LƯỢNG XE.
2) NHÂN 365 NGÀY/NĂM</t>
        </r>
      </text>
    </comment>
    <comment ref="B160" authorId="0" shapeId="0" xr:uid="{4CFD4099-0242-4CF7-960B-03F88D9ABF86}">
      <text>
        <r>
          <rPr>
            <sz val="18"/>
            <color indexed="81"/>
            <rFont val="Tahoma"/>
            <family val="2"/>
          </rPr>
          <t>1) TÍNH CHO 365 NGÀY/NĂM
2) TĂNG THEO MỨC TĂNG CỦA LƯU LƯỢNG XE</t>
        </r>
      </text>
    </comment>
    <comment ref="B179" authorId="0" shapeId="0" xr:uid="{C419EB39-BD88-48EC-BC1C-E2267ED3E09E}">
      <text>
        <r>
          <rPr>
            <sz val="15"/>
            <color indexed="81"/>
            <rFont val="Tahoma"/>
            <family val="2"/>
          </rPr>
          <t>Thay đổi theo lưu lượng xe.</t>
        </r>
      </text>
    </comment>
    <comment ref="B192" authorId="0" shapeId="0" xr:uid="{8F99DB06-8CBB-4700-A27B-B511367924EF}">
      <text>
        <r>
          <rPr>
            <sz val="18"/>
            <color indexed="81"/>
            <rFont val="Tahoma"/>
            <family val="2"/>
          </rPr>
          <t>1) TĂNG THEO MỨC TĂNG CỦA LƯU LƯỢNG XE.
2) NHÂN 365 NGÀY/NĂM</t>
        </r>
      </text>
    </comment>
    <comment ref="B200" authorId="0" shapeId="0" xr:uid="{F4F015ED-1D2D-4B22-94F1-330AA449DBF2}">
      <text>
        <r>
          <rPr>
            <sz val="18"/>
            <color indexed="81"/>
            <rFont val="Tahoma"/>
            <family val="2"/>
          </rPr>
          <t>1) TĂNG THEO MỨC TĂNG CỦA LƯU LƯỢNG XE.
2) NHÂN 365 NGÀY/NĂM</t>
        </r>
      </text>
    </comment>
    <comment ref="B208" authorId="0" shapeId="0" xr:uid="{D1DFEBDA-935D-43EC-8CD6-9FB55D7C59AE}">
      <text>
        <r>
          <rPr>
            <sz val="18"/>
            <color indexed="81"/>
            <rFont val="Tahoma"/>
            <family val="2"/>
          </rPr>
          <t>1) TÍNH CHO 365 NGÀY/NĂM
2) TĂNG THEO MỨC TĂNG CỦA LƯU LƯỢNG XE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B45" authorId="0" shapeId="0" xr:uid="{CC6AE894-2319-4DE5-B2E2-B65CEEBC0AF0}">
      <text>
        <r>
          <rPr>
            <sz val="15"/>
            <color indexed="81"/>
            <rFont val="Tahoma"/>
            <family val="2"/>
          </rPr>
          <t>Giả sử không thay đổi đáng kể theo lưu lượng xe.</t>
        </r>
      </text>
    </comment>
    <comment ref="B138" authorId="0" shapeId="0" xr:uid="{84C19782-BC27-4F8D-B348-582C517BA80F}">
      <text>
        <r>
          <rPr>
            <sz val="15"/>
            <color indexed="81"/>
            <rFont val="Tahoma"/>
            <family val="2"/>
          </rPr>
          <t>Giả sử thay đổi theo lưu lượng xe.</t>
        </r>
      </text>
    </comment>
    <comment ref="B139" authorId="0" shapeId="0" xr:uid="{4977D75A-933C-49D3-9DFC-AE6C9E6A70D0}">
      <text>
        <r>
          <rPr>
            <sz val="15"/>
            <color indexed="81"/>
            <rFont val="Tahoma"/>
            <family val="2"/>
          </rPr>
          <t>Giả sử thay đổi theo lưu lượng xe.</t>
        </r>
      </text>
    </comment>
    <comment ref="B140" authorId="0" shapeId="0" xr:uid="{547CA5D9-B379-494C-86B9-625B217FFD4A}">
      <text>
        <r>
          <rPr>
            <sz val="15"/>
            <color indexed="81"/>
            <rFont val="Tahoma"/>
            <family val="2"/>
          </rPr>
          <t>Giả sử thay đổi theo lưu lượng xe.</t>
        </r>
      </text>
    </comment>
    <comment ref="B141" authorId="0" shapeId="0" xr:uid="{3E5A7AB5-DA90-4C89-B650-E083245365BD}">
      <text>
        <r>
          <rPr>
            <sz val="15"/>
            <color indexed="81"/>
            <rFont val="Tahoma"/>
            <family val="2"/>
          </rPr>
          <t>Giả sử thay đổi theo lưu lượng xe.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Binh</author>
  </authors>
  <commentList>
    <comment ref="B45" authorId="0" shapeId="0" xr:uid="{C10D4A17-5387-4C68-B776-54BBBA69C3FB}">
      <text>
        <r>
          <rPr>
            <sz val="15"/>
            <color indexed="81"/>
            <rFont val="Tahoma"/>
            <family val="2"/>
          </rPr>
          <t>Giả sử không thay đổi đáng kể theo lưu lượng xe.</t>
        </r>
      </text>
    </comment>
    <comment ref="B142" authorId="0" shapeId="0" xr:uid="{DC47AEB9-4ACB-4B7D-8F2B-E9A349EB54A4}">
      <text>
        <r>
          <rPr>
            <sz val="15"/>
            <color indexed="81"/>
            <rFont val="Tahoma"/>
            <family val="2"/>
          </rPr>
          <t>Giả sử thay đổi theo lưu lượng xe.</t>
        </r>
      </text>
    </comment>
    <comment ref="B143" authorId="0" shapeId="0" xr:uid="{41BB78E4-580F-4C39-A343-F266400A137E}">
      <text>
        <r>
          <rPr>
            <sz val="15"/>
            <color indexed="81"/>
            <rFont val="Tahoma"/>
            <family val="2"/>
          </rPr>
          <t>Giả sử thay đổi theo lưu lượng xe.</t>
        </r>
      </text>
    </comment>
    <comment ref="B144" authorId="0" shapeId="0" xr:uid="{62F2939E-A4D0-49C0-B71E-90D2D26FAC00}">
      <text>
        <r>
          <rPr>
            <sz val="15"/>
            <color indexed="81"/>
            <rFont val="Tahoma"/>
            <family val="2"/>
          </rPr>
          <t>Giả sử thay đổi theo lưu lượng xe.</t>
        </r>
      </text>
    </comment>
    <comment ref="B145" authorId="0" shapeId="0" xr:uid="{67326E87-5C3A-4159-9D9A-825B842D424F}">
      <text>
        <r>
          <rPr>
            <sz val="15"/>
            <color indexed="81"/>
            <rFont val="Tahoma"/>
            <family val="2"/>
          </rPr>
          <t>Giả sử thay đổi theo lưu lượng xe.</t>
        </r>
      </text>
    </comment>
  </commentList>
</comments>
</file>

<file path=xl/sharedStrings.xml><?xml version="1.0" encoding="utf-8"?>
<sst xmlns="http://schemas.openxmlformats.org/spreadsheetml/2006/main" count="678" uniqueCount="320">
  <si>
    <t>Rd1</t>
  </si>
  <si>
    <t>Rd2</t>
  </si>
  <si>
    <t>Tổng</t>
  </si>
  <si>
    <t>WACC</t>
  </si>
  <si>
    <t>Suất chiết khấu xã hội</t>
  </si>
  <si>
    <t>Giá ẩn của đất</t>
  </si>
  <si>
    <t>Lao động</t>
  </si>
  <si>
    <t>Địa phương</t>
  </si>
  <si>
    <t>Nước ngoài</t>
  </si>
  <si>
    <t>Nguyên vật liệu</t>
  </si>
  <si>
    <t>Thiết bị</t>
  </si>
  <si>
    <t>Đất</t>
  </si>
  <si>
    <t>CƠ CẤU VỐN</t>
  </si>
  <si>
    <t>Nhập khẩu</t>
  </si>
  <si>
    <t>Xây dựng cao tốc</t>
  </si>
  <si>
    <t>Hệ thống thu phí</t>
  </si>
  <si>
    <t>Năm</t>
  </si>
  <si>
    <t>ĐƯỜNG CAO TỐC</t>
  </si>
  <si>
    <t>HỆ THỐNG THU PHÍ</t>
  </si>
  <si>
    <t>Đường cao tốc</t>
  </si>
  <si>
    <t>2017-2018</t>
  </si>
  <si>
    <t>Tuyến đường</t>
  </si>
  <si>
    <t>Số km</t>
  </si>
  <si>
    <t>Tổng dự báo (xe/ngày)</t>
  </si>
  <si>
    <t>Xe khách</t>
  </si>
  <si>
    <t>Xe tải</t>
  </si>
  <si>
    <t>Mức phí (J$/km/xe)</t>
  </si>
  <si>
    <t>Lợi ích kinh tế (J$)</t>
  </si>
  <si>
    <t>Tiết kiệm chi phí bảo trì đường hiện có</t>
  </si>
  <si>
    <t>Công việc</t>
  </si>
  <si>
    <t>Đi lại</t>
  </si>
  <si>
    <t>Giải trí</t>
  </si>
  <si>
    <t>Tiết kiệm thời gian di chuyển</t>
  </si>
  <si>
    <t>Vay ngân hàng nước ngoài</t>
  </si>
  <si>
    <t>Vay ngân hàng trong nước</t>
  </si>
  <si>
    <t>Thuế thu nhập doanh nghiệp</t>
  </si>
  <si>
    <t>Năm dự án</t>
  </si>
  <si>
    <t>Nợ đầu kỳ</t>
  </si>
  <si>
    <t>Nợ cuối kỳ</t>
  </si>
  <si>
    <t>Lợi nhuận trước thuế</t>
  </si>
  <si>
    <t>Ngân lưu vào</t>
  </si>
  <si>
    <t>Tổng ngân lưu vào</t>
  </si>
  <si>
    <t>Ngân lưu ra</t>
  </si>
  <si>
    <t>Tổng ngân lưu ra</t>
  </si>
  <si>
    <t>Quan điểm</t>
  </si>
  <si>
    <t>Dự án</t>
  </si>
  <si>
    <t>TIPV</t>
  </si>
  <si>
    <t>Suất chiết khấu</t>
  </si>
  <si>
    <t>NPV</t>
  </si>
  <si>
    <t>BCR</t>
  </si>
  <si>
    <t>DSCR</t>
  </si>
  <si>
    <t>DPP</t>
  </si>
  <si>
    <t>năm</t>
  </si>
  <si>
    <t>Hệ số chiết khấu</t>
  </si>
  <si>
    <t>EPV</t>
  </si>
  <si>
    <t>PHÂN TÍCH HIỆU QUẢ KINH TẾ CỦA DỰ ÁN</t>
  </si>
  <si>
    <t>Lợi ích</t>
  </si>
  <si>
    <t>Tổng lợi ích</t>
  </si>
  <si>
    <t>Chi phí</t>
  </si>
  <si>
    <t>Tổng chi phí</t>
  </si>
  <si>
    <t>Kinh tế</t>
  </si>
  <si>
    <t>KIỂM TRA TÍNH CHÍNH XÁC CỦA PHÂN TÍCH HIỆU QUẢ TÀI CHÍNH</t>
  </si>
  <si>
    <t>Giá trị dự án</t>
  </si>
  <si>
    <t>Giá trị nợ vay nước ngoài (D1)</t>
  </si>
  <si>
    <t>Giá trị nợ vay trong nước (D2)</t>
  </si>
  <si>
    <t>Giá trị vốn chủ sở hữu (E)</t>
  </si>
  <si>
    <t>%D1</t>
  </si>
  <si>
    <t>%D2</t>
  </si>
  <si>
    <t>%E</t>
  </si>
  <si>
    <t>D1/E</t>
  </si>
  <si>
    <t>D2/E</t>
  </si>
  <si>
    <t>Suất sinh lời trên vốn chủ sở hữu Re</t>
  </si>
  <si>
    <t>CASE 9: HIGHWAY PROJECT</t>
  </si>
  <si>
    <t>PPP: BOT</t>
  </si>
  <si>
    <t>Sau đó chuyển giao cho Chính phủ vận hành và bảo dưỡng: 2034-2058.</t>
  </si>
  <si>
    <t>Tất cả các tính toán được tính theo đơn vị TRIỆU ĐÔLA, và theo giá cố định năm 2013 (NĂM 0).</t>
  </si>
  <si>
    <t>Thời gian vận hành + thu phí sau khi hoàn thành việc xây dựng: 15 năm (2019-2033).</t>
  </si>
  <si>
    <t>Tỷ giá hối đối danh nghĩa</t>
  </si>
  <si>
    <t>Chỉ số lạm phát, J$</t>
  </si>
  <si>
    <t>Chỉ số lạm phát, US$</t>
  </si>
  <si>
    <t xml:space="preserve">   Nước ngoài</t>
  </si>
  <si>
    <t>Kỹ năng</t>
  </si>
  <si>
    <t>Không kỹ năng</t>
  </si>
  <si>
    <t xml:space="preserve">   Lao động trong nước</t>
  </si>
  <si>
    <t xml:space="preserve">   Lao động nước ngoài</t>
  </si>
  <si>
    <t xml:space="preserve">   Nguyên vật liệu</t>
  </si>
  <si>
    <t>Số trạm thu phí</t>
  </si>
  <si>
    <t>Chi phí trạm thu phí (tài chính, thực, bao gồm VAT)</t>
  </si>
  <si>
    <t>Chi phí trạm thu phí (tài chính, thực, chưa bao gồm VAT)</t>
  </si>
  <si>
    <t>Chi phí trạm thu phí (tài chính, danh nghĩa, chưa bao gồm VAT)</t>
  </si>
  <si>
    <t>Chi phí trạm thu phí (tài chính, danh nghĩa, bao gồm VAT)</t>
  </si>
  <si>
    <t xml:space="preserve">   Nhập khẩu</t>
  </si>
  <si>
    <t xml:space="preserve">   Trong nước</t>
  </si>
  <si>
    <t>Tổng chi phí 
(Triệu J$)</t>
  </si>
  <si>
    <t>Chi phí tài chính 
(Triệu J$,  gồm VAT)</t>
  </si>
  <si>
    <t>Chi phí tài chính 
(Triệu J$, chưa gồm VAT)</t>
  </si>
  <si>
    <t>Thuế VAT
(Triệu J$)</t>
  </si>
  <si>
    <t>Chi phí kinh tế (Triệu J$)</t>
  </si>
  <si>
    <t>Triệu US$</t>
  </si>
  <si>
    <t>Triệu J$</t>
  </si>
  <si>
    <t xml:space="preserve">   Chủ đầu tư</t>
  </si>
  <si>
    <t xml:space="preserve">   Vay nước ngoài (Triệu US$)</t>
  </si>
  <si>
    <t xml:space="preserve">   Vay trong nước (Triệu US$)</t>
  </si>
  <si>
    <t>Tỷ trọng</t>
  </si>
  <si>
    <t>PHÂN TÁCH THÀNH PHẦN CỦA CHI PHÍ ĐẦU TƯ</t>
  </si>
  <si>
    <t>Thành phần</t>
  </si>
  <si>
    <t>1) CHỈ SỐ GIÁ</t>
  </si>
  <si>
    <t>2) CHI PHÍ ĐẦU TƯ (GIÁ NĂM 2013)</t>
  </si>
  <si>
    <t>Chi phí vốn (danh nghĩa)</t>
  </si>
  <si>
    <t>Chi phí vốn (thực)</t>
  </si>
  <si>
    <t>Theo cơ cấu vốn đầu tư đường cao tốc</t>
  </si>
  <si>
    <t>Theo % chi phí đầu tư trạm thu phí</t>
  </si>
  <si>
    <t>Chú thích: 
Theo % giá trị đầu tư ban đầu.</t>
  </si>
  <si>
    <t>3) CHI PHÍ HOẠT ĐỘNG (GIÁ NĂM 2013)</t>
  </si>
  <si>
    <t>4) GIÁ TRỊ THANH LÝ (GIÁ HIỆN HÀNH)</t>
  </si>
  <si>
    <t>Lưu lượng xe thực tế</t>
  </si>
  <si>
    <t xml:space="preserve">   Queens Town - Williamsburg</t>
  </si>
  <si>
    <t xml:space="preserve">   Williamsburg - Hope Bay</t>
  </si>
  <si>
    <t xml:space="preserve">   Williamsburg - Black Town</t>
  </si>
  <si>
    <t>5) LỢI ÍCH TỪ ĐƯỜNG CAO TỐC</t>
  </si>
  <si>
    <t>5.1) LƯU LƯỢNG XE (XE/NGÀY)</t>
  </si>
  <si>
    <t>Hệ số chuyển đổi</t>
  </si>
  <si>
    <t>/xe khách</t>
  </si>
  <si>
    <t>/xe tải</t>
  </si>
  <si>
    <t>Loại xe</t>
  </si>
  <si>
    <t>Doanh thu xe khách</t>
  </si>
  <si>
    <t>Doanh thu xe tải</t>
  </si>
  <si>
    <t>2019 trở đi</t>
  </si>
  <si>
    <t>5.2) DOANH THU TỪ THU PHÍ (KHÔNG THUẾ VAT)</t>
  </si>
  <si>
    <t>Giảm chi phí xe khách</t>
  </si>
  <si>
    <t>Giảm chi phí xe tải</t>
  </si>
  <si>
    <t xml:space="preserve">   Xe khách</t>
  </si>
  <si>
    <t xml:space="preserve">   Xe tải</t>
  </si>
  <si>
    <t>Tỷ lệ</t>
  </si>
  <si>
    <t>Trong đó:</t>
  </si>
  <si>
    <t xml:space="preserve">   Vốn đầu tư</t>
  </si>
  <si>
    <t xml:space="preserve">   Chi phí hoạt động</t>
  </si>
  <si>
    <t xml:space="preserve">   Giảm vốn đầu tư</t>
  </si>
  <si>
    <t xml:space="preserve">   Giảm chi phí hoạt động</t>
  </si>
  <si>
    <t>5.2) GIẢM CHI PHÍ BẢO TRÌ ĐƯỜNG BỘ HIỆN CÓ</t>
  </si>
  <si>
    <t>Giá trị (Triệu J$)</t>
  </si>
  <si>
    <t>Giá trị tài chính (Triệu J$)</t>
  </si>
  <si>
    <t>Thành phần giảm vốn đầu tư</t>
  </si>
  <si>
    <t>Giá trị kinh tế (Triệu J$)</t>
  </si>
  <si>
    <t xml:space="preserve">   Nguyên vật liệu trong nước</t>
  </si>
  <si>
    <t xml:space="preserve">   Nguyên vật liệu nhập khẩu</t>
  </si>
  <si>
    <t xml:space="preserve">   Thiết bị trong nước</t>
  </si>
  <si>
    <t xml:space="preserve">   Thiết bị nhập khẩu</t>
  </si>
  <si>
    <t>5.3) GIẢM CHI PHÍ VẬN HÀNH XE (LỢI ÍCH NGOẠI TÁC)</t>
  </si>
  <si>
    <t xml:space="preserve">   Chi phí tai nạn trên đường hiện có</t>
  </si>
  <si>
    <t xml:space="preserve">   Tiết kiệm chi phí tai nạn</t>
  </si>
  <si>
    <t>5.4) GIẢM CHI PHÍ Ô NHIỄM (LỢI ÍCH NGOẠI TÁC)</t>
  </si>
  <si>
    <t>Giảm chi phí ô nhiễm 
từ xe khách</t>
  </si>
  <si>
    <t>Giảm chi phí ô nhiễm 
từ xe tải</t>
  </si>
  <si>
    <t>Xe khách (km-người)</t>
  </si>
  <si>
    <t>Xe tải (km-người)</t>
  </si>
  <si>
    <t>5.5) GIÁ TRỊ THỜI GIAN TIẾT KIỆM  (LỢI ÍCH NGOẠI TÁC)</t>
  </si>
  <si>
    <t>Số lượng hành khách trung bình/xe</t>
  </si>
  <si>
    <t>Mục đích của thời gian di chuyển</t>
  </si>
  <si>
    <t>Thổng số km được sử dụng/ngày</t>
  </si>
  <si>
    <t>Chi phí cơ hội của thời gian (J$/km)</t>
  </si>
  <si>
    <t>Chi phí bảo trì đường hiện có/năm</t>
  </si>
  <si>
    <t>Tổng giá trị lợi ích nhờ giảm chi phí bảo trì/năm (Giá năm 2013, Triệu J$): 2017-2018</t>
  </si>
  <si>
    <t>Tổng giá trị lợi ích nhờ giảm chi phí bảo trì/năm (Giá năm 2013, Triệu J$): 2019-2033</t>
  </si>
  <si>
    <t>Tổng doanh thu/năm = Lợi ích kinh tế/năm (Giá năm 2013, Triệu J$)</t>
  </si>
  <si>
    <t>Tổng lợi ích kinh tế nhờ giảm chi phí vận hành xe/năm (Giá năm 2013, Triệu J$)</t>
  </si>
  <si>
    <t>Tổng lợi ích kinh tế nhờ giảm chi phí ô nhiễm/năm (Giá năm 2013, Triệu J$)</t>
  </si>
  <si>
    <t>Tổng lợi ích kinh tế nhờ tiết kiệm thời gian/năm (Giá năm 2013, Triệu J$)</t>
  </si>
  <si>
    <t>Chi phí tai nạn đường bộ/năm</t>
  </si>
  <si>
    <t>XÂY DỰNG ĐƯỜNG CAO TỐC/NĂM (TÀI CHÍNH, TRIỆU J$)</t>
  </si>
  <si>
    <t>XÂY DỰNG ĐƯỜNG CAO TỐC/NĂM (KINH TẾ, TRIỆU J$)</t>
  </si>
  <si>
    <t>HẠ TẦNG HỆ THỐNG THU PHÍ/NĂM (KINH TẾ, TRIỆU J$)</t>
  </si>
  <si>
    <t>Tổng chi phí vận hành/năm (giá năm 2013)</t>
  </si>
  <si>
    <t>HAI PHƯƠNG ÁN</t>
  </si>
  <si>
    <t>THÔNG TIN CHUNG</t>
  </si>
  <si>
    <t xml:space="preserve">   Tỷ giá hối đoái J$/US$</t>
  </si>
  <si>
    <t xml:space="preserve">   Tỷ lệ lạm phát, J$ (%/năm)</t>
  </si>
  <si>
    <t xml:space="preserve">   Tỷ lệ lạm phát, US$ (%/năm)</t>
  </si>
  <si>
    <t xml:space="preserve">   Thuế bán hàng/VAT (%, nhập lượng trong nước)</t>
  </si>
  <si>
    <t xml:space="preserve">   Thuế nhập khẩu (%/CIF)</t>
  </si>
  <si>
    <t xml:space="preserve">      Queens Town - Williamsburg</t>
  </si>
  <si>
    <t xml:space="preserve">      Williamsburg - Hope Bay</t>
  </si>
  <si>
    <t xml:space="preserve">      Williamsburg - Black Town</t>
  </si>
  <si>
    <t xml:space="preserve">   Tuyến đường (Xem Hình minh họa)</t>
  </si>
  <si>
    <t>Giá ẩn lao động không kỹ năng</t>
  </si>
  <si>
    <t>(từ năm 2018)</t>
  </si>
  <si>
    <r>
      <rPr>
        <b/>
        <sz val="12"/>
        <color rgb="FFFF0000"/>
        <rFont val="Calibri"/>
        <family val="2"/>
        <scheme val="minor"/>
      </rPr>
      <t>Chú thích:</t>
    </r>
    <r>
      <rPr>
        <sz val="12"/>
        <color rgb="FFFF0000"/>
        <rFont val="Calibri"/>
        <family val="2"/>
        <scheme val="minor"/>
      </rPr>
      <t xml:space="preserve"> 
Tính từ năm 2017</t>
    </r>
  </si>
  <si>
    <t>5.6) GIẢM CHI PHÍ TAI NẠN (LỢI ÍCH NGOẠI TÁC)</t>
  </si>
  <si>
    <r>
      <t>2019</t>
    </r>
    <r>
      <rPr>
        <vertAlign val="superscript"/>
        <sz val="12"/>
        <color rgb="FFFF0000"/>
        <rFont val="Calibri"/>
        <family val="2"/>
        <scheme val="minor"/>
      </rPr>
      <t>+++</t>
    </r>
  </si>
  <si>
    <r>
      <t>2019</t>
    </r>
    <r>
      <rPr>
        <vertAlign val="superscript"/>
        <sz val="12"/>
        <color rgb="FF9C0006"/>
        <rFont val="Calibri"/>
        <family val="2"/>
        <scheme val="minor"/>
      </rPr>
      <t>+++</t>
    </r>
  </si>
  <si>
    <r>
      <t>2019</t>
    </r>
    <r>
      <rPr>
        <vertAlign val="superscript"/>
        <sz val="11"/>
        <color rgb="FF005F69"/>
        <rFont val="Calibri"/>
        <family val="2"/>
        <scheme val="minor"/>
      </rPr>
      <t>+++</t>
    </r>
  </si>
  <si>
    <t>6.1) LƯU LƯỢNG XE TĂNG THÊM/NGÀY</t>
  </si>
  <si>
    <r>
      <t>2034</t>
    </r>
    <r>
      <rPr>
        <vertAlign val="superscript"/>
        <sz val="11"/>
        <color rgb="FF005F69"/>
        <rFont val="Calibri"/>
        <family val="2"/>
        <scheme val="minor"/>
      </rPr>
      <t>+++</t>
    </r>
  </si>
  <si>
    <t>6.1) GIẢM CHI PHÍ VẬN HÀNH XE (LỢI ÍCH NGOẠI TÁC)</t>
  </si>
  <si>
    <t>Tổng lợi ích kinh tế nhờ giảm tai nạn giao thông/năm (Giá năm 2013, Triệu J$)</t>
  </si>
  <si>
    <r>
      <t>2019</t>
    </r>
    <r>
      <rPr>
        <vertAlign val="superscript"/>
        <sz val="12"/>
        <color rgb="FF005F69"/>
        <rFont val="Calibri"/>
        <family val="2"/>
        <scheme val="minor"/>
      </rPr>
      <t>+++</t>
    </r>
  </si>
  <si>
    <r>
      <t>2019</t>
    </r>
    <r>
      <rPr>
        <vertAlign val="superscript"/>
        <sz val="12"/>
        <color rgb="FF005F69"/>
        <rFont val="Calibri"/>
        <family val="2"/>
        <scheme val="minor"/>
      </rPr>
      <t>+++</t>
    </r>
    <r>
      <rPr>
        <sz val="12"/>
        <color rgb="FF005F69"/>
        <rFont val="Calibri"/>
        <family val="2"/>
        <scheme val="minor"/>
      </rPr>
      <t xml:space="preserve"> 
(= 0 nếu không thu phí sau năm 2033)</t>
    </r>
  </si>
  <si>
    <t>6.2) GIẢM CHI PHÍ Ô NHIỄM (LỢI ÍCH NGOẠI TÁC)</t>
  </si>
  <si>
    <r>
      <t>2034</t>
    </r>
    <r>
      <rPr>
        <vertAlign val="superscript"/>
        <sz val="12"/>
        <color rgb="FF9C0006"/>
        <rFont val="Calibri"/>
        <family val="2"/>
        <scheme val="minor"/>
      </rPr>
      <t>++</t>
    </r>
  </si>
  <si>
    <t>Chi phí cơ hội của thời gian di chuyển trên đường (J$/km)</t>
  </si>
  <si>
    <t>Tiết kiệm thời gian di chuyển nhờ đường cao tốc</t>
  </si>
  <si>
    <t>6.3) GIÁ TRỊ THỜI GIAN TIẾT KIỆM  (LỢI ÍCH NGOẠI TÁC)</t>
  </si>
  <si>
    <t>6.4) GIẢM CHI PHÍ TAI NẠN (LỢI ÍCH NGOẠI TÁC)</t>
  </si>
  <si>
    <t>CHỈ SỐ GIÁ</t>
  </si>
  <si>
    <t>Chỉ số lạm phát trong nước</t>
  </si>
  <si>
    <t>Chỉ số lạm phát nước ngoài</t>
  </si>
  <si>
    <t>Chỉ số tăng lưu lượng xe</t>
  </si>
  <si>
    <t>Giá trị thanh lý đất</t>
  </si>
  <si>
    <t>Chi phí đầu tư đường cao tốc</t>
  </si>
  <si>
    <t>Chi phí đầu tư trạm thu phí</t>
  </si>
  <si>
    <t>Chi phí đất</t>
  </si>
  <si>
    <t xml:space="preserve">   VAT</t>
  </si>
  <si>
    <t>Vốn GOJ</t>
  </si>
  <si>
    <t>PHÂN TÍCH HIỆU QUẢ TÀI CHÍNH CỦA CHỦ ĐẦU TƯ VÀ GOJ</t>
  </si>
  <si>
    <t>NCF_Dự án (Triệu J$)</t>
  </si>
  <si>
    <t>NCF_TIPV (Triệu J$)</t>
  </si>
  <si>
    <t>NCF - Kinh tế (Triệu J$)</t>
  </si>
  <si>
    <t>NCF - Kinh tế (Triệu US$)</t>
  </si>
  <si>
    <t>Giá trị đất</t>
  </si>
  <si>
    <r>
      <rPr>
        <b/>
        <sz val="12"/>
        <color rgb="FF00B0F0"/>
        <rFont val="Calibri"/>
        <family val="2"/>
        <scheme val="minor"/>
      </rPr>
      <t xml:space="preserve">Chú thích: </t>
    </r>
    <r>
      <rPr>
        <sz val="12"/>
        <color rgb="FF00B0F0"/>
        <rFont val="Calibri"/>
        <family val="2"/>
        <scheme val="minor"/>
      </rPr>
      <t xml:space="preserve">
Giá trị giảm trong chi phí đầu tư và chi phí hoạt động của các đường bộ hiện có cũng theo cùng một tỷ lệ các thành phần của đầu tư ban đầu và chi phí hoạt động.</t>
    </r>
  </si>
  <si>
    <r>
      <t xml:space="preserve">   </t>
    </r>
    <r>
      <rPr>
        <b/>
        <sz val="13"/>
        <color rgb="FF005F69"/>
        <rFont val="Calibri"/>
        <family val="2"/>
        <scheme val="minor"/>
      </rPr>
      <t>PHƯƠNG ÁN 1:</t>
    </r>
    <r>
      <rPr>
        <sz val="13"/>
        <color rgb="FF005F69"/>
        <rFont val="Calibri"/>
        <family val="2"/>
        <scheme val="minor"/>
      </rPr>
      <t xml:space="preserve"> CHỦ ĐẦU TƯ BÀN GIAO DỰ ÁN CHO GOJ KHÔNG TỐN PHÍ, VÀ GOJ TIẾP TỤC THU PHÍ SAU NĂM 2033 =&gt; TRẠM THU PHÍ CHƯA THANH LÝ VÀO NĂM 2033, VÀ SẼ THANH LÝ VÀO NĂM 2058 (NĂM 45).</t>
    </r>
  </si>
  <si>
    <r>
      <t xml:space="preserve">   </t>
    </r>
    <r>
      <rPr>
        <b/>
        <sz val="13"/>
        <color rgb="FF005F69"/>
        <rFont val="Calibri"/>
        <family val="2"/>
        <scheme val="minor"/>
      </rPr>
      <t>PHƯƠNG ÁN 2:</t>
    </r>
    <r>
      <rPr>
        <sz val="13"/>
        <color rgb="FF005F69"/>
        <rFont val="Calibri"/>
        <family val="2"/>
        <scheme val="minor"/>
      </rPr>
      <t xml:space="preserve"> CHỦ ĐẦU TƯ BÀN GIAO DỰ ÁN CHO GOJ KHÔNG TỐN PHÍ, VÀ GOJ SẼ KHÔNG THU PHÍ SAU NĂM 2033 =&gt; TRẠM THU PHÍ ĐƯỢC THANH LÝ VÀO NĂM 2033 (NĂM 20); CÓ NHIỀU LỢI ÍCH TĂNG THÊM (NHƯNG KHÔNG CÒN DOANH THU TỪ TRẠM THU PHÍ).</t>
    </r>
  </si>
  <si>
    <t>EPV và GOJ</t>
  </si>
  <si>
    <t>Thuế VAT (thực)</t>
  </si>
  <si>
    <t>Tổng chi phí (thực, bao gồm các loại thuế, chưa tính đất)</t>
  </si>
  <si>
    <t>Tổng chi phí (thực, bao gồm các loại thuế, có tính đất)</t>
  </si>
  <si>
    <t>Tổng chi phí (danh nghĩa, bao gồm các loại thuế, có tính đất)</t>
  </si>
  <si>
    <t xml:space="preserve">   Thuế VAT (thực)</t>
  </si>
  <si>
    <t xml:space="preserve">   Tổng chi phí tài chính (thực, trừ VAT, chưa tính đất)</t>
  </si>
  <si>
    <t xml:space="preserve">   Tổng chi phí tài chính (hiện hành, trừ VAT, chưa tính đất)</t>
  </si>
  <si>
    <t>Tổng chi phí kinh tế (thực, chưa tính đất)</t>
  </si>
  <si>
    <t>Chi phí trạm thu phí (kinh tế, thực)</t>
  </si>
  <si>
    <t xml:space="preserve">   Vốn chủ đầu tư</t>
  </si>
  <si>
    <t xml:space="preserve">   Vốn GOJ</t>
  </si>
  <si>
    <t xml:space="preserve">   Lao động có kỹ năng</t>
  </si>
  <si>
    <t xml:space="preserve">   Lao động không có kỹ năng</t>
  </si>
  <si>
    <t xml:space="preserve">   Nguyên liệu địa phương</t>
  </si>
  <si>
    <t xml:space="preserve">   Nguyên liệu nhập</t>
  </si>
  <si>
    <t>Giá thị trường (thực, giá năm 2013)</t>
  </si>
  <si>
    <t>Giá hiệu quả (thực, giá năm 2013)</t>
  </si>
  <si>
    <t>XÂY DỰNG HỆ THỐNG THU PHÍ/NĂM (TÀI CHÍNH, TRIỆU J$)</t>
  </si>
  <si>
    <t>Tài chính (Triệu J$)</t>
  </si>
  <si>
    <t>Kinh tế (Triệu J$)</t>
  </si>
  <si>
    <t xml:space="preserve">   Giá trị thanh lý tài sản</t>
  </si>
  <si>
    <t>Mục đích của chuyến đi</t>
  </si>
  <si>
    <t>Thời gian hoàn vốn có chiết khấu (DPP)</t>
  </si>
  <si>
    <t>IRR (danh nghĩa)</t>
  </si>
  <si>
    <t>IRR (thực)</t>
  </si>
  <si>
    <t>PHƯƠNG ÁN 1: CHÍNH PHỦ SẼ THU PHÍ SAU NĂM 2033</t>
  </si>
  <si>
    <t xml:space="preserve">   Chi phí đầu tư đường cao tốc</t>
  </si>
  <si>
    <t xml:space="preserve">   Chi phí đầu tư trạm thu phí</t>
  </si>
  <si>
    <t xml:space="preserve">   Chi phí cơ hội của đất</t>
  </si>
  <si>
    <t xml:space="preserve">   Doanh thu từ thu phí</t>
  </si>
  <si>
    <t xml:space="preserve">   Giảm chi phí vận hành xe</t>
  </si>
  <si>
    <t xml:space="preserve">   Giảm chi phí tai nạn</t>
  </si>
  <si>
    <t xml:space="preserve">   Giảm chi phí ô nhiễm</t>
  </si>
  <si>
    <t xml:space="preserve">   Giá trị tiết kiệm thời gian</t>
  </si>
  <si>
    <t>Mức tăng lưu lượng xe lưu thông trên các tuyến đường/năm</t>
  </si>
  <si>
    <t>PHÂN TÍCH HIỆU QUẢ TÀI CHÍNH CỦA GOJ</t>
  </si>
  <si>
    <t>BÁO CÁO THU NHẬP CỦA CHỦ ĐẦU TƯ (TRIỆU J$)</t>
  </si>
  <si>
    <t>LỊCH VAY VÀ TRẢ NỢ (TRIỆU US$)</t>
  </si>
  <si>
    <t>Thuế thu nhập chủ đầu tư phải nộp</t>
  </si>
  <si>
    <t>Thuế thu nhập doanh nghiệp chủ đầu tư phải nộp</t>
  </si>
  <si>
    <t>NCF_Tài trợ tổng</t>
  </si>
  <si>
    <t>NCF_Tài trợ tổng (Triệu J$)</t>
  </si>
  <si>
    <r>
      <t xml:space="preserve">NCF_EPV </t>
    </r>
    <r>
      <rPr>
        <sz val="11"/>
        <color rgb="FF9C5700"/>
        <rFont val="Calibri"/>
        <family val="2"/>
        <scheme val="minor"/>
      </rPr>
      <t>và</t>
    </r>
    <r>
      <rPr>
        <b/>
        <sz val="11"/>
        <color rgb="FF9C5700"/>
        <rFont val="Calibri"/>
        <family val="2"/>
        <scheme val="minor"/>
      </rPr>
      <t xml:space="preserve"> GOJ (Triệu J$)</t>
    </r>
  </si>
  <si>
    <t>NCF_Dự án (Triệu US$)</t>
  </si>
  <si>
    <t>NCF_TIPV (Triệu US$)</t>
  </si>
  <si>
    <t>Giảm chi phí bảo trì các tuyến đường hiện có của GOJ</t>
  </si>
  <si>
    <t>Giá trị thanh lý cao tốc và trạm thu phí</t>
  </si>
  <si>
    <t>Doanh thu từ thu phí qua cao tốc</t>
  </si>
  <si>
    <t>Trả lãi vay</t>
  </si>
  <si>
    <t>Trả nợ vay</t>
  </si>
  <si>
    <t>NGÂN LƯU TÀI TRỢ CỦA CHỦ ĐẦU TƯ (TRIỆU US$)</t>
  </si>
  <si>
    <t>PHÂN TÍCH HIỆU QUẢ TÀI CHÍNH CỦA DỰ ÁN (TRIỆU J$)</t>
  </si>
  <si>
    <t>PHÂN TÍCH HIỆU QUẢ TÀI CHÍNH CỦA CHỦ ĐẦU TƯ (TRIỆU J$)</t>
  </si>
  <si>
    <t>NPV (Triệu US$)</t>
  </si>
  <si>
    <t>Vốn chủ đầu tư</t>
  </si>
  <si>
    <t>NCF_Tài trợ của GOJ (vay trong nước)</t>
  </si>
  <si>
    <t>NCF_GOJ (Triệu J$)</t>
  </si>
  <si>
    <t>NCF_GOJ (Triệu US$)</t>
  </si>
  <si>
    <t>NCF_TIPV</t>
  </si>
  <si>
    <t>DF_TIPV</t>
  </si>
  <si>
    <t>DF_TIPV lũy kế</t>
  </si>
  <si>
    <t>NCF_Tài trợ của chủ đầu tư (vay nước ngoài)</t>
  </si>
  <si>
    <t xml:space="preserve">   NCF_Ngân hàng nước ngoài</t>
  </si>
  <si>
    <t xml:space="preserve">   NCF_Ngân hàng trong nước</t>
  </si>
  <si>
    <t>Thời gian hoàn vốn có chiết khấu</t>
  </si>
  <si>
    <t>NCF_EPV (Triệu J$)</t>
  </si>
  <si>
    <t>NCF_EPV (Triệu US$)</t>
  </si>
  <si>
    <t>NCF_EPV và GOJ (Triệu US$)</t>
  </si>
  <si>
    <t>NCF_EPV</t>
  </si>
  <si>
    <t>DF_EPV</t>
  </si>
  <si>
    <t>DF_EPV lũy kế</t>
  </si>
  <si>
    <t>GOJ</t>
  </si>
  <si>
    <t>Trừ doanh thu từ thu phí của chủ đầu tư</t>
  </si>
  <si>
    <t>PV_EPV</t>
  </si>
  <si>
    <t xml:space="preserve">   Chi phí vận hành cao tốc và trạm thu phí</t>
  </si>
  <si>
    <t>Chi phí vận hành cao tốc và trạm thu phí</t>
  </si>
  <si>
    <t xml:space="preserve">   Giảm chi phí bảo trì các tuyến đường hiện có</t>
  </si>
  <si>
    <t>Tỷ giá hối đối danh nghĩa (J$/US$)</t>
  </si>
  <si>
    <t>6) CÁC LỢI ÍCH TĂNG THÊM NẾU GOJ KHÔNG THU PHÍ SAU NĂM 2033</t>
  </si>
  <si>
    <t>Lưu lượng xe tối đa sử dụng cao tốc</t>
  </si>
  <si>
    <t>Lưu lượng xe sử dụng cao tốc</t>
  </si>
  <si>
    <t>PHƯƠNG ÁN 2: CHÍNH PHỦ SẼ KHÔNG THU PHÍ SAU NĂM 2033</t>
  </si>
  <si>
    <t>Giá trị thanh lý trạm thu phí</t>
  </si>
  <si>
    <t>Chi phí vận hành cao tốc</t>
  </si>
  <si>
    <t>Chi phí vận hành trạm thu phí</t>
  </si>
  <si>
    <t xml:space="preserve">   Giá trị thanh lý trạm thu phí</t>
  </si>
  <si>
    <t xml:space="preserve">   Giá trị thanh lý cao tốc</t>
  </si>
  <si>
    <t>Giá trị thanh lý cao tốc</t>
  </si>
  <si>
    <t xml:space="preserve">   Giá trị thanh lý đất</t>
  </si>
  <si>
    <t xml:space="preserve">   Giá trị thanh lý cao tốc và trạm thu phí</t>
  </si>
  <si>
    <t xml:space="preserve">   Chi phí vận hành trạm thu phí</t>
  </si>
  <si>
    <t xml:space="preserve">   Chi phí vận hành cao tốc</t>
  </si>
  <si>
    <t xml:space="preserve">LƯU Ý: DO LƯU LƯỢNG XE SỬ DỤNG CAO TỐC TĂNG THÊM 30% (TỪ MỨC 60% LÊN 90%), NÊN CÁC GIÁ TRỊ TĂNG THÊM SẼ BẰNG 50% CỦA TRƯỜNG HỢP CÓ THU PHÍ.
CHO NÊN, ĐỂ ĐƠN GIẢN CHO VIỆC TÍNH TOÁN CÁC GIÁ TRỊ LỢI ÍCH TĂNG THÊM NÀY, TA CHỈ CẦN NHÂN 150% CHO GIAI ĐOẠN 2034-2058. </t>
  </si>
  <si>
    <t>Hệ số lợi ích tăng thêm</t>
  </si>
  <si>
    <t>Giá trị thanh lý trạm thu phí thuộc về GOJ</t>
  </si>
  <si>
    <t>HỌC PHẦN: THỰC HÀNH THẨM ĐỊNH DỰ ÁN
HỌ VÀ TÊN:
NGÀNH: KINH TẾ ĐẦU TƯ - K45 (KHOA KINH TẾ, UEH)</t>
  </si>
  <si>
    <r>
      <rPr>
        <b/>
        <sz val="13"/>
        <color rgb="FF006100"/>
        <rFont val="Calibri"/>
        <family val="2"/>
        <scheme val="minor"/>
      </rPr>
      <t>Yêu cầu:</t>
    </r>
    <r>
      <rPr>
        <sz val="13"/>
        <color rgb="FF006100"/>
        <rFont val="Calibri"/>
        <family val="2"/>
        <scheme val="minor"/>
      </rPr>
      <t xml:space="preserve"> Hãy hoàn thành các ô bị bỏ trống (được tô màu VÀNG) ở hai bảng tính của Phương án 1 và Phương án 2 bằng cách sử dụng công thức thích hợp liên kết với bảng Thông số đã cho sẵn. Có thể thực hiện phân tích độ nhạy với các thông số như lạm phát, tỷ lệ người sử dụng chuyển sang sử dụng đường cao tốc, ... cho việc phân tích của bạn. Ngoài ra, bạn cũng có thể "Copy or Move" một phương án để tạo thêm một phương án mới (ví dụ: Cho EPV thu phí kéo dài thêm 5 năm, ...). </t>
    </r>
    <r>
      <rPr>
        <b/>
        <sz val="13"/>
        <color rgb="FF006100"/>
        <rFont val="Calibri"/>
        <family val="2"/>
        <scheme val="minor"/>
      </rPr>
      <t xml:space="preserve">Cho biết nên chọn phương án nào? Tại sao? </t>
    </r>
    <r>
      <rPr>
        <sz val="13"/>
        <color rgb="FFF26F33"/>
        <rFont val="Calibri"/>
        <family val="2"/>
        <scheme val="minor"/>
      </rPr>
      <t>(</t>
    </r>
    <r>
      <rPr>
        <b/>
        <sz val="13"/>
        <color rgb="FFF26F33"/>
        <rFont val="Calibri"/>
        <family val="2"/>
        <scheme val="minor"/>
      </rPr>
      <t>Lưu ý:</t>
    </r>
    <r>
      <rPr>
        <sz val="13"/>
        <color rgb="FFF26F33"/>
        <rFont val="Calibri"/>
        <family val="2"/>
        <scheme val="minor"/>
      </rPr>
      <t xml:space="preserve"> Không được Insert/Delete bất cứ dòng hoặc cột nào trong các bảng tính cho sẵn; Có thể sử dụng đồ thị, lập bảng so sánh, ... để hỗ trợ việc phân tích của bạn. Phần trả lời của bạn PHẢI được thực hiện ở bảng tính này).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</si>
</sst>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_);[Red]\(0\)"/>
    <numFmt numFmtId="165" formatCode="_(* #,##0.0_);_(* \(#,##0.0\);_(* &quot;-&quot;??_);_(@_)"/>
    <numFmt numFmtId="166" formatCode="0.0%"/>
    <numFmt numFmtId="167" formatCode="_(* #,##0_);_(* \(#,##0\);_(* &quot;-&quot;??_);_(@_)"/>
    <numFmt numFmtId="168" formatCode="0.0"/>
    <numFmt numFmtId="169" formatCode="#,##0.0"/>
    <numFmt numFmtId="170" formatCode="#,##0.0000000"/>
    <numFmt numFmtId="171" formatCode="#,##0.000000000000"/>
  </numFmts>
  <fonts count="56" x14ac:knownFonts="1">
    <font>
      <sz val="11"/>
      <name val="Calibri"/>
      <scheme val="minor"/>
    </font>
    <font>
      <sz val="11"/>
      <color theme="1"/>
      <name val="Calibri"/>
      <family val="2"/>
      <scheme val="minor"/>
    </font>
    <font>
      <sz val="11"/>
      <name val="Calibri"/>
      <scheme val="minor"/>
    </font>
    <font>
      <sz val="11"/>
      <color rgb="FF006100"/>
      <name val="Calibri"/>
      <family val="2"/>
      <scheme val="minor"/>
    </font>
    <font>
      <sz val="11"/>
      <color rgb="FF9C0006"/>
      <name val="Calibri"/>
      <family val="2"/>
      <scheme val="minor"/>
    </font>
    <font>
      <sz val="11"/>
      <color rgb="FF9C5700"/>
      <name val="Calibri"/>
      <family val="2"/>
      <scheme val="minor"/>
    </font>
    <font>
      <b/>
      <sz val="20"/>
      <name val="Calibri"/>
      <family val="2"/>
      <scheme val="minor"/>
    </font>
    <font>
      <b/>
      <sz val="20"/>
      <color rgb="FFFF0000"/>
      <name val="Calibri"/>
      <family val="2"/>
      <scheme val="minor"/>
    </font>
    <font>
      <b/>
      <sz val="20"/>
      <color rgb="FF00B0F0"/>
      <name val="Calibri"/>
      <family val="2"/>
      <scheme val="minor"/>
    </font>
    <font>
      <b/>
      <sz val="20"/>
      <color rgb="FF00B050"/>
      <name val="Calibri"/>
      <family val="2"/>
      <scheme val="minor"/>
    </font>
    <font>
      <sz val="12"/>
      <name val="Calibri"/>
      <family val="2"/>
      <scheme val="minor"/>
    </font>
    <font>
      <b/>
      <sz val="12"/>
      <name val="Calibri"/>
      <family val="2"/>
      <scheme val="minor"/>
    </font>
    <font>
      <i/>
      <sz val="12"/>
      <name val="Calibri"/>
      <family val="2"/>
      <scheme val="minor"/>
    </font>
    <font>
      <b/>
      <sz val="12"/>
      <color rgb="FFFF0000"/>
      <name val="Calibri"/>
      <family val="2"/>
      <scheme val="minor"/>
    </font>
    <font>
      <sz val="12"/>
      <color theme="0"/>
      <name val="Calibri"/>
      <family val="2"/>
      <scheme val="minor"/>
    </font>
    <font>
      <b/>
      <sz val="12"/>
      <color theme="0"/>
      <name val="Calibri"/>
      <family val="2"/>
      <scheme val="minor"/>
    </font>
    <font>
      <sz val="12"/>
      <color rgb="FFFF0000"/>
      <name val="Calibri"/>
      <family val="2"/>
      <scheme val="minor"/>
    </font>
    <font>
      <sz val="12"/>
      <color indexed="81"/>
      <name val="Tahoma"/>
      <family val="2"/>
    </font>
    <font>
      <b/>
      <sz val="12"/>
      <color rgb="FF9C0006"/>
      <name val="Calibri"/>
      <family val="2"/>
      <scheme val="minor"/>
    </font>
    <font>
      <sz val="12"/>
      <color rgb="FF006100"/>
      <name val="Calibri"/>
      <family val="2"/>
      <scheme val="minor"/>
    </font>
    <font>
      <b/>
      <sz val="12"/>
      <color rgb="FF9C5700"/>
      <name val="Calibri"/>
      <family val="2"/>
      <scheme val="minor"/>
    </font>
    <font>
      <sz val="12"/>
      <color rgb="FF9C0006"/>
      <name val="Calibri"/>
      <family val="2"/>
      <scheme val="minor"/>
    </font>
    <font>
      <b/>
      <sz val="15"/>
      <color rgb="FFFF0000"/>
      <name val="Calibri"/>
      <family val="2"/>
      <scheme val="minor"/>
    </font>
    <font>
      <sz val="11"/>
      <color rgb="FFFF0000"/>
      <name val="Calibri"/>
      <family val="2"/>
      <scheme val="minor"/>
    </font>
    <font>
      <b/>
      <sz val="12"/>
      <color rgb="FF00B0F0"/>
      <name val="Calibri"/>
      <family val="2"/>
      <scheme val="minor"/>
    </font>
    <font>
      <b/>
      <sz val="11"/>
      <color rgb="FF9C5700"/>
      <name val="Calibri"/>
      <family val="2"/>
      <scheme val="minor"/>
    </font>
    <font>
      <sz val="18"/>
      <color indexed="81"/>
      <name val="Tahoma"/>
      <family val="2"/>
    </font>
    <font>
      <b/>
      <sz val="40"/>
      <color theme="0"/>
      <name val="Calibri"/>
      <family val="2"/>
      <scheme val="minor"/>
    </font>
    <font>
      <sz val="12"/>
      <color rgb="FF005F69"/>
      <name val="Calibri"/>
      <family val="2"/>
      <scheme val="minor"/>
    </font>
    <font>
      <sz val="12"/>
      <color rgb="FFF26F33"/>
      <name val="Calibri"/>
      <family val="2"/>
      <scheme val="minor"/>
    </font>
    <font>
      <i/>
      <sz val="12"/>
      <color rgb="FF005F69"/>
      <name val="Calibri"/>
      <family val="2"/>
      <scheme val="minor"/>
    </font>
    <font>
      <b/>
      <sz val="12"/>
      <color rgb="FF005F69"/>
      <name val="Calibri"/>
      <family val="2"/>
      <scheme val="minor"/>
    </font>
    <font>
      <sz val="11"/>
      <color rgb="FF005F69"/>
      <name val="Calibri"/>
      <family val="2"/>
      <scheme val="minor"/>
    </font>
    <font>
      <b/>
      <sz val="15"/>
      <color theme="0"/>
      <name val="Calibri"/>
      <family val="2"/>
      <scheme val="minor"/>
    </font>
    <font>
      <vertAlign val="superscript"/>
      <sz val="12"/>
      <color rgb="FFFF0000"/>
      <name val="Calibri"/>
      <family val="2"/>
      <scheme val="minor"/>
    </font>
    <font>
      <vertAlign val="superscript"/>
      <sz val="12"/>
      <color rgb="FF9C0006"/>
      <name val="Calibri"/>
      <family val="2"/>
      <scheme val="minor"/>
    </font>
    <font>
      <vertAlign val="superscript"/>
      <sz val="11"/>
      <color rgb="FF005F69"/>
      <name val="Calibri"/>
      <family val="2"/>
      <scheme val="minor"/>
    </font>
    <font>
      <vertAlign val="superscript"/>
      <sz val="12"/>
      <color rgb="FF005F69"/>
      <name val="Calibri"/>
      <family val="2"/>
      <scheme val="minor"/>
    </font>
    <font>
      <b/>
      <sz val="12"/>
      <color rgb="FF006100"/>
      <name val="Calibri"/>
      <family val="2"/>
      <scheme val="minor"/>
    </font>
    <font>
      <b/>
      <sz val="11"/>
      <color rgb="FFFFFF00"/>
      <name val="Calibri"/>
      <family val="2"/>
      <scheme val="minor"/>
    </font>
    <font>
      <b/>
      <sz val="12"/>
      <color rgb="FFFFFF00"/>
      <name val="Calibri"/>
      <family val="2"/>
      <scheme val="minor"/>
    </font>
    <font>
      <sz val="15"/>
      <color indexed="81"/>
      <name val="Tahoma"/>
      <family val="2"/>
    </font>
    <font>
      <sz val="12"/>
      <color rgb="FF00B0F0"/>
      <name val="Calibri"/>
      <family val="2"/>
      <scheme val="minor"/>
    </font>
    <font>
      <sz val="13"/>
      <color rgb="FF005F69"/>
      <name val="Calibri"/>
      <family val="2"/>
      <scheme val="minor"/>
    </font>
    <font>
      <b/>
      <sz val="20"/>
      <color rgb="FF005F69"/>
      <name val="Calibri"/>
      <family val="2"/>
      <scheme val="minor"/>
    </font>
    <font>
      <b/>
      <sz val="13"/>
      <color rgb="FF005F69"/>
      <name val="Calibri"/>
      <family val="2"/>
      <scheme val="minor"/>
    </font>
    <font>
      <b/>
      <sz val="25"/>
      <color rgb="FF005F69"/>
      <name val="Calibri"/>
      <family val="2"/>
      <scheme val="minor"/>
    </font>
    <font>
      <b/>
      <i/>
      <sz val="12"/>
      <color rgb="FF00B0F0"/>
      <name val="Calibri"/>
      <family val="2"/>
      <scheme val="minor"/>
    </font>
    <font>
      <b/>
      <sz val="15"/>
      <color rgb="FF006100"/>
      <name val="Calibri"/>
      <family val="2"/>
      <scheme val="minor"/>
    </font>
    <font>
      <b/>
      <i/>
      <sz val="12"/>
      <name val="Calibri"/>
      <family val="2"/>
      <scheme val="minor"/>
    </font>
    <font>
      <sz val="15"/>
      <color theme="0"/>
      <name val="Calibri"/>
      <family val="2"/>
      <scheme val="minor"/>
    </font>
    <font>
      <b/>
      <sz val="20"/>
      <color rgb="FFF26F33"/>
      <name val="Calibri"/>
      <family val="2"/>
      <scheme val="minor"/>
    </font>
    <font>
      <sz val="13"/>
      <color rgb="FF006100"/>
      <name val="Calibri"/>
      <family val="2"/>
      <scheme val="minor"/>
    </font>
    <font>
      <b/>
      <sz val="13"/>
      <color rgb="FF006100"/>
      <name val="Calibri"/>
      <family val="2"/>
      <scheme val="minor"/>
    </font>
    <font>
      <sz val="13"/>
      <color rgb="FFF26F33"/>
      <name val="Calibri"/>
      <family val="2"/>
      <scheme val="minor"/>
    </font>
    <font>
      <b/>
      <sz val="13"/>
      <color rgb="FFF26F33"/>
      <name val="Calibri"/>
      <family val="2"/>
      <scheme val="minor"/>
    </font>
  </fonts>
  <fills count="19">
    <fill>
      <patternFill patternType="none"/>
    </fill>
    <fill>
      <patternFill patternType="gray125"/>
    </fill>
    <fill>
      <patternFill patternType="solid">
        <fgColor rgb="FFFFD965"/>
        <bgColor rgb="FFFFD9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005F69"/>
        <bgColor indexed="64"/>
      </patternFill>
    </fill>
    <fill>
      <patternFill patternType="solid">
        <fgColor theme="5" tint="0.59999389629810485"/>
        <bgColor indexed="65"/>
      </patternFill>
    </fill>
    <fill>
      <patternFill patternType="solid">
        <fgColor theme="8" tint="0.59999389629810485"/>
        <bgColor indexed="65"/>
      </patternFill>
    </fill>
    <fill>
      <patternFill patternType="solid">
        <fgColor rgb="FFF26F33"/>
        <bgColor indexed="64"/>
      </patternFill>
    </fill>
    <fill>
      <patternFill patternType="solid">
        <fgColor rgb="FFFFD2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s>
  <borders count="40">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right/>
      <top style="thin">
        <color rgb="FF000000"/>
      </top>
      <bottom/>
      <diagonal/>
    </border>
    <border>
      <left/>
      <right/>
      <top/>
      <bottom style="thin">
        <color indexed="64"/>
      </bottom>
      <diagonal/>
    </border>
    <border>
      <left/>
      <right/>
      <top style="thin">
        <color indexed="64"/>
      </top>
      <bottom/>
      <diagonal/>
    </border>
    <border>
      <left style="thick">
        <color rgb="FF005F69"/>
      </left>
      <right/>
      <top style="thick">
        <color rgb="FF005F69"/>
      </top>
      <bottom/>
      <diagonal/>
    </border>
    <border>
      <left/>
      <right/>
      <top style="thick">
        <color rgb="FF005F69"/>
      </top>
      <bottom/>
      <diagonal/>
    </border>
    <border>
      <left/>
      <right style="thick">
        <color rgb="FF005F69"/>
      </right>
      <top style="thick">
        <color rgb="FF005F69"/>
      </top>
      <bottom/>
      <diagonal/>
    </border>
    <border>
      <left style="thick">
        <color rgb="FF005F69"/>
      </left>
      <right/>
      <top/>
      <bottom/>
      <diagonal/>
    </border>
    <border>
      <left/>
      <right style="thick">
        <color rgb="FF005F69"/>
      </right>
      <top/>
      <bottom/>
      <diagonal/>
    </border>
    <border>
      <left style="thick">
        <color rgb="FF005F69"/>
      </left>
      <right/>
      <top/>
      <bottom style="thick">
        <color rgb="FF005F69"/>
      </bottom>
      <diagonal/>
    </border>
    <border>
      <left/>
      <right/>
      <top/>
      <bottom style="thick">
        <color rgb="FF005F69"/>
      </bottom>
      <diagonal/>
    </border>
    <border>
      <left/>
      <right style="thick">
        <color rgb="FF005F69"/>
      </right>
      <top/>
      <bottom style="thick">
        <color rgb="FF005F69"/>
      </bottom>
      <diagonal/>
    </border>
    <border>
      <left/>
      <right style="thick">
        <color rgb="FF005F69"/>
      </right>
      <top/>
      <bottom style="thin">
        <color indexed="64"/>
      </bottom>
      <diagonal/>
    </border>
    <border>
      <left/>
      <right style="thick">
        <color rgb="FF005F69"/>
      </right>
      <top style="thin">
        <color rgb="FF000000"/>
      </top>
      <bottom style="thin">
        <color rgb="FF000000"/>
      </bottom>
      <diagonal/>
    </border>
    <border>
      <left/>
      <right/>
      <top style="thick">
        <color rgb="FF005F69"/>
      </top>
      <bottom style="thin">
        <color rgb="FF000000"/>
      </bottom>
      <diagonal/>
    </border>
    <border>
      <left/>
      <right style="thick">
        <color rgb="FF005F69"/>
      </right>
      <top style="thick">
        <color rgb="FF005F69"/>
      </top>
      <bottom style="thin">
        <color rgb="FF000000"/>
      </bottom>
      <diagonal/>
    </border>
    <border>
      <left/>
      <right style="thick">
        <color rgb="FF005F69"/>
      </right>
      <top style="thin">
        <color rgb="FF000000"/>
      </top>
      <bottom/>
      <diagonal/>
    </border>
    <border>
      <left style="thick">
        <color rgb="FF005F69"/>
      </left>
      <right/>
      <top/>
      <bottom style="thin">
        <color indexed="64"/>
      </bottom>
      <diagonal/>
    </border>
    <border>
      <left style="thick">
        <color rgb="FF005F69"/>
      </left>
      <right/>
      <top style="thin">
        <color indexed="64"/>
      </top>
      <bottom style="thick">
        <color rgb="FF005F69"/>
      </bottom>
      <diagonal/>
    </border>
    <border>
      <left/>
      <right/>
      <top style="thin">
        <color indexed="64"/>
      </top>
      <bottom style="thick">
        <color rgb="FF005F69"/>
      </bottom>
      <diagonal/>
    </border>
    <border>
      <left/>
      <right style="thick">
        <color rgb="FF005F69"/>
      </right>
      <top style="thin">
        <color indexed="64"/>
      </top>
      <bottom style="thick">
        <color rgb="FF005F69"/>
      </bottom>
      <diagonal/>
    </border>
    <border>
      <left/>
      <right style="thick">
        <color rgb="FF005F69"/>
      </right>
      <top style="thick">
        <color rgb="FF005F69"/>
      </top>
      <bottom style="thin">
        <color indexed="64"/>
      </bottom>
      <diagonal/>
    </border>
    <border>
      <left/>
      <right/>
      <top style="thin">
        <color indexed="64"/>
      </top>
      <bottom style="thin">
        <color indexed="64"/>
      </bottom>
      <diagonal/>
    </border>
    <border>
      <left style="thick">
        <color rgb="FF005F69"/>
      </left>
      <right/>
      <top style="thin">
        <color indexed="64"/>
      </top>
      <bottom style="thin">
        <color indexed="64"/>
      </bottom>
      <diagonal/>
    </border>
    <border>
      <left/>
      <right/>
      <top style="thick">
        <color rgb="FF005F69"/>
      </top>
      <bottom style="thin">
        <color indexed="64"/>
      </bottom>
      <diagonal/>
    </border>
    <border>
      <left/>
      <right style="thick">
        <color rgb="FF005F69"/>
      </right>
      <top style="thin">
        <color indexed="64"/>
      </top>
      <bottom style="thin">
        <color indexed="64"/>
      </bottom>
      <diagonal/>
    </border>
    <border>
      <left/>
      <right style="thick">
        <color rgb="FF005F69"/>
      </right>
      <top style="thin">
        <color indexed="64"/>
      </top>
      <bottom/>
      <diagonal/>
    </border>
    <border>
      <left style="thick">
        <color rgb="FFF26F33"/>
      </left>
      <right/>
      <top style="thick">
        <color rgb="FFF26F33"/>
      </top>
      <bottom/>
      <diagonal/>
    </border>
    <border>
      <left/>
      <right/>
      <top style="thick">
        <color rgb="FFF26F33"/>
      </top>
      <bottom/>
      <diagonal/>
    </border>
    <border>
      <left/>
      <right style="thick">
        <color rgb="FFF26F33"/>
      </right>
      <top style="thick">
        <color rgb="FFF26F33"/>
      </top>
      <bottom/>
      <diagonal/>
    </border>
    <border>
      <left style="thick">
        <color rgb="FFF26F33"/>
      </left>
      <right/>
      <top/>
      <bottom/>
      <diagonal/>
    </border>
    <border>
      <left/>
      <right style="thick">
        <color rgb="FFF26F33"/>
      </right>
      <top/>
      <bottom/>
      <diagonal/>
    </border>
    <border>
      <left style="thick">
        <color rgb="FFF26F33"/>
      </left>
      <right/>
      <top/>
      <bottom style="thick">
        <color rgb="FFF26F33"/>
      </bottom>
      <diagonal/>
    </border>
    <border>
      <left/>
      <right/>
      <top/>
      <bottom style="thick">
        <color rgb="FFF26F33"/>
      </bottom>
      <diagonal/>
    </border>
    <border>
      <left/>
      <right style="thick">
        <color rgb="FFF26F33"/>
      </right>
      <top/>
      <bottom style="thick">
        <color rgb="FFF26F33"/>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cellStyleXfs>
  <cellXfs count="523">
    <xf numFmtId="0" fontId="0" fillId="0" borderId="0" xfId="0"/>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vertical="top"/>
    </xf>
    <xf numFmtId="0" fontId="10" fillId="0" borderId="0" xfId="0" applyFont="1" applyAlignment="1">
      <alignment horizontal="center" vertical="top"/>
    </xf>
    <xf numFmtId="0" fontId="10" fillId="0" borderId="2" xfId="0" applyFont="1" applyBorder="1" applyAlignment="1">
      <alignment vertical="top"/>
    </xf>
    <xf numFmtId="0" fontId="10" fillId="0" borderId="3" xfId="0" applyFont="1" applyBorder="1" applyAlignment="1">
      <alignment vertical="top"/>
    </xf>
    <xf numFmtId="165" fontId="10" fillId="0" borderId="0" xfId="0" applyNumberFormat="1" applyFont="1" applyAlignment="1">
      <alignment vertical="top"/>
    </xf>
    <xf numFmtId="166" fontId="10" fillId="0" borderId="0" xfId="0" applyNumberFormat="1" applyFont="1" applyAlignment="1">
      <alignment vertical="top"/>
    </xf>
    <xf numFmtId="9" fontId="10" fillId="0" borderId="0" xfId="0" applyNumberFormat="1" applyFont="1" applyAlignment="1">
      <alignment vertical="top"/>
    </xf>
    <xf numFmtId="167" fontId="10" fillId="0" borderId="0" xfId="0" applyNumberFormat="1" applyFont="1" applyAlignment="1">
      <alignment vertical="top"/>
    </xf>
    <xf numFmtId="168" fontId="10" fillId="0" borderId="0" xfId="0" applyNumberFormat="1" applyFont="1" applyAlignment="1">
      <alignment vertical="top"/>
    </xf>
    <xf numFmtId="0" fontId="11" fillId="0" borderId="0" xfId="0" applyFont="1" applyAlignment="1">
      <alignment horizontal="right" vertical="top" wrapText="1"/>
    </xf>
    <xf numFmtId="166" fontId="10" fillId="0" borderId="0" xfId="2" applyNumberFormat="1" applyFont="1" applyAlignment="1">
      <alignment vertical="top"/>
    </xf>
    <xf numFmtId="0" fontId="10" fillId="0" borderId="7" xfId="0" applyFont="1" applyBorder="1" applyAlignment="1">
      <alignment vertical="top"/>
    </xf>
    <xf numFmtId="167" fontId="10" fillId="0" borderId="4" xfId="0" applyNumberFormat="1" applyFont="1" applyBorder="1" applyAlignment="1">
      <alignment vertical="top"/>
    </xf>
    <xf numFmtId="167" fontId="11" fillId="0" borderId="0" xfId="0" applyNumberFormat="1" applyFont="1" applyAlignment="1">
      <alignment vertical="top"/>
    </xf>
    <xf numFmtId="0" fontId="10" fillId="0" borderId="4" xfId="0" applyFont="1" applyBorder="1" applyAlignment="1">
      <alignment vertical="top"/>
    </xf>
    <xf numFmtId="9" fontId="10" fillId="0" borderId="4" xfId="0" applyNumberFormat="1" applyFont="1" applyBorder="1" applyAlignment="1">
      <alignment horizontal="center" vertical="top"/>
    </xf>
    <xf numFmtId="0" fontId="10" fillId="0" borderId="4" xfId="0" applyFont="1" applyBorder="1" applyAlignment="1">
      <alignment horizontal="left" vertical="top"/>
    </xf>
    <xf numFmtId="43" fontId="10" fillId="0" borderId="0" xfId="0" applyNumberFormat="1" applyFont="1" applyAlignment="1">
      <alignment vertical="top"/>
    </xf>
    <xf numFmtId="0" fontId="0" fillId="0" borderId="4" xfId="0" applyBorder="1"/>
    <xf numFmtId="43" fontId="10" fillId="0" borderId="0" xfId="2" applyNumberFormat="1" applyFont="1" applyAlignment="1">
      <alignment vertical="top"/>
    </xf>
    <xf numFmtId="43" fontId="11" fillId="0" borderId="0" xfId="0" applyNumberFormat="1" applyFont="1" applyAlignment="1">
      <alignment vertical="top"/>
    </xf>
    <xf numFmtId="9" fontId="13" fillId="0" borderId="4" xfId="0" applyNumberFormat="1" applyFont="1" applyBorder="1" applyAlignment="1">
      <alignment horizontal="center" vertical="top"/>
    </xf>
    <xf numFmtId="0" fontId="10" fillId="0" borderId="4" xfId="0" applyFont="1" applyBorder="1" applyAlignment="1">
      <alignment horizontal="center" vertical="top"/>
    </xf>
    <xf numFmtId="166" fontId="10" fillId="0" borderId="4" xfId="0" applyNumberFormat="1" applyFont="1" applyBorder="1" applyAlignment="1">
      <alignment vertical="top"/>
    </xf>
    <xf numFmtId="0" fontId="11" fillId="0" borderId="4" xfId="0" applyFont="1" applyBorder="1" applyAlignment="1">
      <alignment vertical="top"/>
    </xf>
    <xf numFmtId="0" fontId="12" fillId="0" borderId="4" xfId="0" applyFont="1" applyBorder="1" applyAlignment="1">
      <alignment horizontal="right" vertical="top"/>
    </xf>
    <xf numFmtId="0" fontId="12" fillId="0" borderId="4" xfId="0" applyFont="1" applyBorder="1" applyAlignment="1">
      <alignment horizontal="left" vertical="top"/>
    </xf>
    <xf numFmtId="9" fontId="10" fillId="0" borderId="4" xfId="0" applyNumberFormat="1" applyFont="1" applyBorder="1" applyAlignment="1">
      <alignment vertical="top"/>
    </xf>
    <xf numFmtId="0" fontId="22" fillId="0" borderId="4" xfId="0" applyFont="1" applyBorder="1" applyAlignment="1">
      <alignment horizontal="left" vertical="top"/>
    </xf>
    <xf numFmtId="0" fontId="10" fillId="0" borderId="4" xfId="0" applyFont="1" applyBorder="1" applyAlignment="1">
      <alignment horizontal="center" vertical="center"/>
    </xf>
    <xf numFmtId="0" fontId="11" fillId="0" borderId="4" xfId="0" applyFont="1" applyBorder="1" applyAlignment="1">
      <alignment horizontal="center" vertical="top" wrapText="1"/>
    </xf>
    <xf numFmtId="165" fontId="10" fillId="0" borderId="4" xfId="0" applyNumberFormat="1" applyFont="1" applyBorder="1" applyAlignment="1">
      <alignment vertical="top"/>
    </xf>
    <xf numFmtId="2" fontId="10" fillId="0" borderId="4" xfId="0" applyNumberFormat="1" applyFont="1" applyBorder="1" applyAlignment="1">
      <alignment horizontal="center" vertical="top"/>
    </xf>
    <xf numFmtId="0" fontId="11" fillId="0" borderId="4" xfId="0" applyFont="1" applyBorder="1" applyAlignment="1">
      <alignment horizontal="center" vertical="top"/>
    </xf>
    <xf numFmtId="2" fontId="24" fillId="0" borderId="4" xfId="0" applyNumberFormat="1" applyFont="1" applyBorder="1" applyAlignment="1">
      <alignment horizontal="center" vertical="top"/>
    </xf>
    <xf numFmtId="2" fontId="24" fillId="0" borderId="4" xfId="0" quotePrefix="1" applyNumberFormat="1" applyFont="1" applyBorder="1" applyAlignment="1">
      <alignment horizontal="center" vertical="top"/>
    </xf>
    <xf numFmtId="165" fontId="11" fillId="0" borderId="4" xfId="0" applyNumberFormat="1" applyFont="1" applyBorder="1" applyAlignment="1">
      <alignment vertical="top"/>
    </xf>
    <xf numFmtId="2" fontId="10" fillId="0" borderId="7" xfId="0" applyNumberFormat="1" applyFont="1" applyBorder="1" applyAlignment="1">
      <alignment horizontal="center" vertical="top"/>
    </xf>
    <xf numFmtId="166" fontId="10" fillId="0" borderId="4" xfId="2" applyNumberFormat="1" applyFont="1" applyFill="1" applyBorder="1" applyAlignment="1">
      <alignment horizontal="center" vertical="top"/>
    </xf>
    <xf numFmtId="0" fontId="20" fillId="0" borderId="4" xfId="5" applyFont="1" applyFill="1" applyBorder="1" applyAlignment="1">
      <alignment horizontal="center" vertical="center"/>
    </xf>
    <xf numFmtId="0" fontId="20" fillId="0" borderId="4" xfId="5" applyFont="1" applyFill="1" applyBorder="1" applyAlignment="1">
      <alignment vertical="center"/>
    </xf>
    <xf numFmtId="2" fontId="20" fillId="0" borderId="4" xfId="5" applyNumberFormat="1" applyFont="1" applyFill="1" applyBorder="1" applyAlignment="1">
      <alignment horizontal="center" vertical="center"/>
    </xf>
    <xf numFmtId="164" fontId="28" fillId="0" borderId="4" xfId="0" applyNumberFormat="1" applyFont="1" applyBorder="1" applyAlignment="1">
      <alignment horizontal="center" vertical="top"/>
    </xf>
    <xf numFmtId="166" fontId="28" fillId="0" borderId="4" xfId="0" applyNumberFormat="1" applyFont="1" applyBorder="1" applyAlignment="1">
      <alignment horizontal="center" vertical="top"/>
    </xf>
    <xf numFmtId="9" fontId="28" fillId="0" borderId="4" xfId="0" applyNumberFormat="1" applyFont="1" applyBorder="1" applyAlignment="1">
      <alignment horizontal="center" vertical="top"/>
    </xf>
    <xf numFmtId="0" fontId="28" fillId="0" borderId="4" xfId="0" applyFont="1" applyBorder="1" applyAlignment="1">
      <alignment vertical="top"/>
    </xf>
    <xf numFmtId="0" fontId="28" fillId="0" borderId="8" xfId="0" applyFont="1" applyBorder="1" applyAlignment="1">
      <alignment vertical="top"/>
    </xf>
    <xf numFmtId="0" fontId="10" fillId="0" borderId="10" xfId="0" applyFont="1" applyBorder="1" applyAlignment="1">
      <alignment vertical="top"/>
    </xf>
    <xf numFmtId="0" fontId="10" fillId="0" borderId="13" xfId="0" applyFont="1" applyBorder="1" applyAlignment="1">
      <alignment vertical="top"/>
    </xf>
    <xf numFmtId="0" fontId="28" fillId="0" borderId="15" xfId="0" applyFont="1" applyBorder="1" applyAlignment="1">
      <alignment vertical="top"/>
    </xf>
    <xf numFmtId="0" fontId="28" fillId="0" borderId="12" xfId="0" applyFont="1" applyBorder="1" applyAlignment="1">
      <alignment vertical="top"/>
    </xf>
    <xf numFmtId="9" fontId="28" fillId="0" borderId="15" xfId="0" applyNumberFormat="1" applyFont="1" applyBorder="1" applyAlignment="1">
      <alignment horizontal="center" vertical="top"/>
    </xf>
    <xf numFmtId="1" fontId="28" fillId="0" borderId="16" xfId="1" applyNumberFormat="1" applyFont="1" applyBorder="1" applyAlignment="1">
      <alignment horizontal="center" vertical="top"/>
    </xf>
    <xf numFmtId="9" fontId="28" fillId="0" borderId="13" xfId="0" applyNumberFormat="1" applyFont="1" applyBorder="1" applyAlignment="1">
      <alignment horizontal="center" vertical="top"/>
    </xf>
    <xf numFmtId="0" fontId="22" fillId="0" borderId="12" xfId="0" applyFont="1" applyBorder="1" applyAlignment="1">
      <alignment vertical="center"/>
    </xf>
    <xf numFmtId="2" fontId="28" fillId="0" borderId="4" xfId="0" applyNumberFormat="1" applyFont="1" applyBorder="1" applyAlignment="1">
      <alignment horizontal="center" vertical="top"/>
    </xf>
    <xf numFmtId="2" fontId="28" fillId="0" borderId="13" xfId="0" applyNumberFormat="1" applyFont="1" applyBorder="1" applyAlignment="1">
      <alignment horizontal="center" vertical="top"/>
    </xf>
    <xf numFmtId="0" fontId="28" fillId="0" borderId="14" xfId="0" applyFont="1" applyBorder="1" applyAlignment="1">
      <alignment vertical="top"/>
    </xf>
    <xf numFmtId="2" fontId="28" fillId="0" borderId="15" xfId="0" applyNumberFormat="1" applyFont="1" applyBorder="1" applyAlignment="1">
      <alignment horizontal="center" vertical="top"/>
    </xf>
    <xf numFmtId="2" fontId="28" fillId="0" borderId="16" xfId="0" applyNumberFormat="1" applyFont="1" applyBorder="1" applyAlignment="1">
      <alignment horizontal="center" vertical="top"/>
    </xf>
    <xf numFmtId="1" fontId="16" fillId="5" borderId="5" xfId="5" applyNumberFormat="1" applyFont="1" applyBorder="1" applyAlignment="1">
      <alignment horizontal="center" vertical="center"/>
    </xf>
    <xf numFmtId="1" fontId="16" fillId="5" borderId="18" xfId="5" applyNumberFormat="1" applyFont="1" applyBorder="1" applyAlignment="1">
      <alignment horizontal="center" vertical="center"/>
    </xf>
    <xf numFmtId="0" fontId="16" fillId="5" borderId="20" xfId="5" applyFont="1" applyBorder="1" applyAlignment="1">
      <alignment horizontal="center" vertical="center" wrapText="1"/>
    </xf>
    <xf numFmtId="0" fontId="31" fillId="3" borderId="12" xfId="3" applyFont="1" applyBorder="1" applyAlignment="1">
      <alignment vertical="top"/>
    </xf>
    <xf numFmtId="0" fontId="28" fillId="0" borderId="13" xfId="0" applyFont="1" applyBorder="1" applyAlignment="1">
      <alignment vertical="top"/>
    </xf>
    <xf numFmtId="167" fontId="28" fillId="0" borderId="4" xfId="0" applyNumberFormat="1" applyFont="1" applyBorder="1" applyAlignment="1">
      <alignment vertical="top"/>
    </xf>
    <xf numFmtId="0" fontId="30" fillId="0" borderId="12" xfId="0" applyFont="1" applyBorder="1" applyAlignment="1">
      <alignment horizontal="left" vertical="top"/>
    </xf>
    <xf numFmtId="0" fontId="28" fillId="0" borderId="12" xfId="0" applyFont="1" applyBorder="1" applyAlignment="1">
      <alignment horizontal="left" vertical="top"/>
    </xf>
    <xf numFmtId="43" fontId="28" fillId="0" borderId="7" xfId="0" applyNumberFormat="1" applyFont="1" applyBorder="1" applyAlignment="1">
      <alignment vertical="top"/>
    </xf>
    <xf numFmtId="43" fontId="28" fillId="0" borderId="17" xfId="0" applyNumberFormat="1" applyFont="1" applyBorder="1" applyAlignment="1">
      <alignment vertical="top"/>
    </xf>
    <xf numFmtId="0" fontId="31" fillId="3" borderId="9" xfId="3" applyFont="1" applyBorder="1" applyAlignment="1">
      <alignment vertical="top"/>
    </xf>
    <xf numFmtId="0" fontId="31" fillId="0" borderId="12" xfId="0" applyFont="1" applyBorder="1" applyAlignment="1">
      <alignment vertical="top"/>
    </xf>
    <xf numFmtId="0" fontId="4" fillId="4" borderId="13" xfId="4" applyBorder="1" applyAlignment="1">
      <alignment horizontal="center" vertical="top"/>
    </xf>
    <xf numFmtId="0" fontId="11" fillId="0" borderId="15" xfId="0" applyFont="1" applyBorder="1" applyAlignment="1">
      <alignment vertical="top"/>
    </xf>
    <xf numFmtId="0" fontId="31" fillId="0" borderId="14" xfId="0" applyFont="1" applyBorder="1" applyAlignment="1">
      <alignment vertical="top"/>
    </xf>
    <xf numFmtId="0" fontId="28" fillId="0" borderId="4" xfId="0" applyFont="1" applyBorder="1" applyAlignment="1">
      <alignment horizontal="center" vertical="top"/>
    </xf>
    <xf numFmtId="0" fontId="28" fillId="0" borderId="15" xfId="0" applyFont="1" applyBorder="1" applyAlignment="1">
      <alignment horizontal="center" vertical="top"/>
    </xf>
    <xf numFmtId="0" fontId="31" fillId="5" borderId="12" xfId="5" applyFont="1" applyBorder="1" applyAlignment="1">
      <alignment vertical="top"/>
    </xf>
    <xf numFmtId="0" fontId="31" fillId="0" borderId="12" xfId="0" applyFont="1" applyBorder="1" applyAlignment="1">
      <alignment horizontal="left" vertical="top"/>
    </xf>
    <xf numFmtId="9" fontId="28" fillId="0" borderId="4" xfId="0" applyNumberFormat="1" applyFont="1" applyBorder="1" applyAlignment="1">
      <alignment horizontal="right" vertical="top"/>
    </xf>
    <xf numFmtId="9" fontId="28" fillId="0" borderId="4" xfId="0" applyNumberFormat="1" applyFont="1" applyBorder="1" applyAlignment="1">
      <alignment vertical="top"/>
    </xf>
    <xf numFmtId="9" fontId="28" fillId="0" borderId="13" xfId="0" applyNumberFormat="1" applyFont="1" applyBorder="1" applyAlignment="1">
      <alignment vertical="top"/>
    </xf>
    <xf numFmtId="1" fontId="28" fillId="0" borderId="4" xfId="0" applyNumberFormat="1" applyFont="1" applyBorder="1" applyAlignment="1">
      <alignment horizontal="center" vertical="top"/>
    </xf>
    <xf numFmtId="1" fontId="28" fillId="0" borderId="13" xfId="0" applyNumberFormat="1" applyFont="1" applyBorder="1" applyAlignment="1">
      <alignment horizontal="center" vertical="top"/>
    </xf>
    <xf numFmtId="1" fontId="28" fillId="0" borderId="15" xfId="0" applyNumberFormat="1" applyFont="1" applyBorder="1" applyAlignment="1">
      <alignment horizontal="center" vertical="top"/>
    </xf>
    <xf numFmtId="1" fontId="28" fillId="0" borderId="16" xfId="0" applyNumberFormat="1" applyFont="1" applyBorder="1" applyAlignment="1">
      <alignment horizontal="center" vertical="top"/>
    </xf>
    <xf numFmtId="0" fontId="28" fillId="0" borderId="4" xfId="0" applyFont="1" applyBorder="1" applyAlignment="1">
      <alignment horizontal="left" vertical="center"/>
    </xf>
    <xf numFmtId="0" fontId="28" fillId="0" borderId="22" xfId="0" applyFont="1" applyBorder="1" applyAlignment="1">
      <alignment vertical="top"/>
    </xf>
    <xf numFmtId="1" fontId="28" fillId="0" borderId="7" xfId="0" applyNumberFormat="1" applyFont="1" applyBorder="1" applyAlignment="1">
      <alignment horizontal="center" vertical="top"/>
    </xf>
    <xf numFmtId="2" fontId="28" fillId="0" borderId="4" xfId="0" applyNumberFormat="1" applyFont="1" applyBorder="1" applyAlignment="1">
      <alignment horizontal="center" vertical="center"/>
    </xf>
    <xf numFmtId="2" fontId="28" fillId="0" borderId="7" xfId="0" applyNumberFormat="1" applyFont="1" applyBorder="1" applyAlignment="1">
      <alignment horizontal="center" vertical="top"/>
    </xf>
    <xf numFmtId="0" fontId="30" fillId="0" borderId="12" xfId="0" applyFont="1" applyBorder="1" applyAlignment="1">
      <alignment horizontal="left" vertical="top" wrapText="1"/>
    </xf>
    <xf numFmtId="0" fontId="30" fillId="0" borderId="4" xfId="0" applyFont="1" applyBorder="1" applyAlignment="1">
      <alignment horizontal="left" vertical="top"/>
    </xf>
    <xf numFmtId="166" fontId="28" fillId="0" borderId="4" xfId="2" applyNumberFormat="1" applyFont="1" applyFill="1" applyBorder="1" applyAlignment="1">
      <alignment horizontal="center" vertical="top"/>
    </xf>
    <xf numFmtId="2" fontId="28" fillId="0" borderId="4" xfId="1" applyNumberFormat="1" applyFont="1" applyBorder="1" applyAlignment="1">
      <alignment horizontal="center" vertical="top"/>
    </xf>
    <xf numFmtId="0" fontId="28" fillId="0" borderId="12" xfId="0" applyFont="1" applyBorder="1" applyAlignment="1">
      <alignment horizontal="right" vertical="top"/>
    </xf>
    <xf numFmtId="168" fontId="28" fillId="0" borderId="4" xfId="0" applyNumberFormat="1" applyFont="1" applyBorder="1" applyAlignment="1">
      <alignment horizontal="center" vertical="top"/>
    </xf>
    <xf numFmtId="1" fontId="24" fillId="0" borderId="4" xfId="0" applyNumberFormat="1" applyFont="1" applyBorder="1" applyAlignment="1">
      <alignment horizontal="center" vertical="top"/>
    </xf>
    <xf numFmtId="168" fontId="24" fillId="0" borderId="4" xfId="0" applyNumberFormat="1" applyFont="1" applyBorder="1" applyAlignment="1">
      <alignment horizontal="center" vertical="top"/>
    </xf>
    <xf numFmtId="168" fontId="31" fillId="0" borderId="13" xfId="0" applyNumberFormat="1" applyFont="1" applyBorder="1" applyAlignment="1">
      <alignment horizontal="center" vertical="top"/>
    </xf>
    <xf numFmtId="168" fontId="28" fillId="0" borderId="13" xfId="0" applyNumberFormat="1" applyFont="1" applyBorder="1" applyAlignment="1">
      <alignment horizontal="center" vertical="top"/>
    </xf>
    <xf numFmtId="9" fontId="24" fillId="0" borderId="4" xfId="0" applyNumberFormat="1" applyFont="1" applyBorder="1" applyAlignment="1">
      <alignment horizontal="center" vertical="top"/>
    </xf>
    <xf numFmtId="9" fontId="24" fillId="0" borderId="13" xfId="0" applyNumberFormat="1" applyFont="1" applyBorder="1" applyAlignment="1">
      <alignment horizontal="center" vertical="top"/>
    </xf>
    <xf numFmtId="0" fontId="33" fillId="6" borderId="9" xfId="0" applyFont="1" applyFill="1" applyBorder="1" applyAlignment="1">
      <alignment horizontal="left" vertical="center"/>
    </xf>
    <xf numFmtId="0" fontId="33" fillId="6" borderId="9" xfId="0" applyFont="1" applyFill="1" applyBorder="1" applyAlignment="1">
      <alignment horizontal="left" vertical="center" wrapText="1"/>
    </xf>
    <xf numFmtId="0" fontId="33" fillId="6" borderId="9" xfId="5" applyFont="1" applyFill="1" applyBorder="1" applyAlignment="1">
      <alignment vertical="center"/>
    </xf>
    <xf numFmtId="0" fontId="33" fillId="6" borderId="9" xfId="3" applyFont="1" applyFill="1" applyBorder="1" applyAlignment="1">
      <alignment vertical="top"/>
    </xf>
    <xf numFmtId="0" fontId="33" fillId="6" borderId="9" xfId="3" applyFont="1" applyFill="1" applyBorder="1" applyAlignment="1">
      <alignment horizontal="left" vertical="top"/>
    </xf>
    <xf numFmtId="0" fontId="33" fillId="6" borderId="9" xfId="3" applyFont="1" applyFill="1" applyBorder="1" applyAlignment="1">
      <alignment horizontal="left" vertical="center"/>
    </xf>
    <xf numFmtId="0" fontId="22" fillId="0" borderId="4" xfId="0" applyFont="1" applyBorder="1" applyAlignment="1">
      <alignment vertical="top"/>
    </xf>
    <xf numFmtId="0" fontId="16" fillId="5" borderId="19" xfId="5" applyFont="1" applyBorder="1" applyAlignment="1">
      <alignment horizontal="center" vertical="center"/>
    </xf>
    <xf numFmtId="0" fontId="16" fillId="5" borderId="26" xfId="5" applyFont="1" applyBorder="1" applyAlignment="1">
      <alignment horizontal="center" vertical="center" wrapText="1"/>
    </xf>
    <xf numFmtId="2" fontId="28" fillId="3" borderId="4" xfId="3" applyNumberFormat="1" applyFont="1" applyBorder="1" applyAlignment="1">
      <alignment horizontal="center" vertical="top"/>
    </xf>
    <xf numFmtId="2" fontId="28" fillId="3" borderId="13" xfId="3" applyNumberFormat="1" applyFont="1" applyBorder="1" applyAlignment="1">
      <alignment horizontal="center" vertical="top"/>
    </xf>
    <xf numFmtId="168" fontId="28" fillId="3" borderId="4" xfId="3" applyNumberFormat="1" applyFont="1" applyBorder="1" applyAlignment="1">
      <alignment horizontal="center" vertical="top"/>
    </xf>
    <xf numFmtId="1" fontId="28" fillId="3" borderId="4" xfId="3" applyNumberFormat="1" applyFont="1" applyBorder="1" applyAlignment="1">
      <alignment horizontal="center" vertical="top"/>
    </xf>
    <xf numFmtId="168" fontId="28" fillId="3" borderId="13" xfId="3" applyNumberFormat="1" applyFont="1" applyBorder="1" applyAlignment="1">
      <alignment horizontal="center" vertical="top"/>
    </xf>
    <xf numFmtId="2" fontId="28" fillId="0" borderId="17" xfId="0" applyNumberFormat="1" applyFont="1" applyBorder="1" applyAlignment="1">
      <alignment horizontal="center" vertical="top"/>
    </xf>
    <xf numFmtId="2" fontId="28" fillId="0" borderId="6" xfId="0" applyNumberFormat="1" applyFont="1" applyBorder="1" applyAlignment="1">
      <alignment horizontal="center" vertical="top"/>
    </xf>
    <xf numFmtId="2" fontId="28" fillId="0" borderId="21" xfId="0" applyNumberFormat="1" applyFont="1" applyBorder="1" applyAlignment="1">
      <alignment horizontal="center" vertical="top"/>
    </xf>
    <xf numFmtId="2" fontId="31" fillId="0" borderId="13" xfId="0" applyNumberFormat="1" applyFont="1" applyBorder="1" applyAlignment="1">
      <alignment horizontal="center" vertical="top"/>
    </xf>
    <xf numFmtId="0" fontId="28" fillId="0" borderId="12" xfId="0" applyFont="1" applyBorder="1" applyAlignment="1">
      <alignment vertical="center"/>
    </xf>
    <xf numFmtId="1" fontId="28" fillId="0" borderId="4" xfId="0" applyNumberFormat="1" applyFont="1" applyBorder="1" applyAlignment="1">
      <alignment horizontal="center" vertical="center"/>
    </xf>
    <xf numFmtId="1" fontId="28" fillId="0" borderId="13" xfId="0" applyNumberFormat="1" applyFont="1" applyBorder="1" applyAlignment="1">
      <alignment horizontal="center" vertical="center"/>
    </xf>
    <xf numFmtId="0" fontId="28" fillId="0" borderId="14" xfId="0" applyFont="1" applyBorder="1" applyAlignment="1">
      <alignment vertical="center"/>
    </xf>
    <xf numFmtId="1" fontId="28" fillId="0" borderId="15" xfId="0" applyNumberFormat="1" applyFont="1" applyBorder="1" applyAlignment="1">
      <alignment horizontal="center" vertical="center"/>
    </xf>
    <xf numFmtId="1" fontId="28" fillId="0" borderId="16" xfId="0" applyNumberFormat="1" applyFont="1" applyBorder="1" applyAlignment="1">
      <alignment horizontal="center" vertical="center"/>
    </xf>
    <xf numFmtId="0" fontId="28" fillId="0" borderId="4" xfId="0" applyFont="1" applyBorder="1" applyAlignment="1">
      <alignment vertical="center"/>
    </xf>
    <xf numFmtId="1" fontId="28" fillId="0" borderId="8" xfId="0" applyNumberFormat="1" applyFont="1" applyBorder="1" applyAlignment="1">
      <alignment horizontal="center" vertical="top"/>
    </xf>
    <xf numFmtId="0" fontId="16" fillId="5" borderId="10" xfId="5" applyFont="1" applyBorder="1" applyAlignment="1">
      <alignment horizontal="center" vertical="center"/>
    </xf>
    <xf numFmtId="0" fontId="28" fillId="0" borderId="15" xfId="0" applyFont="1" applyBorder="1" applyAlignment="1">
      <alignment vertical="center"/>
    </xf>
    <xf numFmtId="0" fontId="28" fillId="0" borderId="7" xfId="0" applyFont="1" applyBorder="1" applyAlignment="1">
      <alignment vertical="top"/>
    </xf>
    <xf numFmtId="0" fontId="10" fillId="0" borderId="4" xfId="0" applyFont="1" applyBorder="1"/>
    <xf numFmtId="2" fontId="10" fillId="0" borderId="4" xfId="0" applyNumberFormat="1" applyFont="1" applyBorder="1"/>
    <xf numFmtId="0" fontId="10" fillId="0" borderId="4" xfId="0" applyFont="1" applyBorder="1" applyAlignment="1">
      <alignment vertical="center"/>
    </xf>
    <xf numFmtId="167" fontId="10" fillId="0" borderId="4" xfId="0" applyNumberFormat="1" applyFont="1" applyBorder="1" applyAlignment="1">
      <alignment vertical="center"/>
    </xf>
    <xf numFmtId="169" fontId="10" fillId="0" borderId="4" xfId="0" applyNumberFormat="1" applyFont="1" applyBorder="1"/>
    <xf numFmtId="0" fontId="11" fillId="0" borderId="4" xfId="0" applyFont="1" applyBorder="1" applyAlignment="1">
      <alignment horizontal="left"/>
    </xf>
    <xf numFmtId="0" fontId="11" fillId="0" borderId="4" xfId="0" applyFont="1" applyBorder="1"/>
    <xf numFmtId="169" fontId="11" fillId="0" borderId="4" xfId="0" applyNumberFormat="1" applyFont="1" applyBorder="1"/>
    <xf numFmtId="0" fontId="10" fillId="0" borderId="4" xfId="0" applyFont="1" applyBorder="1" applyAlignment="1">
      <alignment horizontal="left"/>
    </xf>
    <xf numFmtId="0" fontId="10" fillId="0" borderId="4" xfId="0" applyFont="1" applyBorder="1" applyAlignment="1">
      <alignment horizontal="center"/>
    </xf>
    <xf numFmtId="168" fontId="10" fillId="0" borderId="4" xfId="0" applyNumberFormat="1" applyFont="1" applyBorder="1"/>
    <xf numFmtId="170" fontId="10" fillId="0" borderId="4" xfId="0" applyNumberFormat="1" applyFont="1" applyBorder="1"/>
    <xf numFmtId="4" fontId="10" fillId="0" borderId="4" xfId="0" applyNumberFormat="1" applyFont="1" applyBorder="1"/>
    <xf numFmtId="171" fontId="10" fillId="0" borderId="4" xfId="0" applyNumberFormat="1" applyFont="1" applyBorder="1"/>
    <xf numFmtId="0" fontId="12" fillId="0" borderId="4" xfId="0" applyFont="1" applyBorder="1"/>
    <xf numFmtId="0" fontId="11" fillId="0" borderId="4" xfId="0" applyFont="1" applyBorder="1" applyAlignment="1">
      <alignment horizontal="center" vertical="center"/>
    </xf>
    <xf numFmtId="166" fontId="10" fillId="0" borderId="4" xfId="0" applyNumberFormat="1" applyFont="1" applyBorder="1" applyAlignment="1">
      <alignment horizontal="center" vertical="center"/>
    </xf>
    <xf numFmtId="9" fontId="10" fillId="0" borderId="4" xfId="0" applyNumberFormat="1" applyFont="1" applyBorder="1"/>
    <xf numFmtId="3" fontId="10" fillId="0" borderId="4" xfId="0" applyNumberFormat="1" applyFont="1" applyBorder="1"/>
    <xf numFmtId="166" fontId="10" fillId="0" borderId="4" xfId="0" applyNumberFormat="1" applyFont="1" applyBorder="1"/>
    <xf numFmtId="0" fontId="21" fillId="0" borderId="4" xfId="4" applyFont="1" applyFill="1" applyBorder="1" applyAlignment="1">
      <alignment horizontal="center" vertical="top"/>
    </xf>
    <xf numFmtId="0" fontId="18" fillId="0" borderId="4" xfId="4" applyFont="1" applyFill="1" applyBorder="1" applyAlignment="1">
      <alignment horizontal="center" vertical="top"/>
    </xf>
    <xf numFmtId="2" fontId="21" fillId="0" borderId="4" xfId="4" applyNumberFormat="1" applyFont="1" applyFill="1" applyBorder="1" applyAlignment="1">
      <alignment horizontal="center" vertical="top"/>
    </xf>
    <xf numFmtId="2" fontId="21" fillId="0" borderId="13" xfId="4" applyNumberFormat="1" applyFont="1" applyFill="1" applyBorder="1" applyAlignment="1">
      <alignment horizontal="center" vertical="top"/>
    </xf>
    <xf numFmtId="9" fontId="10" fillId="0" borderId="4" xfId="2" applyFont="1" applyFill="1" applyBorder="1"/>
    <xf numFmtId="0" fontId="15" fillId="6" borderId="4" xfId="0" applyFont="1" applyFill="1" applyBorder="1"/>
    <xf numFmtId="0" fontId="14" fillId="6" borderId="4" xfId="0" applyFont="1" applyFill="1" applyBorder="1"/>
    <xf numFmtId="0" fontId="15" fillId="6" borderId="4" xfId="0" applyFont="1" applyFill="1" applyBorder="1" applyAlignment="1">
      <alignment vertical="center"/>
    </xf>
    <xf numFmtId="0" fontId="14" fillId="6" borderId="4" xfId="0" applyFont="1" applyFill="1" applyBorder="1" applyAlignment="1">
      <alignment horizontal="right"/>
    </xf>
    <xf numFmtId="0" fontId="14" fillId="6" borderId="4" xfId="0" applyFont="1" applyFill="1" applyBorder="1" applyAlignment="1">
      <alignment horizontal="right" vertical="center"/>
    </xf>
    <xf numFmtId="0" fontId="11" fillId="0" borderId="7" xfId="0" applyFont="1" applyBorder="1" applyAlignment="1">
      <alignment horizontal="left"/>
    </xf>
    <xf numFmtId="0" fontId="11" fillId="0" borderId="7" xfId="0" applyFont="1" applyBorder="1"/>
    <xf numFmtId="169" fontId="11" fillId="0" borderId="7" xfId="0" applyNumberFormat="1" applyFont="1" applyBorder="1"/>
    <xf numFmtId="169" fontId="10" fillId="0" borderId="7" xfId="0" applyNumberFormat="1" applyFont="1" applyBorder="1"/>
    <xf numFmtId="0" fontId="10" fillId="0" borderId="7" xfId="0" applyFont="1" applyBorder="1"/>
    <xf numFmtId="0" fontId="14" fillId="6" borderId="4" xfId="0" applyFont="1" applyFill="1" applyBorder="1" applyAlignment="1">
      <alignment vertical="center"/>
    </xf>
    <xf numFmtId="0" fontId="10" fillId="0" borderId="27" xfId="0" applyFont="1" applyBorder="1"/>
    <xf numFmtId="169" fontId="10" fillId="0" borderId="27" xfId="0" applyNumberFormat="1" applyFont="1" applyBorder="1"/>
    <xf numFmtId="0" fontId="38" fillId="3" borderId="27" xfId="3" applyFont="1" applyBorder="1" applyAlignment="1">
      <alignment horizontal="left"/>
    </xf>
    <xf numFmtId="169" fontId="38" fillId="3" borderId="27" xfId="3" applyNumberFormat="1" applyFont="1" applyBorder="1"/>
    <xf numFmtId="170" fontId="11" fillId="10" borderId="4" xfId="0" applyNumberFormat="1" applyFont="1" applyFill="1" applyBorder="1" applyAlignment="1">
      <alignment horizontal="left"/>
    </xf>
    <xf numFmtId="170" fontId="10" fillId="0" borderId="7" xfId="0" applyNumberFormat="1" applyFont="1" applyBorder="1"/>
    <xf numFmtId="168" fontId="10" fillId="0" borderId="7" xfId="0" applyNumberFormat="1" applyFont="1" applyBorder="1"/>
    <xf numFmtId="2" fontId="10" fillId="0" borderId="7" xfId="0" applyNumberFormat="1" applyFont="1" applyBorder="1"/>
    <xf numFmtId="3" fontId="14" fillId="6" borderId="4" xfId="0" applyNumberFormat="1" applyFont="1" applyFill="1" applyBorder="1"/>
    <xf numFmtId="171" fontId="11" fillId="10" borderId="4" xfId="0" applyNumberFormat="1" applyFont="1" applyFill="1" applyBorder="1"/>
    <xf numFmtId="171" fontId="10" fillId="0" borderId="7" xfId="0" applyNumberFormat="1" applyFont="1" applyBorder="1"/>
    <xf numFmtId="1" fontId="10" fillId="0" borderId="7" xfId="0" applyNumberFormat="1" applyFont="1" applyBorder="1"/>
    <xf numFmtId="0" fontId="20" fillId="5" borderId="27" xfId="5" applyFont="1" applyBorder="1" applyAlignment="1">
      <alignment horizontal="left"/>
    </xf>
    <xf numFmtId="169" fontId="20" fillId="5" borderId="27" xfId="5" applyNumberFormat="1" applyFont="1" applyBorder="1"/>
    <xf numFmtId="0" fontId="20" fillId="5" borderId="7" xfId="5" applyFont="1" applyBorder="1" applyAlignment="1">
      <alignment horizontal="left"/>
    </xf>
    <xf numFmtId="169" fontId="20" fillId="5" borderId="7" xfId="5" applyNumberFormat="1" applyFont="1" applyBorder="1"/>
    <xf numFmtId="170" fontId="25" fillId="5" borderId="7" xfId="5" applyNumberFormat="1" applyFont="1" applyBorder="1"/>
    <xf numFmtId="169" fontId="25" fillId="5" borderId="7" xfId="5" applyNumberFormat="1" applyFont="1" applyBorder="1"/>
    <xf numFmtId="0" fontId="28" fillId="0" borderId="4" xfId="0" applyFont="1" applyBorder="1" applyAlignment="1">
      <alignment horizontal="left" vertical="top"/>
    </xf>
    <xf numFmtId="0" fontId="39" fillId="9" borderId="4" xfId="0" applyFont="1" applyFill="1" applyBorder="1"/>
    <xf numFmtId="168" fontId="39" fillId="9" borderId="4" xfId="0" applyNumberFormat="1" applyFont="1" applyFill="1" applyBorder="1"/>
    <xf numFmtId="0" fontId="39" fillId="9" borderId="7" xfId="0" applyFont="1" applyFill="1" applyBorder="1"/>
    <xf numFmtId="168" fontId="39" fillId="9" borderId="7" xfId="0" applyNumberFormat="1" applyFont="1" applyFill="1" applyBorder="1"/>
    <xf numFmtId="170" fontId="25" fillId="0" borderId="4" xfId="5" applyNumberFormat="1" applyFont="1" applyFill="1" applyBorder="1"/>
    <xf numFmtId="170" fontId="39" fillId="9" borderId="7" xfId="5" applyNumberFormat="1" applyFont="1" applyFill="1" applyBorder="1"/>
    <xf numFmtId="169" fontId="40" fillId="9" borderId="4" xfId="0" applyNumberFormat="1" applyFont="1" applyFill="1" applyBorder="1"/>
    <xf numFmtId="0" fontId="40" fillId="9" borderId="7" xfId="5" applyFont="1" applyFill="1" applyBorder="1" applyAlignment="1">
      <alignment horizontal="left"/>
    </xf>
    <xf numFmtId="169" fontId="40" fillId="9" borderId="4" xfId="5" applyNumberFormat="1" applyFont="1" applyFill="1" applyBorder="1"/>
    <xf numFmtId="0" fontId="40" fillId="9" borderId="27" xfId="4" applyFont="1" applyFill="1" applyBorder="1" applyAlignment="1">
      <alignment horizontal="left" vertical="center"/>
    </xf>
    <xf numFmtId="169" fontId="40" fillId="9" borderId="27" xfId="4" applyNumberFormat="1" applyFont="1" applyFill="1" applyBorder="1" applyAlignment="1">
      <alignment vertical="center"/>
    </xf>
    <xf numFmtId="2" fontId="29" fillId="0" borderId="13" xfId="0" applyNumberFormat="1" applyFont="1" applyBorder="1" applyAlignment="1">
      <alignment horizontal="center" vertical="top"/>
    </xf>
    <xf numFmtId="0" fontId="10" fillId="0" borderId="7" xfId="0" applyFont="1" applyBorder="1" applyAlignment="1">
      <alignment horizontal="center"/>
    </xf>
    <xf numFmtId="0" fontId="21" fillId="0" borderId="4" xfId="4" applyFont="1" applyFill="1" applyBorder="1" applyAlignment="1">
      <alignment horizontal="center" vertical="center"/>
    </xf>
    <xf numFmtId="2" fontId="28" fillId="0" borderId="13" xfId="4" applyNumberFormat="1" applyFont="1" applyFill="1" applyBorder="1" applyAlignment="1">
      <alignment horizontal="center" vertical="top"/>
    </xf>
    <xf numFmtId="2" fontId="31" fillId="0" borderId="13" xfId="3" applyNumberFormat="1" applyFont="1" applyFill="1" applyBorder="1" applyAlignment="1">
      <alignment horizontal="center" vertical="top"/>
    </xf>
    <xf numFmtId="2" fontId="28" fillId="0" borderId="17" xfId="4" applyNumberFormat="1" applyFont="1" applyFill="1" applyBorder="1" applyAlignment="1">
      <alignment horizontal="center" vertical="top"/>
    </xf>
    <xf numFmtId="0" fontId="10" fillId="0" borderId="22" xfId="0" applyFont="1" applyBorder="1" applyAlignment="1">
      <alignment vertical="top"/>
    </xf>
    <xf numFmtId="166" fontId="28" fillId="0" borderId="7" xfId="0" applyNumberFormat="1" applyFont="1" applyBorder="1" applyAlignment="1">
      <alignment horizontal="center" vertical="top"/>
    </xf>
    <xf numFmtId="0" fontId="28" fillId="11" borderId="28" xfId="4" applyFont="1" applyFill="1" applyBorder="1" applyAlignment="1">
      <alignment vertical="top"/>
    </xf>
    <xf numFmtId="0" fontId="28" fillId="11" borderId="27" xfId="4" applyFont="1" applyFill="1" applyBorder="1" applyAlignment="1">
      <alignment horizontal="center" vertical="center"/>
    </xf>
    <xf numFmtId="0" fontId="30" fillId="11" borderId="12" xfId="0" applyFont="1" applyFill="1" applyBorder="1" applyAlignment="1">
      <alignment vertical="top"/>
    </xf>
    <xf numFmtId="1" fontId="30" fillId="11" borderId="4" xfId="0" applyNumberFormat="1" applyFont="1" applyFill="1" applyBorder="1" applyAlignment="1">
      <alignment horizontal="center" vertical="top"/>
    </xf>
    <xf numFmtId="0" fontId="30" fillId="11" borderId="14" xfId="0" applyFont="1" applyFill="1" applyBorder="1" applyAlignment="1">
      <alignment vertical="top"/>
    </xf>
    <xf numFmtId="1" fontId="30" fillId="11" borderId="15" xfId="0" applyNumberFormat="1" applyFont="1" applyFill="1" applyBorder="1" applyAlignment="1">
      <alignment horizontal="center" vertical="top"/>
    </xf>
    <xf numFmtId="0" fontId="28" fillId="12" borderId="27" xfId="3" applyFont="1" applyFill="1" applyBorder="1" applyAlignment="1">
      <alignment horizontal="center" vertical="center"/>
    </xf>
    <xf numFmtId="9" fontId="28" fillId="12" borderId="27" xfId="3" applyNumberFormat="1" applyFont="1" applyFill="1" applyBorder="1" applyAlignment="1">
      <alignment horizontal="center" vertical="center"/>
    </xf>
    <xf numFmtId="0" fontId="28" fillId="12" borderId="4" xfId="0" applyFont="1" applyFill="1" applyBorder="1" applyAlignment="1">
      <alignment vertical="top"/>
    </xf>
    <xf numFmtId="9" fontId="28" fillId="12" borderId="4" xfId="0" applyNumberFormat="1" applyFont="1" applyFill="1" applyBorder="1" applyAlignment="1">
      <alignment horizontal="center" vertical="top"/>
    </xf>
    <xf numFmtId="9" fontId="28" fillId="12" borderId="4" xfId="0" applyNumberFormat="1" applyFont="1" applyFill="1" applyBorder="1" applyAlignment="1">
      <alignment horizontal="left" vertical="top"/>
    </xf>
    <xf numFmtId="167" fontId="28" fillId="12" borderId="4" xfId="0" applyNumberFormat="1" applyFont="1" applyFill="1" applyBorder="1" applyAlignment="1">
      <alignment horizontal="center" vertical="top"/>
    </xf>
    <xf numFmtId="0" fontId="28" fillId="12" borderId="15" xfId="0" applyFont="1" applyFill="1" applyBorder="1" applyAlignment="1">
      <alignment vertical="top"/>
    </xf>
    <xf numFmtId="9" fontId="28" fillId="12" borderId="15" xfId="0" applyNumberFormat="1" applyFont="1" applyFill="1" applyBorder="1" applyAlignment="1">
      <alignment horizontal="center" vertical="top"/>
    </xf>
    <xf numFmtId="0" fontId="28" fillId="12" borderId="15" xfId="0" applyFont="1" applyFill="1" applyBorder="1" applyAlignment="1">
      <alignment horizontal="center" vertical="top"/>
    </xf>
    <xf numFmtId="0" fontId="28" fillId="13" borderId="4" xfId="0" applyFont="1" applyFill="1" applyBorder="1" applyAlignment="1">
      <alignment horizontal="left" vertical="top"/>
    </xf>
    <xf numFmtId="1" fontId="28" fillId="13" borderId="4" xfId="1" applyNumberFormat="1" applyFont="1" applyFill="1" applyBorder="1" applyAlignment="1">
      <alignment horizontal="center" vertical="top"/>
    </xf>
    <xf numFmtId="1" fontId="28" fillId="13" borderId="4" xfId="0" applyNumberFormat="1" applyFont="1" applyFill="1" applyBorder="1" applyAlignment="1">
      <alignment horizontal="center" vertical="top"/>
    </xf>
    <xf numFmtId="10" fontId="28" fillId="13" borderId="4" xfId="2" applyNumberFormat="1" applyFont="1" applyFill="1" applyBorder="1" applyAlignment="1">
      <alignment horizontal="center" vertical="top"/>
    </xf>
    <xf numFmtId="166" fontId="28" fillId="13" borderId="13" xfId="0" applyNumberFormat="1" applyFont="1" applyFill="1" applyBorder="1" applyAlignment="1">
      <alignment horizontal="center" vertical="top"/>
    </xf>
    <xf numFmtId="166" fontId="28" fillId="13" borderId="4" xfId="0" applyNumberFormat="1" applyFont="1" applyFill="1" applyBorder="1" applyAlignment="1">
      <alignment horizontal="center" vertical="top"/>
    </xf>
    <xf numFmtId="0" fontId="28" fillId="13" borderId="4" xfId="0" applyFont="1" applyFill="1" applyBorder="1" applyAlignment="1">
      <alignment vertical="top"/>
    </xf>
    <xf numFmtId="1" fontId="28" fillId="13" borderId="7" xfId="0" applyNumberFormat="1" applyFont="1" applyFill="1" applyBorder="1" applyAlignment="1">
      <alignment horizontal="center" vertical="top"/>
    </xf>
    <xf numFmtId="0" fontId="28" fillId="13" borderId="7" xfId="0" applyFont="1" applyFill="1" applyBorder="1" applyAlignment="1">
      <alignment horizontal="center" vertical="top"/>
    </xf>
    <xf numFmtId="166" fontId="28" fillId="13" borderId="17" xfId="2" applyNumberFormat="1" applyFont="1" applyFill="1" applyBorder="1" applyAlignment="1">
      <alignment horizontal="center" vertical="top"/>
    </xf>
    <xf numFmtId="0" fontId="28" fillId="13" borderId="29" xfId="5" applyFont="1" applyFill="1" applyBorder="1" applyAlignment="1">
      <alignment horizontal="left" vertical="center"/>
    </xf>
    <xf numFmtId="0" fontId="28" fillId="13" borderId="29" xfId="5" applyFont="1" applyFill="1" applyBorder="1" applyAlignment="1">
      <alignment horizontal="center" vertical="center"/>
    </xf>
    <xf numFmtId="1" fontId="28" fillId="13" borderId="29" xfId="5" applyNumberFormat="1" applyFont="1" applyFill="1" applyBorder="1" applyAlignment="1">
      <alignment horizontal="center" vertical="center"/>
    </xf>
    <xf numFmtId="9" fontId="28" fillId="13" borderId="29" xfId="5" applyNumberFormat="1" applyFont="1" applyFill="1" applyBorder="1" applyAlignment="1">
      <alignment horizontal="center" vertical="center"/>
    </xf>
    <xf numFmtId="9" fontId="28" fillId="13" borderId="26" xfId="5" applyNumberFormat="1" applyFont="1" applyFill="1" applyBorder="1" applyAlignment="1">
      <alignment horizontal="center" vertical="center"/>
    </xf>
    <xf numFmtId="0" fontId="31" fillId="0" borderId="14" xfId="0" applyFont="1" applyBorder="1"/>
    <xf numFmtId="0" fontId="31" fillId="0" borderId="15" xfId="0" applyFont="1" applyBorder="1"/>
    <xf numFmtId="2" fontId="31" fillId="0" borderId="15" xfId="0" applyNumberFormat="1" applyFont="1" applyBorder="1" applyAlignment="1">
      <alignment horizontal="center"/>
    </xf>
    <xf numFmtId="2" fontId="31" fillId="0" borderId="16" xfId="0" applyNumberFormat="1" applyFont="1" applyBorder="1" applyAlignment="1">
      <alignment horizontal="center"/>
    </xf>
    <xf numFmtId="2" fontId="28" fillId="0" borderId="15" xfId="4" applyNumberFormat="1" applyFont="1" applyFill="1" applyBorder="1" applyAlignment="1">
      <alignment horizontal="center" vertical="top"/>
    </xf>
    <xf numFmtId="2" fontId="28" fillId="0" borderId="16" xfId="4" applyNumberFormat="1" applyFont="1" applyFill="1" applyBorder="1" applyAlignment="1">
      <alignment horizontal="center" vertical="top"/>
    </xf>
    <xf numFmtId="9" fontId="28" fillId="0" borderId="4" xfId="4" applyNumberFormat="1" applyFont="1" applyFill="1" applyBorder="1" applyAlignment="1">
      <alignment horizontal="center" vertical="top"/>
    </xf>
    <xf numFmtId="2" fontId="28" fillId="0" borderId="4" xfId="4" applyNumberFormat="1" applyFont="1" applyFill="1" applyBorder="1" applyAlignment="1">
      <alignment horizontal="center" vertical="top"/>
    </xf>
    <xf numFmtId="0" fontId="31" fillId="0" borderId="15" xfId="5" applyFont="1" applyFill="1" applyBorder="1" applyAlignment="1">
      <alignment vertical="center" wrapText="1"/>
    </xf>
    <xf numFmtId="2" fontId="31" fillId="0" borderId="15" xfId="5" applyNumberFormat="1" applyFont="1" applyFill="1" applyBorder="1" applyAlignment="1">
      <alignment vertical="center"/>
    </xf>
    <xf numFmtId="2" fontId="31" fillId="0" borderId="16" xfId="5" applyNumberFormat="1" applyFont="1" applyFill="1" applyBorder="1" applyAlignment="1">
      <alignment horizontal="center" vertical="center"/>
    </xf>
    <xf numFmtId="0" fontId="31" fillId="0" borderId="15" xfId="5" applyFont="1" applyFill="1" applyBorder="1" applyAlignment="1">
      <alignment vertical="center"/>
    </xf>
    <xf numFmtId="168" fontId="31" fillId="0" borderId="15" xfId="5" applyNumberFormat="1" applyFont="1" applyFill="1" applyBorder="1" applyAlignment="1">
      <alignment horizontal="center" vertical="center"/>
    </xf>
    <xf numFmtId="168" fontId="31" fillId="0" borderId="16" xfId="5" applyNumberFormat="1" applyFont="1" applyFill="1" applyBorder="1" applyAlignment="1">
      <alignment horizontal="center" vertical="center"/>
    </xf>
    <xf numFmtId="0" fontId="31" fillId="0" borderId="24" xfId="5" applyFont="1" applyFill="1" applyBorder="1" applyAlignment="1">
      <alignment vertical="center"/>
    </xf>
    <xf numFmtId="2" fontId="31" fillId="0" borderId="24" xfId="5" applyNumberFormat="1" applyFont="1" applyFill="1" applyBorder="1" applyAlignment="1">
      <alignment vertical="center"/>
    </xf>
    <xf numFmtId="2" fontId="31" fillId="0" borderId="25" xfId="5" applyNumberFormat="1" applyFont="1" applyFill="1" applyBorder="1" applyAlignment="1">
      <alignment vertical="center"/>
    </xf>
    <xf numFmtId="2" fontId="31" fillId="0" borderId="15" xfId="5" applyNumberFormat="1" applyFont="1" applyFill="1" applyBorder="1" applyAlignment="1">
      <alignment horizontal="center" vertical="center"/>
    </xf>
    <xf numFmtId="0" fontId="31" fillId="0" borderId="4" xfId="5" applyFont="1" applyFill="1" applyBorder="1" applyAlignment="1">
      <alignment vertical="top"/>
    </xf>
    <xf numFmtId="167" fontId="31" fillId="0" borderId="4" xfId="5" applyNumberFormat="1" applyFont="1" applyFill="1" applyBorder="1" applyAlignment="1">
      <alignment vertical="top"/>
    </xf>
    <xf numFmtId="2" fontId="31" fillId="0" borderId="4" xfId="5" applyNumberFormat="1" applyFont="1" applyFill="1" applyBorder="1" applyAlignment="1">
      <alignment horizontal="center" vertical="top"/>
    </xf>
    <xf numFmtId="2" fontId="31" fillId="0" borderId="13" xfId="5" applyNumberFormat="1" applyFont="1" applyFill="1" applyBorder="1" applyAlignment="1">
      <alignment horizontal="center" vertical="top"/>
    </xf>
    <xf numFmtId="0" fontId="31" fillId="0" borderId="15" xfId="5" applyFont="1" applyFill="1" applyBorder="1" applyAlignment="1">
      <alignment vertical="top"/>
    </xf>
    <xf numFmtId="167" fontId="31" fillId="0" borderId="15" xfId="5" applyNumberFormat="1" applyFont="1" applyFill="1" applyBorder="1" applyAlignment="1">
      <alignment vertical="top"/>
    </xf>
    <xf numFmtId="2" fontId="31" fillId="0" borderId="15" xfId="5" applyNumberFormat="1" applyFont="1" applyFill="1" applyBorder="1" applyAlignment="1">
      <alignment horizontal="center" vertical="top"/>
    </xf>
    <xf numFmtId="2" fontId="31" fillId="0" borderId="16" xfId="5" applyNumberFormat="1" applyFont="1" applyFill="1" applyBorder="1" applyAlignment="1">
      <alignment horizontal="center" vertical="top"/>
    </xf>
    <xf numFmtId="0" fontId="32" fillId="5" borderId="10" xfId="5" applyFont="1" applyBorder="1" applyAlignment="1">
      <alignment vertical="top"/>
    </xf>
    <xf numFmtId="0" fontId="32" fillId="5" borderId="11" xfId="5" applyFont="1" applyBorder="1" applyAlignment="1">
      <alignment vertical="top"/>
    </xf>
    <xf numFmtId="0" fontId="44" fillId="5" borderId="9" xfId="5" applyFont="1" applyBorder="1" applyAlignment="1">
      <alignment horizontal="left" vertical="center"/>
    </xf>
    <xf numFmtId="0" fontId="46" fillId="0" borderId="4" xfId="0" applyFont="1" applyBorder="1" applyAlignment="1">
      <alignment vertical="center"/>
    </xf>
    <xf numFmtId="0" fontId="15" fillId="15" borderId="4" xfId="0" applyFont="1" applyFill="1" applyBorder="1" applyAlignment="1">
      <alignment horizontal="center"/>
    </xf>
    <xf numFmtId="169" fontId="15" fillId="15" borderId="4" xfId="0" applyNumberFormat="1" applyFont="1" applyFill="1" applyBorder="1" applyAlignment="1">
      <alignment horizontal="center"/>
    </xf>
    <xf numFmtId="170" fontId="15" fillId="15" borderId="4" xfId="0" applyNumberFormat="1" applyFont="1" applyFill="1" applyBorder="1" applyAlignment="1">
      <alignment horizontal="center"/>
    </xf>
    <xf numFmtId="0" fontId="14" fillId="15" borderId="4" xfId="0" applyFont="1" applyFill="1" applyBorder="1" applyAlignment="1">
      <alignment horizontal="center"/>
    </xf>
    <xf numFmtId="169" fontId="14" fillId="15" borderId="4" xfId="0" applyNumberFormat="1" applyFont="1" applyFill="1" applyBorder="1" applyAlignment="1">
      <alignment horizontal="center"/>
    </xf>
    <xf numFmtId="166" fontId="14" fillId="15" borderId="4" xfId="0" applyNumberFormat="1" applyFont="1" applyFill="1" applyBorder="1" applyAlignment="1">
      <alignment horizontal="center"/>
    </xf>
    <xf numFmtId="170" fontId="14" fillId="15" borderId="4" xfId="0" applyNumberFormat="1" applyFont="1" applyFill="1" applyBorder="1" applyAlignment="1">
      <alignment horizontal="center"/>
    </xf>
    <xf numFmtId="168" fontId="14" fillId="15" borderId="4" xfId="0" applyNumberFormat="1" applyFont="1" applyFill="1" applyBorder="1" applyAlignment="1">
      <alignment horizontal="center"/>
    </xf>
    <xf numFmtId="9" fontId="15" fillId="15" borderId="4" xfId="0" applyNumberFormat="1" applyFont="1" applyFill="1" applyBorder="1" applyAlignment="1">
      <alignment horizontal="center"/>
    </xf>
    <xf numFmtId="171" fontId="14" fillId="15" borderId="4" xfId="0" applyNumberFormat="1" applyFont="1" applyFill="1" applyBorder="1" applyAlignment="1">
      <alignment horizontal="center"/>
    </xf>
    <xf numFmtId="0" fontId="14" fillId="15" borderId="4" xfId="0" applyFont="1" applyFill="1" applyBorder="1"/>
    <xf numFmtId="9" fontId="14" fillId="15" borderId="4" xfId="0" applyNumberFormat="1" applyFont="1" applyFill="1" applyBorder="1" applyAlignment="1">
      <alignment horizontal="center"/>
    </xf>
    <xf numFmtId="9" fontId="14" fillId="15" borderId="4" xfId="2" applyFont="1" applyFill="1" applyBorder="1" applyAlignment="1">
      <alignment horizontal="center"/>
    </xf>
    <xf numFmtId="166" fontId="14" fillId="15" borderId="4" xfId="2" applyNumberFormat="1" applyFont="1" applyFill="1" applyBorder="1" applyAlignment="1">
      <alignment horizontal="center"/>
    </xf>
    <xf numFmtId="169" fontId="12" fillId="0" borderId="4" xfId="0" applyNumberFormat="1" applyFont="1" applyBorder="1"/>
    <xf numFmtId="0" fontId="38" fillId="3" borderId="4" xfId="3" applyFont="1" applyBorder="1" applyAlignment="1">
      <alignment vertical="center"/>
    </xf>
    <xf numFmtId="169" fontId="14" fillId="0" borderId="4" xfId="0" applyNumberFormat="1" applyFont="1" applyBorder="1" applyAlignment="1">
      <alignment horizontal="center"/>
    </xf>
    <xf numFmtId="0" fontId="14" fillId="0" borderId="4" xfId="0" applyFont="1" applyBorder="1"/>
    <xf numFmtId="9" fontId="14" fillId="0" borderId="4" xfId="0" applyNumberFormat="1" applyFont="1" applyBorder="1" applyAlignment="1">
      <alignment horizontal="center"/>
    </xf>
    <xf numFmtId="0" fontId="14" fillId="0" borderId="4" xfId="0" applyFont="1" applyBorder="1" applyAlignment="1">
      <alignment horizontal="center"/>
    </xf>
    <xf numFmtId="0" fontId="18" fillId="0" borderId="4" xfId="4" applyFont="1" applyFill="1" applyBorder="1" applyAlignment="1">
      <alignment horizontal="center"/>
    </xf>
    <xf numFmtId="169" fontId="18" fillId="0" borderId="4" xfId="4" applyNumberFormat="1" applyFont="1" applyFill="1" applyBorder="1"/>
    <xf numFmtId="4" fontId="18" fillId="0" borderId="4" xfId="4" applyNumberFormat="1" applyFont="1" applyFill="1" applyBorder="1"/>
    <xf numFmtId="2" fontId="28" fillId="16" borderId="4" xfId="5" applyNumberFormat="1" applyFont="1" applyFill="1" applyBorder="1" applyAlignment="1">
      <alignment horizontal="center" vertical="top"/>
    </xf>
    <xf numFmtId="2" fontId="28" fillId="16" borderId="4" xfId="0" applyNumberFormat="1" applyFont="1" applyFill="1" applyBorder="1" applyAlignment="1">
      <alignment horizontal="center" vertical="top"/>
    </xf>
    <xf numFmtId="2" fontId="28" fillId="16" borderId="13" xfId="0" applyNumberFormat="1" applyFont="1" applyFill="1" applyBorder="1" applyAlignment="1">
      <alignment horizontal="center" vertical="top"/>
    </xf>
    <xf numFmtId="2" fontId="28" fillId="16" borderId="4" xfId="1" applyNumberFormat="1" applyFont="1" applyFill="1" applyBorder="1" applyAlignment="1">
      <alignment horizontal="center" vertical="top"/>
    </xf>
    <xf numFmtId="2" fontId="28" fillId="16" borderId="13" xfId="5" applyNumberFormat="1" applyFont="1" applyFill="1" applyBorder="1" applyAlignment="1">
      <alignment horizontal="center" vertical="top"/>
    </xf>
    <xf numFmtId="2" fontId="28" fillId="17" borderId="4" xfId="4" applyNumberFormat="1" applyFont="1" applyFill="1" applyBorder="1" applyAlignment="1">
      <alignment horizontal="center" vertical="top"/>
    </xf>
    <xf numFmtId="2" fontId="28" fillId="17" borderId="4" xfId="0" applyNumberFormat="1" applyFont="1" applyFill="1" applyBorder="1" applyAlignment="1">
      <alignment horizontal="center" vertical="top"/>
    </xf>
    <xf numFmtId="2" fontId="28" fillId="17" borderId="13" xfId="0" applyNumberFormat="1" applyFont="1" applyFill="1" applyBorder="1" applyAlignment="1">
      <alignment horizontal="center" vertical="top"/>
    </xf>
    <xf numFmtId="2" fontId="28" fillId="17" borderId="4" xfId="1" applyNumberFormat="1" applyFont="1" applyFill="1" applyBorder="1" applyAlignment="1">
      <alignment horizontal="center" vertical="top"/>
    </xf>
    <xf numFmtId="2" fontId="28" fillId="17" borderId="13" xfId="4" applyNumberFormat="1" applyFont="1" applyFill="1" applyBorder="1" applyAlignment="1">
      <alignment horizontal="center" vertical="top"/>
    </xf>
    <xf numFmtId="2" fontId="28" fillId="11" borderId="4" xfId="0" applyNumberFormat="1" applyFont="1" applyFill="1" applyBorder="1" applyAlignment="1">
      <alignment horizontal="center" vertical="top"/>
    </xf>
    <xf numFmtId="2" fontId="28" fillId="11" borderId="13" xfId="0" applyNumberFormat="1" applyFont="1" applyFill="1" applyBorder="1" applyAlignment="1">
      <alignment horizontal="center" vertical="top"/>
    </xf>
    <xf numFmtId="2" fontId="28" fillId="11" borderId="4" xfId="1" applyNumberFormat="1" applyFont="1" applyFill="1" applyBorder="1" applyAlignment="1">
      <alignment horizontal="center" vertical="top"/>
    </xf>
    <xf numFmtId="0" fontId="47" fillId="0" borderId="12" xfId="0" applyFont="1" applyBorder="1" applyAlignment="1">
      <alignment vertical="top"/>
    </xf>
    <xf numFmtId="2" fontId="47" fillId="0" borderId="4" xfId="0" applyNumberFormat="1" applyFont="1" applyBorder="1" applyAlignment="1">
      <alignment horizontal="center" vertical="top"/>
    </xf>
    <xf numFmtId="0" fontId="47" fillId="0" borderId="12" xfId="0" applyFont="1" applyBorder="1" applyAlignment="1">
      <alignment horizontal="left" vertical="top"/>
    </xf>
    <xf numFmtId="2" fontId="47" fillId="0" borderId="7" xfId="0" applyNumberFormat="1" applyFont="1" applyBorder="1" applyAlignment="1">
      <alignment horizontal="center" vertical="top"/>
    </xf>
    <xf numFmtId="0" fontId="47" fillId="0" borderId="14" xfId="0" applyFont="1" applyBorder="1" applyAlignment="1">
      <alignment vertical="top"/>
    </xf>
    <xf numFmtId="2" fontId="47" fillId="0" borderId="15" xfId="0" applyNumberFormat="1" applyFont="1" applyBorder="1" applyAlignment="1">
      <alignment horizontal="center" vertical="top"/>
    </xf>
    <xf numFmtId="2" fontId="31" fillId="0" borderId="4" xfId="0" applyNumberFormat="1" applyFont="1" applyBorder="1" applyAlignment="1">
      <alignment horizontal="center" vertical="top"/>
    </xf>
    <xf numFmtId="2" fontId="31" fillId="0" borderId="17" xfId="3" applyNumberFormat="1" applyFont="1" applyFill="1" applyBorder="1" applyAlignment="1">
      <alignment horizontal="center" vertical="top"/>
    </xf>
    <xf numFmtId="0" fontId="28" fillId="0" borderId="14" xfId="0" applyFont="1" applyBorder="1" applyAlignment="1">
      <alignment horizontal="left" vertical="top"/>
    </xf>
    <xf numFmtId="9" fontId="28" fillId="0" borderId="15" xfId="4" applyNumberFormat="1" applyFont="1" applyFill="1" applyBorder="1" applyAlignment="1">
      <alignment horizontal="center" vertical="top"/>
    </xf>
    <xf numFmtId="0" fontId="16" fillId="0" borderId="4" xfId="5" applyFont="1" applyFill="1" applyBorder="1" applyAlignment="1">
      <alignment horizontal="center" vertical="center" wrapText="1"/>
    </xf>
    <xf numFmtId="1" fontId="16" fillId="0" borderId="4" xfId="5" applyNumberFormat="1" applyFont="1" applyFill="1" applyBorder="1" applyAlignment="1">
      <alignment horizontal="center" vertical="center"/>
    </xf>
    <xf numFmtId="1" fontId="16" fillId="0" borderId="13" xfId="5" applyNumberFormat="1" applyFont="1" applyFill="1" applyBorder="1" applyAlignment="1">
      <alignment horizontal="center" vertical="center"/>
    </xf>
    <xf numFmtId="0" fontId="48" fillId="3" borderId="12" xfId="3" applyFont="1" applyBorder="1" applyAlignment="1">
      <alignment vertical="center"/>
    </xf>
    <xf numFmtId="0" fontId="48" fillId="3" borderId="12" xfId="3" applyFont="1" applyBorder="1" applyAlignment="1">
      <alignment horizontal="left" vertical="top"/>
    </xf>
    <xf numFmtId="9" fontId="28" fillId="0" borderId="7" xfId="0" applyNumberFormat="1" applyFont="1" applyBorder="1" applyAlignment="1">
      <alignment horizontal="center" vertical="top"/>
    </xf>
    <xf numFmtId="9" fontId="21" fillId="4" borderId="13" xfId="4" applyNumberFormat="1" applyFont="1" applyBorder="1" applyAlignment="1">
      <alignment horizontal="center" vertical="top"/>
    </xf>
    <xf numFmtId="9" fontId="21" fillId="4" borderId="16" xfId="4" applyNumberFormat="1" applyFont="1" applyBorder="1" applyAlignment="1">
      <alignment horizontal="center" vertical="top"/>
    </xf>
    <xf numFmtId="0" fontId="28" fillId="5" borderId="7" xfId="5" applyFont="1" applyBorder="1" applyAlignment="1">
      <alignment horizontal="center" vertical="center"/>
    </xf>
    <xf numFmtId="0" fontId="16" fillId="5" borderId="29" xfId="5" applyFont="1" applyBorder="1" applyAlignment="1">
      <alignment horizontal="center" vertical="top" wrapText="1"/>
    </xf>
    <xf numFmtId="0" fontId="16" fillId="5" borderId="26" xfId="5" applyFont="1" applyBorder="1" applyAlignment="1">
      <alignment horizontal="center" vertical="top" wrapText="1"/>
    </xf>
    <xf numFmtId="0" fontId="16" fillId="5" borderId="29" xfId="5" applyFont="1" applyBorder="1" applyAlignment="1">
      <alignment horizontal="center" vertical="center" wrapText="1"/>
    </xf>
    <xf numFmtId="1" fontId="16" fillId="5" borderId="29" xfId="5" applyNumberFormat="1" applyFont="1" applyBorder="1" applyAlignment="1">
      <alignment horizontal="center" vertical="center"/>
    </xf>
    <xf numFmtId="1" fontId="16" fillId="5" borderId="26" xfId="5" applyNumberFormat="1" applyFont="1" applyBorder="1" applyAlignment="1">
      <alignment horizontal="center" vertical="center"/>
    </xf>
    <xf numFmtId="0" fontId="16" fillId="5" borderId="7" xfId="5" applyFont="1" applyBorder="1" applyAlignment="1">
      <alignment horizontal="center" vertical="center"/>
    </xf>
    <xf numFmtId="0" fontId="16" fillId="3" borderId="7" xfId="3" applyFont="1" applyBorder="1" applyAlignment="1">
      <alignment horizontal="center" vertical="center"/>
    </xf>
    <xf numFmtId="0" fontId="23" fillId="5" borderId="29" xfId="5" applyFont="1" applyBorder="1" applyAlignment="1">
      <alignment horizontal="center" vertical="center"/>
    </xf>
    <xf numFmtId="0" fontId="28" fillId="3" borderId="29" xfId="3" applyFont="1" applyBorder="1" applyAlignment="1">
      <alignment horizontal="center" vertical="center"/>
    </xf>
    <xf numFmtId="0" fontId="19" fillId="3" borderId="29" xfId="3" applyFont="1" applyBorder="1" applyAlignment="1">
      <alignment vertical="center"/>
    </xf>
    <xf numFmtId="0" fontId="28" fillId="3" borderId="29" xfId="3" applyFont="1" applyBorder="1" applyAlignment="1">
      <alignment vertical="center"/>
    </xf>
    <xf numFmtId="0" fontId="16" fillId="5" borderId="29" xfId="5" applyFont="1" applyBorder="1" applyAlignment="1">
      <alignment horizontal="center" vertical="center"/>
    </xf>
    <xf numFmtId="0" fontId="16" fillId="5" borderId="26" xfId="5" applyFont="1" applyBorder="1" applyAlignment="1">
      <alignment horizontal="center" vertical="center"/>
    </xf>
    <xf numFmtId="9" fontId="24" fillId="0" borderId="27" xfId="0" applyNumberFormat="1" applyFont="1" applyBorder="1" applyAlignment="1">
      <alignment horizontal="center" vertical="top"/>
    </xf>
    <xf numFmtId="168" fontId="24" fillId="0" borderId="27" xfId="0" applyNumberFormat="1" applyFont="1" applyBorder="1" applyAlignment="1">
      <alignment horizontal="center" vertical="top"/>
    </xf>
    <xf numFmtId="0" fontId="5" fillId="5" borderId="29" xfId="5" applyBorder="1" applyAlignment="1">
      <alignment horizontal="left" vertical="center"/>
    </xf>
    <xf numFmtId="0" fontId="16" fillId="2" borderId="29" xfId="0" applyFont="1" applyFill="1" applyBorder="1" applyAlignment="1">
      <alignment horizontal="center" vertical="center"/>
    </xf>
    <xf numFmtId="0" fontId="16" fillId="2" borderId="29" xfId="0" applyFont="1" applyFill="1" applyBorder="1" applyAlignment="1">
      <alignment horizontal="center" vertical="center" wrapText="1"/>
    </xf>
    <xf numFmtId="0" fontId="16" fillId="2" borderId="26" xfId="0" applyFont="1" applyFill="1" applyBorder="1" applyAlignment="1">
      <alignment horizontal="center" vertical="center"/>
    </xf>
    <xf numFmtId="0" fontId="5" fillId="5" borderId="29" xfId="5" applyBorder="1" applyAlignment="1">
      <alignment horizontal="left" vertical="top"/>
    </xf>
    <xf numFmtId="9" fontId="28" fillId="0" borderId="7" xfId="0" applyNumberFormat="1" applyFont="1" applyBorder="1" applyAlignment="1">
      <alignment vertical="top"/>
    </xf>
    <xf numFmtId="9" fontId="24" fillId="0" borderId="7" xfId="0" applyNumberFormat="1" applyFont="1" applyBorder="1" applyAlignment="1">
      <alignment horizontal="center" vertical="top"/>
    </xf>
    <xf numFmtId="9" fontId="24" fillId="0" borderId="17" xfId="0" applyNumberFormat="1" applyFont="1" applyBorder="1" applyAlignment="1">
      <alignment horizontal="center" vertical="top"/>
    </xf>
    <xf numFmtId="0" fontId="31" fillId="0" borderId="4" xfId="0" applyFont="1" applyBorder="1" applyAlignment="1">
      <alignment horizontal="center" vertical="top"/>
    </xf>
    <xf numFmtId="0" fontId="31" fillId="0" borderId="13" xfId="0" applyFont="1" applyBorder="1" applyAlignment="1">
      <alignment horizontal="center" vertical="top"/>
    </xf>
    <xf numFmtId="0" fontId="13" fillId="5" borderId="29" xfId="5" applyFont="1" applyBorder="1" applyAlignment="1">
      <alignment horizontal="center" vertical="center"/>
    </xf>
    <xf numFmtId="168" fontId="24" fillId="0" borderId="7" xfId="0" applyNumberFormat="1" applyFont="1" applyBorder="1" applyAlignment="1">
      <alignment horizontal="center" vertical="top"/>
    </xf>
    <xf numFmtId="0" fontId="13" fillId="5" borderId="26" xfId="5" applyFont="1" applyBorder="1" applyAlignment="1">
      <alignment horizontal="center" vertical="center" wrapText="1"/>
    </xf>
    <xf numFmtId="0" fontId="13" fillId="5" borderId="26" xfId="5" applyFont="1" applyBorder="1" applyAlignment="1">
      <alignment horizontal="center" vertical="center"/>
    </xf>
    <xf numFmtId="0" fontId="18" fillId="4" borderId="29" xfId="4" applyFont="1" applyBorder="1" applyAlignment="1">
      <alignment horizontal="center" vertical="top" wrapText="1"/>
    </xf>
    <xf numFmtId="0" fontId="18" fillId="4" borderId="29" xfId="4" applyFont="1" applyBorder="1" applyAlignment="1">
      <alignment horizontal="center" vertical="top"/>
    </xf>
    <xf numFmtId="9" fontId="31" fillId="0" borderId="4" xfId="2" applyFont="1" applyBorder="1" applyAlignment="1">
      <alignment horizontal="center" vertical="center"/>
    </xf>
    <xf numFmtId="9" fontId="13" fillId="0" borderId="4" xfId="2" applyFont="1" applyBorder="1" applyAlignment="1">
      <alignment horizontal="center" vertical="center"/>
    </xf>
    <xf numFmtId="9" fontId="31" fillId="0" borderId="13" xfId="2" applyFont="1" applyBorder="1" applyAlignment="1">
      <alignment horizontal="center" vertical="center"/>
    </xf>
    <xf numFmtId="0" fontId="31" fillId="0" borderId="27" xfId="0" applyFont="1" applyBorder="1" applyAlignment="1">
      <alignment horizontal="center" vertical="top"/>
    </xf>
    <xf numFmtId="0" fontId="31" fillId="0" borderId="30" xfId="0" applyFont="1" applyBorder="1" applyAlignment="1">
      <alignment horizontal="center" vertical="top"/>
    </xf>
    <xf numFmtId="2" fontId="31" fillId="0" borderId="7" xfId="0" applyNumberFormat="1" applyFont="1" applyBorder="1" applyAlignment="1">
      <alignment horizontal="center" vertical="top"/>
    </xf>
    <xf numFmtId="2" fontId="31" fillId="0" borderId="7" xfId="0" applyNumberFormat="1" applyFont="1" applyBorder="1" applyAlignment="1">
      <alignment horizontal="center" vertical="center" wrapText="1"/>
    </xf>
    <xf numFmtId="2" fontId="31" fillId="0" borderId="17" xfId="0" applyNumberFormat="1" applyFont="1" applyBorder="1" applyAlignment="1">
      <alignment horizontal="center" vertical="center" wrapText="1"/>
    </xf>
    <xf numFmtId="2" fontId="31" fillId="0" borderId="27" xfId="0" applyNumberFormat="1" applyFont="1" applyBorder="1" applyAlignment="1">
      <alignment horizontal="center" vertical="center"/>
    </xf>
    <xf numFmtId="2" fontId="31" fillId="0" borderId="30" xfId="0" applyNumberFormat="1" applyFont="1" applyBorder="1" applyAlignment="1">
      <alignment horizontal="center" vertical="center"/>
    </xf>
    <xf numFmtId="9" fontId="31" fillId="3" borderId="29" xfId="3" applyNumberFormat="1" applyFont="1" applyBorder="1" applyAlignment="1">
      <alignment horizontal="right" vertical="center"/>
    </xf>
    <xf numFmtId="0" fontId="31" fillId="3" borderId="26" xfId="3" applyFont="1" applyBorder="1" applyAlignment="1">
      <alignment horizontal="center" vertical="center"/>
    </xf>
    <xf numFmtId="2" fontId="18" fillId="4" borderId="29" xfId="4" applyNumberFormat="1" applyFont="1" applyBorder="1" applyAlignment="1">
      <alignment horizontal="center" vertical="center" wrapText="1"/>
    </xf>
    <xf numFmtId="2" fontId="18" fillId="4" borderId="29" xfId="4" applyNumberFormat="1" applyFont="1" applyBorder="1" applyAlignment="1">
      <alignment horizontal="center" vertical="center"/>
    </xf>
    <xf numFmtId="0" fontId="31" fillId="8" borderId="7" xfId="7" applyFont="1" applyBorder="1" applyAlignment="1">
      <alignment horizontal="center" vertical="center"/>
    </xf>
    <xf numFmtId="0" fontId="31" fillId="7" borderId="7" xfId="6" applyFont="1" applyBorder="1" applyAlignment="1">
      <alignment horizontal="center" vertical="center"/>
    </xf>
    <xf numFmtId="0" fontId="31" fillId="7" borderId="17" xfId="6" applyFont="1" applyBorder="1" applyAlignment="1">
      <alignment horizontal="center" vertical="center"/>
    </xf>
    <xf numFmtId="0" fontId="49" fillId="0" borderId="4" xfId="0" applyFont="1" applyBorder="1" applyAlignment="1">
      <alignment horizontal="left"/>
    </xf>
    <xf numFmtId="0" fontId="49" fillId="0" borderId="7" xfId="0" applyFont="1" applyBorder="1" applyAlignment="1">
      <alignment horizontal="left"/>
    </xf>
    <xf numFmtId="169" fontId="12" fillId="0" borderId="7" xfId="0" applyNumberFormat="1" applyFont="1" applyBorder="1"/>
    <xf numFmtId="170" fontId="14" fillId="6" borderId="4" xfId="0" applyNumberFormat="1" applyFont="1" applyFill="1" applyBorder="1" applyAlignment="1">
      <alignment horizontal="right"/>
    </xf>
    <xf numFmtId="0" fontId="30" fillId="12" borderId="27" xfId="3" applyFont="1" applyFill="1" applyBorder="1" applyAlignment="1">
      <alignment horizontal="center" vertical="center"/>
    </xf>
    <xf numFmtId="0" fontId="42" fillId="0" borderId="4" xfId="0" applyFont="1" applyBorder="1" applyAlignment="1">
      <alignment horizontal="left"/>
    </xf>
    <xf numFmtId="3" fontId="14" fillId="6" borderId="4" xfId="0" applyNumberFormat="1" applyFont="1" applyFill="1" applyBorder="1" applyAlignment="1">
      <alignment horizontal="center"/>
    </xf>
    <xf numFmtId="171" fontId="14" fillId="6" borderId="4" xfId="0" applyNumberFormat="1" applyFont="1" applyFill="1" applyBorder="1" applyAlignment="1">
      <alignment horizontal="right"/>
    </xf>
    <xf numFmtId="0" fontId="10" fillId="0" borderId="7" xfId="0" applyFont="1" applyBorder="1" applyAlignment="1">
      <alignment horizontal="left"/>
    </xf>
    <xf numFmtId="9" fontId="14" fillId="0" borderId="4" xfId="2" applyFont="1" applyFill="1" applyBorder="1" applyAlignment="1">
      <alignment horizontal="center"/>
    </xf>
    <xf numFmtId="169" fontId="14" fillId="15" borderId="4" xfId="0" applyNumberFormat="1" applyFont="1" applyFill="1" applyBorder="1"/>
    <xf numFmtId="168" fontId="14" fillId="15" borderId="4" xfId="0" applyNumberFormat="1" applyFont="1" applyFill="1" applyBorder="1"/>
    <xf numFmtId="165" fontId="10" fillId="0" borderId="4" xfId="1" applyNumberFormat="1" applyFont="1" applyFill="1" applyBorder="1"/>
    <xf numFmtId="168" fontId="10" fillId="0" borderId="4" xfId="1" applyNumberFormat="1" applyFont="1" applyFill="1" applyBorder="1"/>
    <xf numFmtId="171" fontId="15" fillId="15" borderId="4" xfId="0" applyNumberFormat="1" applyFont="1" applyFill="1" applyBorder="1" applyAlignment="1">
      <alignment horizontal="center"/>
    </xf>
    <xf numFmtId="0" fontId="33" fillId="6" borderId="9" xfId="0" applyFont="1" applyFill="1" applyBorder="1" applyAlignment="1">
      <alignment vertical="top"/>
    </xf>
    <xf numFmtId="0" fontId="14" fillId="6" borderId="9" xfId="0" applyFont="1" applyFill="1" applyBorder="1" applyAlignment="1">
      <alignment horizontal="right" vertical="center"/>
    </xf>
    <xf numFmtId="1" fontId="14" fillId="6" borderId="10" xfId="0" applyNumberFormat="1" applyFont="1" applyFill="1" applyBorder="1" applyAlignment="1">
      <alignment horizontal="center" vertical="center"/>
    </xf>
    <xf numFmtId="1" fontId="14" fillId="6" borderId="11" xfId="0" applyNumberFormat="1" applyFont="1" applyFill="1" applyBorder="1" applyAlignment="1">
      <alignment horizontal="center" vertical="center"/>
    </xf>
    <xf numFmtId="1" fontId="10" fillId="0" borderId="4" xfId="0" applyNumberFormat="1" applyFont="1" applyBorder="1"/>
    <xf numFmtId="0" fontId="10" fillId="0" borderId="4" xfId="0" applyFont="1" applyBorder="1" applyAlignment="1">
      <alignment horizontal="right"/>
    </xf>
    <xf numFmtId="169" fontId="20" fillId="5" borderId="27" xfId="5" applyNumberFormat="1" applyFont="1" applyBorder="1" applyAlignment="1">
      <alignment horizontal="right"/>
    </xf>
    <xf numFmtId="165" fontId="28" fillId="0" borderId="4" xfId="1" applyNumberFormat="1" applyFont="1" applyFill="1" applyBorder="1" applyAlignment="1">
      <alignment horizontal="center"/>
    </xf>
    <xf numFmtId="0" fontId="50" fillId="6" borderId="4" xfId="0" applyFont="1" applyFill="1" applyBorder="1" applyAlignment="1">
      <alignment horizontal="center" vertical="center"/>
    </xf>
    <xf numFmtId="0" fontId="33" fillId="6" borderId="4" xfId="0" applyFont="1" applyFill="1" applyBorder="1" applyAlignment="1">
      <alignment horizontal="center" vertical="center"/>
    </xf>
    <xf numFmtId="169" fontId="10" fillId="18" borderId="4" xfId="0" applyNumberFormat="1" applyFont="1" applyFill="1" applyBorder="1"/>
    <xf numFmtId="165" fontId="10" fillId="18" borderId="4" xfId="1" applyNumberFormat="1" applyFont="1" applyFill="1" applyBorder="1"/>
    <xf numFmtId="168" fontId="10" fillId="18" borderId="4" xfId="1" applyNumberFormat="1" applyFont="1" applyFill="1" applyBorder="1"/>
    <xf numFmtId="168" fontId="10" fillId="18" borderId="4" xfId="0" applyNumberFormat="1" applyFont="1" applyFill="1" applyBorder="1"/>
    <xf numFmtId="166" fontId="14" fillId="18" borderId="4" xfId="0" applyNumberFormat="1" applyFont="1" applyFill="1" applyBorder="1" applyAlignment="1">
      <alignment horizontal="center"/>
    </xf>
    <xf numFmtId="166" fontId="14" fillId="18" borderId="4" xfId="2" applyNumberFormat="1" applyFont="1" applyFill="1" applyBorder="1" applyAlignment="1">
      <alignment horizontal="center"/>
    </xf>
    <xf numFmtId="166" fontId="16" fillId="18" borderId="4" xfId="0" applyNumberFormat="1" applyFont="1" applyFill="1" applyBorder="1" applyAlignment="1">
      <alignment horizontal="center"/>
    </xf>
    <xf numFmtId="9" fontId="16" fillId="18" borderId="4" xfId="2" applyFont="1" applyFill="1" applyBorder="1" applyAlignment="1">
      <alignment horizontal="center"/>
    </xf>
    <xf numFmtId="0" fontId="51" fillId="0" borderId="32" xfId="0" applyFont="1" applyBorder="1" applyAlignment="1">
      <alignment horizontal="left" vertical="center" wrapText="1"/>
    </xf>
    <xf numFmtId="0" fontId="51" fillId="0" borderId="33" xfId="0" applyFont="1" applyBorder="1" applyAlignment="1">
      <alignment horizontal="left" vertical="center" wrapText="1"/>
    </xf>
    <xf numFmtId="0" fontId="51" fillId="0" borderId="34" xfId="0" applyFont="1" applyBorder="1" applyAlignment="1">
      <alignment horizontal="left" vertical="center" wrapText="1"/>
    </xf>
    <xf numFmtId="0" fontId="51" fillId="0" borderId="35" xfId="0" applyFont="1" applyBorder="1" applyAlignment="1">
      <alignment horizontal="left" vertical="center" wrapText="1"/>
    </xf>
    <xf numFmtId="0" fontId="51" fillId="0" borderId="4" xfId="0" applyFont="1" applyBorder="1" applyAlignment="1">
      <alignment horizontal="left" vertical="center" wrapText="1"/>
    </xf>
    <xf numFmtId="0" fontId="51" fillId="0" borderId="36" xfId="0" applyFont="1" applyBorder="1" applyAlignment="1">
      <alignment horizontal="left" vertical="center" wrapText="1"/>
    </xf>
    <xf numFmtId="0" fontId="51" fillId="0" borderId="37" xfId="0" applyFont="1" applyBorder="1" applyAlignment="1">
      <alignment horizontal="left" vertical="center" wrapText="1"/>
    </xf>
    <xf numFmtId="0" fontId="51" fillId="0" borderId="38" xfId="0" applyFont="1" applyBorder="1" applyAlignment="1">
      <alignment horizontal="left" vertical="center" wrapText="1"/>
    </xf>
    <xf numFmtId="0" fontId="51" fillId="0" borderId="39" xfId="0" applyFont="1" applyBorder="1" applyAlignment="1">
      <alignment horizontal="left" vertical="center" wrapText="1"/>
    </xf>
    <xf numFmtId="0" fontId="52" fillId="3" borderId="32" xfId="3" applyFont="1" applyBorder="1" applyAlignment="1">
      <alignment horizontal="left" vertical="center" wrapText="1"/>
    </xf>
    <xf numFmtId="0" fontId="52" fillId="3" borderId="33" xfId="3" applyFont="1" applyBorder="1" applyAlignment="1">
      <alignment horizontal="left" vertical="center"/>
    </xf>
    <xf numFmtId="0" fontId="52" fillId="3" borderId="34" xfId="3" applyFont="1" applyBorder="1" applyAlignment="1">
      <alignment horizontal="left" vertical="center"/>
    </xf>
    <xf numFmtId="0" fontId="52" fillId="3" borderId="35" xfId="3" applyFont="1" applyBorder="1" applyAlignment="1">
      <alignment horizontal="left" vertical="center"/>
    </xf>
    <xf numFmtId="0" fontId="52" fillId="3" borderId="4" xfId="3" applyFont="1" applyBorder="1" applyAlignment="1">
      <alignment horizontal="left" vertical="center"/>
    </xf>
    <xf numFmtId="0" fontId="52" fillId="3" borderId="36" xfId="3" applyFont="1" applyBorder="1" applyAlignment="1">
      <alignment horizontal="left" vertical="center"/>
    </xf>
    <xf numFmtId="0" fontId="52" fillId="3" borderId="37" xfId="3" applyFont="1" applyBorder="1" applyAlignment="1">
      <alignment horizontal="left" vertical="center"/>
    </xf>
    <xf numFmtId="0" fontId="52" fillId="3" borderId="38" xfId="3" applyFont="1" applyBorder="1" applyAlignment="1">
      <alignment horizontal="left" vertical="center"/>
    </xf>
    <xf numFmtId="0" fontId="52" fillId="3" borderId="39" xfId="3" applyFont="1" applyBorder="1" applyAlignment="1">
      <alignment horizontal="left" vertical="center"/>
    </xf>
    <xf numFmtId="0" fontId="51" fillId="0" borderId="4" xfId="0" applyFont="1" applyBorder="1" applyAlignment="1">
      <alignment horizontal="center" vertical="center" wrapText="1"/>
    </xf>
    <xf numFmtId="0" fontId="51" fillId="0" borderId="4" xfId="0" applyFont="1" applyBorder="1" applyAlignment="1">
      <alignment horizontal="center" vertical="center"/>
    </xf>
    <xf numFmtId="10" fontId="28" fillId="0" borderId="4" xfId="2" applyNumberFormat="1" applyFont="1" applyBorder="1" applyAlignment="1">
      <alignment horizontal="center" vertical="top"/>
    </xf>
    <xf numFmtId="0" fontId="32" fillId="3" borderId="29" xfId="3" applyFont="1" applyBorder="1" applyAlignment="1">
      <alignment horizontal="center" vertical="center"/>
    </xf>
    <xf numFmtId="0" fontId="32" fillId="3" borderId="26" xfId="3" applyFont="1" applyBorder="1" applyAlignment="1">
      <alignment horizontal="center" vertical="center"/>
    </xf>
    <xf numFmtId="0" fontId="31" fillId="0" borderId="23" xfId="5" applyFont="1" applyFill="1" applyBorder="1" applyAlignment="1">
      <alignment horizontal="center" vertical="center"/>
    </xf>
    <xf numFmtId="0" fontId="31" fillId="0" borderId="24" xfId="5" applyFont="1" applyFill="1" applyBorder="1" applyAlignment="1">
      <alignment horizontal="center" vertical="center"/>
    </xf>
    <xf numFmtId="9" fontId="28" fillId="0" borderId="4" xfId="0" applyNumberFormat="1" applyFont="1" applyBorder="1" applyAlignment="1">
      <alignment horizontal="center" vertical="top"/>
    </xf>
    <xf numFmtId="0" fontId="28" fillId="0" borderId="4" xfId="0" applyFont="1" applyBorder="1" applyAlignment="1">
      <alignment horizontal="center" vertical="top"/>
    </xf>
    <xf numFmtId="0" fontId="16" fillId="5" borderId="10" xfId="5" applyFont="1" applyBorder="1" applyAlignment="1">
      <alignment horizontal="center" vertical="center"/>
    </xf>
    <xf numFmtId="0" fontId="16" fillId="3" borderId="10" xfId="3" applyFont="1" applyBorder="1" applyAlignment="1">
      <alignment horizontal="center" vertical="center"/>
    </xf>
    <xf numFmtId="0" fontId="16" fillId="3" borderId="11" xfId="3" applyFont="1" applyBorder="1" applyAlignment="1">
      <alignment horizontal="center" vertical="center"/>
    </xf>
    <xf numFmtId="0" fontId="23" fillId="4" borderId="10" xfId="4" applyFont="1" applyBorder="1" applyAlignment="1">
      <alignment horizontal="center" vertical="center"/>
    </xf>
    <xf numFmtId="0" fontId="23" fillId="4" borderId="7" xfId="4" applyFont="1" applyBorder="1" applyAlignment="1">
      <alignment horizontal="center" vertical="center"/>
    </xf>
    <xf numFmtId="2" fontId="31" fillId="0" borderId="24" xfId="5" applyNumberFormat="1" applyFont="1" applyFill="1" applyBorder="1" applyAlignment="1">
      <alignment horizontal="center" vertical="center"/>
    </xf>
    <xf numFmtId="2" fontId="31" fillId="0" borderId="25" xfId="5" applyNumberFormat="1" applyFont="1" applyFill="1" applyBorder="1" applyAlignment="1">
      <alignment horizontal="center" vertical="center"/>
    </xf>
    <xf numFmtId="2" fontId="32" fillId="3" borderId="10" xfId="3" applyNumberFormat="1" applyFont="1" applyBorder="1" applyAlignment="1">
      <alignment horizontal="center" vertical="center"/>
    </xf>
    <xf numFmtId="2" fontId="32" fillId="3" borderId="7" xfId="3" applyNumberFormat="1" applyFont="1" applyBorder="1" applyAlignment="1">
      <alignment horizontal="center" vertical="center"/>
    </xf>
    <xf numFmtId="0" fontId="28" fillId="0" borderId="12" xfId="0" applyFont="1" applyBorder="1" applyAlignment="1">
      <alignment horizontal="left" vertical="center"/>
    </xf>
    <xf numFmtId="0" fontId="33" fillId="6" borderId="9" xfId="3" applyFont="1" applyFill="1" applyBorder="1" applyAlignment="1">
      <alignment horizontal="left" vertical="center"/>
    </xf>
    <xf numFmtId="0" fontId="33" fillId="6" borderId="12" xfId="3" applyFont="1" applyFill="1" applyBorder="1" applyAlignment="1">
      <alignment horizontal="left" vertical="center"/>
    </xf>
    <xf numFmtId="9" fontId="28" fillId="0" borderId="4" xfId="3" applyNumberFormat="1" applyFont="1" applyFill="1" applyBorder="1" applyAlignment="1">
      <alignment horizontal="center" vertical="top"/>
    </xf>
    <xf numFmtId="0" fontId="42" fillId="14" borderId="4" xfId="5" applyFont="1" applyFill="1" applyBorder="1" applyAlignment="1">
      <alignment horizontal="center" vertical="center" wrapText="1"/>
    </xf>
    <xf numFmtId="0" fontId="42" fillId="14" borderId="4" xfId="5" applyFont="1" applyFill="1" applyBorder="1" applyAlignment="1">
      <alignment horizontal="center" vertical="center"/>
    </xf>
    <xf numFmtId="0" fontId="31" fillId="0" borderId="12" xfId="5" applyFont="1" applyFill="1" applyBorder="1" applyAlignment="1">
      <alignment horizontal="center" vertical="top"/>
    </xf>
    <xf numFmtId="0" fontId="31" fillId="0" borderId="4" xfId="5" applyFont="1" applyFill="1" applyBorder="1" applyAlignment="1">
      <alignment horizontal="center" vertical="top"/>
    </xf>
    <xf numFmtId="0" fontId="31" fillId="0" borderId="14" xfId="5" applyFont="1" applyFill="1" applyBorder="1" applyAlignment="1">
      <alignment horizontal="center" vertical="top"/>
    </xf>
    <xf numFmtId="0" fontId="31" fillId="0" borderId="15" xfId="5" applyFont="1" applyFill="1" applyBorder="1" applyAlignment="1">
      <alignment horizontal="center" vertical="top"/>
    </xf>
    <xf numFmtId="0" fontId="28" fillId="0" borderId="12" xfId="0" applyFont="1" applyBorder="1" applyAlignment="1">
      <alignment horizontal="center" vertical="center"/>
    </xf>
    <xf numFmtId="0" fontId="32" fillId="3" borderId="10" xfId="3" applyFont="1" applyBorder="1" applyAlignment="1">
      <alignment horizontal="center" vertical="center" wrapText="1"/>
    </xf>
    <xf numFmtId="0" fontId="32" fillId="3" borderId="7" xfId="3" applyFont="1" applyBorder="1" applyAlignment="1">
      <alignment horizontal="center" vertical="center" wrapText="1"/>
    </xf>
    <xf numFmtId="0" fontId="31" fillId="0" borderId="14" xfId="5" applyFont="1" applyFill="1" applyBorder="1" applyAlignment="1">
      <alignment horizontal="center" vertical="center" wrapText="1"/>
    </xf>
    <xf numFmtId="0" fontId="31" fillId="0" borderId="15" xfId="5" applyFont="1" applyFill="1" applyBorder="1" applyAlignment="1">
      <alignment horizontal="center" vertical="center" wrapText="1"/>
    </xf>
    <xf numFmtId="0" fontId="32" fillId="3" borderId="10" xfId="3" applyFont="1" applyBorder="1" applyAlignment="1">
      <alignment horizontal="center" vertical="center"/>
    </xf>
    <xf numFmtId="0" fontId="32" fillId="3" borderId="11" xfId="3" applyFont="1" applyBorder="1" applyAlignment="1">
      <alignment horizontal="center" vertical="center"/>
    </xf>
    <xf numFmtId="0" fontId="32" fillId="3" borderId="7" xfId="3" applyFont="1" applyBorder="1" applyAlignment="1">
      <alignment horizontal="center" vertical="center"/>
    </xf>
    <xf numFmtId="0" fontId="32" fillId="3" borderId="17" xfId="3" applyFont="1" applyBorder="1" applyAlignment="1">
      <alignment horizontal="center" vertical="center"/>
    </xf>
    <xf numFmtId="0" fontId="16" fillId="5" borderId="29" xfId="5" applyFont="1" applyBorder="1" applyAlignment="1">
      <alignment horizontal="center" vertical="center"/>
    </xf>
    <xf numFmtId="0" fontId="16" fillId="5" borderId="29" xfId="5" applyFont="1" applyBorder="1" applyAlignment="1">
      <alignment vertical="center"/>
    </xf>
    <xf numFmtId="0" fontId="27" fillId="6" borderId="1" xfId="0" applyFont="1" applyFill="1" applyBorder="1" applyAlignment="1">
      <alignment horizontal="center" vertical="top"/>
    </xf>
    <xf numFmtId="0" fontId="28" fillId="13" borderId="7" xfId="0" applyFont="1" applyFill="1" applyBorder="1" applyAlignment="1">
      <alignment horizontal="center" vertical="top"/>
    </xf>
    <xf numFmtId="0" fontId="28" fillId="11" borderId="4" xfId="4" applyFont="1" applyFill="1" applyBorder="1" applyAlignment="1">
      <alignment horizontal="center" vertical="center"/>
    </xf>
    <xf numFmtId="0" fontId="28" fillId="11" borderId="13" xfId="4" applyFont="1" applyFill="1" applyBorder="1" applyAlignment="1">
      <alignment horizontal="center" vertical="center"/>
    </xf>
    <xf numFmtId="0" fontId="13" fillId="5" borderId="29" xfId="5" applyFont="1" applyBorder="1" applyAlignment="1">
      <alignment horizontal="center" vertical="center" wrapText="1"/>
    </xf>
    <xf numFmtId="0" fontId="13" fillId="5" borderId="26" xfId="5" applyFont="1" applyBorder="1" applyAlignment="1">
      <alignment horizontal="center" vertical="center" wrapText="1"/>
    </xf>
    <xf numFmtId="0" fontId="31" fillId="0" borderId="14" xfId="5" applyFont="1" applyFill="1" applyBorder="1" applyAlignment="1">
      <alignment horizontal="center" vertical="center"/>
    </xf>
    <xf numFmtId="0" fontId="31" fillId="0" borderId="15" xfId="5" applyFont="1" applyFill="1" applyBorder="1" applyAlignment="1">
      <alignment horizontal="center" vertical="center"/>
    </xf>
    <xf numFmtId="0" fontId="21" fillId="4" borderId="8" xfId="4" applyFont="1" applyBorder="1" applyAlignment="1">
      <alignment horizontal="center" vertical="center"/>
    </xf>
    <xf numFmtId="0" fontId="21" fillId="4" borderId="4" xfId="4" applyFont="1" applyBorder="1" applyAlignment="1">
      <alignment horizontal="center" vertical="center"/>
    </xf>
    <xf numFmtId="0" fontId="21" fillId="4" borderId="7" xfId="4" applyFont="1" applyBorder="1" applyAlignment="1">
      <alignment horizontal="center" vertical="center"/>
    </xf>
    <xf numFmtId="0" fontId="21" fillId="4" borderId="31" xfId="4" applyFont="1" applyBorder="1" applyAlignment="1">
      <alignment horizontal="center" vertical="center"/>
    </xf>
    <xf numFmtId="0" fontId="21" fillId="4" borderId="13" xfId="4" applyFont="1" applyBorder="1" applyAlignment="1">
      <alignment horizontal="center" vertical="center"/>
    </xf>
    <xf numFmtId="0" fontId="21" fillId="4" borderId="17" xfId="4" applyFont="1" applyBorder="1" applyAlignment="1">
      <alignment horizontal="center" vertical="center"/>
    </xf>
    <xf numFmtId="0" fontId="28" fillId="0" borderId="4" xfId="0" applyFont="1" applyBorder="1" applyAlignment="1">
      <alignment horizontal="center" vertical="center"/>
    </xf>
    <xf numFmtId="1" fontId="28" fillId="0" borderId="4" xfId="0" applyNumberFormat="1" applyFont="1" applyBorder="1" applyAlignment="1">
      <alignment horizontal="center" vertical="center"/>
    </xf>
    <xf numFmtId="1" fontId="28" fillId="0" borderId="15" xfId="0" applyNumberFormat="1" applyFont="1" applyBorder="1" applyAlignment="1">
      <alignment horizontal="center" vertical="center"/>
    </xf>
    <xf numFmtId="0" fontId="28" fillId="3" borderId="10" xfId="3" applyFont="1" applyBorder="1" applyAlignment="1">
      <alignment horizontal="center" vertical="center" wrapText="1"/>
    </xf>
    <xf numFmtId="0" fontId="28" fillId="3" borderId="4" xfId="3" applyFont="1" applyBorder="1" applyAlignment="1">
      <alignment horizontal="center" vertical="center" wrapText="1"/>
    </xf>
    <xf numFmtId="2" fontId="28" fillId="3" borderId="10" xfId="3" applyNumberFormat="1" applyFont="1" applyBorder="1" applyAlignment="1">
      <alignment horizontal="center" vertical="center" wrapText="1"/>
    </xf>
    <xf numFmtId="2" fontId="28" fillId="3" borderId="11" xfId="3" applyNumberFormat="1" applyFont="1" applyBorder="1" applyAlignment="1">
      <alignment horizontal="center" vertical="center"/>
    </xf>
    <xf numFmtId="2" fontId="28" fillId="3" borderId="7" xfId="3" applyNumberFormat="1" applyFont="1" applyBorder="1" applyAlignment="1">
      <alignment horizontal="center" vertical="center"/>
    </xf>
    <xf numFmtId="2" fontId="28" fillId="3" borderId="17" xfId="3" applyNumberFormat="1" applyFont="1" applyBorder="1" applyAlignment="1">
      <alignment horizontal="center" vertical="center"/>
    </xf>
    <xf numFmtId="0" fontId="28" fillId="3" borderId="10" xfId="3" applyFont="1" applyBorder="1" applyAlignment="1">
      <alignment horizontal="center" vertical="center"/>
    </xf>
    <xf numFmtId="0" fontId="28" fillId="3" borderId="11" xfId="3" applyFont="1" applyBorder="1" applyAlignment="1">
      <alignment horizontal="center" vertical="center"/>
    </xf>
    <xf numFmtId="0" fontId="28" fillId="3" borderId="4" xfId="3" applyFont="1" applyBorder="1" applyAlignment="1">
      <alignment horizontal="center" vertical="center"/>
    </xf>
    <xf numFmtId="0" fontId="28" fillId="3" borderId="13" xfId="3" applyFont="1" applyBorder="1" applyAlignment="1">
      <alignment horizontal="center" vertical="center"/>
    </xf>
    <xf numFmtId="0" fontId="28" fillId="0" borderId="7" xfId="0" applyFont="1" applyBorder="1" applyAlignment="1">
      <alignment horizontal="left" vertical="top"/>
    </xf>
    <xf numFmtId="0" fontId="28" fillId="0" borderId="12" xfId="0" applyFont="1" applyBorder="1" applyAlignment="1">
      <alignment horizontal="right" vertical="top"/>
    </xf>
    <xf numFmtId="0" fontId="28" fillId="0" borderId="4" xfId="0" applyFont="1" applyBorder="1" applyAlignment="1">
      <alignment horizontal="right" vertical="top"/>
    </xf>
    <xf numFmtId="9" fontId="24" fillId="0" borderId="4" xfId="0" applyNumberFormat="1" applyFont="1" applyBorder="1" applyAlignment="1">
      <alignment horizontal="center" vertical="top"/>
    </xf>
    <xf numFmtId="0" fontId="13" fillId="5" borderId="29" xfId="5" applyFont="1" applyBorder="1" applyAlignment="1">
      <alignment horizontal="center" vertical="center"/>
    </xf>
    <xf numFmtId="0" fontId="31" fillId="11" borderId="4" xfId="4" applyFont="1" applyFill="1" applyBorder="1" applyAlignment="1">
      <alignment horizontal="center" vertical="center"/>
    </xf>
    <xf numFmtId="0" fontId="31" fillId="11" borderId="13" xfId="4" applyFont="1" applyFill="1" applyBorder="1" applyAlignment="1">
      <alignment horizontal="center" vertical="center"/>
    </xf>
    <xf numFmtId="0" fontId="43" fillId="5" borderId="12" xfId="5" applyFont="1" applyBorder="1" applyAlignment="1">
      <alignment horizontal="left" vertical="top"/>
    </xf>
    <xf numFmtId="0" fontId="43" fillId="5" borderId="4" xfId="5" applyFont="1" applyBorder="1" applyAlignment="1">
      <alignment horizontal="left" vertical="top"/>
    </xf>
    <xf numFmtId="0" fontId="43" fillId="5" borderId="13" xfId="5" applyFont="1" applyBorder="1" applyAlignment="1">
      <alignment horizontal="left" vertical="top"/>
    </xf>
    <xf numFmtId="0" fontId="43" fillId="5" borderId="14" xfId="5" applyFont="1" applyBorder="1" applyAlignment="1">
      <alignment horizontal="left" vertical="top"/>
    </xf>
    <xf numFmtId="0" fontId="43" fillId="5" borderId="15" xfId="5" applyFont="1" applyBorder="1" applyAlignment="1">
      <alignment horizontal="left" vertical="top"/>
    </xf>
    <xf numFmtId="0" fontId="43" fillId="5" borderId="16" xfId="5" applyFont="1" applyBorder="1" applyAlignment="1">
      <alignment horizontal="left" vertical="top"/>
    </xf>
    <xf numFmtId="0" fontId="21" fillId="4" borderId="11" xfId="4" applyFont="1" applyBorder="1" applyAlignment="1">
      <alignment horizontal="center" vertical="center"/>
    </xf>
    <xf numFmtId="0" fontId="28" fillId="0" borderId="9" xfId="0" applyFont="1" applyBorder="1" applyAlignment="1">
      <alignment horizontal="left" vertical="center"/>
    </xf>
    <xf numFmtId="9" fontId="24" fillId="0" borderId="27" xfId="0" applyNumberFormat="1" applyFont="1" applyBorder="1" applyAlignment="1">
      <alignment horizontal="center" vertical="top"/>
    </xf>
    <xf numFmtId="0" fontId="24" fillId="0" borderId="27" xfId="0" applyFont="1" applyBorder="1" applyAlignment="1">
      <alignment vertical="top"/>
    </xf>
    <xf numFmtId="0" fontId="31" fillId="3" borderId="9" xfId="3" applyFont="1" applyBorder="1" applyAlignment="1">
      <alignment horizontal="left" vertical="center"/>
    </xf>
    <xf numFmtId="0" fontId="31" fillId="3" borderId="12" xfId="3" applyFont="1" applyBorder="1" applyAlignment="1">
      <alignment horizontal="left" vertical="center"/>
    </xf>
    <xf numFmtId="0" fontId="21" fillId="4" borderId="10" xfId="4" applyFont="1" applyBorder="1" applyAlignment="1">
      <alignment horizontal="center" vertical="center"/>
    </xf>
    <xf numFmtId="0" fontId="28" fillId="3" borderId="4" xfId="3" applyFont="1" applyBorder="1" applyAlignment="1">
      <alignment horizontal="center" vertical="top"/>
    </xf>
    <xf numFmtId="0" fontId="16" fillId="5" borderId="29" xfId="5" applyFont="1" applyBorder="1" applyAlignment="1">
      <alignment horizontal="center" vertical="center" wrapText="1"/>
    </xf>
    <xf numFmtId="2" fontId="31" fillId="0" borderId="8"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31" xfId="0" applyNumberFormat="1" applyFont="1" applyBorder="1" applyAlignment="1">
      <alignment horizontal="center" vertical="center"/>
    </xf>
    <xf numFmtId="2" fontId="31" fillId="0" borderId="17" xfId="0" applyNumberFormat="1" applyFont="1" applyBorder="1" applyAlignment="1">
      <alignment horizontal="center" vertical="center"/>
    </xf>
    <xf numFmtId="0" fontId="13" fillId="5" borderId="29" xfId="5" applyFont="1" applyBorder="1" applyAlignment="1">
      <alignment vertical="center"/>
    </xf>
    <xf numFmtId="2" fontId="31" fillId="0" borderId="8"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31" xfId="0" applyNumberFormat="1" applyFont="1" applyBorder="1" applyAlignment="1">
      <alignment horizontal="center" vertical="center" wrapText="1"/>
    </xf>
    <xf numFmtId="2" fontId="31" fillId="0" borderId="17" xfId="0" applyNumberFormat="1" applyFont="1" applyBorder="1" applyAlignment="1">
      <alignment horizontal="center" vertical="center" wrapText="1"/>
    </xf>
    <xf numFmtId="169" fontId="10" fillId="18" borderId="7" xfId="0" applyNumberFormat="1" applyFont="1" applyFill="1" applyBorder="1"/>
  </cellXfs>
  <cellStyles count="8">
    <cellStyle name="40% - Accent2" xfId="6" builtinId="35"/>
    <cellStyle name="40% - Accent5" xfId="7" builtinId="47"/>
    <cellStyle name="Bad" xfId="4" builtinId="27"/>
    <cellStyle name="Comma" xfId="1" builtinId="3"/>
    <cellStyle name="Good" xfId="3" builtinId="26"/>
    <cellStyle name="Neutral" xfId="5" builtinId="28"/>
    <cellStyle name="Normal" xfId="0" builtinId="0"/>
    <cellStyle name="Percent" xfId="2" builtinId="5"/>
  </cellStyles>
  <dxfs count="0"/>
  <tableStyles count="0" defaultTableStyle="TableStyleMedium2" defaultPivotStyle="PivotStyleLight16"/>
  <colors>
    <mruColors>
      <color rgb="FFF26F33"/>
      <color rgb="FF005F69"/>
      <color rgb="FFFFFFCC"/>
      <color rgb="FFFFD2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578131</xdr:colOff>
      <xdr:row>1</xdr:row>
      <xdr:rowOff>133350</xdr:rowOff>
    </xdr:from>
    <xdr:to>
      <xdr:col>26</xdr:col>
      <xdr:colOff>319990</xdr:colOff>
      <xdr:row>42</xdr:row>
      <xdr:rowOff>92158</xdr:rowOff>
    </xdr:to>
    <xdr:pic>
      <xdr:nvPicPr>
        <xdr:cNvPr id="2" name="Picture 1">
          <a:extLst>
            <a:ext uri="{FF2B5EF4-FFF2-40B4-BE49-F238E27FC236}">
              <a16:creationId xmlns:a16="http://schemas.microsoft.com/office/drawing/2014/main" id="{14D12932-0335-4E46-A50D-E8192E996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8131" y="312807"/>
          <a:ext cx="15534033" cy="7316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386524</xdr:colOff>
      <xdr:row>33</xdr:row>
      <xdr:rowOff>138043</xdr:rowOff>
    </xdr:from>
    <xdr:to>
      <xdr:col>21</xdr:col>
      <xdr:colOff>331307</xdr:colOff>
      <xdr:row>36</xdr:row>
      <xdr:rowOff>151847</xdr:rowOff>
    </xdr:to>
    <xdr:sp macro="" textlink="">
      <xdr:nvSpPr>
        <xdr:cNvPr id="3" name="TextBox 2">
          <a:extLst>
            <a:ext uri="{FF2B5EF4-FFF2-40B4-BE49-F238E27FC236}">
              <a16:creationId xmlns:a16="http://schemas.microsoft.com/office/drawing/2014/main" id="{916DB595-651F-755A-9C4F-296D65591AA4}"/>
            </a:ext>
          </a:extLst>
        </xdr:cNvPr>
        <xdr:cNvSpPr txBox="1"/>
      </xdr:nvSpPr>
      <xdr:spPr>
        <a:xfrm>
          <a:off x="8282611" y="6060108"/>
          <a:ext cx="4803913" cy="552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rgbClr val="FF0000"/>
              </a:solidFill>
            </a:rPr>
            <a:t>GĐ</a:t>
          </a:r>
          <a:r>
            <a:rPr lang="en-US" sz="2000" baseline="0">
              <a:solidFill>
                <a:srgbClr val="FF0000"/>
              </a:solidFill>
            </a:rPr>
            <a:t> 1: 85km, Bắt đầu 2013, Kết thúc 2016</a:t>
          </a:r>
          <a:endParaRPr lang="en-US" sz="2000">
            <a:solidFill>
              <a:srgbClr val="FF0000"/>
            </a:solidFill>
          </a:endParaRPr>
        </a:p>
      </xdr:txBody>
    </xdr:sp>
    <xdr:clientData/>
  </xdr:twoCellAnchor>
  <xdr:twoCellAnchor>
    <xdr:from>
      <xdr:col>2</xdr:col>
      <xdr:colOff>13810</xdr:colOff>
      <xdr:row>22</xdr:row>
      <xdr:rowOff>110435</xdr:rowOff>
    </xdr:from>
    <xdr:to>
      <xdr:col>9</xdr:col>
      <xdr:colOff>565984</xdr:colOff>
      <xdr:row>25</xdr:row>
      <xdr:rowOff>124239</xdr:rowOff>
    </xdr:to>
    <xdr:sp macro="" textlink="">
      <xdr:nvSpPr>
        <xdr:cNvPr id="4" name="TextBox 3">
          <a:extLst>
            <a:ext uri="{FF2B5EF4-FFF2-40B4-BE49-F238E27FC236}">
              <a16:creationId xmlns:a16="http://schemas.microsoft.com/office/drawing/2014/main" id="{0838F288-2909-4A84-B2A6-7F1B799EEE4C}"/>
            </a:ext>
          </a:extLst>
        </xdr:cNvPr>
        <xdr:cNvSpPr txBox="1"/>
      </xdr:nvSpPr>
      <xdr:spPr>
        <a:xfrm rot="2080512">
          <a:off x="1228593" y="4058478"/>
          <a:ext cx="4803913" cy="552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rgbClr val="FF0000"/>
              </a:solidFill>
            </a:rPr>
            <a:t>GĐ</a:t>
          </a:r>
          <a:r>
            <a:rPr lang="en-US" sz="2000" baseline="0">
              <a:solidFill>
                <a:srgbClr val="FF0000"/>
              </a:solidFill>
            </a:rPr>
            <a:t> 2: 85km, Bắt đầu 2016, Kết thúc 2018</a:t>
          </a:r>
          <a:endParaRPr lang="en-US" sz="2000">
            <a:solidFill>
              <a:srgbClr val="FF0000"/>
            </a:solidFill>
          </a:endParaRPr>
        </a:p>
      </xdr:txBody>
    </xdr:sp>
    <xdr:clientData/>
  </xdr:twoCellAnchor>
  <xdr:twoCellAnchor>
    <xdr:from>
      <xdr:col>10</xdr:col>
      <xdr:colOff>386526</xdr:colOff>
      <xdr:row>7</xdr:row>
      <xdr:rowOff>124237</xdr:rowOff>
    </xdr:from>
    <xdr:to>
      <xdr:col>11</xdr:col>
      <xdr:colOff>331309</xdr:colOff>
      <xdr:row>34</xdr:row>
      <xdr:rowOff>82824</xdr:rowOff>
    </xdr:to>
    <xdr:sp macro="" textlink="">
      <xdr:nvSpPr>
        <xdr:cNvPr id="5" name="TextBox 4">
          <a:extLst>
            <a:ext uri="{FF2B5EF4-FFF2-40B4-BE49-F238E27FC236}">
              <a16:creationId xmlns:a16="http://schemas.microsoft.com/office/drawing/2014/main" id="{015B5D94-EFEE-4CB5-A719-A10802243C08}"/>
            </a:ext>
          </a:extLst>
        </xdr:cNvPr>
        <xdr:cNvSpPr txBox="1"/>
      </xdr:nvSpPr>
      <xdr:spPr>
        <a:xfrm rot="4731443">
          <a:off x="4334569" y="3506303"/>
          <a:ext cx="4803913" cy="552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rgbClr val="FF0000"/>
              </a:solidFill>
            </a:rPr>
            <a:t>GĐ</a:t>
          </a:r>
          <a:r>
            <a:rPr lang="en-US" sz="2000" baseline="0">
              <a:solidFill>
                <a:srgbClr val="FF0000"/>
              </a:solidFill>
            </a:rPr>
            <a:t> 2: 63km, Bắt đầu 2013, Kết thúc 2016</a:t>
          </a:r>
          <a:endParaRPr lang="en-US" sz="2000">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EFCE-66D8-452B-84FD-CF72CEA11E96}">
  <dimension ref="B1:I16"/>
  <sheetViews>
    <sheetView topLeftCell="B1" zoomScale="80" workbookViewId="0">
      <selection activeCell="B17" sqref="B17"/>
    </sheetView>
  </sheetViews>
  <sheetFormatPr defaultColWidth="14.46484375" defaultRowHeight="20" customHeight="1" x14ac:dyDescent="0.45"/>
  <cols>
    <col min="1" max="1" width="15.73046875" style="5" customWidth="1"/>
    <col min="2" max="2" width="62.796875" style="5" customWidth="1"/>
    <col min="3" max="3" width="33.73046875" style="5" customWidth="1"/>
    <col min="4" max="4" width="29" style="5" customWidth="1"/>
    <col min="5" max="5" width="29.33203125" style="5" customWidth="1"/>
    <col min="6" max="6" width="29.53125" style="5" customWidth="1"/>
    <col min="7" max="7" width="27.73046875" style="5" customWidth="1"/>
    <col min="8" max="8" width="27.796875" style="5" customWidth="1"/>
    <col min="9" max="9" width="31.19921875" style="5" customWidth="1"/>
    <col min="10" max="10" width="23.265625" style="5" customWidth="1"/>
    <col min="11" max="11" width="15.73046875" style="5" customWidth="1"/>
    <col min="12" max="12" width="20.53125" style="5" customWidth="1"/>
    <col min="13" max="13" width="15.73046875" style="5" customWidth="1"/>
    <col min="14" max="14" width="12.46484375" style="5" customWidth="1"/>
    <col min="15" max="16" width="9" style="5" customWidth="1"/>
    <col min="17" max="16384" width="14.46484375" style="5"/>
  </cols>
  <sheetData>
    <row r="1" spans="2:9" ht="20" customHeight="1" thickBot="1" x14ac:dyDescent="0.5"/>
    <row r="2" spans="2:9" ht="20" customHeight="1" thickTop="1" x14ac:dyDescent="0.45">
      <c r="B2" s="407" t="s">
        <v>318</v>
      </c>
      <c r="C2" s="408"/>
      <c r="D2" s="409"/>
      <c r="E2" s="416" t="s">
        <v>319</v>
      </c>
      <c r="F2" s="417"/>
      <c r="G2" s="417"/>
      <c r="H2" s="417"/>
      <c r="I2" s="418"/>
    </row>
    <row r="3" spans="2:9" ht="20" customHeight="1" x14ac:dyDescent="0.45">
      <c r="B3" s="410"/>
      <c r="C3" s="411"/>
      <c r="D3" s="412"/>
      <c r="E3" s="419"/>
      <c r="F3" s="420"/>
      <c r="G3" s="420"/>
      <c r="H3" s="420"/>
      <c r="I3" s="421"/>
    </row>
    <row r="4" spans="2:9" ht="67.05" customHeight="1" thickBot="1" x14ac:dyDescent="0.5">
      <c r="B4" s="413"/>
      <c r="C4" s="414"/>
      <c r="D4" s="415"/>
      <c r="E4" s="422"/>
      <c r="F4" s="423"/>
      <c r="G4" s="423"/>
      <c r="H4" s="423"/>
      <c r="I4" s="424"/>
    </row>
    <row r="5" spans="2:9" ht="20" customHeight="1" thickTop="1" x14ac:dyDescent="0.45"/>
    <row r="6" spans="2:9" ht="20" customHeight="1" x14ac:dyDescent="0.45">
      <c r="B6" s="132"/>
      <c r="C6" s="34"/>
      <c r="D6" s="34"/>
      <c r="E6" s="127"/>
      <c r="F6" s="127"/>
      <c r="G6" s="127"/>
      <c r="H6" s="127"/>
      <c r="I6" s="127"/>
    </row>
    <row r="7" spans="2:9" ht="20" customHeight="1" x14ac:dyDescent="0.45">
      <c r="B7" s="132"/>
      <c r="C7" s="34"/>
      <c r="D7" s="34"/>
      <c r="E7" s="127"/>
      <c r="F7" s="127"/>
      <c r="G7" s="127"/>
      <c r="H7" s="127"/>
      <c r="I7" s="127"/>
    </row>
    <row r="8" spans="2:9" ht="20" customHeight="1" x14ac:dyDescent="0.45">
      <c r="B8" s="132"/>
      <c r="C8" s="34"/>
      <c r="D8" s="34"/>
      <c r="E8" s="127"/>
      <c r="F8" s="127"/>
      <c r="G8" s="127"/>
      <c r="H8" s="127"/>
      <c r="I8" s="127"/>
    </row>
    <row r="9" spans="2:9" ht="20" customHeight="1" x14ac:dyDescent="0.45">
      <c r="B9" s="132"/>
      <c r="C9" s="34"/>
      <c r="D9" s="34"/>
      <c r="E9" s="127"/>
      <c r="F9" s="127"/>
      <c r="G9" s="127"/>
      <c r="H9" s="127"/>
      <c r="I9" s="127"/>
    </row>
    <row r="10" spans="2:9" ht="20" customHeight="1" x14ac:dyDescent="0.45">
      <c r="B10" s="132"/>
      <c r="C10" s="34"/>
      <c r="D10" s="34"/>
      <c r="E10" s="127"/>
      <c r="F10" s="127"/>
      <c r="G10" s="127"/>
      <c r="H10" s="127"/>
      <c r="I10" s="127"/>
    </row>
    <row r="11" spans="2:9" ht="20" customHeight="1" x14ac:dyDescent="0.45">
      <c r="B11" s="132"/>
      <c r="C11" s="34"/>
      <c r="D11" s="34"/>
      <c r="E11" s="127"/>
      <c r="F11" s="127"/>
      <c r="G11" s="127"/>
      <c r="H11" s="127"/>
      <c r="I11" s="127"/>
    </row>
    <row r="12" spans="2:9" ht="20" customHeight="1" x14ac:dyDescent="0.45">
      <c r="B12" s="132"/>
      <c r="C12" s="34"/>
      <c r="D12" s="34"/>
      <c r="E12" s="127"/>
      <c r="F12" s="127"/>
      <c r="G12" s="127"/>
      <c r="H12" s="127"/>
      <c r="I12" s="127"/>
    </row>
    <row r="13" spans="2:9" ht="20" customHeight="1" x14ac:dyDescent="0.45">
      <c r="B13" s="132"/>
      <c r="C13" s="34"/>
      <c r="D13" s="34"/>
      <c r="E13" s="127"/>
      <c r="F13" s="127"/>
      <c r="G13" s="127"/>
      <c r="H13" s="127"/>
      <c r="I13" s="127"/>
    </row>
    <row r="14" spans="2:9" ht="20" customHeight="1" x14ac:dyDescent="0.45">
      <c r="B14" s="132"/>
      <c r="C14" s="34"/>
      <c r="D14" s="34"/>
      <c r="E14" s="127"/>
      <c r="F14" s="127"/>
      <c r="G14" s="127"/>
      <c r="H14" s="127"/>
      <c r="I14" s="127"/>
    </row>
    <row r="15" spans="2:9" ht="20" customHeight="1" x14ac:dyDescent="0.45">
      <c r="B15" s="132"/>
      <c r="C15" s="34"/>
      <c r="D15" s="34"/>
      <c r="E15" s="127"/>
      <c r="F15" s="127"/>
      <c r="G15" s="127"/>
      <c r="H15" s="127"/>
      <c r="I15" s="127"/>
    </row>
    <row r="16" spans="2:9" ht="20" customHeight="1" x14ac:dyDescent="0.45">
      <c r="B16" s="132"/>
      <c r="C16" s="34"/>
      <c r="D16" s="34"/>
      <c r="E16" s="127"/>
      <c r="F16" s="127"/>
      <c r="G16" s="127"/>
      <c r="H16" s="127"/>
      <c r="I16" s="127"/>
    </row>
  </sheetData>
  <mergeCells count="2">
    <mergeCell ref="B2:D4"/>
    <mergeCell ref="E2:I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266"/>
  <sheetViews>
    <sheetView tabSelected="1" zoomScale="80" workbookViewId="0">
      <selection activeCell="B21" sqref="B21"/>
    </sheetView>
  </sheetViews>
  <sheetFormatPr defaultColWidth="14.46484375" defaultRowHeight="20" customHeight="1" x14ac:dyDescent="0.45"/>
  <cols>
    <col min="1" max="1" width="15.73046875" style="5" customWidth="1"/>
    <col min="2" max="2" width="62.796875" style="5" customWidth="1"/>
    <col min="3" max="3" width="33.73046875" style="5" customWidth="1"/>
    <col min="4" max="4" width="29" style="5" customWidth="1"/>
    <col min="5" max="5" width="29.33203125" style="5" customWidth="1"/>
    <col min="6" max="6" width="29.53125" style="5" customWidth="1"/>
    <col min="7" max="7" width="27.73046875" style="5" customWidth="1"/>
    <col min="8" max="8" width="27.796875" style="5" customWidth="1"/>
    <col min="9" max="9" width="31.19921875" style="5" customWidth="1"/>
    <col min="10" max="10" width="23.265625" style="5" customWidth="1"/>
    <col min="11" max="11" width="15.73046875" style="5" customWidth="1"/>
    <col min="12" max="12" width="20.53125" style="5" customWidth="1"/>
    <col min="13" max="13" width="15.73046875" style="5" customWidth="1"/>
    <col min="14" max="14" width="12.46484375" style="5" customWidth="1"/>
    <col min="15" max="16" width="9" style="5" customWidth="1"/>
    <col min="17" max="16384" width="14.46484375" style="5"/>
  </cols>
  <sheetData>
    <row r="2" spans="1:16" ht="53.55" customHeight="1" x14ac:dyDescent="0.45">
      <c r="A2" s="6"/>
      <c r="B2" s="464" t="s">
        <v>72</v>
      </c>
      <c r="C2" s="464"/>
      <c r="D2" s="464"/>
      <c r="E2" s="464"/>
      <c r="F2" s="464"/>
      <c r="G2" s="464"/>
      <c r="H2" s="464"/>
      <c r="I2" s="464"/>
      <c r="J2" s="7"/>
      <c r="K2" s="8"/>
      <c r="O2" s="6"/>
      <c r="P2" s="6"/>
    </row>
    <row r="3" spans="1:16" ht="20" customHeight="1" thickBot="1" x14ac:dyDescent="0.5">
      <c r="A3" s="6"/>
      <c r="B3" s="38"/>
      <c r="C3" s="19"/>
      <c r="D3" s="19"/>
      <c r="E3" s="19"/>
      <c r="F3" s="19"/>
      <c r="G3" s="19"/>
      <c r="H3" s="19"/>
      <c r="I3" s="19"/>
      <c r="J3" s="19"/>
      <c r="K3" s="19"/>
      <c r="O3" s="6"/>
      <c r="P3" s="6"/>
    </row>
    <row r="4" spans="1:16" ht="32.549999999999997" customHeight="1" thickTop="1" x14ac:dyDescent="0.45">
      <c r="A4" s="6"/>
      <c r="B4" s="269" t="s">
        <v>173</v>
      </c>
      <c r="C4" s="267"/>
      <c r="D4" s="267"/>
      <c r="E4" s="267"/>
      <c r="F4" s="267"/>
      <c r="G4" s="267"/>
      <c r="H4" s="267"/>
      <c r="I4" s="268"/>
      <c r="J4" s="19"/>
      <c r="K4" s="19"/>
      <c r="O4" s="6"/>
      <c r="P4" s="6"/>
    </row>
    <row r="5" spans="1:16" ht="20" customHeight="1" x14ac:dyDescent="0.45">
      <c r="A5" s="6"/>
      <c r="B5" s="498" t="s">
        <v>220</v>
      </c>
      <c r="C5" s="499"/>
      <c r="D5" s="499"/>
      <c r="E5" s="499"/>
      <c r="F5" s="499"/>
      <c r="G5" s="499"/>
      <c r="H5" s="499"/>
      <c r="I5" s="500"/>
      <c r="J5" s="19"/>
      <c r="K5" s="19"/>
      <c r="O5" s="6"/>
      <c r="P5" s="6"/>
    </row>
    <row r="6" spans="1:16" ht="20" customHeight="1" thickBot="1" x14ac:dyDescent="0.5">
      <c r="A6" s="6"/>
      <c r="B6" s="501" t="s">
        <v>221</v>
      </c>
      <c r="C6" s="502"/>
      <c r="D6" s="502"/>
      <c r="E6" s="502"/>
      <c r="F6" s="502"/>
      <c r="G6" s="502"/>
      <c r="H6" s="502"/>
      <c r="I6" s="503"/>
      <c r="J6" s="19"/>
      <c r="K6" s="19"/>
      <c r="O6" s="6"/>
      <c r="P6" s="6"/>
    </row>
    <row r="7" spans="1:16" ht="20" customHeight="1" thickTop="1" thickBot="1" x14ac:dyDescent="0.5">
      <c r="B7" s="19"/>
      <c r="C7" s="19"/>
      <c r="D7" s="19"/>
      <c r="E7" s="19"/>
      <c r="F7" s="19"/>
      <c r="G7" s="27"/>
      <c r="H7" s="19"/>
      <c r="I7" s="19"/>
    </row>
    <row r="8" spans="1:16" ht="23.55" customHeight="1" thickTop="1" x14ac:dyDescent="0.45">
      <c r="B8" s="389" t="s">
        <v>174</v>
      </c>
      <c r="C8" s="52"/>
      <c r="D8" s="236" t="s">
        <v>12</v>
      </c>
      <c r="E8" s="237" t="s">
        <v>109</v>
      </c>
      <c r="F8" s="238" t="s">
        <v>98</v>
      </c>
      <c r="G8" s="237" t="s">
        <v>99</v>
      </c>
      <c r="H8" s="239" t="s">
        <v>103</v>
      </c>
      <c r="I8" s="240" t="s">
        <v>108</v>
      </c>
    </row>
    <row r="9" spans="1:16" ht="20" customHeight="1" x14ac:dyDescent="0.45">
      <c r="B9" s="55" t="s">
        <v>175</v>
      </c>
      <c r="C9" s="47">
        <v>80</v>
      </c>
      <c r="D9" s="226" t="s">
        <v>101</v>
      </c>
      <c r="E9" s="231">
        <v>0.03</v>
      </c>
      <c r="F9" s="227">
        <v>200</v>
      </c>
      <c r="G9" s="228">
        <f>F9*F24</f>
        <v>18992.876043150831</v>
      </c>
      <c r="H9" s="229">
        <f>G9/G12</f>
        <v>0.21892994882647232</v>
      </c>
      <c r="I9" s="230">
        <f>E9+$C$11+E9*$C$11</f>
        <v>5.0600000000000006E-2</v>
      </c>
    </row>
    <row r="10" spans="1:16" ht="20" customHeight="1" x14ac:dyDescent="0.45">
      <c r="B10" s="55" t="s">
        <v>176</v>
      </c>
      <c r="C10" s="48">
        <v>0.08</v>
      </c>
      <c r="D10" s="226" t="s">
        <v>102</v>
      </c>
      <c r="E10" s="231">
        <v>4.4999999999999998E-2</v>
      </c>
      <c r="F10" s="227">
        <v>600</v>
      </c>
      <c r="G10" s="228">
        <f>F10*F24</f>
        <v>56978.628129452489</v>
      </c>
      <c r="H10" s="229">
        <f>G10/G12</f>
        <v>0.65678984647941685</v>
      </c>
      <c r="I10" s="230">
        <f>E10+$C$11+E10*$C$11</f>
        <v>6.59E-2</v>
      </c>
    </row>
    <row r="11" spans="1:16" ht="20" customHeight="1" x14ac:dyDescent="0.45">
      <c r="B11" s="55" t="s">
        <v>177</v>
      </c>
      <c r="C11" s="48">
        <v>0.02</v>
      </c>
      <c r="D11" s="226" t="s">
        <v>100</v>
      </c>
      <c r="E11" s="231">
        <v>0.12</v>
      </c>
      <c r="F11" s="232"/>
      <c r="G11" s="228">
        <f>G12-G9-G10</f>
        <v>10781.706820036685</v>
      </c>
      <c r="H11" s="229">
        <f>G11/G12</f>
        <v>0.12428020469411083</v>
      </c>
      <c r="I11" s="230">
        <f>E11+$C$11+E11*$C$11</f>
        <v>0.1424</v>
      </c>
    </row>
    <row r="12" spans="1:16" ht="20" customHeight="1" x14ac:dyDescent="0.45">
      <c r="B12" s="55" t="s">
        <v>178</v>
      </c>
      <c r="C12" s="49">
        <v>0.1</v>
      </c>
      <c r="D12" s="465" t="s">
        <v>2</v>
      </c>
      <c r="E12" s="465"/>
      <c r="F12" s="465"/>
      <c r="G12" s="233">
        <f>I42+I70</f>
        <v>86753.210992640001</v>
      </c>
      <c r="H12" s="234" t="s">
        <v>3</v>
      </c>
      <c r="I12" s="235">
        <f>SUMPRODUCT(H9:H11,I9:I11)</f>
        <v>7.205780744205445E-2</v>
      </c>
      <c r="J12" s="19"/>
      <c r="K12" s="28"/>
    </row>
    <row r="13" spans="1:16" ht="20" customHeight="1" x14ac:dyDescent="0.45">
      <c r="B13" s="55" t="s">
        <v>179</v>
      </c>
      <c r="C13" s="49">
        <v>0.05</v>
      </c>
      <c r="D13" s="50"/>
      <c r="E13" s="50"/>
      <c r="F13" s="50"/>
      <c r="G13" s="50"/>
      <c r="H13" s="50"/>
      <c r="I13" s="69"/>
      <c r="J13" s="19"/>
      <c r="K13" s="19"/>
      <c r="L13" s="10"/>
    </row>
    <row r="14" spans="1:16" ht="20" customHeight="1" x14ac:dyDescent="0.45">
      <c r="B14" s="209"/>
      <c r="C14" s="16"/>
      <c r="D14" s="491" t="s">
        <v>257</v>
      </c>
      <c r="E14" s="491"/>
      <c r="F14" s="210">
        <v>0.04</v>
      </c>
      <c r="G14" s="136" t="s">
        <v>185</v>
      </c>
      <c r="H14" s="50"/>
      <c r="I14" s="69"/>
      <c r="J14" s="19"/>
      <c r="K14" s="19"/>
      <c r="L14" s="10"/>
    </row>
    <row r="15" spans="1:16" ht="20" customHeight="1" x14ac:dyDescent="0.45">
      <c r="B15" s="211" t="s">
        <v>183</v>
      </c>
      <c r="C15" s="212" t="s">
        <v>23</v>
      </c>
      <c r="D15" s="378" t="s">
        <v>134</v>
      </c>
      <c r="E15" s="217" t="s">
        <v>133</v>
      </c>
      <c r="F15" s="217" t="s">
        <v>20</v>
      </c>
      <c r="G15" s="218" t="s">
        <v>127</v>
      </c>
      <c r="H15" s="50" t="s">
        <v>184</v>
      </c>
      <c r="I15" s="58">
        <v>0.2</v>
      </c>
      <c r="J15" s="20"/>
      <c r="K15" s="19"/>
      <c r="L15" s="10"/>
    </row>
    <row r="16" spans="1:16" ht="20" customHeight="1" x14ac:dyDescent="0.45">
      <c r="B16" s="213" t="s">
        <v>180</v>
      </c>
      <c r="C16" s="214">
        <v>10000</v>
      </c>
      <c r="D16" s="219" t="s">
        <v>303</v>
      </c>
      <c r="E16" s="220">
        <v>0.6</v>
      </c>
      <c r="F16" s="220">
        <v>0.36</v>
      </c>
      <c r="G16" s="220">
        <v>1</v>
      </c>
      <c r="H16" s="50" t="s">
        <v>5</v>
      </c>
      <c r="I16" s="58">
        <v>0.5</v>
      </c>
      <c r="J16" s="19"/>
      <c r="K16" s="19"/>
      <c r="L16" s="10"/>
    </row>
    <row r="17" spans="1:12" ht="20" customHeight="1" x14ac:dyDescent="0.45">
      <c r="B17" s="213" t="s">
        <v>181</v>
      </c>
      <c r="C17" s="214">
        <v>4000</v>
      </c>
      <c r="D17" s="221" t="s">
        <v>131</v>
      </c>
      <c r="E17" s="220">
        <v>0.6</v>
      </c>
      <c r="F17" s="219"/>
      <c r="G17" s="222"/>
      <c r="H17" s="50"/>
      <c r="I17" s="69"/>
      <c r="J17" s="19"/>
      <c r="K17" s="19"/>
      <c r="L17" s="10"/>
    </row>
    <row r="18" spans="1:12" ht="20" customHeight="1" thickBot="1" x14ac:dyDescent="0.5">
      <c r="B18" s="215" t="s">
        <v>182</v>
      </c>
      <c r="C18" s="216">
        <v>2000</v>
      </c>
      <c r="D18" s="223" t="s">
        <v>132</v>
      </c>
      <c r="E18" s="224">
        <f>1-E17</f>
        <v>0.4</v>
      </c>
      <c r="F18" s="225" t="s">
        <v>35</v>
      </c>
      <c r="G18" s="224">
        <v>0.25</v>
      </c>
      <c r="H18" s="54" t="s">
        <v>121</v>
      </c>
      <c r="I18" s="57">
        <v>1000000</v>
      </c>
      <c r="J18" s="19"/>
      <c r="K18" s="19"/>
      <c r="L18" s="10"/>
    </row>
    <row r="19" spans="1:12" ht="20" customHeight="1" thickTop="1" thickBot="1" x14ac:dyDescent="0.5">
      <c r="B19" s="19"/>
      <c r="C19" s="19"/>
      <c r="D19" s="27"/>
      <c r="E19" s="19"/>
      <c r="F19" s="19"/>
      <c r="G19" s="26"/>
      <c r="H19" s="19"/>
      <c r="I19" s="19"/>
      <c r="J19" s="21"/>
      <c r="K19" s="26"/>
      <c r="L19" s="10"/>
    </row>
    <row r="20" spans="1:12" ht="20" customHeight="1" thickTop="1" x14ac:dyDescent="0.45">
      <c r="B20" s="390" t="s">
        <v>36</v>
      </c>
      <c r="C20" s="391">
        <v>0</v>
      </c>
      <c r="D20" s="391">
        <v>1</v>
      </c>
      <c r="E20" s="391">
        <v>2</v>
      </c>
      <c r="F20" s="391">
        <v>3</v>
      </c>
      <c r="G20" s="391">
        <v>4</v>
      </c>
      <c r="H20" s="391">
        <v>5</v>
      </c>
      <c r="I20" s="392">
        <v>6</v>
      </c>
    </row>
    <row r="21" spans="1:12" ht="20" customHeight="1" x14ac:dyDescent="0.45">
      <c r="B21" s="59" t="s">
        <v>106</v>
      </c>
      <c r="C21" s="65">
        <v>2013</v>
      </c>
      <c r="D21" s="65">
        <v>2014</v>
      </c>
      <c r="E21" s="65">
        <v>2015</v>
      </c>
      <c r="F21" s="65">
        <v>2016</v>
      </c>
      <c r="G21" s="65">
        <v>2017</v>
      </c>
      <c r="H21" s="65">
        <v>2018</v>
      </c>
      <c r="I21" s="66">
        <v>2019</v>
      </c>
    </row>
    <row r="22" spans="1:12" ht="20" customHeight="1" x14ac:dyDescent="0.45">
      <c r="B22" s="55" t="s">
        <v>78</v>
      </c>
      <c r="C22" s="60">
        <f>(1+$C$10)^C20</f>
        <v>1</v>
      </c>
      <c r="D22" s="60">
        <f>(1+$C$10)^D20</f>
        <v>1.08</v>
      </c>
      <c r="E22" s="60">
        <f t="shared" ref="E22:I22" si="0">(1+$C$10)^E20</f>
        <v>1.1664000000000001</v>
      </c>
      <c r="F22" s="60">
        <f t="shared" si="0"/>
        <v>1.2597120000000002</v>
      </c>
      <c r="G22" s="60">
        <f t="shared" si="0"/>
        <v>1.3604889600000003</v>
      </c>
      <c r="H22" s="60">
        <f t="shared" si="0"/>
        <v>1.4693280768000003</v>
      </c>
      <c r="I22" s="61">
        <f t="shared" si="0"/>
        <v>1.5868743229440005</v>
      </c>
    </row>
    <row r="23" spans="1:12" ht="20" customHeight="1" x14ac:dyDescent="0.45">
      <c r="B23" s="55" t="s">
        <v>79</v>
      </c>
      <c r="C23" s="60">
        <f t="shared" ref="C23:I23" si="1">(1+$C$11)^C20</f>
        <v>1</v>
      </c>
      <c r="D23" s="60">
        <f t="shared" si="1"/>
        <v>1.02</v>
      </c>
      <c r="E23" s="60">
        <f t="shared" si="1"/>
        <v>1.0404</v>
      </c>
      <c r="F23" s="60">
        <f t="shared" si="1"/>
        <v>1.0612079999999999</v>
      </c>
      <c r="G23" s="60">
        <f t="shared" si="1"/>
        <v>1.08243216</v>
      </c>
      <c r="H23" s="60">
        <f t="shared" si="1"/>
        <v>1.1040808032</v>
      </c>
      <c r="I23" s="61">
        <f t="shared" si="1"/>
        <v>1.1261624192640001</v>
      </c>
    </row>
    <row r="24" spans="1:12" ht="20" customHeight="1" thickBot="1" x14ac:dyDescent="0.5">
      <c r="B24" s="62" t="s">
        <v>300</v>
      </c>
      <c r="C24" s="63">
        <f>$C$9*C22/C23</f>
        <v>80</v>
      </c>
      <c r="D24" s="63">
        <f t="shared" ref="D24:I24" si="2">$C$9*D22/D23</f>
        <v>84.705882352941174</v>
      </c>
      <c r="E24" s="63">
        <f t="shared" si="2"/>
        <v>89.688581314878903</v>
      </c>
      <c r="F24" s="63">
        <f t="shared" si="2"/>
        <v>94.964380215754147</v>
      </c>
      <c r="G24" s="63">
        <f t="shared" si="2"/>
        <v>100.55052022844556</v>
      </c>
      <c r="H24" s="63">
        <f t="shared" si="2"/>
        <v>106.46525671247177</v>
      </c>
      <c r="I24" s="64">
        <f t="shared" si="2"/>
        <v>112.72791887202894</v>
      </c>
    </row>
    <row r="25" spans="1:12" ht="20" customHeight="1" thickTop="1" thickBot="1" x14ac:dyDescent="0.5"/>
    <row r="26" spans="1:12" ht="34.049999999999997" customHeight="1" thickTop="1" x14ac:dyDescent="0.45">
      <c r="B26" s="108" t="s">
        <v>107</v>
      </c>
      <c r="C26" s="115">
        <v>2013</v>
      </c>
      <c r="D26" s="115">
        <v>2014</v>
      </c>
      <c r="E26" s="115">
        <v>2015</v>
      </c>
      <c r="F26" s="115">
        <v>2016</v>
      </c>
      <c r="G26" s="115">
        <v>2017</v>
      </c>
      <c r="H26" s="115">
        <v>2018</v>
      </c>
      <c r="I26" s="67" t="s">
        <v>93</v>
      </c>
      <c r="J26" s="14"/>
    </row>
    <row r="27" spans="1:12" ht="20" customHeight="1" x14ac:dyDescent="0.45">
      <c r="A27" s="12"/>
      <c r="B27" s="68" t="s">
        <v>169</v>
      </c>
      <c r="C27" s="50"/>
      <c r="D27" s="50"/>
      <c r="E27" s="50"/>
      <c r="F27" s="50"/>
      <c r="G27" s="50"/>
      <c r="H27" s="50"/>
      <c r="I27" s="69"/>
    </row>
    <row r="28" spans="1:12" ht="20" customHeight="1" x14ac:dyDescent="0.45">
      <c r="B28" s="55" t="s">
        <v>6</v>
      </c>
      <c r="C28" s="70"/>
      <c r="D28" s="50"/>
      <c r="E28" s="50"/>
      <c r="F28" s="50"/>
      <c r="G28" s="50"/>
      <c r="H28" s="50"/>
      <c r="I28" s="69"/>
    </row>
    <row r="29" spans="1:12" ht="20" customHeight="1" x14ac:dyDescent="0.45">
      <c r="B29" s="71" t="s">
        <v>92</v>
      </c>
      <c r="C29" s="304">
        <v>640</v>
      </c>
      <c r="D29" s="304">
        <v>960</v>
      </c>
      <c r="E29" s="304">
        <v>960</v>
      </c>
      <c r="F29" s="304">
        <v>2000</v>
      </c>
      <c r="G29" s="304">
        <v>4000</v>
      </c>
      <c r="H29" s="304">
        <v>4800</v>
      </c>
      <c r="I29" s="61">
        <f>SUM(C29:H29)</f>
        <v>13360</v>
      </c>
      <c r="J29" s="24"/>
    </row>
    <row r="30" spans="1:12" ht="20" customHeight="1" x14ac:dyDescent="0.45">
      <c r="B30" s="71" t="s">
        <v>80</v>
      </c>
      <c r="C30" s="60">
        <v>640</v>
      </c>
      <c r="D30" s="60">
        <v>1120</v>
      </c>
      <c r="E30" s="60">
        <v>1120</v>
      </c>
      <c r="F30" s="60">
        <v>800</v>
      </c>
      <c r="G30" s="60">
        <v>2000</v>
      </c>
      <c r="H30" s="60">
        <v>800</v>
      </c>
      <c r="I30" s="61">
        <f t="shared" ref="I30" si="3">SUM(C30:H30)</f>
        <v>6480</v>
      </c>
      <c r="J30" s="24"/>
    </row>
    <row r="31" spans="1:12" ht="20" customHeight="1" x14ac:dyDescent="0.45">
      <c r="B31" s="55" t="s">
        <v>9</v>
      </c>
      <c r="C31" s="60"/>
      <c r="D31" s="60"/>
      <c r="E31" s="60"/>
      <c r="F31" s="60"/>
      <c r="G31" s="60"/>
      <c r="H31" s="60"/>
      <c r="I31" s="61"/>
      <c r="J31" s="24"/>
    </row>
    <row r="32" spans="1:12" ht="20" customHeight="1" x14ac:dyDescent="0.45">
      <c r="B32" s="71" t="s">
        <v>92</v>
      </c>
      <c r="C32" s="294">
        <f t="shared" ref="C32:H32" si="4">C51*(1+$C$12)</f>
        <v>480</v>
      </c>
      <c r="D32" s="294">
        <f t="shared" si="4"/>
        <v>799.99999999999977</v>
      </c>
      <c r="E32" s="294">
        <f t="shared" si="4"/>
        <v>799.99999999999977</v>
      </c>
      <c r="F32" s="294">
        <f t="shared" si="4"/>
        <v>799.99999999999977</v>
      </c>
      <c r="G32" s="294">
        <f t="shared" si="4"/>
        <v>799.99999999999977</v>
      </c>
      <c r="H32" s="294">
        <f t="shared" si="4"/>
        <v>2400.0000000000005</v>
      </c>
      <c r="I32" s="61">
        <f t="shared" ref="I32:I33" si="5">SUM(C32:H32)</f>
        <v>6080</v>
      </c>
      <c r="J32" s="24"/>
      <c r="L32" s="9"/>
    </row>
    <row r="33" spans="1:13" ht="20" customHeight="1" x14ac:dyDescent="0.45">
      <c r="B33" s="71" t="s">
        <v>91</v>
      </c>
      <c r="C33" s="299">
        <f t="shared" ref="C33:H33" si="6">C52*(1+$C$13)</f>
        <v>960</v>
      </c>
      <c r="D33" s="299">
        <f t="shared" si="6"/>
        <v>2239.9999999999964</v>
      </c>
      <c r="E33" s="299">
        <f t="shared" si="6"/>
        <v>2239.9999999999964</v>
      </c>
      <c r="F33" s="299">
        <f t="shared" si="6"/>
        <v>3200</v>
      </c>
      <c r="G33" s="299">
        <f t="shared" si="6"/>
        <v>4800</v>
      </c>
      <c r="H33" s="299">
        <f t="shared" si="6"/>
        <v>2400</v>
      </c>
      <c r="I33" s="61">
        <f t="shared" si="5"/>
        <v>15839.999999999993</v>
      </c>
      <c r="J33" s="24"/>
      <c r="L33" s="9"/>
    </row>
    <row r="34" spans="1:13" ht="20" customHeight="1" x14ac:dyDescent="0.45">
      <c r="B34" s="55" t="s">
        <v>10</v>
      </c>
      <c r="C34" s="60"/>
      <c r="D34" s="60"/>
      <c r="E34" s="60"/>
      <c r="F34" s="60"/>
      <c r="G34" s="60"/>
      <c r="H34" s="60"/>
      <c r="I34" s="61"/>
      <c r="J34" s="24"/>
    </row>
    <row r="35" spans="1:13" ht="20" customHeight="1" x14ac:dyDescent="0.45">
      <c r="B35" s="71" t="s">
        <v>92</v>
      </c>
      <c r="C35" s="294">
        <f t="shared" ref="C35:H35" si="7">C54*(1+$C$12)</f>
        <v>320</v>
      </c>
      <c r="D35" s="294">
        <f t="shared" si="7"/>
        <v>640.00000000000023</v>
      </c>
      <c r="E35" s="294">
        <f t="shared" si="7"/>
        <v>640.00000000000023</v>
      </c>
      <c r="F35" s="294">
        <f t="shared" si="7"/>
        <v>1200.0000000000002</v>
      </c>
      <c r="G35" s="294">
        <f t="shared" si="7"/>
        <v>1599.9999999999998</v>
      </c>
      <c r="H35" s="294">
        <f t="shared" si="7"/>
        <v>800</v>
      </c>
      <c r="I35" s="61">
        <f t="shared" ref="I35:I37" si="8">SUM(C35:H35)</f>
        <v>5200.0000000000009</v>
      </c>
      <c r="J35" s="24"/>
    </row>
    <row r="36" spans="1:13" ht="20" customHeight="1" x14ac:dyDescent="0.45">
      <c r="B36" s="71" t="s">
        <v>91</v>
      </c>
      <c r="C36" s="299">
        <f t="shared" ref="C36:H36" si="9">C55*(1+$C$13)</f>
        <v>1760</v>
      </c>
      <c r="D36" s="299">
        <f t="shared" si="9"/>
        <v>2239.9999999999964</v>
      </c>
      <c r="E36" s="299">
        <f t="shared" si="9"/>
        <v>2239.9999999999964</v>
      </c>
      <c r="F36" s="299">
        <f t="shared" si="9"/>
        <v>1600</v>
      </c>
      <c r="G36" s="299">
        <f t="shared" si="9"/>
        <v>2800</v>
      </c>
      <c r="H36" s="299">
        <f t="shared" si="9"/>
        <v>800</v>
      </c>
      <c r="I36" s="61">
        <f t="shared" si="8"/>
        <v>11439.999999999993</v>
      </c>
      <c r="J36" s="24"/>
    </row>
    <row r="37" spans="1:13" ht="20" customHeight="1" x14ac:dyDescent="0.45">
      <c r="A37" s="10"/>
      <c r="B37" s="307" t="s">
        <v>11</v>
      </c>
      <c r="C37" s="308">
        <v>3200</v>
      </c>
      <c r="D37" s="308"/>
      <c r="E37" s="308"/>
      <c r="F37" s="308">
        <v>6400</v>
      </c>
      <c r="G37" s="308"/>
      <c r="H37" s="308"/>
      <c r="I37" s="61">
        <f t="shared" si="8"/>
        <v>9600</v>
      </c>
      <c r="J37" s="22"/>
    </row>
    <row r="38" spans="1:13" ht="20" customHeight="1" x14ac:dyDescent="0.45">
      <c r="B38" s="72" t="s">
        <v>224</v>
      </c>
      <c r="C38" s="123">
        <f>SUM(C29:C36)</f>
        <v>4800</v>
      </c>
      <c r="D38" s="123">
        <f t="shared" ref="D38:G38" si="10">SUM(D29:D36)</f>
        <v>7999.9999999999927</v>
      </c>
      <c r="E38" s="123">
        <f t="shared" si="10"/>
        <v>7999.9999999999927</v>
      </c>
      <c r="F38" s="123">
        <f t="shared" si="10"/>
        <v>9600</v>
      </c>
      <c r="G38" s="123">
        <f t="shared" si="10"/>
        <v>16000</v>
      </c>
      <c r="H38" s="123">
        <f>SUM(H29:H36)</f>
        <v>12000</v>
      </c>
      <c r="I38" s="124">
        <f>SUM(I29:I36)</f>
        <v>58399.999999999985</v>
      </c>
      <c r="J38" s="22"/>
      <c r="K38" s="12"/>
    </row>
    <row r="39" spans="1:13" ht="20" customHeight="1" x14ac:dyDescent="0.45">
      <c r="B39" s="72" t="s">
        <v>225</v>
      </c>
      <c r="C39" s="60">
        <f>SUM(C29:C37)</f>
        <v>8000</v>
      </c>
      <c r="D39" s="60">
        <f t="shared" ref="D39:G39" si="11">SUM(D29:D37)</f>
        <v>7999.9999999999927</v>
      </c>
      <c r="E39" s="60">
        <f t="shared" si="11"/>
        <v>7999.9999999999927</v>
      </c>
      <c r="F39" s="60">
        <f t="shared" si="11"/>
        <v>16000</v>
      </c>
      <c r="G39" s="60">
        <f t="shared" si="11"/>
        <v>16000</v>
      </c>
      <c r="H39" s="60">
        <f>SUM(H29:H37)</f>
        <v>12000</v>
      </c>
      <c r="I39" s="61">
        <f>SUM(I29:I37)</f>
        <v>67999.999999999985</v>
      </c>
      <c r="J39" s="22"/>
      <c r="K39" s="12"/>
    </row>
    <row r="40" spans="1:13" ht="20" customHeight="1" x14ac:dyDescent="0.45">
      <c r="B40" s="309" t="s">
        <v>232</v>
      </c>
      <c r="C40" s="308">
        <v>4000</v>
      </c>
      <c r="D40" s="308">
        <v>4000</v>
      </c>
      <c r="E40" s="308">
        <v>4000</v>
      </c>
      <c r="F40" s="308">
        <v>8000</v>
      </c>
      <c r="G40" s="308">
        <v>8000</v>
      </c>
      <c r="H40" s="60"/>
      <c r="I40" s="61">
        <f>SUM(C40:H40)</f>
        <v>28000</v>
      </c>
      <c r="J40" s="22"/>
      <c r="K40" s="12"/>
    </row>
    <row r="41" spans="1:13" ht="20" customHeight="1" x14ac:dyDescent="0.45">
      <c r="B41" s="309" t="s">
        <v>233</v>
      </c>
      <c r="C41" s="308">
        <v>4000</v>
      </c>
      <c r="D41" s="308">
        <v>4000</v>
      </c>
      <c r="E41" s="308">
        <v>4000</v>
      </c>
      <c r="F41" s="308">
        <v>8000</v>
      </c>
      <c r="G41" s="308">
        <v>8000</v>
      </c>
      <c r="H41" s="308">
        <v>12000</v>
      </c>
      <c r="I41" s="61">
        <f t="shared" ref="I41:I42" si="12">SUM(C41:H41)</f>
        <v>40000</v>
      </c>
      <c r="J41" s="22"/>
      <c r="K41" s="12"/>
    </row>
    <row r="42" spans="1:13" ht="20" customHeight="1" x14ac:dyDescent="0.45">
      <c r="B42" s="72" t="s">
        <v>226</v>
      </c>
      <c r="C42" s="60">
        <f>C39*C22</f>
        <v>8000</v>
      </c>
      <c r="D42" s="60">
        <f t="shared" ref="D42:H42" si="13">D39*D22</f>
        <v>8639.9999999999927</v>
      </c>
      <c r="E42" s="60">
        <f t="shared" si="13"/>
        <v>9331.1999999999916</v>
      </c>
      <c r="F42" s="60">
        <f t="shared" si="13"/>
        <v>20155.392000000003</v>
      </c>
      <c r="G42" s="60">
        <f t="shared" si="13"/>
        <v>21767.823360000006</v>
      </c>
      <c r="H42" s="60">
        <f t="shared" si="13"/>
        <v>17631.936921600005</v>
      </c>
      <c r="I42" s="207">
        <f t="shared" si="12"/>
        <v>85526.352281600004</v>
      </c>
      <c r="J42" s="22"/>
      <c r="K42" s="12"/>
    </row>
    <row r="43" spans="1:13" ht="20" customHeight="1" x14ac:dyDescent="0.45">
      <c r="B43" s="309" t="s">
        <v>227</v>
      </c>
      <c r="C43" s="308">
        <f t="shared" ref="C43:H43" si="14">(C32-C51)+(C35-C54)</f>
        <v>72.727272727272805</v>
      </c>
      <c r="D43" s="308">
        <f t="shared" si="14"/>
        <v>130.90909090909099</v>
      </c>
      <c r="E43" s="308">
        <f t="shared" si="14"/>
        <v>130.90909090909099</v>
      </c>
      <c r="F43" s="308">
        <f t="shared" si="14"/>
        <v>181.81818181818198</v>
      </c>
      <c r="G43" s="308">
        <f t="shared" si="14"/>
        <v>218.18181818181824</v>
      </c>
      <c r="H43" s="308">
        <f t="shared" si="14"/>
        <v>290.90909090909122</v>
      </c>
      <c r="I43" s="61"/>
      <c r="J43" s="22"/>
      <c r="K43" s="12"/>
    </row>
    <row r="44" spans="1:13" ht="20" customHeight="1" x14ac:dyDescent="0.45">
      <c r="B44" s="309" t="s">
        <v>228</v>
      </c>
      <c r="C44" s="308">
        <f t="shared" ref="C44:H44" si="15">C38-C43</f>
        <v>4727.272727272727</v>
      </c>
      <c r="D44" s="308">
        <f t="shared" si="15"/>
        <v>7869.0909090909017</v>
      </c>
      <c r="E44" s="308">
        <f t="shared" si="15"/>
        <v>7869.0909090909017</v>
      </c>
      <c r="F44" s="308">
        <f t="shared" si="15"/>
        <v>9418.181818181818</v>
      </c>
      <c r="G44" s="308">
        <f t="shared" si="15"/>
        <v>15781.818181818182</v>
      </c>
      <c r="H44" s="308">
        <f t="shared" si="15"/>
        <v>11709.090909090908</v>
      </c>
      <c r="I44" s="61">
        <f>SUM(C44:H44)</f>
        <v>57374.545454545441</v>
      </c>
      <c r="J44" s="22"/>
      <c r="K44" s="12"/>
      <c r="L44" s="9"/>
      <c r="M44" s="9"/>
    </row>
    <row r="45" spans="1:13" ht="20" customHeight="1" x14ac:dyDescent="0.45">
      <c r="B45" s="72" t="s">
        <v>229</v>
      </c>
      <c r="C45" s="95">
        <f t="shared" ref="C45:H45" si="16">C44*C22</f>
        <v>4727.272727272727</v>
      </c>
      <c r="D45" s="95">
        <f t="shared" si="16"/>
        <v>8498.618181818174</v>
      </c>
      <c r="E45" s="95">
        <f t="shared" si="16"/>
        <v>9178.507636363629</v>
      </c>
      <c r="F45" s="95">
        <f t="shared" si="16"/>
        <v>11864.196654545456</v>
      </c>
      <c r="G45" s="95">
        <f t="shared" si="16"/>
        <v>21470.989405090913</v>
      </c>
      <c r="H45" s="95">
        <f t="shared" si="16"/>
        <v>17204.496026530913</v>
      </c>
      <c r="I45" s="208">
        <f>SUM(C45:H45)</f>
        <v>72944.080631621808</v>
      </c>
      <c r="J45" s="25"/>
      <c r="K45" s="12"/>
      <c r="L45" s="9"/>
      <c r="M45" s="9"/>
    </row>
    <row r="46" spans="1:13" ht="20" customHeight="1" x14ac:dyDescent="0.45">
      <c r="B46" s="68" t="s">
        <v>170</v>
      </c>
      <c r="C46" s="60"/>
      <c r="D46" s="60"/>
      <c r="E46" s="60"/>
      <c r="F46" s="60"/>
      <c r="G46" s="60"/>
      <c r="H46" s="60"/>
      <c r="I46" s="125"/>
      <c r="J46" s="18"/>
      <c r="K46" s="12"/>
      <c r="L46" s="9"/>
      <c r="M46" s="9"/>
    </row>
    <row r="47" spans="1:13" ht="20" customHeight="1" x14ac:dyDescent="0.45">
      <c r="B47" s="55" t="s">
        <v>6</v>
      </c>
      <c r="C47" s="60"/>
      <c r="D47" s="60"/>
      <c r="E47" s="60"/>
      <c r="F47" s="60"/>
      <c r="G47" s="60"/>
      <c r="H47" s="60"/>
      <c r="I47" s="61"/>
      <c r="J47" s="18"/>
      <c r="K47" s="12"/>
      <c r="L47" s="9"/>
      <c r="M47" s="9"/>
    </row>
    <row r="48" spans="1:13" ht="20" customHeight="1" x14ac:dyDescent="0.45">
      <c r="B48" s="71" t="s">
        <v>92</v>
      </c>
      <c r="C48" s="304">
        <f t="shared" ref="C48:H48" si="17">$E$82*C29+$D$82*C29*$I$15</f>
        <v>384</v>
      </c>
      <c r="D48" s="304">
        <f t="shared" si="17"/>
        <v>576</v>
      </c>
      <c r="E48" s="304">
        <f t="shared" si="17"/>
        <v>576</v>
      </c>
      <c r="F48" s="304">
        <f t="shared" si="17"/>
        <v>1200</v>
      </c>
      <c r="G48" s="304">
        <f t="shared" si="17"/>
        <v>2400</v>
      </c>
      <c r="H48" s="304">
        <f t="shared" si="17"/>
        <v>2880</v>
      </c>
      <c r="I48" s="61"/>
      <c r="J48" s="18"/>
      <c r="K48" s="12"/>
      <c r="L48" s="9"/>
      <c r="M48" s="9"/>
    </row>
    <row r="49" spans="2:13" ht="20" customHeight="1" x14ac:dyDescent="0.45">
      <c r="B49" s="71" t="s">
        <v>80</v>
      </c>
      <c r="C49" s="60">
        <f t="shared" ref="C49:H49" si="18">C30*$F$83</f>
        <v>640</v>
      </c>
      <c r="D49" s="60">
        <f t="shared" si="18"/>
        <v>1120</v>
      </c>
      <c r="E49" s="60">
        <f t="shared" si="18"/>
        <v>1120</v>
      </c>
      <c r="F49" s="60">
        <f t="shared" si="18"/>
        <v>800</v>
      </c>
      <c r="G49" s="60">
        <f t="shared" si="18"/>
        <v>2000</v>
      </c>
      <c r="H49" s="60">
        <f t="shared" si="18"/>
        <v>800</v>
      </c>
      <c r="I49" s="61"/>
      <c r="J49" s="18"/>
      <c r="K49" s="12"/>
      <c r="L49" s="9"/>
      <c r="M49" s="9"/>
    </row>
    <row r="50" spans="2:13" ht="20" customHeight="1" x14ac:dyDescent="0.45">
      <c r="B50" s="55" t="s">
        <v>9</v>
      </c>
      <c r="C50" s="60"/>
      <c r="D50" s="60"/>
      <c r="E50" s="60"/>
      <c r="F50" s="60"/>
      <c r="G50" s="60"/>
      <c r="H50" s="60"/>
      <c r="I50" s="61"/>
      <c r="J50" s="18"/>
      <c r="K50" s="12"/>
      <c r="L50" s="9"/>
      <c r="M50" s="9"/>
    </row>
    <row r="51" spans="2:13" ht="20" customHeight="1" x14ac:dyDescent="0.45">
      <c r="B51" s="71" t="s">
        <v>92</v>
      </c>
      <c r="C51" s="295">
        <v>436.36363636363632</v>
      </c>
      <c r="D51" s="295">
        <v>727.27272727272702</v>
      </c>
      <c r="E51" s="295">
        <v>727.27272727272702</v>
      </c>
      <c r="F51" s="295">
        <v>727.27272727272702</v>
      </c>
      <c r="G51" s="295">
        <v>727.27272727272702</v>
      </c>
      <c r="H51" s="295">
        <v>2181.818181818182</v>
      </c>
      <c r="I51" s="61"/>
      <c r="J51" s="18"/>
      <c r="K51" s="12"/>
      <c r="L51" s="9"/>
      <c r="M51" s="9"/>
    </row>
    <row r="52" spans="2:13" ht="20" customHeight="1" x14ac:dyDescent="0.45">
      <c r="B52" s="71" t="s">
        <v>91</v>
      </c>
      <c r="C52" s="300">
        <v>914.28571428571422</v>
      </c>
      <c r="D52" s="300">
        <v>2133.3333333333298</v>
      </c>
      <c r="E52" s="300">
        <v>2133.3333333333298</v>
      </c>
      <c r="F52" s="300">
        <v>3047.6190476190477</v>
      </c>
      <c r="G52" s="300">
        <v>4571.4285714285716</v>
      </c>
      <c r="H52" s="300">
        <v>2285.7142857142858</v>
      </c>
      <c r="I52" s="61"/>
      <c r="J52" s="18"/>
      <c r="K52" s="12"/>
      <c r="L52" s="9"/>
      <c r="M52" s="9"/>
    </row>
    <row r="53" spans="2:13" ht="20" customHeight="1" x14ac:dyDescent="0.45">
      <c r="B53" s="55" t="s">
        <v>10</v>
      </c>
      <c r="C53" s="60"/>
      <c r="D53" s="60"/>
      <c r="E53" s="60"/>
      <c r="F53" s="60"/>
      <c r="G53" s="60"/>
      <c r="H53" s="60"/>
      <c r="I53" s="61"/>
      <c r="J53" s="18"/>
      <c r="K53" s="12"/>
      <c r="L53" s="9"/>
      <c r="M53" s="9"/>
    </row>
    <row r="54" spans="2:13" ht="20" customHeight="1" x14ac:dyDescent="0.45">
      <c r="B54" s="71" t="s">
        <v>92</v>
      </c>
      <c r="C54" s="295">
        <v>290.90909090909088</v>
      </c>
      <c r="D54" s="295">
        <v>581.81818181818198</v>
      </c>
      <c r="E54" s="295">
        <v>581.81818181818198</v>
      </c>
      <c r="F54" s="295">
        <v>1090.909090909091</v>
      </c>
      <c r="G54" s="295">
        <v>1454.5454545454543</v>
      </c>
      <c r="H54" s="295">
        <v>727.27272727272725</v>
      </c>
      <c r="I54" s="61"/>
      <c r="J54" s="18"/>
      <c r="K54" s="12"/>
      <c r="L54" s="9"/>
      <c r="M54" s="9"/>
    </row>
    <row r="55" spans="2:13" ht="20" customHeight="1" x14ac:dyDescent="0.45">
      <c r="B55" s="71" t="s">
        <v>91</v>
      </c>
      <c r="C55" s="300">
        <v>1676.1904761904761</v>
      </c>
      <c r="D55" s="300">
        <v>2133.3333333333298</v>
      </c>
      <c r="E55" s="300">
        <v>2133.3333333333298</v>
      </c>
      <c r="F55" s="300">
        <v>1523.8095238095239</v>
      </c>
      <c r="G55" s="300">
        <v>2666.6666666666665</v>
      </c>
      <c r="H55" s="300">
        <v>761.90476190476193</v>
      </c>
      <c r="I55" s="61"/>
      <c r="J55" s="18"/>
      <c r="K55" s="12"/>
      <c r="L55" s="9"/>
      <c r="M55" s="9"/>
    </row>
    <row r="56" spans="2:13" ht="20" customHeight="1" x14ac:dyDescent="0.45">
      <c r="B56" s="307" t="s">
        <v>11</v>
      </c>
      <c r="C56" s="310">
        <f>C37*I16</f>
        <v>1600</v>
      </c>
      <c r="D56" s="310"/>
      <c r="E56" s="310"/>
      <c r="F56" s="310">
        <f>F37*I16</f>
        <v>3200</v>
      </c>
      <c r="G56" s="310"/>
      <c r="H56" s="310"/>
      <c r="I56" s="122"/>
      <c r="K56" s="12"/>
      <c r="L56" s="9"/>
      <c r="M56" s="9"/>
    </row>
    <row r="57" spans="2:13" ht="20" customHeight="1" thickBot="1" x14ac:dyDescent="0.5">
      <c r="B57" s="311" t="s">
        <v>230</v>
      </c>
      <c r="C57" s="312">
        <f>SUM(C48:C55)</f>
        <v>4341.7489177489178</v>
      </c>
      <c r="D57" s="312">
        <f t="shared" ref="D57:H57" si="19">SUM(D48:D55)</f>
        <v>7271.7575757575687</v>
      </c>
      <c r="E57" s="312">
        <f t="shared" si="19"/>
        <v>7271.7575757575687</v>
      </c>
      <c r="F57" s="312">
        <f t="shared" si="19"/>
        <v>8389.6103896103887</v>
      </c>
      <c r="G57" s="312">
        <f t="shared" si="19"/>
        <v>13819.913419913419</v>
      </c>
      <c r="H57" s="312">
        <f t="shared" si="19"/>
        <v>9636.7099567099576</v>
      </c>
      <c r="I57" s="64"/>
      <c r="K57" s="12"/>
      <c r="L57" s="9"/>
      <c r="M57" s="9"/>
    </row>
    <row r="58" spans="2:13" ht="20" customHeight="1" thickTop="1" thickBot="1" x14ac:dyDescent="0.5">
      <c r="B58" s="19"/>
      <c r="C58" s="12"/>
      <c r="D58" s="12"/>
      <c r="E58" s="12"/>
      <c r="F58" s="12"/>
      <c r="G58" s="12"/>
      <c r="H58" s="12"/>
      <c r="I58" s="12"/>
      <c r="K58" s="12"/>
      <c r="L58" s="9"/>
      <c r="M58" s="9"/>
    </row>
    <row r="59" spans="2:13" ht="33.5" customHeight="1" thickTop="1" x14ac:dyDescent="0.45">
      <c r="B59" s="75" t="s">
        <v>240</v>
      </c>
      <c r="C59" s="115">
        <v>2013</v>
      </c>
      <c r="D59" s="115">
        <v>2014</v>
      </c>
      <c r="E59" s="115">
        <v>2015</v>
      </c>
      <c r="F59" s="115">
        <v>2016</v>
      </c>
      <c r="G59" s="115">
        <v>2017</v>
      </c>
      <c r="H59" s="115">
        <v>2018</v>
      </c>
      <c r="I59" s="67" t="s">
        <v>93</v>
      </c>
      <c r="K59" s="12"/>
    </row>
    <row r="60" spans="2:13" ht="20" customHeight="1" x14ac:dyDescent="0.45">
      <c r="B60" s="76" t="s">
        <v>86</v>
      </c>
      <c r="C60" s="73"/>
      <c r="D60" s="73"/>
      <c r="E60" s="73"/>
      <c r="F60" s="95">
        <v>2</v>
      </c>
      <c r="G60" s="95">
        <v>2</v>
      </c>
      <c r="H60" s="95">
        <v>2</v>
      </c>
      <c r="I60" s="74"/>
      <c r="J60" s="22"/>
      <c r="K60" s="12"/>
    </row>
    <row r="61" spans="2:13" ht="20" customHeight="1" x14ac:dyDescent="0.45">
      <c r="B61" s="76" t="s">
        <v>238</v>
      </c>
      <c r="C61" s="19"/>
      <c r="D61" s="60"/>
      <c r="E61" s="60"/>
      <c r="F61" s="60">
        <f>SUM(F62:F65)</f>
        <v>149.99999999999991</v>
      </c>
      <c r="G61" s="60">
        <f t="shared" ref="G61:H61" si="20">SUM(G62:G65)</f>
        <v>149.99999999999991</v>
      </c>
      <c r="H61" s="60">
        <f t="shared" si="20"/>
        <v>149.99999999999991</v>
      </c>
      <c r="I61" s="203"/>
      <c r="J61" s="22"/>
      <c r="K61" s="12"/>
    </row>
    <row r="62" spans="2:13" ht="20" customHeight="1" x14ac:dyDescent="0.45">
      <c r="B62" s="55" t="s">
        <v>234</v>
      </c>
      <c r="C62" s="19"/>
      <c r="D62" s="60"/>
      <c r="E62" s="60"/>
      <c r="F62" s="60">
        <v>15</v>
      </c>
      <c r="G62" s="60">
        <v>15</v>
      </c>
      <c r="H62" s="60">
        <v>15</v>
      </c>
      <c r="I62" s="203"/>
      <c r="J62" s="22"/>
      <c r="K62" s="12"/>
    </row>
    <row r="63" spans="2:13" ht="20" customHeight="1" x14ac:dyDescent="0.45">
      <c r="B63" s="55" t="s">
        <v>235</v>
      </c>
      <c r="C63" s="19"/>
      <c r="D63" s="60"/>
      <c r="E63" s="60"/>
      <c r="F63" s="304">
        <v>15</v>
      </c>
      <c r="G63" s="304">
        <v>15</v>
      </c>
      <c r="H63" s="304">
        <v>15</v>
      </c>
      <c r="I63" s="203"/>
      <c r="J63" s="22"/>
      <c r="K63" s="12"/>
    </row>
    <row r="64" spans="2:13" ht="20" customHeight="1" x14ac:dyDescent="0.45">
      <c r="B64" s="55" t="s">
        <v>236</v>
      </c>
      <c r="C64" s="19"/>
      <c r="D64" s="60"/>
      <c r="E64" s="60"/>
      <c r="F64" s="294">
        <f>F75*(1+$C$12)</f>
        <v>59.99999999999995</v>
      </c>
      <c r="G64" s="294">
        <f>G75*(1+$C$12)</f>
        <v>59.99999999999995</v>
      </c>
      <c r="H64" s="294">
        <f>H75*(1+$C$12)</f>
        <v>59.99999999999995</v>
      </c>
      <c r="I64" s="203"/>
      <c r="J64" s="22"/>
      <c r="K64" s="12"/>
    </row>
    <row r="65" spans="2:11" ht="20" customHeight="1" x14ac:dyDescent="0.45">
      <c r="B65" s="55" t="s">
        <v>237</v>
      </c>
      <c r="C65" s="19"/>
      <c r="D65" s="60"/>
      <c r="E65" s="60"/>
      <c r="F65" s="299">
        <f>F76*(1+$C$13)</f>
        <v>59.999999999999964</v>
      </c>
      <c r="G65" s="299">
        <f>G76*(1+$C$13)</f>
        <v>59.999999999999964</v>
      </c>
      <c r="H65" s="299">
        <f>H76*(1+$C$13)</f>
        <v>59.999999999999964</v>
      </c>
      <c r="I65" s="203"/>
      <c r="J65" s="22"/>
      <c r="K65" s="12"/>
    </row>
    <row r="66" spans="2:11" ht="20" customHeight="1" x14ac:dyDescent="0.45">
      <c r="B66" s="307" t="s">
        <v>88</v>
      </c>
      <c r="C66" s="308"/>
      <c r="D66" s="308"/>
      <c r="E66" s="308"/>
      <c r="F66" s="308">
        <f>F60*(F65+F62+F63+F75)</f>
        <v>289.09090909090895</v>
      </c>
      <c r="G66" s="308">
        <f>G60*(G65+G62+G63+G75)</f>
        <v>289.09090909090895</v>
      </c>
      <c r="H66" s="308">
        <f>H60*(H65+H62+H63+H75)</f>
        <v>289.09090909090895</v>
      </c>
      <c r="I66" s="61"/>
      <c r="J66" s="22"/>
      <c r="K66" s="12"/>
    </row>
    <row r="67" spans="2:11" ht="20" customHeight="1" x14ac:dyDescent="0.45">
      <c r="B67" s="55" t="s">
        <v>87</v>
      </c>
      <c r="C67" s="60"/>
      <c r="D67" s="60"/>
      <c r="E67" s="60"/>
      <c r="F67" s="60">
        <f>F60*F61</f>
        <v>299.99999999999983</v>
      </c>
      <c r="G67" s="60">
        <f>G60*G61</f>
        <v>299.99999999999983</v>
      </c>
      <c r="H67" s="60">
        <f>H60*H61</f>
        <v>299.99999999999983</v>
      </c>
      <c r="I67" s="61"/>
      <c r="J67" s="22"/>
      <c r="K67" s="12"/>
    </row>
    <row r="68" spans="2:11" ht="20" customHeight="1" x14ac:dyDescent="0.45">
      <c r="B68" s="307" t="s">
        <v>223</v>
      </c>
      <c r="C68" s="308"/>
      <c r="D68" s="308"/>
      <c r="E68" s="308"/>
      <c r="F68" s="308">
        <f>F67-F66</f>
        <v>10.909090909090878</v>
      </c>
      <c r="G68" s="308">
        <f t="shared" ref="G68:H68" si="21">G67-G66</f>
        <v>10.909090909090878</v>
      </c>
      <c r="H68" s="308">
        <f t="shared" si="21"/>
        <v>10.909090909090878</v>
      </c>
      <c r="I68" s="61"/>
      <c r="J68" s="22"/>
      <c r="K68" s="12"/>
    </row>
    <row r="69" spans="2:11" ht="20" customHeight="1" x14ac:dyDescent="0.45">
      <c r="B69" s="55" t="s">
        <v>89</v>
      </c>
      <c r="C69" s="60"/>
      <c r="D69" s="60"/>
      <c r="E69" s="60"/>
      <c r="F69" s="60">
        <f>F66*F22</f>
        <v>364.17128727272717</v>
      </c>
      <c r="G69" s="60">
        <f>G66*G22</f>
        <v>393.30499025454537</v>
      </c>
      <c r="H69" s="60">
        <f>H66*H22</f>
        <v>424.76938947490896</v>
      </c>
      <c r="I69" s="206">
        <f>SUM(F69:H69)</f>
        <v>1182.2456670021816</v>
      </c>
      <c r="J69" s="25"/>
      <c r="K69" s="12"/>
    </row>
    <row r="70" spans="2:11" ht="20" customHeight="1" x14ac:dyDescent="0.45">
      <c r="B70" s="55" t="s">
        <v>90</v>
      </c>
      <c r="C70" s="95"/>
      <c r="D70" s="95"/>
      <c r="E70" s="95"/>
      <c r="F70" s="95">
        <f>F67*F22</f>
        <v>377.91359999999986</v>
      </c>
      <c r="G70" s="95">
        <f>G67*G22</f>
        <v>408.14668799999987</v>
      </c>
      <c r="H70" s="95">
        <f>H67*H22</f>
        <v>440.79842303999988</v>
      </c>
      <c r="I70" s="314">
        <f>SUM(F70:H70)</f>
        <v>1226.8587110399994</v>
      </c>
      <c r="J70" s="22"/>
      <c r="K70" s="12"/>
    </row>
    <row r="71" spans="2:11" ht="20" customHeight="1" x14ac:dyDescent="0.45">
      <c r="B71" s="68" t="s">
        <v>171</v>
      </c>
      <c r="C71" s="60"/>
      <c r="D71" s="60"/>
      <c r="E71" s="60"/>
      <c r="F71" s="60"/>
      <c r="G71" s="60"/>
      <c r="H71" s="60"/>
      <c r="I71" s="61"/>
      <c r="J71" s="22"/>
      <c r="K71" s="12"/>
    </row>
    <row r="72" spans="2:11" ht="20" customHeight="1" x14ac:dyDescent="0.45">
      <c r="B72" s="76" t="s">
        <v>239</v>
      </c>
      <c r="C72" s="19"/>
      <c r="D72" s="60"/>
      <c r="E72" s="60"/>
      <c r="F72" s="60">
        <f>SUM(F73:F76)</f>
        <v>129.68831168831161</v>
      </c>
      <c r="G72" s="60">
        <f t="shared" ref="G72:H72" si="22">SUM(G73:G76)</f>
        <v>129.68831168831161</v>
      </c>
      <c r="H72" s="60">
        <f t="shared" si="22"/>
        <v>129.68831168831161</v>
      </c>
      <c r="I72" s="203"/>
      <c r="J72" s="22"/>
      <c r="K72" s="12"/>
    </row>
    <row r="73" spans="2:11" ht="20" customHeight="1" x14ac:dyDescent="0.45">
      <c r="B73" s="55" t="s">
        <v>234</v>
      </c>
      <c r="C73" s="19"/>
      <c r="D73" s="60"/>
      <c r="E73" s="60"/>
      <c r="F73" s="60">
        <f>F62</f>
        <v>15</v>
      </c>
      <c r="G73" s="60">
        <f>G62</f>
        <v>15</v>
      </c>
      <c r="H73" s="60">
        <f>H62</f>
        <v>15</v>
      </c>
      <c r="I73" s="203"/>
      <c r="J73" s="22"/>
      <c r="K73" s="12"/>
    </row>
    <row r="74" spans="2:11" ht="20" customHeight="1" x14ac:dyDescent="0.45">
      <c r="B74" s="55" t="s">
        <v>235</v>
      </c>
      <c r="C74" s="19"/>
      <c r="D74" s="60"/>
      <c r="E74" s="60"/>
      <c r="F74" s="304">
        <f>F63*$I$15</f>
        <v>3</v>
      </c>
      <c r="G74" s="304">
        <f>G63*$I$15</f>
        <v>3</v>
      </c>
      <c r="H74" s="304">
        <f>H63*$I$15</f>
        <v>3</v>
      </c>
      <c r="I74" s="203"/>
      <c r="J74" s="22"/>
      <c r="K74" s="12"/>
    </row>
    <row r="75" spans="2:11" ht="20" customHeight="1" x14ac:dyDescent="0.45">
      <c r="B75" s="55" t="s">
        <v>236</v>
      </c>
      <c r="C75" s="19"/>
      <c r="D75" s="60"/>
      <c r="E75" s="60"/>
      <c r="F75" s="295">
        <v>54.545454545454497</v>
      </c>
      <c r="G75" s="295">
        <v>54.545454545454497</v>
      </c>
      <c r="H75" s="295">
        <v>54.545454545454497</v>
      </c>
      <c r="I75" s="203"/>
      <c r="J75" s="22"/>
      <c r="K75" s="12"/>
    </row>
    <row r="76" spans="2:11" ht="20" customHeight="1" x14ac:dyDescent="0.45">
      <c r="B76" s="55" t="s">
        <v>237</v>
      </c>
      <c r="C76" s="19"/>
      <c r="D76" s="60"/>
      <c r="E76" s="60"/>
      <c r="F76" s="300">
        <v>57.142857142857103</v>
      </c>
      <c r="G76" s="300">
        <v>57.142857142857103</v>
      </c>
      <c r="H76" s="300">
        <v>57.142857142857103</v>
      </c>
      <c r="I76" s="203"/>
      <c r="J76" s="22"/>
      <c r="K76" s="12"/>
    </row>
    <row r="77" spans="2:11" ht="20" customHeight="1" thickBot="1" x14ac:dyDescent="0.5">
      <c r="B77" s="311" t="s">
        <v>231</v>
      </c>
      <c r="C77" s="312"/>
      <c r="D77" s="312"/>
      <c r="E77" s="312"/>
      <c r="F77" s="312">
        <f>F60*F72</f>
        <v>259.37662337662323</v>
      </c>
      <c r="G77" s="312">
        <f t="shared" ref="G77:H77" si="23">G60*G72</f>
        <v>259.37662337662323</v>
      </c>
      <c r="H77" s="312">
        <f t="shared" si="23"/>
        <v>259.37662337662323</v>
      </c>
      <c r="I77" s="64"/>
      <c r="J77" s="22"/>
      <c r="K77" s="12"/>
    </row>
    <row r="78" spans="2:11" ht="20" customHeight="1" thickTop="1" thickBot="1" x14ac:dyDescent="0.5">
      <c r="C78" s="12"/>
      <c r="F78" s="12"/>
      <c r="G78" s="12"/>
      <c r="H78" s="12"/>
      <c r="I78" s="12"/>
      <c r="K78" s="12"/>
    </row>
    <row r="79" spans="2:11" ht="20" customHeight="1" thickTop="1" x14ac:dyDescent="0.45">
      <c r="B79" s="508" t="s">
        <v>104</v>
      </c>
      <c r="C79" s="510" t="s">
        <v>105</v>
      </c>
      <c r="D79" s="510" t="s">
        <v>6</v>
      </c>
      <c r="E79" s="510"/>
      <c r="F79" s="510"/>
      <c r="G79" s="510" t="s">
        <v>9</v>
      </c>
      <c r="H79" s="510"/>
      <c r="I79" s="504" t="s">
        <v>2</v>
      </c>
    </row>
    <row r="80" spans="2:11" ht="20" customHeight="1" x14ac:dyDescent="0.45">
      <c r="B80" s="509"/>
      <c r="C80" s="474"/>
      <c r="D80" s="325" t="s">
        <v>82</v>
      </c>
      <c r="E80" s="325" t="s">
        <v>81</v>
      </c>
      <c r="F80" s="325" t="s">
        <v>8</v>
      </c>
      <c r="G80" s="325" t="s">
        <v>7</v>
      </c>
      <c r="H80" s="325" t="s">
        <v>13</v>
      </c>
      <c r="I80" s="477"/>
    </row>
    <row r="81" spans="2:11" ht="20" customHeight="1" x14ac:dyDescent="0.45">
      <c r="B81" s="76" t="s">
        <v>14</v>
      </c>
      <c r="C81" s="29"/>
      <c r="D81" s="48"/>
      <c r="E81" s="48"/>
      <c r="F81" s="50"/>
      <c r="G81" s="48"/>
      <c r="H81" s="48"/>
      <c r="I81" s="77"/>
    </row>
    <row r="82" spans="2:11" ht="20" customHeight="1" x14ac:dyDescent="0.45">
      <c r="B82" s="55" t="s">
        <v>83</v>
      </c>
      <c r="C82" s="19"/>
      <c r="D82" s="49">
        <v>0.5</v>
      </c>
      <c r="E82" s="49">
        <v>0.5</v>
      </c>
      <c r="F82" s="50"/>
      <c r="G82" s="48"/>
      <c r="H82" s="48"/>
      <c r="I82" s="323">
        <f>SUM(D82:H82)</f>
        <v>1</v>
      </c>
    </row>
    <row r="83" spans="2:11" ht="20" customHeight="1" x14ac:dyDescent="0.45">
      <c r="B83" s="55" t="s">
        <v>84</v>
      </c>
      <c r="C83" s="19"/>
      <c r="D83" s="49"/>
      <c r="E83" s="49"/>
      <c r="F83" s="49">
        <v>1</v>
      </c>
      <c r="G83" s="48"/>
      <c r="H83" s="48"/>
      <c r="I83" s="323">
        <f t="shared" ref="I83:I85" si="24">SUM(D83:H83)</f>
        <v>1</v>
      </c>
    </row>
    <row r="84" spans="2:11" ht="20" customHeight="1" x14ac:dyDescent="0.45">
      <c r="B84" s="72" t="s">
        <v>85</v>
      </c>
      <c r="C84" s="21"/>
      <c r="D84" s="80"/>
      <c r="E84" s="80"/>
      <c r="F84" s="80"/>
      <c r="G84" s="48"/>
      <c r="H84" s="48"/>
      <c r="I84" s="323"/>
    </row>
    <row r="85" spans="2:11" ht="20" customHeight="1" thickBot="1" x14ac:dyDescent="0.5">
      <c r="B85" s="79" t="s">
        <v>15</v>
      </c>
      <c r="C85" s="78"/>
      <c r="D85" s="56">
        <v>0.1</v>
      </c>
      <c r="E85" s="56">
        <v>0.1</v>
      </c>
      <c r="F85" s="81"/>
      <c r="G85" s="56">
        <v>0.4</v>
      </c>
      <c r="H85" s="56">
        <v>0.4</v>
      </c>
      <c r="I85" s="324">
        <f t="shared" si="24"/>
        <v>1</v>
      </c>
    </row>
    <row r="86" spans="2:11" ht="20" customHeight="1" thickTop="1" thickBot="1" x14ac:dyDescent="0.5">
      <c r="B86" s="21"/>
      <c r="C86" s="20"/>
      <c r="D86" s="20"/>
      <c r="E86" s="20"/>
      <c r="F86" s="20"/>
      <c r="G86" s="20"/>
      <c r="H86" s="20"/>
    </row>
    <row r="87" spans="2:11" ht="34.5" customHeight="1" thickTop="1" x14ac:dyDescent="0.45">
      <c r="B87" s="109" t="s">
        <v>113</v>
      </c>
      <c r="C87" s="512" t="s">
        <v>186</v>
      </c>
      <c r="D87" s="512"/>
      <c r="E87" s="326" t="s">
        <v>93</v>
      </c>
      <c r="F87" s="326" t="s">
        <v>94</v>
      </c>
      <c r="G87" s="326" t="s">
        <v>95</v>
      </c>
      <c r="H87" s="326" t="s">
        <v>96</v>
      </c>
      <c r="I87" s="327" t="s">
        <v>97</v>
      </c>
    </row>
    <row r="88" spans="2:11" ht="20" customHeight="1" x14ac:dyDescent="0.45">
      <c r="B88" s="82" t="s">
        <v>17</v>
      </c>
      <c r="C88" s="511" t="s">
        <v>110</v>
      </c>
      <c r="D88" s="511"/>
      <c r="E88" s="120">
        <v>300</v>
      </c>
      <c r="F88" s="120">
        <f>SUM(F90:F97)</f>
        <v>300</v>
      </c>
      <c r="G88" s="119">
        <f t="shared" ref="G88" si="25">SUM(G90:G97)</f>
        <v>294.73225404732256</v>
      </c>
      <c r="H88" s="119">
        <f>F88-G88</f>
        <v>5.2677459526774442</v>
      </c>
      <c r="I88" s="121">
        <f>SUM(I90:I97)</f>
        <v>260.60700942892726</v>
      </c>
      <c r="J88" s="13"/>
    </row>
    <row r="89" spans="2:11" ht="20" customHeight="1" x14ac:dyDescent="0.45">
      <c r="B89" s="55" t="s">
        <v>6</v>
      </c>
      <c r="C89" s="50"/>
      <c r="D89" s="50"/>
      <c r="E89" s="60"/>
      <c r="F89" s="60"/>
      <c r="G89" s="60"/>
      <c r="H89" s="60"/>
      <c r="I89" s="61"/>
      <c r="J89" s="12"/>
    </row>
    <row r="90" spans="2:11" ht="20" customHeight="1" x14ac:dyDescent="0.45">
      <c r="B90" s="71" t="s">
        <v>92</v>
      </c>
      <c r="C90" s="427">
        <f>I29/$I$38</f>
        <v>0.22876712328767129</v>
      </c>
      <c r="D90" s="427"/>
      <c r="E90" s="60">
        <f>C90*$E$88</f>
        <v>68.630136986301395</v>
      </c>
      <c r="F90" s="304">
        <f>E90</f>
        <v>68.630136986301395</v>
      </c>
      <c r="G90" s="60">
        <f>F90</f>
        <v>68.630136986301395</v>
      </c>
      <c r="H90" s="60"/>
      <c r="I90" s="305">
        <f>F90*E82+F90*D82*I15</f>
        <v>41.178082191780838</v>
      </c>
      <c r="J90" s="15"/>
    </row>
    <row r="91" spans="2:11" ht="20" customHeight="1" x14ac:dyDescent="0.45">
      <c r="B91" s="71" t="s">
        <v>80</v>
      </c>
      <c r="C91" s="427">
        <f>I30/$I$38</f>
        <v>0.11095890410958907</v>
      </c>
      <c r="D91" s="427"/>
      <c r="E91" s="60">
        <f>C91*$E$88</f>
        <v>33.287671232876718</v>
      </c>
      <c r="F91" s="60">
        <f>E91</f>
        <v>33.287671232876718</v>
      </c>
      <c r="G91" s="60">
        <f>F91</f>
        <v>33.287671232876718</v>
      </c>
      <c r="H91" s="60"/>
      <c r="I91" s="61">
        <f>F91</f>
        <v>33.287671232876718</v>
      </c>
      <c r="J91" s="12"/>
      <c r="K91" s="9"/>
    </row>
    <row r="92" spans="2:11" ht="20" customHeight="1" x14ac:dyDescent="0.45">
      <c r="B92" s="55" t="s">
        <v>9</v>
      </c>
      <c r="C92" s="433"/>
      <c r="D92" s="433"/>
      <c r="E92" s="60"/>
      <c r="F92" s="60"/>
      <c r="G92" s="60"/>
      <c r="H92" s="60"/>
      <c r="I92" s="61"/>
      <c r="J92" s="12"/>
      <c r="K92" s="9"/>
    </row>
    <row r="93" spans="2:11" ht="20" customHeight="1" x14ac:dyDescent="0.45">
      <c r="B93" s="71" t="s">
        <v>92</v>
      </c>
      <c r="C93" s="427">
        <f>I32/$I$38</f>
        <v>0.10410958904109592</v>
      </c>
      <c r="D93" s="427"/>
      <c r="E93" s="60">
        <f>C93*$E$88</f>
        <v>31.232876712328775</v>
      </c>
      <c r="F93" s="294">
        <f>I93*(1+C12)</f>
        <v>31.2328767123288</v>
      </c>
      <c r="G93" s="60">
        <f>I93</f>
        <v>28.393524283935271</v>
      </c>
      <c r="H93" s="60"/>
      <c r="I93" s="296">
        <v>28.393524283935271</v>
      </c>
      <c r="J93" s="12"/>
      <c r="K93" s="9"/>
    </row>
    <row r="94" spans="2:11" ht="20" customHeight="1" x14ac:dyDescent="0.45">
      <c r="B94" s="71" t="s">
        <v>91</v>
      </c>
      <c r="C94" s="427">
        <f>I33/$I$38</f>
        <v>0.27123287671232871</v>
      </c>
      <c r="D94" s="427"/>
      <c r="E94" s="60">
        <f>C94*$E$88</f>
        <v>81.369863013698605</v>
      </c>
      <c r="F94" s="299">
        <f>I94*(1+C13)</f>
        <v>81.369863013698605</v>
      </c>
      <c r="G94" s="60">
        <f>F94</f>
        <v>81.369863013698605</v>
      </c>
      <c r="H94" s="60"/>
      <c r="I94" s="301">
        <v>77.495107632093905</v>
      </c>
      <c r="J94" s="12"/>
      <c r="K94" s="22"/>
    </row>
    <row r="95" spans="2:11" ht="20" customHeight="1" x14ac:dyDescent="0.45">
      <c r="B95" s="55" t="s">
        <v>10</v>
      </c>
      <c r="C95" s="433"/>
      <c r="D95" s="433"/>
      <c r="E95" s="60"/>
      <c r="F95" s="60"/>
      <c r="G95" s="60"/>
      <c r="H95" s="60"/>
      <c r="I95" s="61"/>
      <c r="J95" s="12"/>
      <c r="K95" s="22"/>
    </row>
    <row r="96" spans="2:11" ht="20" customHeight="1" x14ac:dyDescent="0.45">
      <c r="B96" s="71" t="s">
        <v>92</v>
      </c>
      <c r="C96" s="427">
        <f>I35/$I$38</f>
        <v>8.9041095890410996E-2</v>
      </c>
      <c r="D96" s="427"/>
      <c r="E96" s="60">
        <f>C96*$E$88</f>
        <v>26.712328767123299</v>
      </c>
      <c r="F96" s="294">
        <f>I96*(1+C12)</f>
        <v>26.712328767123296</v>
      </c>
      <c r="G96" s="60">
        <f>I96</f>
        <v>24.283935242839359</v>
      </c>
      <c r="H96" s="60"/>
      <c r="I96" s="296">
        <v>24.283935242839359</v>
      </c>
      <c r="J96" s="12"/>
      <c r="K96" s="22"/>
    </row>
    <row r="97" spans="2:11" ht="20" customHeight="1" x14ac:dyDescent="0.45">
      <c r="B97" s="71" t="s">
        <v>91</v>
      </c>
      <c r="C97" s="427">
        <f>I36/$I$38</f>
        <v>0.19589041095890403</v>
      </c>
      <c r="D97" s="427"/>
      <c r="E97" s="60">
        <f>C97*$E$88</f>
        <v>58.767123287671211</v>
      </c>
      <c r="F97" s="299">
        <f>I97*(1+C13)</f>
        <v>58.767123287671197</v>
      </c>
      <c r="G97" s="60">
        <f>F97</f>
        <v>58.767123287671197</v>
      </c>
      <c r="H97" s="60"/>
      <c r="I97" s="301">
        <v>55.96868884540114</v>
      </c>
      <c r="J97" s="9"/>
      <c r="K97" s="22"/>
    </row>
    <row r="98" spans="2:11" ht="20" customHeight="1" x14ac:dyDescent="0.45">
      <c r="B98" s="82" t="s">
        <v>18</v>
      </c>
      <c r="C98" s="511" t="s">
        <v>111</v>
      </c>
      <c r="D98" s="511"/>
      <c r="E98" s="117"/>
      <c r="F98" s="117">
        <f>SUM(F99:F102)</f>
        <v>14.999400000000001</v>
      </c>
      <c r="G98" s="117">
        <f>SUM(G99:G102)</f>
        <v>14.454000000000001</v>
      </c>
      <c r="H98" s="117">
        <f>F98-G98</f>
        <v>0.54540000000000077</v>
      </c>
      <c r="I98" s="118">
        <f>SUM(I99:I102)</f>
        <v>12.968285714285715</v>
      </c>
      <c r="J98" s="22"/>
    </row>
    <row r="99" spans="2:11" ht="20" customHeight="1" x14ac:dyDescent="0.45">
      <c r="B99" s="72" t="str">
        <f>B62</f>
        <v xml:space="preserve">   Lao động có kỹ năng</v>
      </c>
      <c r="C99" s="432">
        <f>C102</f>
        <v>0.05</v>
      </c>
      <c r="D99" s="433"/>
      <c r="E99" s="60">
        <f>C99*F62*F60</f>
        <v>1.5</v>
      </c>
      <c r="F99" s="60">
        <f>E99</f>
        <v>1.5</v>
      </c>
      <c r="G99" s="60">
        <f>F99</f>
        <v>1.5</v>
      </c>
      <c r="H99" s="60"/>
      <c r="I99" s="61">
        <f>F99</f>
        <v>1.5</v>
      </c>
      <c r="J99" s="22"/>
    </row>
    <row r="100" spans="2:11" ht="20" customHeight="1" x14ac:dyDescent="0.45">
      <c r="B100" s="72" t="str">
        <f>B63</f>
        <v xml:space="preserve">   Lao động không có kỹ năng</v>
      </c>
      <c r="C100" s="432">
        <f>C102</f>
        <v>0.05</v>
      </c>
      <c r="D100" s="433"/>
      <c r="E100" s="60">
        <f>C100*F63*F60</f>
        <v>1.5</v>
      </c>
      <c r="F100" s="304">
        <f>E100</f>
        <v>1.5</v>
      </c>
      <c r="G100" s="60">
        <f>F100</f>
        <v>1.5</v>
      </c>
      <c r="H100" s="60"/>
      <c r="I100" s="305">
        <f>F100*I15</f>
        <v>0.30000000000000004</v>
      </c>
      <c r="J100" s="22"/>
    </row>
    <row r="101" spans="2:11" ht="20" customHeight="1" x14ac:dyDescent="0.45">
      <c r="B101" s="72" t="str">
        <f>B64</f>
        <v xml:space="preserve">   Nguyên liệu địa phương</v>
      </c>
      <c r="C101" s="432">
        <f>C102</f>
        <v>0.05</v>
      </c>
      <c r="D101" s="433"/>
      <c r="E101" s="60">
        <f>C101*F64*F60</f>
        <v>5.9999999999999956</v>
      </c>
      <c r="F101" s="295">
        <f>I101*(1+C12)</f>
        <v>5.9994000000000014</v>
      </c>
      <c r="G101" s="60">
        <f>I101</f>
        <v>5.4540000000000006</v>
      </c>
      <c r="H101" s="60"/>
      <c r="I101" s="296">
        <v>5.4540000000000006</v>
      </c>
      <c r="J101" s="22"/>
    </row>
    <row r="102" spans="2:11" ht="20" customHeight="1" x14ac:dyDescent="0.45">
      <c r="B102" s="72" t="str">
        <f>B65</f>
        <v xml:space="preserve">   Nguyên liệu nhập</v>
      </c>
      <c r="C102" s="446">
        <v>0.05</v>
      </c>
      <c r="D102" s="446"/>
      <c r="E102" s="60">
        <f>C102*F65*F60</f>
        <v>5.9999999999999964</v>
      </c>
      <c r="F102" s="300">
        <f>I102*(1+C13)</f>
        <v>6</v>
      </c>
      <c r="G102" s="60">
        <f>F102</f>
        <v>6</v>
      </c>
      <c r="H102" s="60"/>
      <c r="I102" s="301">
        <v>5.7142857142857144</v>
      </c>
      <c r="J102" s="22"/>
    </row>
    <row r="103" spans="2:11" ht="20" customHeight="1" thickBot="1" x14ac:dyDescent="0.55000000000000004">
      <c r="B103" s="241" t="s">
        <v>172</v>
      </c>
      <c r="C103" s="242"/>
      <c r="D103" s="242"/>
      <c r="E103" s="242"/>
      <c r="F103" s="243">
        <f>F88+F98</f>
        <v>314.99939999999998</v>
      </c>
      <c r="G103" s="243">
        <f>G88+G98</f>
        <v>309.18625404732256</v>
      </c>
      <c r="H103" s="243">
        <f>H88+H98</f>
        <v>5.8131459526774449</v>
      </c>
      <c r="I103" s="244">
        <f>I88+I98</f>
        <v>273.575295143213</v>
      </c>
      <c r="J103" s="22"/>
    </row>
    <row r="104" spans="2:11" ht="20" customHeight="1" thickTop="1" thickBot="1" x14ac:dyDescent="0.5">
      <c r="B104" s="6"/>
      <c r="D104" s="17"/>
      <c r="E104" s="17"/>
      <c r="F104" s="23"/>
      <c r="G104" s="23"/>
      <c r="I104" s="22"/>
    </row>
    <row r="105" spans="2:11" ht="34.5" customHeight="1" thickTop="1" x14ac:dyDescent="0.45">
      <c r="B105" s="110" t="s">
        <v>114</v>
      </c>
      <c r="C105" s="328" t="s">
        <v>112</v>
      </c>
      <c r="D105" s="329">
        <v>2013</v>
      </c>
      <c r="E105" s="329">
        <v>2014</v>
      </c>
      <c r="F105" s="329">
        <v>2015</v>
      </c>
      <c r="G105" s="329">
        <v>2016</v>
      </c>
      <c r="H105" s="329">
        <v>2017</v>
      </c>
      <c r="I105" s="330">
        <v>2018</v>
      </c>
      <c r="J105" s="23"/>
    </row>
    <row r="106" spans="2:11" ht="25.5" customHeight="1" x14ac:dyDescent="0.45">
      <c r="B106" s="320" t="s">
        <v>241</v>
      </c>
      <c r="C106" s="317"/>
      <c r="D106" s="318"/>
      <c r="E106" s="318"/>
      <c r="F106" s="318"/>
      <c r="G106" s="318"/>
      <c r="H106" s="318"/>
      <c r="I106" s="319"/>
      <c r="J106" s="23"/>
    </row>
    <row r="107" spans="2:11" ht="20" customHeight="1" x14ac:dyDescent="0.45">
      <c r="B107" s="72" t="s">
        <v>19</v>
      </c>
      <c r="C107" s="49">
        <v>0.5</v>
      </c>
      <c r="D107" s="60">
        <f>$C$107*C45*C22</f>
        <v>2363.6363636363635</v>
      </c>
      <c r="E107" s="60">
        <f t="shared" ref="E107:I107" si="26">$C$107*D45*D22</f>
        <v>4589.2538181818145</v>
      </c>
      <c r="F107" s="60">
        <f t="shared" si="26"/>
        <v>5352.9056535272694</v>
      </c>
      <c r="G107" s="60">
        <f t="shared" si="26"/>
        <v>7472.7354480453841</v>
      </c>
      <c r="H107" s="60">
        <f t="shared" si="26"/>
        <v>14605.522022951582</v>
      </c>
      <c r="I107" s="61">
        <f t="shared" si="26"/>
        <v>12639.524529487957</v>
      </c>
    </row>
    <row r="108" spans="2:11" ht="20" customHeight="1" x14ac:dyDescent="0.45">
      <c r="B108" s="72" t="s">
        <v>15</v>
      </c>
      <c r="C108" s="49">
        <f>C107</f>
        <v>0.5</v>
      </c>
      <c r="D108" s="60">
        <f>$C$108*C69*C22</f>
        <v>0</v>
      </c>
      <c r="E108" s="60">
        <f t="shared" ref="E108:I108" si="27">$C$108*D69*D22</f>
        <v>0</v>
      </c>
      <c r="F108" s="60">
        <f t="shared" si="27"/>
        <v>0</v>
      </c>
      <c r="G108" s="60">
        <f t="shared" si="27"/>
        <v>229.37547031645087</v>
      </c>
      <c r="H108" s="60">
        <f t="shared" si="27"/>
        <v>267.54354857710837</v>
      </c>
      <c r="I108" s="61">
        <f t="shared" si="27"/>
        <v>312.06279506033917</v>
      </c>
    </row>
    <row r="109" spans="2:11" ht="20" customHeight="1" x14ac:dyDescent="0.45">
      <c r="B109" s="72" t="s">
        <v>243</v>
      </c>
      <c r="C109" s="49"/>
      <c r="D109" s="60">
        <f>D107+D108</f>
        <v>2363.6363636363635</v>
      </c>
      <c r="E109" s="60">
        <f t="shared" ref="E109:I109" si="28">E107+E108</f>
        <v>4589.2538181818145</v>
      </c>
      <c r="F109" s="60">
        <f t="shared" si="28"/>
        <v>5352.9056535272694</v>
      </c>
      <c r="G109" s="60">
        <f t="shared" si="28"/>
        <v>7702.1109183618346</v>
      </c>
      <c r="H109" s="60">
        <f t="shared" si="28"/>
        <v>14873.06557152869</v>
      </c>
      <c r="I109" s="61">
        <f t="shared" si="28"/>
        <v>12951.587324548296</v>
      </c>
    </row>
    <row r="110" spans="2:11" ht="20" customHeight="1" x14ac:dyDescent="0.45">
      <c r="B110" s="72" t="s">
        <v>218</v>
      </c>
      <c r="C110" s="322">
        <v>1</v>
      </c>
      <c r="D110" s="95">
        <f>C110*C37*C22</f>
        <v>3200</v>
      </c>
      <c r="E110" s="95"/>
      <c r="F110" s="95"/>
      <c r="G110" s="95">
        <f>C110*F37*F22</f>
        <v>8062.1568000000007</v>
      </c>
      <c r="H110" s="95"/>
      <c r="I110" s="122"/>
    </row>
    <row r="111" spans="2:11" ht="20" customHeight="1" x14ac:dyDescent="0.45">
      <c r="B111" s="321" t="s">
        <v>242</v>
      </c>
      <c r="C111" s="158"/>
      <c r="D111" s="159"/>
      <c r="E111" s="159"/>
      <c r="F111" s="159"/>
      <c r="G111" s="159"/>
      <c r="H111" s="159"/>
      <c r="I111" s="160"/>
    </row>
    <row r="112" spans="2:11" ht="20" customHeight="1" x14ac:dyDescent="0.45">
      <c r="B112" s="72" t="s">
        <v>19</v>
      </c>
      <c r="C112" s="247">
        <f>C107</f>
        <v>0.5</v>
      </c>
      <c r="D112" s="248">
        <f>$C$112*C57*C22</f>
        <v>2170.8744588744589</v>
      </c>
      <c r="E112" s="248">
        <f t="shared" ref="E112:I112" si="29">$C$112*D57*D22</f>
        <v>3926.7490909090875</v>
      </c>
      <c r="F112" s="248">
        <f t="shared" si="29"/>
        <v>4240.8890181818142</v>
      </c>
      <c r="G112" s="248">
        <f t="shared" si="29"/>
        <v>5284.2464415584418</v>
      </c>
      <c r="H112" s="248">
        <f t="shared" si="29"/>
        <v>9400.919817974027</v>
      </c>
      <c r="I112" s="206">
        <f t="shared" si="29"/>
        <v>7079.7442536860281</v>
      </c>
    </row>
    <row r="113" spans="2:14" ht="20" customHeight="1" x14ac:dyDescent="0.45">
      <c r="B113" s="72" t="s">
        <v>15</v>
      </c>
      <c r="C113" s="247">
        <f>C108</f>
        <v>0.5</v>
      </c>
      <c r="D113" s="248">
        <f>C77*$C$113*C22</f>
        <v>0</v>
      </c>
      <c r="E113" s="248">
        <f t="shared" ref="E113:I113" si="30">D77*$C$113*D22</f>
        <v>0</v>
      </c>
      <c r="F113" s="248">
        <f t="shared" si="30"/>
        <v>0</v>
      </c>
      <c r="G113" s="248">
        <f t="shared" si="30"/>
        <v>163.36992249350641</v>
      </c>
      <c r="H113" s="248">
        <f t="shared" si="30"/>
        <v>176.43951629298695</v>
      </c>
      <c r="I113" s="206">
        <f t="shared" si="30"/>
        <v>190.5546775964259</v>
      </c>
    </row>
    <row r="114" spans="2:14" ht="20" customHeight="1" x14ac:dyDescent="0.45">
      <c r="B114" s="72" t="s">
        <v>243</v>
      </c>
      <c r="C114" s="247"/>
      <c r="D114" s="248">
        <f>D112+D113</f>
        <v>2170.8744588744589</v>
      </c>
      <c r="E114" s="248">
        <f t="shared" ref="E114:I114" si="31">E112+E113</f>
        <v>3926.7490909090875</v>
      </c>
      <c r="F114" s="248">
        <f t="shared" si="31"/>
        <v>4240.8890181818142</v>
      </c>
      <c r="G114" s="248">
        <f t="shared" si="31"/>
        <v>5447.616364051948</v>
      </c>
      <c r="H114" s="248">
        <f t="shared" si="31"/>
        <v>9577.3593342670138</v>
      </c>
      <c r="I114" s="206">
        <f t="shared" si="31"/>
        <v>7270.2989312824539</v>
      </c>
    </row>
    <row r="115" spans="2:14" ht="20" customHeight="1" thickBot="1" x14ac:dyDescent="0.5">
      <c r="B115" s="315" t="s">
        <v>218</v>
      </c>
      <c r="C115" s="316">
        <f>C110</f>
        <v>1</v>
      </c>
      <c r="D115" s="245">
        <f>C56*$C$115*C22</f>
        <v>1600</v>
      </c>
      <c r="E115" s="245">
        <f t="shared" ref="E115:I115" si="32">D56*$C$115*D22</f>
        <v>0</v>
      </c>
      <c r="F115" s="245">
        <f t="shared" si="32"/>
        <v>0</v>
      </c>
      <c r="G115" s="245">
        <f t="shared" si="32"/>
        <v>4031.0784000000003</v>
      </c>
      <c r="H115" s="245">
        <f t="shared" si="32"/>
        <v>0</v>
      </c>
      <c r="I115" s="246">
        <f t="shared" si="32"/>
        <v>0</v>
      </c>
    </row>
    <row r="116" spans="2:14" ht="20" customHeight="1" thickTop="1" x14ac:dyDescent="0.45">
      <c r="B116" s="157"/>
      <c r="C116" s="158"/>
      <c r="D116" s="159"/>
      <c r="E116" s="159"/>
      <c r="F116" s="159"/>
      <c r="G116" s="159"/>
      <c r="H116" s="159"/>
      <c r="I116" s="159"/>
    </row>
    <row r="117" spans="2:14" ht="20" customHeight="1" thickBot="1" x14ac:dyDescent="0.5">
      <c r="B117" s="33" t="s">
        <v>119</v>
      </c>
      <c r="C117" s="21"/>
      <c r="D117" s="21"/>
      <c r="E117" s="21"/>
      <c r="F117" s="21"/>
      <c r="G117" s="21"/>
      <c r="H117" s="31"/>
      <c r="I117" s="31"/>
      <c r="M117" s="11"/>
    </row>
    <row r="118" spans="2:14" ht="20" customHeight="1" thickTop="1" x14ac:dyDescent="0.45">
      <c r="B118" s="444" t="s">
        <v>120</v>
      </c>
      <c r="C118" s="437" t="s">
        <v>302</v>
      </c>
      <c r="D118" s="434" t="s">
        <v>20</v>
      </c>
      <c r="E118" s="434"/>
      <c r="F118" s="434"/>
      <c r="G118" s="435" t="s">
        <v>188</v>
      </c>
      <c r="H118" s="435"/>
      <c r="I118" s="436"/>
    </row>
    <row r="119" spans="2:14" ht="20" customHeight="1" x14ac:dyDescent="0.45">
      <c r="B119" s="445"/>
      <c r="C119" s="438"/>
      <c r="D119" s="331" t="s">
        <v>115</v>
      </c>
      <c r="E119" s="371" t="s">
        <v>24</v>
      </c>
      <c r="F119" s="371" t="s">
        <v>25</v>
      </c>
      <c r="G119" s="332" t="s">
        <v>115</v>
      </c>
      <c r="H119" s="372" t="s">
        <v>24</v>
      </c>
      <c r="I119" s="373" t="s">
        <v>25</v>
      </c>
    </row>
    <row r="120" spans="2:14" ht="20" customHeight="1" x14ac:dyDescent="0.45">
      <c r="B120" s="83" t="s">
        <v>21</v>
      </c>
      <c r="C120" s="84"/>
      <c r="D120" s="84"/>
      <c r="E120" s="84"/>
      <c r="F120" s="84"/>
      <c r="G120" s="84"/>
      <c r="H120" s="85"/>
      <c r="I120" s="86"/>
    </row>
    <row r="121" spans="2:14" ht="20" customHeight="1" x14ac:dyDescent="0.45">
      <c r="B121" s="55" t="s">
        <v>116</v>
      </c>
      <c r="C121" s="87">
        <f>$E$16*C16</f>
        <v>6000</v>
      </c>
      <c r="D121" s="87">
        <f>F16*C121</f>
        <v>2160</v>
      </c>
      <c r="E121" s="87">
        <f>D121*E17</f>
        <v>1296</v>
      </c>
      <c r="F121" s="87">
        <f>D121*E18</f>
        <v>864</v>
      </c>
      <c r="G121" s="87">
        <f>$G$16*C121</f>
        <v>6000</v>
      </c>
      <c r="H121" s="87">
        <f>G121*$E$17</f>
        <v>3600</v>
      </c>
      <c r="I121" s="88">
        <f>G121*$E$18</f>
        <v>2400</v>
      </c>
    </row>
    <row r="122" spans="2:14" ht="20" customHeight="1" x14ac:dyDescent="0.45">
      <c r="B122" s="55" t="s">
        <v>117</v>
      </c>
      <c r="C122" s="87">
        <f>$E$16*C17</f>
        <v>2400</v>
      </c>
      <c r="D122" s="87"/>
      <c r="E122" s="87"/>
      <c r="F122" s="87"/>
      <c r="G122" s="87">
        <f>$G$16*C122</f>
        <v>2400</v>
      </c>
      <c r="H122" s="87">
        <f>G122*$E$17</f>
        <v>1440</v>
      </c>
      <c r="I122" s="88">
        <f>G122*$E$18</f>
        <v>960</v>
      </c>
    </row>
    <row r="123" spans="2:14" ht="20" customHeight="1" thickBot="1" x14ac:dyDescent="0.5">
      <c r="B123" s="62" t="s">
        <v>118</v>
      </c>
      <c r="C123" s="89">
        <f>$E$16*C18</f>
        <v>1200</v>
      </c>
      <c r="D123" s="89"/>
      <c r="E123" s="89"/>
      <c r="F123" s="89"/>
      <c r="G123" s="89">
        <f>$G$16*C123</f>
        <v>1200</v>
      </c>
      <c r="H123" s="89">
        <f>G123*$E$17</f>
        <v>720</v>
      </c>
      <c r="I123" s="90">
        <f>G123*$E$18</f>
        <v>480</v>
      </c>
    </row>
    <row r="124" spans="2:14" ht="20" customHeight="1" thickTop="1" thickBot="1" x14ac:dyDescent="0.5">
      <c r="C124" s="12"/>
    </row>
    <row r="125" spans="2:14" ht="20" customHeight="1" thickTop="1" x14ac:dyDescent="0.45">
      <c r="B125" s="111" t="s">
        <v>128</v>
      </c>
      <c r="C125" s="333" t="s">
        <v>22</v>
      </c>
      <c r="D125" s="369" t="s">
        <v>26</v>
      </c>
      <c r="E125" s="370" t="s">
        <v>124</v>
      </c>
      <c r="F125" s="441" t="s">
        <v>20</v>
      </c>
      <c r="G125" s="441"/>
      <c r="H125" s="483" t="s">
        <v>196</v>
      </c>
      <c r="I125" s="484"/>
      <c r="J125" s="19"/>
    </row>
    <row r="126" spans="2:14" ht="20" customHeight="1" x14ac:dyDescent="0.45">
      <c r="B126" s="443" t="s">
        <v>21</v>
      </c>
      <c r="C126" s="91"/>
      <c r="D126" s="39">
        <v>10</v>
      </c>
      <c r="E126" s="40" t="s">
        <v>122</v>
      </c>
      <c r="F126" s="442"/>
      <c r="G126" s="442"/>
      <c r="H126" s="485"/>
      <c r="I126" s="486"/>
      <c r="J126" s="35"/>
    </row>
    <row r="127" spans="2:14" ht="20" customHeight="1" x14ac:dyDescent="0.45">
      <c r="B127" s="443"/>
      <c r="C127" s="91"/>
      <c r="D127" s="39">
        <v>20</v>
      </c>
      <c r="E127" s="40" t="s">
        <v>123</v>
      </c>
      <c r="F127" s="365" t="s">
        <v>125</v>
      </c>
      <c r="G127" s="365" t="s">
        <v>126</v>
      </c>
      <c r="H127" s="365" t="s">
        <v>125</v>
      </c>
      <c r="I127" s="366" t="s">
        <v>126</v>
      </c>
      <c r="J127" s="19"/>
    </row>
    <row r="128" spans="2:14" ht="20" customHeight="1" x14ac:dyDescent="0.45">
      <c r="B128" s="55" t="s">
        <v>116</v>
      </c>
      <c r="C128" s="87">
        <v>85</v>
      </c>
      <c r="D128" s="37"/>
      <c r="E128" s="37"/>
      <c r="F128" s="60">
        <f>E121*C128*D126*365/I18</f>
        <v>402.084</v>
      </c>
      <c r="G128" s="60">
        <f>F121*C128*D127*365/I18</f>
        <v>536.11199999999997</v>
      </c>
      <c r="H128" s="60">
        <f>H121*C128*$D$126*365/$I$18</f>
        <v>1116.9000000000001</v>
      </c>
      <c r="I128" s="61">
        <f>I121*C128*$D$127*365/$I$18</f>
        <v>1489.2</v>
      </c>
      <c r="J128" s="19"/>
      <c r="L128" s="12"/>
      <c r="M128" s="12"/>
      <c r="N128" s="12"/>
    </row>
    <row r="129" spans="2:16" ht="20" customHeight="1" x14ac:dyDescent="0.45">
      <c r="B129" s="55" t="s">
        <v>117</v>
      </c>
      <c r="C129" s="87">
        <v>85</v>
      </c>
      <c r="D129" s="37"/>
      <c r="E129" s="37"/>
      <c r="F129" s="60"/>
      <c r="G129" s="60"/>
      <c r="H129" s="60">
        <f>H122*C129*$D$126*365/$I$18</f>
        <v>446.76</v>
      </c>
      <c r="I129" s="61">
        <f>I122*C129*$D$127*365/$I$18</f>
        <v>595.67999999999995</v>
      </c>
      <c r="J129" s="19"/>
      <c r="K129" s="12"/>
      <c r="L129" s="12"/>
      <c r="M129" s="12"/>
    </row>
    <row r="130" spans="2:16" ht="20" customHeight="1" x14ac:dyDescent="0.45">
      <c r="B130" s="92" t="s">
        <v>118</v>
      </c>
      <c r="C130" s="93">
        <v>63</v>
      </c>
      <c r="D130" s="42"/>
      <c r="E130" s="42"/>
      <c r="F130" s="95"/>
      <c r="G130" s="95"/>
      <c r="H130" s="60">
        <f>H123*C130*$D$126*365/$I$18</f>
        <v>165.56399999999999</v>
      </c>
      <c r="I130" s="61">
        <f>I123*C130*$D$127*365/$I$18</f>
        <v>220.75200000000001</v>
      </c>
    </row>
    <row r="131" spans="2:16" ht="20" customHeight="1" thickBot="1" x14ac:dyDescent="0.5">
      <c r="B131" s="430" t="s">
        <v>164</v>
      </c>
      <c r="C131" s="431"/>
      <c r="D131" s="431"/>
      <c r="E131" s="431"/>
      <c r="F131" s="439">
        <f>SUM(F128:F130)+SUM(G128:G130)</f>
        <v>938.19599999999991</v>
      </c>
      <c r="G131" s="439"/>
      <c r="H131" s="439">
        <f>SUM(H128:H130)+SUM(I128:I130)</f>
        <v>4034.8560000000002</v>
      </c>
      <c r="I131" s="440"/>
    </row>
    <row r="132" spans="2:16" ht="20" customHeight="1" thickTop="1" thickBot="1" x14ac:dyDescent="0.5">
      <c r="G132" s="12"/>
      <c r="I132" s="12"/>
    </row>
    <row r="133" spans="2:16" ht="20" customHeight="1" thickTop="1" x14ac:dyDescent="0.45">
      <c r="B133" s="111" t="s">
        <v>139</v>
      </c>
      <c r="C133" s="334" t="s">
        <v>133</v>
      </c>
      <c r="D133" s="334" t="s">
        <v>140</v>
      </c>
      <c r="E133" s="335"/>
      <c r="F133" s="336"/>
      <c r="G133" s="336" t="s">
        <v>142</v>
      </c>
      <c r="H133" s="367" t="s">
        <v>141</v>
      </c>
      <c r="I133" s="368" t="s">
        <v>143</v>
      </c>
    </row>
    <row r="134" spans="2:16" ht="20" customHeight="1" x14ac:dyDescent="0.45">
      <c r="B134" s="55" t="s">
        <v>161</v>
      </c>
      <c r="C134" s="50"/>
      <c r="D134" s="80">
        <v>4000</v>
      </c>
      <c r="E134" s="447" t="s">
        <v>219</v>
      </c>
      <c r="F134" s="97" t="s">
        <v>83</v>
      </c>
      <c r="G134" s="98">
        <f>C90</f>
        <v>0.22876712328767129</v>
      </c>
      <c r="H134" s="306">
        <f t="shared" ref="H134:H139" si="33">G134*$D$138</f>
        <v>86.931506849315085</v>
      </c>
      <c r="I134" s="305">
        <f>H134*E82+H134*D82*I15</f>
        <v>52.158904109589052</v>
      </c>
    </row>
    <row r="135" spans="2:16" ht="20" customHeight="1" x14ac:dyDescent="0.45">
      <c r="B135" s="96" t="s">
        <v>135</v>
      </c>
      <c r="C135" s="49">
        <v>0.95</v>
      </c>
      <c r="D135" s="80">
        <f>C135*D134</f>
        <v>3800</v>
      </c>
      <c r="E135" s="448"/>
      <c r="F135" s="97" t="s">
        <v>84</v>
      </c>
      <c r="G135" s="98">
        <f>C91</f>
        <v>0.11095890410958907</v>
      </c>
      <c r="H135" s="99">
        <f t="shared" si="33"/>
        <v>42.164383561643845</v>
      </c>
      <c r="I135" s="61">
        <f>H135</f>
        <v>42.164383561643845</v>
      </c>
      <c r="N135" s="13"/>
      <c r="O135" s="13"/>
      <c r="P135" s="13"/>
    </row>
    <row r="136" spans="2:16" ht="20" customHeight="1" x14ac:dyDescent="0.45">
      <c r="B136" s="96" t="s">
        <v>136</v>
      </c>
      <c r="C136" s="49">
        <v>0.05</v>
      </c>
      <c r="D136" s="80">
        <f>C136*D134</f>
        <v>200</v>
      </c>
      <c r="E136" s="448"/>
      <c r="F136" s="97" t="s">
        <v>144</v>
      </c>
      <c r="G136" s="98">
        <f>C93</f>
        <v>0.10410958904109592</v>
      </c>
      <c r="H136" s="297">
        <f t="shared" si="33"/>
        <v>39.561643835616451</v>
      </c>
      <c r="I136" s="298">
        <f>H136/(1+C12)</f>
        <v>35.965130759651316</v>
      </c>
      <c r="L136" s="9"/>
      <c r="M136" s="9"/>
      <c r="N136" s="9"/>
      <c r="O136" s="9"/>
      <c r="P136" s="9"/>
    </row>
    <row r="137" spans="2:16" ht="20" customHeight="1" x14ac:dyDescent="0.45">
      <c r="B137" s="55" t="s">
        <v>28</v>
      </c>
      <c r="C137" s="80"/>
      <c r="D137" s="50"/>
      <c r="E137" s="448"/>
      <c r="F137" s="97" t="s">
        <v>145</v>
      </c>
      <c r="G137" s="98">
        <f>C94</f>
        <v>0.27123287671232871</v>
      </c>
      <c r="H137" s="302">
        <f t="shared" si="33"/>
        <v>103.06849315068492</v>
      </c>
      <c r="I137" s="303">
        <f>H137/(1+C13)</f>
        <v>98.160469667318964</v>
      </c>
    </row>
    <row r="138" spans="2:16" ht="20" customHeight="1" x14ac:dyDescent="0.45">
      <c r="B138" s="71" t="s">
        <v>137</v>
      </c>
      <c r="C138" s="49">
        <v>0.1</v>
      </c>
      <c r="D138" s="80">
        <f>C138*D135</f>
        <v>380</v>
      </c>
      <c r="E138" s="448"/>
      <c r="F138" s="97" t="s">
        <v>146</v>
      </c>
      <c r="G138" s="98">
        <f>C96</f>
        <v>8.9041095890410996E-2</v>
      </c>
      <c r="H138" s="297">
        <f t="shared" si="33"/>
        <v>33.835616438356176</v>
      </c>
      <c r="I138" s="298">
        <f>H138/(1+C12)</f>
        <v>30.759651307596521</v>
      </c>
    </row>
    <row r="139" spans="2:16" ht="20" customHeight="1" x14ac:dyDescent="0.45">
      <c r="B139" s="71" t="s">
        <v>138</v>
      </c>
      <c r="C139" s="49">
        <v>0.2</v>
      </c>
      <c r="D139" s="80">
        <f>C139*D136</f>
        <v>40</v>
      </c>
      <c r="E139" s="448"/>
      <c r="F139" s="97" t="s">
        <v>147</v>
      </c>
      <c r="G139" s="98">
        <f>C97</f>
        <v>0.19589041095890403</v>
      </c>
      <c r="H139" s="302">
        <f t="shared" si="33"/>
        <v>74.438356164383535</v>
      </c>
      <c r="I139" s="303">
        <f>H139/(1+C13)</f>
        <v>70.893672537508124</v>
      </c>
    </row>
    <row r="140" spans="2:16" s="19" customFormat="1" ht="20" customHeight="1" x14ac:dyDescent="0.45">
      <c r="B140" s="449" t="s">
        <v>163</v>
      </c>
      <c r="C140" s="450"/>
      <c r="D140" s="450"/>
      <c r="E140" s="450"/>
      <c r="F140" s="259"/>
      <c r="G140" s="260"/>
      <c r="H140" s="261">
        <f>SUM(H134:H139)</f>
        <v>380</v>
      </c>
      <c r="I140" s="262">
        <f>SUM(I134:I139)</f>
        <v>330.10221194330779</v>
      </c>
    </row>
    <row r="141" spans="2:16" s="19" customFormat="1" ht="20" customHeight="1" thickBot="1" x14ac:dyDescent="0.5">
      <c r="B141" s="451" t="s">
        <v>162</v>
      </c>
      <c r="C141" s="452"/>
      <c r="D141" s="452"/>
      <c r="E141" s="452"/>
      <c r="F141" s="263"/>
      <c r="G141" s="264"/>
      <c r="H141" s="265">
        <f>H140*$F$16</f>
        <v>136.79999999999998</v>
      </c>
      <c r="I141" s="266">
        <f>I140*$F$16</f>
        <v>118.8367962995908</v>
      </c>
    </row>
    <row r="142" spans="2:16" s="19" customFormat="1" ht="20" customHeight="1" thickTop="1" thickBot="1" x14ac:dyDescent="0.5">
      <c r="F142" s="43"/>
      <c r="G142" s="17"/>
      <c r="H142" s="17"/>
    </row>
    <row r="143" spans="2:16" ht="20" customHeight="1" thickTop="1" x14ac:dyDescent="0.45">
      <c r="B143" s="112" t="s">
        <v>148</v>
      </c>
      <c r="C143" s="337" t="s">
        <v>22</v>
      </c>
      <c r="D143" s="355" t="s">
        <v>26</v>
      </c>
      <c r="E143" s="356" t="s">
        <v>124</v>
      </c>
      <c r="F143" s="454" t="s">
        <v>20</v>
      </c>
      <c r="G143" s="454"/>
      <c r="H143" s="458" t="s">
        <v>190</v>
      </c>
      <c r="I143" s="459"/>
    </row>
    <row r="144" spans="2:16" ht="20" customHeight="1" x14ac:dyDescent="0.45">
      <c r="B144" s="453" t="s">
        <v>21</v>
      </c>
      <c r="C144" s="91"/>
      <c r="D144" s="39">
        <v>3.5</v>
      </c>
      <c r="E144" s="40" t="s">
        <v>122</v>
      </c>
      <c r="F144" s="455"/>
      <c r="G144" s="455"/>
      <c r="H144" s="460"/>
      <c r="I144" s="461"/>
    </row>
    <row r="145" spans="2:9" ht="20" customHeight="1" x14ac:dyDescent="0.45">
      <c r="B145" s="453"/>
      <c r="C145" s="91"/>
      <c r="D145" s="39">
        <v>20</v>
      </c>
      <c r="E145" s="40" t="s">
        <v>123</v>
      </c>
      <c r="F145" s="365" t="s">
        <v>129</v>
      </c>
      <c r="G145" s="365" t="s">
        <v>130</v>
      </c>
      <c r="H145" s="365" t="s">
        <v>129</v>
      </c>
      <c r="I145" s="366" t="s">
        <v>130</v>
      </c>
    </row>
    <row r="146" spans="2:9" ht="20" customHeight="1" x14ac:dyDescent="0.45">
      <c r="B146" s="55" t="s">
        <v>116</v>
      </c>
      <c r="C146" s="87">
        <f>C128</f>
        <v>85</v>
      </c>
      <c r="D146" s="19"/>
      <c r="E146" s="19"/>
      <c r="F146" s="60">
        <f>E121*C146*D144*365/I18</f>
        <v>140.7294</v>
      </c>
      <c r="G146" s="60">
        <f>F121*C146*D145*365/I18</f>
        <v>536.11199999999997</v>
      </c>
      <c r="H146" s="60">
        <f>H121*C146*$D$144*365/$I$18</f>
        <v>390.91500000000002</v>
      </c>
      <c r="I146" s="61">
        <f>I121*C146*$D$145*365/$I$18</f>
        <v>1489.2</v>
      </c>
    </row>
    <row r="147" spans="2:9" ht="20" customHeight="1" x14ac:dyDescent="0.45">
      <c r="B147" s="55" t="s">
        <v>117</v>
      </c>
      <c r="C147" s="87">
        <f>C129</f>
        <v>85</v>
      </c>
      <c r="D147" s="19"/>
      <c r="E147" s="19"/>
      <c r="F147" s="60"/>
      <c r="G147" s="60"/>
      <c r="H147" s="60">
        <f>H122*C147*$D$144*365/$I$18</f>
        <v>156.36600000000001</v>
      </c>
      <c r="I147" s="61">
        <f>I122*C147*$D$145*365/$I$18</f>
        <v>595.67999999999995</v>
      </c>
    </row>
    <row r="148" spans="2:9" ht="20" customHeight="1" x14ac:dyDescent="0.45">
      <c r="B148" s="92" t="s">
        <v>118</v>
      </c>
      <c r="C148" s="93">
        <f>C130</f>
        <v>63</v>
      </c>
      <c r="D148" s="16"/>
      <c r="E148" s="16"/>
      <c r="F148" s="95"/>
      <c r="G148" s="95"/>
      <c r="H148" s="60">
        <f>H123*C148*$D$144*365/$I$18</f>
        <v>57.947400000000002</v>
      </c>
      <c r="I148" s="61">
        <f>I123*C148*$D$145*365/$I$18</f>
        <v>220.75200000000001</v>
      </c>
    </row>
    <row r="149" spans="2:9" ht="20" customHeight="1" thickBot="1" x14ac:dyDescent="0.5">
      <c r="B149" s="430" t="s">
        <v>165</v>
      </c>
      <c r="C149" s="431"/>
      <c r="D149" s="431"/>
      <c r="E149" s="431"/>
      <c r="F149" s="439">
        <f>SUM(F146:F148)+SUM(G146:G148)</f>
        <v>676.84140000000002</v>
      </c>
      <c r="G149" s="439"/>
      <c r="H149" s="439">
        <f>SUM(H146:H148)+SUM(I146:I148)</f>
        <v>2910.8604</v>
      </c>
      <c r="I149" s="440"/>
    </row>
    <row r="150" spans="2:9" ht="20" customHeight="1" thickTop="1" thickBot="1" x14ac:dyDescent="0.5">
      <c r="B150" s="44"/>
      <c r="C150" s="44"/>
      <c r="D150" s="45"/>
      <c r="E150" s="45"/>
      <c r="F150" s="46"/>
      <c r="G150" s="46"/>
      <c r="H150" s="46"/>
      <c r="I150" s="46"/>
    </row>
    <row r="151" spans="2:9" ht="20" customHeight="1" thickTop="1" x14ac:dyDescent="0.45">
      <c r="B151" s="112" t="s">
        <v>151</v>
      </c>
      <c r="C151" s="337" t="s">
        <v>22</v>
      </c>
      <c r="D151" s="355" t="s">
        <v>26</v>
      </c>
      <c r="E151" s="356" t="s">
        <v>124</v>
      </c>
      <c r="F151" s="481" t="s">
        <v>20</v>
      </c>
      <c r="G151" s="481"/>
      <c r="H151" s="487" t="s">
        <v>195</v>
      </c>
      <c r="I151" s="488"/>
    </row>
    <row r="152" spans="2:9" ht="20" customHeight="1" x14ac:dyDescent="0.45">
      <c r="B152" s="453" t="s">
        <v>21</v>
      </c>
      <c r="C152" s="91"/>
      <c r="D152" s="39">
        <v>0.2</v>
      </c>
      <c r="E152" s="40" t="s">
        <v>122</v>
      </c>
      <c r="F152" s="482"/>
      <c r="G152" s="482"/>
      <c r="H152" s="489"/>
      <c r="I152" s="490"/>
    </row>
    <row r="153" spans="2:9" ht="47" customHeight="1" x14ac:dyDescent="0.45">
      <c r="B153" s="453"/>
      <c r="C153" s="91"/>
      <c r="D153" s="39">
        <v>0.4</v>
      </c>
      <c r="E153" s="40" t="s">
        <v>123</v>
      </c>
      <c r="F153" s="363" t="s">
        <v>152</v>
      </c>
      <c r="G153" s="363" t="s">
        <v>153</v>
      </c>
      <c r="H153" s="363" t="s">
        <v>152</v>
      </c>
      <c r="I153" s="364" t="s">
        <v>153</v>
      </c>
    </row>
    <row r="154" spans="2:9" ht="20" customHeight="1" x14ac:dyDescent="0.45">
      <c r="B154" s="55" t="s">
        <v>116</v>
      </c>
      <c r="C154" s="87">
        <f>C146</f>
        <v>85</v>
      </c>
      <c r="D154" s="19"/>
      <c r="E154" s="19"/>
      <c r="F154" s="60">
        <f>E121*C154*D152*365/I18</f>
        <v>8.0416799999999995</v>
      </c>
      <c r="G154" s="60">
        <f>F121*C154*D153*365/I18</f>
        <v>10.722239999999999</v>
      </c>
      <c r="H154" s="60">
        <f>H121*C154*$D$152*365/$I$18</f>
        <v>22.338000000000001</v>
      </c>
      <c r="I154" s="61">
        <f>C154*I121*$D$153*365/$I$18</f>
        <v>29.783999999999999</v>
      </c>
    </row>
    <row r="155" spans="2:9" ht="20" customHeight="1" x14ac:dyDescent="0.45">
      <c r="B155" s="55" t="s">
        <v>117</v>
      </c>
      <c r="C155" s="87">
        <f>C147</f>
        <v>85</v>
      </c>
      <c r="D155" s="19"/>
      <c r="E155" s="19"/>
      <c r="F155" s="60"/>
      <c r="G155" s="60"/>
      <c r="H155" s="60">
        <f>H122*C155*$D$152*365/$I$18</f>
        <v>8.9352</v>
      </c>
      <c r="I155" s="61">
        <f>C155*I122*$D$153*365/$I$18</f>
        <v>11.913600000000001</v>
      </c>
    </row>
    <row r="156" spans="2:9" ht="20" customHeight="1" x14ac:dyDescent="0.45">
      <c r="B156" s="92" t="s">
        <v>118</v>
      </c>
      <c r="C156" s="93">
        <f>C148</f>
        <v>63</v>
      </c>
      <c r="D156" s="16"/>
      <c r="E156" s="16"/>
      <c r="F156" s="95"/>
      <c r="G156" s="95"/>
      <c r="H156" s="60">
        <f>H123*C156*$D$152*365/$I$18</f>
        <v>3.31128</v>
      </c>
      <c r="I156" s="61">
        <f>C156*I123*$D$153*365/$I$18</f>
        <v>4.4150400000000003</v>
      </c>
    </row>
    <row r="157" spans="2:9" ht="20" customHeight="1" thickBot="1" x14ac:dyDescent="0.5">
      <c r="B157" s="430" t="s">
        <v>166</v>
      </c>
      <c r="C157" s="431"/>
      <c r="D157" s="431"/>
      <c r="E157" s="431"/>
      <c r="F157" s="439">
        <f>SUM(F154:F156)+SUM(G154:G156)</f>
        <v>18.763919999999999</v>
      </c>
      <c r="G157" s="439"/>
      <c r="H157" s="439">
        <f>SUM(H154:H156)+SUM(I154:I156)</f>
        <v>80.697119999999998</v>
      </c>
      <c r="I157" s="440"/>
    </row>
    <row r="158" spans="2:9" ht="20" customHeight="1" thickTop="1" x14ac:dyDescent="0.45">
      <c r="B158" s="44"/>
      <c r="C158" s="44"/>
      <c r="D158" s="45"/>
      <c r="E158" s="45"/>
      <c r="F158" s="46"/>
      <c r="G158" s="46"/>
      <c r="H158" s="46"/>
      <c r="I158" s="46"/>
    </row>
    <row r="159" spans="2:9" ht="20" customHeight="1" thickBot="1" x14ac:dyDescent="0.5">
      <c r="B159" s="29"/>
    </row>
    <row r="160" spans="2:9" ht="20" customHeight="1" thickTop="1" x14ac:dyDescent="0.45">
      <c r="B160" s="113" t="s">
        <v>156</v>
      </c>
      <c r="C160" s="337" t="s">
        <v>16</v>
      </c>
      <c r="D160" s="337" t="s">
        <v>154</v>
      </c>
      <c r="E160" s="337" t="s">
        <v>155</v>
      </c>
      <c r="F160" s="462" t="s">
        <v>24</v>
      </c>
      <c r="G160" s="463"/>
      <c r="H160" s="463"/>
      <c r="I160" s="338" t="s">
        <v>25</v>
      </c>
    </row>
    <row r="161" spans="2:9" ht="20" customHeight="1" x14ac:dyDescent="0.45">
      <c r="B161" s="100" t="s">
        <v>157</v>
      </c>
      <c r="C161" s="50"/>
      <c r="D161" s="102">
        <v>16</v>
      </c>
      <c r="E161" s="103">
        <v>1.5</v>
      </c>
      <c r="F161" s="360" t="s">
        <v>29</v>
      </c>
      <c r="G161" s="360" t="s">
        <v>30</v>
      </c>
      <c r="H161" s="360" t="s">
        <v>31</v>
      </c>
      <c r="I161" s="361" t="s">
        <v>29</v>
      </c>
    </row>
    <row r="162" spans="2:9" ht="20" customHeight="1" x14ac:dyDescent="0.45">
      <c r="B162" s="100" t="s">
        <v>158</v>
      </c>
      <c r="C162" s="50"/>
      <c r="D162" s="85"/>
      <c r="E162" s="85"/>
      <c r="F162" s="106">
        <v>0.15</v>
      </c>
      <c r="G162" s="106">
        <v>0.52</v>
      </c>
      <c r="H162" s="106">
        <v>0.33</v>
      </c>
      <c r="I162" s="107">
        <v>1</v>
      </c>
    </row>
    <row r="163" spans="2:9" ht="20" customHeight="1" x14ac:dyDescent="0.45">
      <c r="B163" s="72" t="s">
        <v>21</v>
      </c>
      <c r="C163" s="50"/>
      <c r="D163" s="85"/>
      <c r="E163" s="85"/>
      <c r="F163" s="466" t="s">
        <v>159</v>
      </c>
      <c r="G163" s="466"/>
      <c r="H163" s="466"/>
      <c r="I163" s="467"/>
    </row>
    <row r="164" spans="2:9" ht="20" customHeight="1" x14ac:dyDescent="0.45">
      <c r="B164" s="55" t="s">
        <v>116</v>
      </c>
      <c r="C164" s="87">
        <v>2017</v>
      </c>
      <c r="D164" s="87">
        <f>E121*C154*D161</f>
        <v>1762560</v>
      </c>
      <c r="E164" s="87">
        <f>F121*C146*E161</f>
        <v>110160</v>
      </c>
      <c r="F164" s="87">
        <f>$D164*F$162</f>
        <v>264384</v>
      </c>
      <c r="G164" s="87">
        <f>$D164*G$162</f>
        <v>916531.20000000007</v>
      </c>
      <c r="H164" s="87">
        <f>$D164*H$162</f>
        <v>581644.80000000005</v>
      </c>
      <c r="I164" s="88">
        <f>E164</f>
        <v>110160</v>
      </c>
    </row>
    <row r="165" spans="2:9" ht="20" customHeight="1" x14ac:dyDescent="0.45">
      <c r="B165" s="55"/>
      <c r="C165" s="479" t="s">
        <v>195</v>
      </c>
      <c r="D165" s="87">
        <f>H121*C154*$D$161</f>
        <v>4896000</v>
      </c>
      <c r="E165" s="87">
        <f>I121*C154*$E$161</f>
        <v>306000</v>
      </c>
      <c r="F165" s="87">
        <f>$D165*F$162</f>
        <v>734400</v>
      </c>
      <c r="G165" s="87">
        <f t="shared" ref="G165:H167" si="34">$D165*G$162</f>
        <v>2545920</v>
      </c>
      <c r="H165" s="87">
        <f t="shared" si="34"/>
        <v>1615680</v>
      </c>
      <c r="I165" s="88">
        <f t="shared" ref="I165:I167" si="35">E165</f>
        <v>306000</v>
      </c>
    </row>
    <row r="166" spans="2:9" ht="20" customHeight="1" x14ac:dyDescent="0.45">
      <c r="B166" s="55" t="s">
        <v>117</v>
      </c>
      <c r="C166" s="479"/>
      <c r="D166" s="87">
        <f t="shared" ref="D166:D167" si="36">H122*C155*$D$161</f>
        <v>1958400</v>
      </c>
      <c r="E166" s="87">
        <f t="shared" ref="E166:E167" si="37">I122*C155*$E$161</f>
        <v>122400</v>
      </c>
      <c r="F166" s="87">
        <f>$D166*F$162</f>
        <v>293760</v>
      </c>
      <c r="G166" s="87">
        <f t="shared" si="34"/>
        <v>1018368</v>
      </c>
      <c r="H166" s="87">
        <f t="shared" si="34"/>
        <v>646272</v>
      </c>
      <c r="I166" s="88">
        <f t="shared" si="35"/>
        <v>122400</v>
      </c>
    </row>
    <row r="167" spans="2:9" ht="20" customHeight="1" thickBot="1" x14ac:dyDescent="0.5">
      <c r="B167" s="62" t="s">
        <v>118</v>
      </c>
      <c r="C167" s="480"/>
      <c r="D167" s="89">
        <f t="shared" si="36"/>
        <v>725760</v>
      </c>
      <c r="E167" s="89">
        <f t="shared" si="37"/>
        <v>45360</v>
      </c>
      <c r="F167" s="89">
        <f t="shared" ref="F167" si="38">$D167*F$162</f>
        <v>108864</v>
      </c>
      <c r="G167" s="89">
        <f t="shared" si="34"/>
        <v>377395.20000000001</v>
      </c>
      <c r="H167" s="89">
        <f t="shared" si="34"/>
        <v>239500.80000000002</v>
      </c>
      <c r="I167" s="90">
        <f t="shared" si="35"/>
        <v>45360</v>
      </c>
    </row>
    <row r="168" spans="2:9" ht="20" customHeight="1" thickTop="1" thickBot="1" x14ac:dyDescent="0.5">
      <c r="C168" s="11"/>
    </row>
    <row r="169" spans="2:9" ht="20" customHeight="1" thickTop="1" x14ac:dyDescent="0.45">
      <c r="B169" s="505" t="s">
        <v>21</v>
      </c>
      <c r="C169" s="337"/>
      <c r="D169" s="462" t="s">
        <v>24</v>
      </c>
      <c r="E169" s="463"/>
      <c r="F169" s="463"/>
      <c r="G169" s="337" t="s">
        <v>25</v>
      </c>
      <c r="H169" s="468" t="s">
        <v>27</v>
      </c>
      <c r="I169" s="469"/>
    </row>
    <row r="170" spans="2:9" ht="20" customHeight="1" x14ac:dyDescent="0.45">
      <c r="B170" s="443"/>
      <c r="C170" s="191" t="s">
        <v>32</v>
      </c>
      <c r="D170" s="506">
        <v>0.7</v>
      </c>
      <c r="E170" s="507"/>
      <c r="F170" s="507"/>
      <c r="G170" s="339">
        <v>0.45</v>
      </c>
      <c r="H170" s="472" t="s">
        <v>20</v>
      </c>
      <c r="I170" s="475" t="s">
        <v>189</v>
      </c>
    </row>
    <row r="171" spans="2:9" ht="20" customHeight="1" x14ac:dyDescent="0.45">
      <c r="B171" s="443"/>
      <c r="C171" s="191" t="s">
        <v>244</v>
      </c>
      <c r="D171" s="362" t="s">
        <v>29</v>
      </c>
      <c r="E171" s="362" t="s">
        <v>30</v>
      </c>
      <c r="F171" s="362" t="s">
        <v>31</v>
      </c>
      <c r="G171" s="362" t="s">
        <v>29</v>
      </c>
      <c r="H171" s="473"/>
      <c r="I171" s="476"/>
    </row>
    <row r="172" spans="2:9" ht="20" customHeight="1" x14ac:dyDescent="0.45">
      <c r="B172" s="443"/>
      <c r="C172" s="191" t="s">
        <v>160</v>
      </c>
      <c r="D172" s="340">
        <v>6</v>
      </c>
      <c r="E172" s="340">
        <v>5</v>
      </c>
      <c r="F172" s="340">
        <v>4</v>
      </c>
      <c r="G172" s="340">
        <v>6</v>
      </c>
      <c r="H172" s="474"/>
      <c r="I172" s="477"/>
    </row>
    <row r="173" spans="2:9" ht="20" customHeight="1" x14ac:dyDescent="0.45">
      <c r="B173" s="55" t="s">
        <v>116</v>
      </c>
      <c r="C173" s="80" t="s">
        <v>20</v>
      </c>
      <c r="D173" s="101">
        <f t="shared" ref="D173:F176" si="39">F164*D$172*$D$170*365/$I$18</f>
        <v>405.30067199999996</v>
      </c>
      <c r="E173" s="101">
        <f t="shared" si="39"/>
        <v>1170.868608</v>
      </c>
      <c r="F173" s="101">
        <f t="shared" si="39"/>
        <v>594.44098559999998</v>
      </c>
      <c r="G173" s="101">
        <f>I164*$G$172*$G$170*365/$I$18</f>
        <v>108.56268</v>
      </c>
      <c r="H173" s="101">
        <f>SUM(D173:G173)</f>
        <v>2279.1729456000003</v>
      </c>
      <c r="I173" s="104"/>
    </row>
    <row r="174" spans="2:9" ht="20" customHeight="1" x14ac:dyDescent="0.45">
      <c r="B174" s="55"/>
      <c r="C174" s="478" t="s">
        <v>195</v>
      </c>
      <c r="D174" s="101">
        <f t="shared" si="39"/>
        <v>1125.8352</v>
      </c>
      <c r="E174" s="101">
        <f t="shared" si="39"/>
        <v>3252.4128000000001</v>
      </c>
      <c r="F174" s="101">
        <f t="shared" si="39"/>
        <v>1651.22496</v>
      </c>
      <c r="G174" s="101">
        <f>I165*$G$172*$G$170*365/$I$18</f>
        <v>301.56299999999999</v>
      </c>
      <c r="H174" s="50"/>
      <c r="I174" s="105">
        <f>SUM(D174:G174)</f>
        <v>6331.0359599999992</v>
      </c>
    </row>
    <row r="175" spans="2:9" ht="20" customHeight="1" x14ac:dyDescent="0.45">
      <c r="B175" s="55" t="s">
        <v>117</v>
      </c>
      <c r="C175" s="478"/>
      <c r="D175" s="101">
        <f t="shared" si="39"/>
        <v>450.33407999999997</v>
      </c>
      <c r="E175" s="101">
        <f t="shared" si="39"/>
        <v>1300.9651200000001</v>
      </c>
      <c r="F175" s="101">
        <f t="shared" si="39"/>
        <v>660.48998400000005</v>
      </c>
      <c r="G175" s="101">
        <f>I166*$G$172*$G$170*365/$I$18</f>
        <v>120.62520000000001</v>
      </c>
      <c r="H175" s="50"/>
      <c r="I175" s="105">
        <f>SUM(D175:G175)</f>
        <v>2532.4143840000002</v>
      </c>
    </row>
    <row r="176" spans="2:9" ht="20" customHeight="1" x14ac:dyDescent="0.45">
      <c r="B176" s="55" t="s">
        <v>118</v>
      </c>
      <c r="C176" s="478"/>
      <c r="D176" s="101">
        <f t="shared" si="39"/>
        <v>166.88851199999999</v>
      </c>
      <c r="E176" s="101">
        <f t="shared" si="39"/>
        <v>482.12236799999999</v>
      </c>
      <c r="F176" s="101">
        <f t="shared" si="39"/>
        <v>244.76981759999998</v>
      </c>
      <c r="G176" s="101">
        <f>I167*$G$172*$G$170*365/$I$18</f>
        <v>44.702280000000002</v>
      </c>
      <c r="H176" s="50"/>
      <c r="I176" s="105">
        <f>SUM(D176:G176)</f>
        <v>938.48297760000003</v>
      </c>
    </row>
    <row r="177" spans="2:10" ht="20" customHeight="1" thickBot="1" x14ac:dyDescent="0.5">
      <c r="B177" s="470" t="s">
        <v>167</v>
      </c>
      <c r="C177" s="471"/>
      <c r="D177" s="471"/>
      <c r="E177" s="471"/>
      <c r="F177" s="253"/>
      <c r="G177" s="253"/>
      <c r="H177" s="253">
        <f>SUM(H173:H176)</f>
        <v>2279.1729456000003</v>
      </c>
      <c r="I177" s="254">
        <f t="shared" ref="I177" si="40">SUM(I173:I176)</f>
        <v>9801.9333215999995</v>
      </c>
    </row>
    <row r="178" spans="2:10" ht="20" customHeight="1" thickTop="1" thickBot="1" x14ac:dyDescent="0.5">
      <c r="B178" s="44"/>
      <c r="C178" s="44"/>
      <c r="D178" s="45"/>
      <c r="E178" s="45"/>
      <c r="F178" s="46"/>
      <c r="G178" s="46"/>
      <c r="H178" s="46"/>
      <c r="I178" s="46"/>
    </row>
    <row r="179" spans="2:10" ht="20" customHeight="1" thickTop="1" x14ac:dyDescent="0.45">
      <c r="B179" s="111" t="s">
        <v>187</v>
      </c>
      <c r="C179" s="134">
        <v>2013</v>
      </c>
      <c r="D179" s="134">
        <v>2014</v>
      </c>
      <c r="E179" s="134">
        <v>2015</v>
      </c>
      <c r="F179" s="115">
        <v>2016</v>
      </c>
      <c r="G179" s="115">
        <v>2017</v>
      </c>
      <c r="H179" s="115">
        <v>2018</v>
      </c>
      <c r="I179" s="116" t="s">
        <v>188</v>
      </c>
      <c r="J179" s="35"/>
    </row>
    <row r="180" spans="2:10" ht="20" customHeight="1" x14ac:dyDescent="0.45">
      <c r="B180" s="55" t="s">
        <v>168</v>
      </c>
      <c r="C180" s="133">
        <v>4000</v>
      </c>
      <c r="D180" s="51"/>
      <c r="E180" s="51"/>
      <c r="F180" s="50"/>
      <c r="G180" s="50"/>
      <c r="H180" s="50"/>
      <c r="I180" s="53"/>
      <c r="J180" s="36"/>
    </row>
    <row r="181" spans="2:10" ht="20" customHeight="1" x14ac:dyDescent="0.45">
      <c r="B181" s="71" t="s">
        <v>149</v>
      </c>
      <c r="C181" s="49">
        <v>0.2</v>
      </c>
      <c r="D181" s="97"/>
      <c r="E181" s="97"/>
      <c r="F181" s="97"/>
      <c r="G181" s="60">
        <f>$F$16*$C181*$C$180</f>
        <v>288</v>
      </c>
      <c r="H181" s="60">
        <f>$F$16*$C181*$C$180</f>
        <v>288</v>
      </c>
      <c r="I181" s="61">
        <f>C180*C181</f>
        <v>800</v>
      </c>
      <c r="J181" s="36"/>
    </row>
    <row r="182" spans="2:10" ht="20" customHeight="1" x14ac:dyDescent="0.45">
      <c r="B182" s="71" t="s">
        <v>150</v>
      </c>
      <c r="C182" s="49">
        <v>0.4</v>
      </c>
      <c r="D182" s="97"/>
      <c r="E182" s="97"/>
      <c r="F182" s="97"/>
      <c r="G182" s="60">
        <f>$C182*G181</f>
        <v>115.2</v>
      </c>
      <c r="H182" s="60">
        <f t="shared" ref="H182" si="41">$C182*H181</f>
        <v>115.2</v>
      </c>
      <c r="I182" s="61">
        <f>I181*C182</f>
        <v>320</v>
      </c>
      <c r="J182" s="36"/>
    </row>
    <row r="183" spans="2:10" ht="20" customHeight="1" thickBot="1" x14ac:dyDescent="0.5">
      <c r="B183" s="456" t="s">
        <v>194</v>
      </c>
      <c r="C183" s="457"/>
      <c r="D183" s="457"/>
      <c r="E183" s="457"/>
      <c r="F183" s="249"/>
      <c r="G183" s="258">
        <f>G182</f>
        <v>115.2</v>
      </c>
      <c r="H183" s="258">
        <f t="shared" ref="H183:I183" si="42">H182</f>
        <v>115.2</v>
      </c>
      <c r="I183" s="251">
        <f t="shared" si="42"/>
        <v>320</v>
      </c>
      <c r="J183" s="41"/>
    </row>
    <row r="184" spans="2:10" ht="20" customHeight="1" thickTop="1" x14ac:dyDescent="0.45">
      <c r="B184" s="19"/>
      <c r="C184" s="27"/>
      <c r="D184" s="32"/>
      <c r="E184" s="37"/>
      <c r="F184" s="41"/>
    </row>
    <row r="185" spans="2:10" ht="20" customHeight="1" thickBot="1" x14ac:dyDescent="0.5">
      <c r="B185" s="114" t="s">
        <v>301</v>
      </c>
      <c r="C185" s="19"/>
      <c r="D185" s="19"/>
      <c r="E185" s="19"/>
      <c r="F185" s="19"/>
      <c r="G185" s="19"/>
      <c r="H185" s="30"/>
      <c r="I185" s="30"/>
    </row>
    <row r="186" spans="2:10" ht="20" customHeight="1" thickTop="1" x14ac:dyDescent="0.45">
      <c r="B186" s="108" t="s">
        <v>191</v>
      </c>
      <c r="C186" s="341"/>
      <c r="D186" s="341"/>
      <c r="E186" s="342" t="s">
        <v>22</v>
      </c>
      <c r="F186" s="343" t="s">
        <v>23</v>
      </c>
      <c r="G186" s="343" t="s">
        <v>19</v>
      </c>
      <c r="H186" s="342" t="s">
        <v>24</v>
      </c>
      <c r="I186" s="344" t="s">
        <v>25</v>
      </c>
    </row>
    <row r="187" spans="2:10" ht="20" customHeight="1" x14ac:dyDescent="0.45">
      <c r="B187" s="126" t="s">
        <v>21</v>
      </c>
      <c r="C187" s="132"/>
      <c r="D187" s="132"/>
      <c r="E187" s="94"/>
      <c r="F187" s="94"/>
      <c r="G187" s="358">
        <v>0.3</v>
      </c>
      <c r="H187" s="357">
        <v>0.6</v>
      </c>
      <c r="I187" s="359">
        <v>0.4</v>
      </c>
    </row>
    <row r="188" spans="2:10" ht="20" customHeight="1" x14ac:dyDescent="0.45">
      <c r="B188" s="126" t="s">
        <v>116</v>
      </c>
      <c r="C188" s="132"/>
      <c r="D188" s="132"/>
      <c r="E188" s="127">
        <v>85</v>
      </c>
      <c r="F188" s="127">
        <f>C16</f>
        <v>10000</v>
      </c>
      <c r="G188" s="127">
        <f>F188*$G$187</f>
        <v>3000</v>
      </c>
      <c r="H188" s="127">
        <f>$G$188*H187</f>
        <v>1800</v>
      </c>
      <c r="I188" s="128">
        <f>$G$188*I187</f>
        <v>1200</v>
      </c>
    </row>
    <row r="189" spans="2:10" ht="20" customHeight="1" x14ac:dyDescent="0.45">
      <c r="B189" s="126" t="s">
        <v>117</v>
      </c>
      <c r="C189" s="132"/>
      <c r="D189" s="132"/>
      <c r="E189" s="127">
        <v>85</v>
      </c>
      <c r="F189" s="127">
        <f>C17</f>
        <v>4000</v>
      </c>
      <c r="G189" s="127">
        <f>F189*$G$187</f>
        <v>1200</v>
      </c>
      <c r="H189" s="127">
        <f>G189*H187</f>
        <v>720</v>
      </c>
      <c r="I189" s="128">
        <f>G189*I187</f>
        <v>480</v>
      </c>
    </row>
    <row r="190" spans="2:10" ht="20" customHeight="1" thickBot="1" x14ac:dyDescent="0.5">
      <c r="B190" s="129" t="s">
        <v>118</v>
      </c>
      <c r="C190" s="135"/>
      <c r="D190" s="135"/>
      <c r="E190" s="130">
        <v>63</v>
      </c>
      <c r="F190" s="130">
        <f>C18</f>
        <v>2000</v>
      </c>
      <c r="G190" s="130">
        <f>F190*$G$187</f>
        <v>600</v>
      </c>
      <c r="H190" s="130">
        <f>G190*H187</f>
        <v>360</v>
      </c>
      <c r="I190" s="131">
        <f>G190*I187</f>
        <v>240</v>
      </c>
    </row>
    <row r="191" spans="2:10" ht="20" customHeight="1" thickTop="1" thickBot="1" x14ac:dyDescent="0.5">
      <c r="B191" s="132"/>
      <c r="C191" s="132"/>
      <c r="D191" s="132"/>
      <c r="E191" s="127"/>
      <c r="F191" s="127"/>
      <c r="G191" s="127"/>
      <c r="H191" s="127"/>
      <c r="I191" s="127"/>
    </row>
    <row r="192" spans="2:10" ht="20" customHeight="1" thickTop="1" x14ac:dyDescent="0.45">
      <c r="B192" s="112" t="s">
        <v>193</v>
      </c>
      <c r="C192" s="345"/>
      <c r="D192" s="345"/>
      <c r="E192" s="337" t="s">
        <v>22</v>
      </c>
      <c r="F192" s="355" t="s">
        <v>26</v>
      </c>
      <c r="G192" s="356" t="s">
        <v>124</v>
      </c>
      <c r="H192" s="428" t="s">
        <v>192</v>
      </c>
      <c r="I192" s="429"/>
    </row>
    <row r="193" spans="2:11" ht="20" customHeight="1" x14ac:dyDescent="0.45">
      <c r="B193" s="443" t="s">
        <v>21</v>
      </c>
      <c r="C193" s="91"/>
      <c r="D193" s="91"/>
      <c r="E193" s="91"/>
      <c r="F193" s="39">
        <v>3.5</v>
      </c>
      <c r="G193" s="40" t="s">
        <v>122</v>
      </c>
      <c r="H193" s="513" t="s">
        <v>129</v>
      </c>
      <c r="I193" s="515" t="s">
        <v>130</v>
      </c>
    </row>
    <row r="194" spans="2:11" ht="20" customHeight="1" x14ac:dyDescent="0.45">
      <c r="B194" s="443"/>
      <c r="C194" s="91"/>
      <c r="D194" s="91"/>
      <c r="E194" s="91"/>
      <c r="F194" s="39">
        <v>20</v>
      </c>
      <c r="G194" s="40" t="s">
        <v>123</v>
      </c>
      <c r="H194" s="514"/>
      <c r="I194" s="516"/>
    </row>
    <row r="195" spans="2:11" ht="20" customHeight="1" x14ac:dyDescent="0.45">
      <c r="B195" s="55" t="s">
        <v>116</v>
      </c>
      <c r="C195" s="50"/>
      <c r="D195" s="50"/>
      <c r="E195" s="87">
        <f>C154</f>
        <v>85</v>
      </c>
      <c r="F195" s="19"/>
      <c r="G195" s="19"/>
      <c r="H195" s="60">
        <f>H188*E195*$F$193*365/$I$18</f>
        <v>195.45750000000001</v>
      </c>
      <c r="I195" s="61">
        <f>I188*E195*$F$194*365/$I$18</f>
        <v>744.6</v>
      </c>
    </row>
    <row r="196" spans="2:11" ht="20" customHeight="1" x14ac:dyDescent="0.45">
      <c r="B196" s="55" t="s">
        <v>117</v>
      </c>
      <c r="C196" s="50"/>
      <c r="D196" s="50"/>
      <c r="E196" s="87">
        <f>C155</f>
        <v>85</v>
      </c>
      <c r="F196" s="19"/>
      <c r="G196" s="19"/>
      <c r="H196" s="60">
        <f>H189*E196*$F$193*365/$I$18</f>
        <v>78.183000000000007</v>
      </c>
      <c r="I196" s="61">
        <f>I189*E196*$F$194*365/$I$18</f>
        <v>297.83999999999997</v>
      </c>
    </row>
    <row r="197" spans="2:11" ht="20" customHeight="1" x14ac:dyDescent="0.45">
      <c r="B197" s="92" t="s">
        <v>118</v>
      </c>
      <c r="C197" s="50"/>
      <c r="D197" s="50"/>
      <c r="E197" s="87">
        <f>C156</f>
        <v>63</v>
      </c>
      <c r="F197" s="16"/>
      <c r="G197" s="16"/>
      <c r="H197" s="60">
        <f>H190*E197*$F$193*365/$I$18</f>
        <v>28.973700000000001</v>
      </c>
      <c r="I197" s="61">
        <f>I190*E197*$F$194*365/$I$18</f>
        <v>110.376</v>
      </c>
    </row>
    <row r="198" spans="2:11" ht="20" customHeight="1" thickBot="1" x14ac:dyDescent="0.5">
      <c r="B198" s="430" t="s">
        <v>165</v>
      </c>
      <c r="C198" s="431"/>
      <c r="D198" s="431"/>
      <c r="E198" s="431"/>
      <c r="F198" s="255"/>
      <c r="G198" s="255"/>
      <c r="H198" s="439">
        <f>SUM(H195:H197)+SUM(I195:I197)</f>
        <v>1455.4302</v>
      </c>
      <c r="I198" s="440"/>
    </row>
    <row r="199" spans="2:11" ht="20" customHeight="1" thickTop="1" thickBot="1" x14ac:dyDescent="0.5">
      <c r="B199" s="132"/>
      <c r="C199" s="132"/>
      <c r="D199" s="132"/>
      <c r="E199" s="34"/>
      <c r="F199" s="34"/>
      <c r="G199" s="127"/>
      <c r="H199" s="127"/>
      <c r="I199" s="127"/>
      <c r="J199" s="127"/>
      <c r="K199" s="127"/>
    </row>
    <row r="200" spans="2:11" ht="20" customHeight="1" thickTop="1" x14ac:dyDescent="0.45">
      <c r="B200" s="112" t="s">
        <v>197</v>
      </c>
      <c r="C200" s="345"/>
      <c r="D200" s="345"/>
      <c r="E200" s="337" t="s">
        <v>22</v>
      </c>
      <c r="F200" s="355" t="s">
        <v>26</v>
      </c>
      <c r="G200" s="356" t="s">
        <v>124</v>
      </c>
      <c r="H200" s="428" t="s">
        <v>192</v>
      </c>
      <c r="I200" s="429"/>
    </row>
    <row r="201" spans="2:11" ht="20" customHeight="1" x14ac:dyDescent="0.45">
      <c r="B201" s="443" t="s">
        <v>21</v>
      </c>
      <c r="C201" s="91"/>
      <c r="D201" s="91"/>
      <c r="E201" s="91"/>
      <c r="F201" s="39">
        <v>0.2</v>
      </c>
      <c r="G201" s="40" t="s">
        <v>122</v>
      </c>
      <c r="H201" s="518" t="s">
        <v>152</v>
      </c>
      <c r="I201" s="520" t="s">
        <v>153</v>
      </c>
    </row>
    <row r="202" spans="2:11" ht="21.5" customHeight="1" x14ac:dyDescent="0.45">
      <c r="B202" s="443"/>
      <c r="C202" s="91"/>
      <c r="D202" s="91"/>
      <c r="E202" s="91"/>
      <c r="F202" s="39">
        <v>0.4</v>
      </c>
      <c r="G202" s="40" t="s">
        <v>123</v>
      </c>
      <c r="H202" s="519"/>
      <c r="I202" s="521"/>
    </row>
    <row r="203" spans="2:11" ht="20" customHeight="1" x14ac:dyDescent="0.45">
      <c r="B203" s="55" t="s">
        <v>116</v>
      </c>
      <c r="C203" s="50"/>
      <c r="D203" s="50"/>
      <c r="E203" s="87">
        <f>E195</f>
        <v>85</v>
      </c>
      <c r="F203" s="19"/>
      <c r="G203" s="19"/>
      <c r="H203" s="60">
        <f>H188*E203*$F$193*365/$I$18</f>
        <v>195.45750000000001</v>
      </c>
      <c r="I203" s="61">
        <f>I188*E203*$F$202*365/$I$18</f>
        <v>14.891999999999999</v>
      </c>
    </row>
    <row r="204" spans="2:11" ht="20" customHeight="1" x14ac:dyDescent="0.45">
      <c r="B204" s="55" t="s">
        <v>117</v>
      </c>
      <c r="C204" s="50"/>
      <c r="D204" s="50"/>
      <c r="E204" s="87">
        <f>E196</f>
        <v>85</v>
      </c>
      <c r="F204" s="19"/>
      <c r="G204" s="19"/>
      <c r="H204" s="60">
        <f>H189*E204*$F$193*365/$I$18</f>
        <v>78.183000000000007</v>
      </c>
      <c r="I204" s="61">
        <f>I189*E204*$F$202*365/$I$18</f>
        <v>5.9568000000000003</v>
      </c>
    </row>
    <row r="205" spans="2:11" ht="20" customHeight="1" x14ac:dyDescent="0.45">
      <c r="B205" s="92" t="s">
        <v>118</v>
      </c>
      <c r="C205" s="136"/>
      <c r="D205" s="136"/>
      <c r="E205" s="93">
        <f>E197</f>
        <v>63</v>
      </c>
      <c r="F205" s="16"/>
      <c r="G205" s="16"/>
      <c r="H205" s="60">
        <f>H190*E205*$F$193*365/$I$18</f>
        <v>28.973700000000001</v>
      </c>
      <c r="I205" s="61">
        <f>I190*E205*$F$202*365/$I$18</f>
        <v>2.2075200000000001</v>
      </c>
    </row>
    <row r="206" spans="2:11" ht="20" customHeight="1" thickBot="1" x14ac:dyDescent="0.5">
      <c r="B206" s="430" t="s">
        <v>166</v>
      </c>
      <c r="C206" s="431"/>
      <c r="D206" s="431"/>
      <c r="E206" s="431"/>
      <c r="F206" s="255"/>
      <c r="G206" s="255"/>
      <c r="H206" s="256">
        <f>SUM(H203:H205)+SUM(I203:I205)</f>
        <v>325.67052000000001</v>
      </c>
      <c r="I206" s="257"/>
    </row>
    <row r="207" spans="2:11" ht="20" customHeight="1" thickTop="1" thickBot="1" x14ac:dyDescent="0.5">
      <c r="B207" s="132"/>
      <c r="C207" s="34"/>
      <c r="D207" s="34"/>
      <c r="E207" s="127"/>
      <c r="F207" s="127"/>
      <c r="G207" s="127"/>
      <c r="H207" s="127"/>
      <c r="I207" s="127"/>
    </row>
    <row r="208" spans="2:11" ht="20" customHeight="1" thickTop="1" x14ac:dyDescent="0.45">
      <c r="B208" s="113" t="s">
        <v>201</v>
      </c>
      <c r="C208" s="337" t="s">
        <v>22</v>
      </c>
      <c r="D208" s="351" t="s">
        <v>154</v>
      </c>
      <c r="E208" s="351" t="s">
        <v>155</v>
      </c>
      <c r="F208" s="495" t="s">
        <v>24</v>
      </c>
      <c r="G208" s="517"/>
      <c r="H208" s="517"/>
      <c r="I208" s="354" t="s">
        <v>25</v>
      </c>
    </row>
    <row r="209" spans="2:9" ht="20" customHeight="1" x14ac:dyDescent="0.45">
      <c r="B209" s="492" t="s">
        <v>157</v>
      </c>
      <c r="C209" s="493"/>
      <c r="D209" s="102">
        <v>16</v>
      </c>
      <c r="E209" s="103">
        <v>1.5</v>
      </c>
      <c r="F209" s="349" t="s">
        <v>29</v>
      </c>
      <c r="G209" s="349" t="s">
        <v>30</v>
      </c>
      <c r="H209" s="349" t="s">
        <v>31</v>
      </c>
      <c r="I209" s="350" t="s">
        <v>29</v>
      </c>
    </row>
    <row r="210" spans="2:9" ht="20" customHeight="1" x14ac:dyDescent="0.45">
      <c r="B210" s="492" t="s">
        <v>158</v>
      </c>
      <c r="C210" s="493"/>
      <c r="D210" s="346"/>
      <c r="E210" s="346"/>
      <c r="F210" s="347">
        <v>0.15</v>
      </c>
      <c r="G210" s="347">
        <v>0.52</v>
      </c>
      <c r="H210" s="347">
        <v>0.33</v>
      </c>
      <c r="I210" s="348">
        <v>1</v>
      </c>
    </row>
    <row r="211" spans="2:9" ht="20" customHeight="1" x14ac:dyDescent="0.45">
      <c r="B211" s="72" t="s">
        <v>21</v>
      </c>
      <c r="C211" s="50"/>
      <c r="D211" s="85"/>
      <c r="E211" s="85"/>
      <c r="F211" s="496" t="s">
        <v>159</v>
      </c>
      <c r="G211" s="496"/>
      <c r="H211" s="496"/>
      <c r="I211" s="497"/>
    </row>
    <row r="212" spans="2:9" ht="20" customHeight="1" x14ac:dyDescent="0.45">
      <c r="B212" s="55" t="s">
        <v>116</v>
      </c>
      <c r="C212" s="87">
        <f>E203</f>
        <v>85</v>
      </c>
      <c r="D212" s="87">
        <f>H188*C212*$D$209</f>
        <v>2448000</v>
      </c>
      <c r="E212" s="87">
        <f>I188*C212*$E$209</f>
        <v>153000</v>
      </c>
      <c r="F212" s="87">
        <f>$D212*F$210</f>
        <v>367200</v>
      </c>
      <c r="G212" s="87">
        <f>$D212*G$210</f>
        <v>1272960</v>
      </c>
      <c r="H212" s="87">
        <f t="shared" ref="G212:H214" si="43">$D212*H$210</f>
        <v>807840</v>
      </c>
      <c r="I212" s="88">
        <f>E212</f>
        <v>153000</v>
      </c>
    </row>
    <row r="213" spans="2:9" ht="20" customHeight="1" x14ac:dyDescent="0.45">
      <c r="B213" s="55" t="s">
        <v>117</v>
      </c>
      <c r="C213" s="87">
        <f t="shared" ref="C213:C214" si="44">E204</f>
        <v>85</v>
      </c>
      <c r="D213" s="87">
        <f>H189*C213*$D$209</f>
        <v>979200</v>
      </c>
      <c r="E213" s="87">
        <f>I189*C213*$E$209</f>
        <v>61200</v>
      </c>
      <c r="F213" s="87">
        <f t="shared" ref="F213:F214" si="45">$D213*F$210</f>
        <v>146880</v>
      </c>
      <c r="G213" s="87">
        <f t="shared" si="43"/>
        <v>509184</v>
      </c>
      <c r="H213" s="87">
        <f t="shared" si="43"/>
        <v>323136</v>
      </c>
      <c r="I213" s="88">
        <f t="shared" ref="I213:I214" si="46">E213</f>
        <v>61200</v>
      </c>
    </row>
    <row r="214" spans="2:9" ht="20" customHeight="1" thickBot="1" x14ac:dyDescent="0.5">
      <c r="B214" s="62" t="s">
        <v>118</v>
      </c>
      <c r="C214" s="89">
        <f t="shared" si="44"/>
        <v>63</v>
      </c>
      <c r="D214" s="89">
        <f>H190*C214*$D$209</f>
        <v>362880</v>
      </c>
      <c r="E214" s="89">
        <f>I190*C214*$E$209</f>
        <v>22680</v>
      </c>
      <c r="F214" s="89">
        <f t="shared" si="45"/>
        <v>54432</v>
      </c>
      <c r="G214" s="89">
        <f t="shared" si="43"/>
        <v>188697.60000000001</v>
      </c>
      <c r="H214" s="89">
        <f t="shared" si="43"/>
        <v>119750.40000000001</v>
      </c>
      <c r="I214" s="90">
        <f t="shared" si="46"/>
        <v>22680</v>
      </c>
    </row>
    <row r="215" spans="2:9" ht="20" customHeight="1" thickTop="1" thickBot="1" x14ac:dyDescent="0.5">
      <c r="C215" s="11"/>
    </row>
    <row r="216" spans="2:9" ht="20" customHeight="1" thickTop="1" x14ac:dyDescent="0.45">
      <c r="B216" s="505" t="s">
        <v>21</v>
      </c>
      <c r="C216" s="337"/>
      <c r="D216" s="337"/>
      <c r="E216" s="495" t="s">
        <v>24</v>
      </c>
      <c r="F216" s="495"/>
      <c r="G216" s="495"/>
      <c r="H216" s="351" t="s">
        <v>25</v>
      </c>
      <c r="I216" s="353" t="s">
        <v>27</v>
      </c>
    </row>
    <row r="217" spans="2:9" ht="20" customHeight="1" x14ac:dyDescent="0.45">
      <c r="B217" s="443"/>
      <c r="C217" s="191" t="s">
        <v>200</v>
      </c>
      <c r="D217" s="191"/>
      <c r="E217" s="494">
        <v>0.7</v>
      </c>
      <c r="F217" s="494"/>
      <c r="G217" s="494"/>
      <c r="H217" s="106">
        <v>0.45</v>
      </c>
      <c r="I217" s="476" t="s">
        <v>198</v>
      </c>
    </row>
    <row r="218" spans="2:9" ht="20" customHeight="1" x14ac:dyDescent="0.45">
      <c r="B218" s="443"/>
      <c r="C218" s="50"/>
      <c r="D218" s="60" t="s">
        <v>29</v>
      </c>
      <c r="E218" s="313" t="s">
        <v>30</v>
      </c>
      <c r="F218" s="313" t="s">
        <v>31</v>
      </c>
      <c r="G218" s="313" t="s">
        <v>29</v>
      </c>
      <c r="H218" s="205"/>
      <c r="I218" s="476"/>
    </row>
    <row r="219" spans="2:9" ht="20" customHeight="1" x14ac:dyDescent="0.45">
      <c r="B219" s="443"/>
      <c r="C219" s="491" t="s">
        <v>199</v>
      </c>
      <c r="D219" s="491"/>
      <c r="E219" s="352">
        <v>6</v>
      </c>
      <c r="F219" s="352">
        <v>5</v>
      </c>
      <c r="G219" s="352">
        <v>4</v>
      </c>
      <c r="H219" s="352">
        <v>6</v>
      </c>
      <c r="I219" s="477"/>
    </row>
    <row r="220" spans="2:9" ht="20" customHeight="1" x14ac:dyDescent="0.45">
      <c r="B220" s="55" t="s">
        <v>116</v>
      </c>
      <c r="C220" s="80"/>
      <c r="D220" s="80"/>
      <c r="E220" s="101">
        <f t="shared" ref="E220:G222" si="47">F212*E$219*$E$217*365/$I$18</f>
        <v>562.91759999999999</v>
      </c>
      <c r="F220" s="101">
        <f t="shared" si="47"/>
        <v>1626.2064</v>
      </c>
      <c r="G220" s="101">
        <f t="shared" si="47"/>
        <v>825.61248000000001</v>
      </c>
      <c r="H220" s="101">
        <f>I212*$H$217*$H$219*365/$I$18</f>
        <v>150.78149999999999</v>
      </c>
      <c r="I220" s="105">
        <f t="shared" ref="I220" si="48">SUM(E220:H220)</f>
        <v>3165.5179799999996</v>
      </c>
    </row>
    <row r="221" spans="2:9" ht="20" customHeight="1" x14ac:dyDescent="0.45">
      <c r="B221" s="55" t="s">
        <v>117</v>
      </c>
      <c r="C221" s="132"/>
      <c r="D221" s="132"/>
      <c r="E221" s="101">
        <f t="shared" si="47"/>
        <v>225.16703999999999</v>
      </c>
      <c r="F221" s="101">
        <f t="shared" si="47"/>
        <v>650.48256000000003</v>
      </c>
      <c r="G221" s="101">
        <f t="shared" si="47"/>
        <v>330.24499200000002</v>
      </c>
      <c r="H221" s="101">
        <f>I213*$H$217*$H$219*365/$I$18</f>
        <v>60.312600000000003</v>
      </c>
      <c r="I221" s="105">
        <f>SUM(E221:H221)</f>
        <v>1266.2071920000001</v>
      </c>
    </row>
    <row r="222" spans="2:9" ht="20" customHeight="1" x14ac:dyDescent="0.45">
      <c r="B222" s="55" t="s">
        <v>118</v>
      </c>
      <c r="C222" s="132"/>
      <c r="D222" s="132"/>
      <c r="E222" s="101">
        <f t="shared" si="47"/>
        <v>83.444255999999996</v>
      </c>
      <c r="F222" s="101">
        <f t="shared" si="47"/>
        <v>241.061184</v>
      </c>
      <c r="G222" s="101">
        <f t="shared" si="47"/>
        <v>122.38490879999999</v>
      </c>
      <c r="H222" s="101">
        <f>I214*$H$217*$H$219*365/$I$18</f>
        <v>22.351140000000001</v>
      </c>
      <c r="I222" s="105">
        <f>SUM(E222:H222)</f>
        <v>469.24148880000001</v>
      </c>
    </row>
    <row r="223" spans="2:9" ht="20" customHeight="1" thickBot="1" x14ac:dyDescent="0.5">
      <c r="B223" s="470" t="s">
        <v>167</v>
      </c>
      <c r="C223" s="471"/>
      <c r="D223" s="471"/>
      <c r="E223" s="471"/>
      <c r="F223" s="252"/>
      <c r="G223" s="253"/>
      <c r="H223" s="253"/>
      <c r="I223" s="254">
        <f>SUM(I220:I222)</f>
        <v>4900.9666607999998</v>
      </c>
    </row>
    <row r="224" spans="2:9" ht="20" customHeight="1" thickTop="1" thickBot="1" x14ac:dyDescent="0.5">
      <c r="B224" s="44"/>
      <c r="C224" s="44"/>
      <c r="D224" s="45"/>
      <c r="E224" s="45"/>
      <c r="F224" s="46"/>
      <c r="G224" s="46"/>
      <c r="H224" s="46"/>
      <c r="I224" s="46"/>
    </row>
    <row r="225" spans="2:10" ht="20" customHeight="1" thickTop="1" x14ac:dyDescent="0.45">
      <c r="B225" s="111" t="s">
        <v>202</v>
      </c>
      <c r="C225" s="134">
        <v>2013</v>
      </c>
      <c r="D225" s="134"/>
      <c r="E225" s="134"/>
      <c r="F225" s="115"/>
      <c r="G225" s="115"/>
      <c r="H225" s="115"/>
      <c r="I225" s="116" t="s">
        <v>188</v>
      </c>
      <c r="J225" s="35"/>
    </row>
    <row r="226" spans="2:10" ht="20" customHeight="1" x14ac:dyDescent="0.45">
      <c r="B226" s="55" t="s">
        <v>168</v>
      </c>
      <c r="C226" s="133">
        <v>4000</v>
      </c>
      <c r="D226" s="51"/>
      <c r="E226" s="51"/>
      <c r="F226" s="50"/>
      <c r="G226" s="50"/>
      <c r="H226" s="50"/>
      <c r="I226" s="53"/>
      <c r="J226" s="36"/>
    </row>
    <row r="227" spans="2:10" ht="20" customHeight="1" x14ac:dyDescent="0.45">
      <c r="B227" s="71" t="s">
        <v>149</v>
      </c>
      <c r="C227" s="49">
        <v>0.2</v>
      </c>
      <c r="D227" s="97"/>
      <c r="E227" s="97"/>
      <c r="F227" s="97"/>
      <c r="G227" s="60"/>
      <c r="H227" s="60"/>
      <c r="I227" s="61">
        <f>C226*C227</f>
        <v>800</v>
      </c>
      <c r="J227" s="36"/>
    </row>
    <row r="228" spans="2:10" ht="20" customHeight="1" x14ac:dyDescent="0.45">
      <c r="B228" s="71" t="s">
        <v>150</v>
      </c>
      <c r="C228" s="49">
        <v>0.2</v>
      </c>
      <c r="D228" s="97"/>
      <c r="E228" s="97"/>
      <c r="F228" s="97"/>
      <c r="G228" s="60"/>
      <c r="H228" s="60"/>
      <c r="I228" s="61">
        <f>I227*C228</f>
        <v>160</v>
      </c>
      <c r="J228" s="36"/>
    </row>
    <row r="229" spans="2:10" ht="20" customHeight="1" thickBot="1" x14ac:dyDescent="0.5">
      <c r="B229" s="456" t="s">
        <v>194</v>
      </c>
      <c r="C229" s="457"/>
      <c r="D229" s="457"/>
      <c r="E229" s="457"/>
      <c r="F229" s="249"/>
      <c r="G229" s="250"/>
      <c r="H229" s="250"/>
      <c r="I229" s="251">
        <f>I228</f>
        <v>160</v>
      </c>
      <c r="J229" s="41"/>
    </row>
    <row r="230" spans="2:10" ht="20" customHeight="1" thickTop="1" x14ac:dyDescent="0.45">
      <c r="B230" s="132"/>
      <c r="C230" s="34"/>
      <c r="D230" s="34"/>
      <c r="E230" s="127"/>
      <c r="F230" s="127"/>
      <c r="G230" s="127"/>
      <c r="H230" s="127"/>
      <c r="I230" s="127"/>
    </row>
    <row r="231" spans="2:10" ht="67.05" customHeight="1" x14ac:dyDescent="0.45">
      <c r="B231" s="425" t="s">
        <v>315</v>
      </c>
      <c r="C231" s="426"/>
      <c r="D231" s="426"/>
      <c r="E231" s="426"/>
      <c r="F231" s="426"/>
      <c r="G231" s="426"/>
      <c r="H231" s="426"/>
      <c r="I231" s="426"/>
    </row>
    <row r="232" spans="2:10" ht="20" customHeight="1" x14ac:dyDescent="0.45">
      <c r="B232" s="132"/>
      <c r="C232" s="34"/>
      <c r="D232" s="34"/>
      <c r="E232" s="127"/>
      <c r="F232" s="127"/>
      <c r="G232" s="127"/>
      <c r="H232" s="127"/>
      <c r="I232" s="127"/>
    </row>
    <row r="233" spans="2:10" ht="20" customHeight="1" x14ac:dyDescent="0.45">
      <c r="B233" s="398" t="s">
        <v>316</v>
      </c>
      <c r="C233" s="397">
        <v>1.5</v>
      </c>
      <c r="D233" s="34"/>
      <c r="E233" s="127"/>
      <c r="F233" s="127"/>
      <c r="G233" s="127"/>
      <c r="H233" s="127"/>
      <c r="I233" s="127"/>
    </row>
    <row r="234" spans="2:10" ht="20" customHeight="1" x14ac:dyDescent="0.45">
      <c r="B234" s="132"/>
      <c r="C234" s="34"/>
      <c r="D234" s="34"/>
      <c r="E234" s="127"/>
      <c r="F234" s="127"/>
      <c r="G234" s="127"/>
      <c r="H234" s="127"/>
      <c r="I234" s="127"/>
    </row>
    <row r="235" spans="2:10" ht="20" customHeight="1" x14ac:dyDescent="0.45">
      <c r="B235" s="132"/>
      <c r="C235" s="34"/>
      <c r="D235" s="34"/>
      <c r="E235" s="127"/>
      <c r="F235" s="127"/>
      <c r="G235" s="127"/>
      <c r="H235" s="127"/>
      <c r="I235" s="127"/>
    </row>
    <row r="236" spans="2:10" ht="20" customHeight="1" x14ac:dyDescent="0.45">
      <c r="B236" s="132"/>
      <c r="C236" s="34"/>
      <c r="D236" s="34"/>
      <c r="E236" s="127"/>
      <c r="F236" s="127"/>
      <c r="G236" s="127"/>
      <c r="H236" s="127"/>
      <c r="I236" s="127"/>
    </row>
    <row r="237" spans="2:10" ht="20" customHeight="1" x14ac:dyDescent="0.45">
      <c r="B237" s="132"/>
      <c r="C237" s="34"/>
      <c r="D237" s="34"/>
      <c r="E237" s="127"/>
      <c r="F237" s="127"/>
      <c r="G237" s="127"/>
      <c r="H237" s="127"/>
      <c r="I237" s="127"/>
    </row>
    <row r="238" spans="2:10" ht="20" customHeight="1" x14ac:dyDescent="0.45">
      <c r="B238" s="132"/>
      <c r="C238" s="34"/>
      <c r="D238" s="34"/>
      <c r="E238" s="127"/>
      <c r="F238" s="127"/>
      <c r="G238" s="127"/>
      <c r="H238" s="127"/>
      <c r="I238" s="127"/>
    </row>
    <row r="239" spans="2:10" ht="20" customHeight="1" x14ac:dyDescent="0.45">
      <c r="B239" s="132"/>
      <c r="C239" s="34"/>
      <c r="D239" s="34"/>
      <c r="E239" s="127"/>
      <c r="F239" s="127"/>
      <c r="G239" s="127"/>
      <c r="H239" s="127"/>
      <c r="I239" s="127"/>
    </row>
    <row r="240" spans="2:10" ht="20" customHeight="1" x14ac:dyDescent="0.45">
      <c r="B240" s="132"/>
      <c r="C240" s="34"/>
      <c r="D240" s="34"/>
      <c r="E240" s="127"/>
      <c r="F240" s="127"/>
      <c r="G240" s="127"/>
      <c r="H240" s="127"/>
      <c r="I240" s="127"/>
    </row>
    <row r="241" spans="2:9" ht="20" customHeight="1" x14ac:dyDescent="0.45">
      <c r="B241" s="132"/>
      <c r="C241" s="34"/>
      <c r="D241" s="34"/>
      <c r="E241" s="127"/>
      <c r="F241" s="127"/>
      <c r="G241" s="127"/>
      <c r="H241" s="127"/>
      <c r="I241" s="127"/>
    </row>
    <row r="242" spans="2:9" ht="20" customHeight="1" x14ac:dyDescent="0.45">
      <c r="B242" s="132"/>
      <c r="C242" s="34"/>
      <c r="D242" s="34"/>
      <c r="E242" s="127"/>
      <c r="F242" s="127"/>
      <c r="G242" s="127"/>
      <c r="H242" s="127"/>
      <c r="I242" s="127"/>
    </row>
    <row r="243" spans="2:9" ht="20" customHeight="1" x14ac:dyDescent="0.45">
      <c r="B243" s="132"/>
      <c r="C243" s="34"/>
      <c r="D243" s="34"/>
      <c r="E243" s="127"/>
      <c r="F243" s="127"/>
      <c r="G243" s="127"/>
      <c r="H243" s="127"/>
      <c r="I243" s="127"/>
    </row>
    <row r="244" spans="2:9" ht="20" customHeight="1" x14ac:dyDescent="0.45">
      <c r="B244" s="132"/>
      <c r="C244" s="34"/>
      <c r="D244" s="34"/>
      <c r="E244" s="127"/>
      <c r="F244" s="127"/>
      <c r="G244" s="127"/>
      <c r="H244" s="127"/>
      <c r="I244" s="127"/>
    </row>
    <row r="245" spans="2:9" ht="20" customHeight="1" x14ac:dyDescent="0.45">
      <c r="B245" s="132"/>
      <c r="C245" s="34"/>
      <c r="D245" s="34"/>
      <c r="E245" s="127"/>
      <c r="F245" s="127"/>
      <c r="G245" s="127"/>
      <c r="H245" s="127"/>
      <c r="I245" s="127"/>
    </row>
    <row r="246" spans="2:9" ht="20" customHeight="1" x14ac:dyDescent="0.45">
      <c r="B246" s="132"/>
      <c r="C246" s="34"/>
      <c r="D246" s="34"/>
      <c r="E246" s="127"/>
      <c r="F246" s="127"/>
      <c r="G246" s="127"/>
      <c r="H246" s="127"/>
      <c r="I246" s="127"/>
    </row>
    <row r="247" spans="2:9" ht="20" customHeight="1" x14ac:dyDescent="0.45">
      <c r="B247" s="132"/>
      <c r="C247" s="34"/>
      <c r="D247" s="34"/>
      <c r="E247" s="127"/>
      <c r="F247" s="127"/>
      <c r="G247" s="127"/>
      <c r="H247" s="127"/>
      <c r="I247" s="127"/>
    </row>
    <row r="248" spans="2:9" ht="20" customHeight="1" x14ac:dyDescent="0.45">
      <c r="B248" s="132"/>
      <c r="C248" s="34"/>
      <c r="D248" s="34"/>
      <c r="E248" s="127"/>
      <c r="F248" s="127"/>
      <c r="G248" s="127"/>
      <c r="H248" s="127"/>
      <c r="I248" s="127"/>
    </row>
    <row r="249" spans="2:9" ht="20" customHeight="1" x14ac:dyDescent="0.45">
      <c r="B249" s="132"/>
      <c r="C249" s="34"/>
      <c r="D249" s="34"/>
      <c r="E249" s="127"/>
      <c r="F249" s="127"/>
      <c r="G249" s="127"/>
      <c r="H249" s="127"/>
      <c r="I249" s="127"/>
    </row>
    <row r="250" spans="2:9" ht="20" customHeight="1" x14ac:dyDescent="0.45">
      <c r="B250" s="132"/>
      <c r="C250" s="34"/>
      <c r="D250" s="34"/>
      <c r="E250" s="127"/>
      <c r="F250" s="127"/>
      <c r="G250" s="127"/>
      <c r="H250" s="127"/>
      <c r="I250" s="127"/>
    </row>
    <row r="251" spans="2:9" ht="20" customHeight="1" x14ac:dyDescent="0.45">
      <c r="B251" s="132"/>
      <c r="C251" s="34"/>
      <c r="D251" s="34"/>
      <c r="E251" s="127"/>
      <c r="F251" s="127"/>
      <c r="G251" s="127"/>
      <c r="H251" s="127"/>
      <c r="I251" s="127"/>
    </row>
    <row r="252" spans="2:9" ht="20" customHeight="1" x14ac:dyDescent="0.45">
      <c r="B252" s="132"/>
      <c r="C252" s="34"/>
      <c r="D252" s="34"/>
      <c r="E252" s="127"/>
      <c r="F252" s="127"/>
      <c r="G252" s="127"/>
      <c r="H252" s="127"/>
      <c r="I252" s="127"/>
    </row>
    <row r="253" spans="2:9" ht="20" customHeight="1" x14ac:dyDescent="0.45">
      <c r="B253" s="132"/>
      <c r="C253" s="34"/>
      <c r="D253" s="34"/>
      <c r="E253" s="127"/>
      <c r="F253" s="127"/>
      <c r="G253" s="127"/>
      <c r="H253" s="127"/>
      <c r="I253" s="127"/>
    </row>
    <row r="254" spans="2:9" ht="20" customHeight="1" x14ac:dyDescent="0.45">
      <c r="B254" s="132"/>
      <c r="C254" s="34"/>
      <c r="D254" s="34"/>
      <c r="E254" s="127"/>
      <c r="F254" s="127"/>
      <c r="G254" s="127"/>
      <c r="H254" s="127"/>
      <c r="I254" s="127"/>
    </row>
    <row r="255" spans="2:9" ht="20" customHeight="1" x14ac:dyDescent="0.45">
      <c r="B255" s="132"/>
      <c r="C255" s="34"/>
      <c r="D255" s="34"/>
      <c r="E255" s="127"/>
      <c r="F255" s="127"/>
      <c r="G255" s="127"/>
      <c r="H255" s="127"/>
      <c r="I255" s="127"/>
    </row>
    <row r="256" spans="2:9" ht="20" customHeight="1" x14ac:dyDescent="0.45">
      <c r="B256" s="132"/>
      <c r="C256" s="34"/>
      <c r="D256" s="34"/>
      <c r="E256" s="127"/>
      <c r="F256" s="127"/>
      <c r="G256" s="127"/>
      <c r="H256" s="127"/>
      <c r="I256" s="127"/>
    </row>
    <row r="257" spans="2:9" ht="20" customHeight="1" x14ac:dyDescent="0.45">
      <c r="B257" s="132"/>
      <c r="C257" s="34"/>
      <c r="D257" s="34"/>
      <c r="E257" s="127"/>
      <c r="F257" s="127"/>
      <c r="G257" s="127"/>
      <c r="H257" s="127"/>
      <c r="I257" s="127"/>
    </row>
    <row r="258" spans="2:9" ht="20" customHeight="1" x14ac:dyDescent="0.45">
      <c r="B258" s="132"/>
      <c r="C258" s="34"/>
      <c r="D258" s="34"/>
      <c r="E258" s="127"/>
      <c r="F258" s="127"/>
      <c r="G258" s="127"/>
      <c r="H258" s="127"/>
      <c r="I258" s="127"/>
    </row>
    <row r="259" spans="2:9" ht="20" customHeight="1" x14ac:dyDescent="0.45">
      <c r="B259" s="132"/>
      <c r="C259" s="34"/>
      <c r="D259" s="34"/>
      <c r="E259" s="127"/>
      <c r="F259" s="127"/>
      <c r="G259" s="127"/>
      <c r="H259" s="127"/>
      <c r="I259" s="127"/>
    </row>
    <row r="260" spans="2:9" ht="20" customHeight="1" x14ac:dyDescent="0.45">
      <c r="B260" s="132"/>
      <c r="C260" s="34"/>
      <c r="D260" s="34"/>
      <c r="E260" s="127"/>
      <c r="F260" s="127"/>
      <c r="G260" s="127"/>
      <c r="H260" s="127"/>
      <c r="I260" s="127"/>
    </row>
    <row r="261" spans="2:9" ht="20" customHeight="1" x14ac:dyDescent="0.45">
      <c r="B261" s="132"/>
      <c r="C261" s="34"/>
      <c r="D261" s="34"/>
      <c r="E261" s="127"/>
      <c r="F261" s="127"/>
      <c r="G261" s="127"/>
      <c r="H261" s="127"/>
      <c r="I261" s="127"/>
    </row>
    <row r="262" spans="2:9" ht="20" customHeight="1" x14ac:dyDescent="0.45">
      <c r="B262" s="132"/>
      <c r="C262" s="34"/>
      <c r="D262" s="34"/>
      <c r="E262" s="127"/>
      <c r="F262" s="127"/>
      <c r="G262" s="127"/>
      <c r="H262" s="127"/>
      <c r="I262" s="127"/>
    </row>
    <row r="263" spans="2:9" ht="20" customHeight="1" x14ac:dyDescent="0.45">
      <c r="B263" s="132"/>
      <c r="C263" s="34"/>
      <c r="D263" s="34"/>
      <c r="E263" s="127"/>
      <c r="F263" s="127"/>
      <c r="G263" s="127"/>
      <c r="H263" s="127"/>
      <c r="I263" s="127"/>
    </row>
    <row r="264" spans="2:9" ht="20" customHeight="1" x14ac:dyDescent="0.45">
      <c r="B264" s="132"/>
      <c r="C264" s="34"/>
      <c r="D264" s="34"/>
      <c r="E264" s="127"/>
      <c r="F264" s="127"/>
      <c r="G264" s="127"/>
      <c r="H264" s="127"/>
      <c r="I264" s="127"/>
    </row>
    <row r="265" spans="2:9" ht="20" customHeight="1" x14ac:dyDescent="0.45">
      <c r="B265" s="132"/>
      <c r="C265" s="34"/>
      <c r="D265" s="34"/>
      <c r="E265" s="127"/>
      <c r="F265" s="127"/>
      <c r="G265" s="127"/>
      <c r="H265" s="127"/>
      <c r="I265" s="127"/>
    </row>
    <row r="266" spans="2:9" ht="20" customHeight="1" x14ac:dyDescent="0.45">
      <c r="B266" s="132"/>
      <c r="C266" s="34"/>
      <c r="D266" s="34"/>
      <c r="E266" s="127"/>
      <c r="F266" s="127"/>
      <c r="G266" s="127"/>
      <c r="H266" s="127"/>
      <c r="I266" s="127"/>
    </row>
  </sheetData>
  <mergeCells count="85">
    <mergeCell ref="H193:H194"/>
    <mergeCell ref="I193:I194"/>
    <mergeCell ref="B216:B219"/>
    <mergeCell ref="F208:H208"/>
    <mergeCell ref="H198:I198"/>
    <mergeCell ref="B201:B202"/>
    <mergeCell ref="H201:H202"/>
    <mergeCell ref="I201:I202"/>
    <mergeCell ref="D14:E14"/>
    <mergeCell ref="B5:I5"/>
    <mergeCell ref="B6:I6"/>
    <mergeCell ref="I79:I80"/>
    <mergeCell ref="B169:B172"/>
    <mergeCell ref="D170:F170"/>
    <mergeCell ref="B79:B80"/>
    <mergeCell ref="G79:H79"/>
    <mergeCell ref="C99:D99"/>
    <mergeCell ref="C100:D100"/>
    <mergeCell ref="C98:D98"/>
    <mergeCell ref="D79:F79"/>
    <mergeCell ref="C79:C80"/>
    <mergeCell ref="C88:D88"/>
    <mergeCell ref="C87:D87"/>
    <mergeCell ref="C90:D90"/>
    <mergeCell ref="B229:E229"/>
    <mergeCell ref="C219:D219"/>
    <mergeCell ref="B209:C209"/>
    <mergeCell ref="B210:C210"/>
    <mergeCell ref="B206:E206"/>
    <mergeCell ref="B223:E223"/>
    <mergeCell ref="E217:G217"/>
    <mergeCell ref="E216:G216"/>
    <mergeCell ref="F211:I211"/>
    <mergeCell ref="I217:I219"/>
    <mergeCell ref="B2:I2"/>
    <mergeCell ref="D12:F12"/>
    <mergeCell ref="F163:I163"/>
    <mergeCell ref="H169:I169"/>
    <mergeCell ref="B177:E177"/>
    <mergeCell ref="H170:H172"/>
    <mergeCell ref="I170:I172"/>
    <mergeCell ref="C174:C176"/>
    <mergeCell ref="C165:C167"/>
    <mergeCell ref="F157:G157"/>
    <mergeCell ref="H157:I157"/>
    <mergeCell ref="F151:G152"/>
    <mergeCell ref="H125:I126"/>
    <mergeCell ref="H151:I152"/>
    <mergeCell ref="B149:E149"/>
    <mergeCell ref="D169:F169"/>
    <mergeCell ref="H192:I192"/>
    <mergeCell ref="E134:E139"/>
    <mergeCell ref="B140:E140"/>
    <mergeCell ref="B141:E141"/>
    <mergeCell ref="B144:B145"/>
    <mergeCell ref="F143:G144"/>
    <mergeCell ref="B157:E157"/>
    <mergeCell ref="B152:B153"/>
    <mergeCell ref="F149:G149"/>
    <mergeCell ref="H149:I149"/>
    <mergeCell ref="B183:E183"/>
    <mergeCell ref="H143:I144"/>
    <mergeCell ref="F160:H160"/>
    <mergeCell ref="C102:D102"/>
    <mergeCell ref="C91:D91"/>
    <mergeCell ref="C93:D93"/>
    <mergeCell ref="C92:D92"/>
    <mergeCell ref="C94:D94"/>
    <mergeCell ref="C95:D95"/>
    <mergeCell ref="B231:I231"/>
    <mergeCell ref="C96:D96"/>
    <mergeCell ref="C97:D97"/>
    <mergeCell ref="H200:I200"/>
    <mergeCell ref="B198:E198"/>
    <mergeCell ref="C101:D101"/>
    <mergeCell ref="D118:F118"/>
    <mergeCell ref="G118:I118"/>
    <mergeCell ref="C118:C119"/>
    <mergeCell ref="H131:I131"/>
    <mergeCell ref="F131:G131"/>
    <mergeCell ref="B131:E131"/>
    <mergeCell ref="F125:G126"/>
    <mergeCell ref="B193:B194"/>
    <mergeCell ref="B126:B127"/>
    <mergeCell ref="B118:B119"/>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181"/>
  <sheetViews>
    <sheetView zoomScale="65" workbookViewId="0">
      <selection activeCell="D193" sqref="D193"/>
    </sheetView>
  </sheetViews>
  <sheetFormatPr defaultColWidth="14.46484375" defaultRowHeight="15" customHeight="1" x14ac:dyDescent="0.5"/>
  <cols>
    <col min="1" max="1" width="7.73046875" style="137" customWidth="1"/>
    <col min="2" max="2" width="61.796875" style="137" customWidth="1"/>
    <col min="3" max="3" width="14.796875" style="137" customWidth="1"/>
    <col min="4" max="5" width="12.9296875" style="137" bestFit="1" customWidth="1"/>
    <col min="6" max="6" width="11.53125" style="137" bestFit="1" customWidth="1"/>
    <col min="7" max="8" width="11.46484375" style="137" bestFit="1" customWidth="1"/>
    <col min="9" max="39" width="11.265625" style="137" bestFit="1" customWidth="1"/>
    <col min="40" max="41" width="13" style="137" bestFit="1" customWidth="1"/>
    <col min="42" max="48" width="12.265625" style="137" customWidth="1"/>
    <col min="49" max="16384" width="14.46484375" style="137"/>
  </cols>
  <sheetData>
    <row r="1" spans="1:48" ht="16.5" customHeight="1" x14ac:dyDescent="0.5"/>
    <row r="2" spans="1:48" ht="30" customHeight="1" x14ac:dyDescent="0.5">
      <c r="A2" s="34"/>
      <c r="B2" s="270" t="s">
        <v>248</v>
      </c>
    </row>
    <row r="3" spans="1:48" ht="16.5" customHeight="1" x14ac:dyDescent="0.5"/>
    <row r="4" spans="1:48" ht="16.5" customHeight="1" x14ac:dyDescent="0.5">
      <c r="B4" s="162" t="s">
        <v>203</v>
      </c>
    </row>
    <row r="5" spans="1:48" ht="16.5" customHeight="1" x14ac:dyDescent="0.5">
      <c r="B5" s="137" t="s">
        <v>16</v>
      </c>
      <c r="C5" s="137">
        <v>2013</v>
      </c>
      <c r="D5" s="137">
        <v>2014</v>
      </c>
      <c r="E5" s="137">
        <v>2015</v>
      </c>
      <c r="F5" s="137">
        <v>2016</v>
      </c>
      <c r="G5" s="137">
        <v>2017</v>
      </c>
      <c r="H5" s="137">
        <v>2018</v>
      </c>
      <c r="I5" s="137">
        <v>2019</v>
      </c>
      <c r="J5" s="137">
        <v>2020</v>
      </c>
      <c r="K5" s="137">
        <v>2021</v>
      </c>
      <c r="L5" s="137">
        <v>2022</v>
      </c>
      <c r="M5" s="137">
        <v>2023</v>
      </c>
      <c r="N5" s="137">
        <v>2024</v>
      </c>
      <c r="O5" s="137">
        <v>2025</v>
      </c>
      <c r="P5" s="137">
        <v>2026</v>
      </c>
      <c r="Q5" s="137">
        <v>2027</v>
      </c>
      <c r="R5" s="137">
        <v>2028</v>
      </c>
      <c r="S5" s="137">
        <v>2029</v>
      </c>
      <c r="T5" s="137">
        <v>2030</v>
      </c>
      <c r="U5" s="137">
        <v>2031</v>
      </c>
      <c r="V5" s="137">
        <v>2032</v>
      </c>
      <c r="W5" s="137">
        <v>2033</v>
      </c>
      <c r="X5" s="137">
        <v>2034</v>
      </c>
      <c r="Y5" s="137">
        <v>2035</v>
      </c>
      <c r="Z5" s="137">
        <v>2036</v>
      </c>
      <c r="AA5" s="137">
        <v>2037</v>
      </c>
      <c r="AB5" s="137">
        <v>2038</v>
      </c>
      <c r="AC5" s="137">
        <v>2039</v>
      </c>
      <c r="AD5" s="137">
        <v>2040</v>
      </c>
      <c r="AE5" s="137">
        <v>2041</v>
      </c>
      <c r="AF5" s="137">
        <v>2042</v>
      </c>
      <c r="AG5" s="137">
        <v>2043</v>
      </c>
      <c r="AH5" s="137">
        <v>2044</v>
      </c>
      <c r="AI5" s="137">
        <v>2045</v>
      </c>
      <c r="AJ5" s="137">
        <v>2046</v>
      </c>
      <c r="AK5" s="137">
        <v>2047</v>
      </c>
      <c r="AL5" s="137">
        <v>2048</v>
      </c>
      <c r="AM5" s="137">
        <v>2049</v>
      </c>
      <c r="AN5" s="137">
        <v>2050</v>
      </c>
      <c r="AO5" s="137">
        <v>2051</v>
      </c>
      <c r="AP5" s="137">
        <v>2052</v>
      </c>
      <c r="AQ5" s="137">
        <v>2053</v>
      </c>
      <c r="AR5" s="137">
        <v>2054</v>
      </c>
      <c r="AS5" s="137">
        <v>2055</v>
      </c>
      <c r="AT5" s="137">
        <v>2056</v>
      </c>
      <c r="AU5" s="137">
        <v>2057</v>
      </c>
      <c r="AV5" s="137">
        <v>2058</v>
      </c>
    </row>
    <row r="6" spans="1:48" ht="16.5" customHeight="1" x14ac:dyDescent="0.5">
      <c r="B6" s="165" t="s">
        <v>36</v>
      </c>
      <c r="C6" s="163">
        <v>0</v>
      </c>
      <c r="D6" s="163">
        <v>1</v>
      </c>
      <c r="E6" s="163">
        <v>2</v>
      </c>
      <c r="F6" s="163">
        <v>3</v>
      </c>
      <c r="G6" s="163">
        <v>4</v>
      </c>
      <c r="H6" s="163">
        <v>5</v>
      </c>
      <c r="I6" s="163">
        <v>6</v>
      </c>
      <c r="J6" s="163">
        <v>7</v>
      </c>
      <c r="K6" s="163">
        <v>8</v>
      </c>
      <c r="L6" s="163">
        <v>9</v>
      </c>
      <c r="M6" s="163">
        <v>10</v>
      </c>
      <c r="N6" s="163">
        <v>11</v>
      </c>
      <c r="O6" s="163">
        <v>12</v>
      </c>
      <c r="P6" s="163">
        <v>13</v>
      </c>
      <c r="Q6" s="163">
        <v>14</v>
      </c>
      <c r="R6" s="163">
        <v>15</v>
      </c>
      <c r="S6" s="163">
        <v>16</v>
      </c>
      <c r="T6" s="163">
        <v>17</v>
      </c>
      <c r="U6" s="163">
        <v>18</v>
      </c>
      <c r="V6" s="163">
        <v>19</v>
      </c>
      <c r="W6" s="163">
        <v>20</v>
      </c>
      <c r="X6" s="163">
        <v>21</v>
      </c>
      <c r="Y6" s="163">
        <v>22</v>
      </c>
      <c r="Z6" s="163">
        <v>23</v>
      </c>
      <c r="AA6" s="163">
        <v>24</v>
      </c>
      <c r="AB6" s="163">
        <v>25</v>
      </c>
      <c r="AC6" s="163">
        <v>26</v>
      </c>
      <c r="AD6" s="163">
        <v>27</v>
      </c>
      <c r="AE6" s="163">
        <v>28</v>
      </c>
      <c r="AF6" s="163">
        <v>29</v>
      </c>
      <c r="AG6" s="163">
        <v>30</v>
      </c>
      <c r="AH6" s="163">
        <v>31</v>
      </c>
      <c r="AI6" s="163">
        <v>32</v>
      </c>
      <c r="AJ6" s="163">
        <v>33</v>
      </c>
      <c r="AK6" s="163">
        <v>34</v>
      </c>
      <c r="AL6" s="163">
        <v>35</v>
      </c>
      <c r="AM6" s="163">
        <v>36</v>
      </c>
      <c r="AN6" s="163">
        <v>37</v>
      </c>
      <c r="AO6" s="163">
        <v>38</v>
      </c>
      <c r="AP6" s="163">
        <v>39</v>
      </c>
      <c r="AQ6" s="163">
        <v>40</v>
      </c>
      <c r="AR6" s="163">
        <v>41</v>
      </c>
      <c r="AS6" s="163">
        <v>42</v>
      </c>
      <c r="AT6" s="163">
        <v>43</v>
      </c>
      <c r="AU6" s="163">
        <v>44</v>
      </c>
      <c r="AV6" s="163">
        <v>45</v>
      </c>
    </row>
    <row r="7" spans="1:48" ht="16.5" customHeight="1" x14ac:dyDescent="0.5">
      <c r="B7" s="137" t="s">
        <v>204</v>
      </c>
      <c r="C7" s="138">
        <f>(1+'Thông số'!$C$10)^C6</f>
        <v>1</v>
      </c>
      <c r="D7" s="138">
        <f>(1+'Thông số'!$C$10)^D6</f>
        <v>1.08</v>
      </c>
      <c r="E7" s="138">
        <f>(1+'Thông số'!$C$10)^E6</f>
        <v>1.1664000000000001</v>
      </c>
      <c r="F7" s="138">
        <f>(1+'Thông số'!$C$10)^F6</f>
        <v>1.2597120000000002</v>
      </c>
      <c r="G7" s="138">
        <f>(1+'Thông số'!$C$10)^G6</f>
        <v>1.3604889600000003</v>
      </c>
      <c r="H7" s="138">
        <f>(1+'Thông số'!$C$10)^H6</f>
        <v>1.4693280768000003</v>
      </c>
      <c r="I7" s="138">
        <f>(1+'Thông số'!$C$10)^I6</f>
        <v>1.5868743229440005</v>
      </c>
      <c r="J7" s="138">
        <f>(1+'Thông số'!$C$10)^J6</f>
        <v>1.7138242687795207</v>
      </c>
      <c r="K7" s="138">
        <f>(1+'Thông số'!$C$10)^K6</f>
        <v>1.8509302102818823</v>
      </c>
      <c r="L7" s="138">
        <f>(1+'Thông số'!$C$10)^L6</f>
        <v>1.9990046271044331</v>
      </c>
      <c r="M7" s="138">
        <f>(1+'Thông số'!$C$10)^M6</f>
        <v>2.1589249972727877</v>
      </c>
      <c r="N7" s="138">
        <f>(1+'Thông số'!$C$10)^N6</f>
        <v>2.3316389970546108</v>
      </c>
      <c r="O7" s="138">
        <f>(1+'Thông số'!$C$10)^O6</f>
        <v>2.5181701168189798</v>
      </c>
      <c r="P7" s="138">
        <f>(1+'Thông số'!$C$10)^P6</f>
        <v>2.7196237261644982</v>
      </c>
      <c r="Q7" s="138">
        <f>(1+'Thông số'!$C$10)^Q6</f>
        <v>2.9371936242576586</v>
      </c>
      <c r="R7" s="138">
        <f>(1+'Thông số'!$C$10)^R6</f>
        <v>3.1721691141982715</v>
      </c>
      <c r="S7" s="138">
        <f>(1+'Thông số'!$C$10)^S6</f>
        <v>3.4259426433341331</v>
      </c>
      <c r="T7" s="138">
        <f>(1+'Thông số'!$C$10)^T6</f>
        <v>3.7000180548008639</v>
      </c>
      <c r="U7" s="138">
        <f>(1+'Thông số'!$C$10)^U6</f>
        <v>3.9960194991849334</v>
      </c>
      <c r="V7" s="138">
        <f>(1+'Thông số'!$C$10)^V6</f>
        <v>4.3157010591197285</v>
      </c>
      <c r="W7" s="138">
        <f>(1+'Thông số'!$C$10)^W6</f>
        <v>4.6609571438493065</v>
      </c>
      <c r="X7" s="138">
        <f>(1+'Thông số'!$C$10)^X6</f>
        <v>5.0338337153572512</v>
      </c>
      <c r="Y7" s="138">
        <f>(1+'Thông số'!$C$10)^Y6</f>
        <v>5.4365404125858321</v>
      </c>
      <c r="Z7" s="138">
        <f>(1+'Thông số'!$C$10)^Z6</f>
        <v>5.8714636455926987</v>
      </c>
      <c r="AA7" s="138">
        <f>(1+'Thông số'!$C$10)^AA6</f>
        <v>6.3411807372401148</v>
      </c>
      <c r="AB7" s="138">
        <f>(1+'Thông số'!$C$10)^AB6</f>
        <v>6.8484751962193249</v>
      </c>
      <c r="AC7" s="138">
        <f>(1+'Thông số'!$C$10)^AC6</f>
        <v>7.3963532119168702</v>
      </c>
      <c r="AD7" s="138">
        <f>(1+'Thông số'!$C$10)^AD6</f>
        <v>7.9880614688702201</v>
      </c>
      <c r="AE7" s="138">
        <f>(1+'Thông số'!$C$10)^AE6</f>
        <v>8.6271063863798378</v>
      </c>
      <c r="AF7" s="138">
        <f>(1+'Thông số'!$C$10)^AF6</f>
        <v>9.3172748972902255</v>
      </c>
      <c r="AG7" s="138">
        <f>(1+'Thông số'!$C$10)^AG6</f>
        <v>10.062656889073445</v>
      </c>
      <c r="AH7" s="138">
        <f>(1+'Thông số'!$C$10)^AH6</f>
        <v>10.867669440199322</v>
      </c>
      <c r="AI7" s="138">
        <f>(1+'Thông số'!$C$10)^AI6</f>
        <v>11.737082995415268</v>
      </c>
      <c r="AJ7" s="138">
        <f>(1+'Thông số'!$C$10)^AJ6</f>
        <v>12.676049635048489</v>
      </c>
      <c r="AK7" s="138">
        <f>(1+'Thông số'!$C$10)^AK6</f>
        <v>13.690133605852369</v>
      </c>
      <c r="AL7" s="138">
        <f>(1+'Thông số'!$C$10)^AL6</f>
        <v>14.785344294320559</v>
      </c>
      <c r="AM7" s="138">
        <f>(1+'Thông số'!$C$10)^AM6</f>
        <v>15.968171837866207</v>
      </c>
      <c r="AN7" s="138">
        <f>(1+'Thông số'!$C$10)^AN6</f>
        <v>17.245625584895503</v>
      </c>
      <c r="AO7" s="138">
        <f>(1+'Thông số'!$C$10)^AO6</f>
        <v>18.625275631687146</v>
      </c>
      <c r="AP7" s="138">
        <f>(1+'Thông số'!$C$10)^AP6</f>
        <v>20.115297682222117</v>
      </c>
      <c r="AQ7" s="138">
        <f>(1+'Thông số'!$C$10)^AQ6</f>
        <v>21.724521496799888</v>
      </c>
      <c r="AR7" s="138">
        <f>(1+'Thông số'!$C$10)^AR6</f>
        <v>23.46248321654388</v>
      </c>
      <c r="AS7" s="138">
        <f>(1+'Thông số'!$C$10)^AS6</f>
        <v>25.339481873867388</v>
      </c>
      <c r="AT7" s="138">
        <f>(1+'Thông số'!$C$10)^AT6</f>
        <v>27.366640423776779</v>
      </c>
      <c r="AU7" s="138">
        <f>(1+'Thông số'!$C$10)^AU6</f>
        <v>29.555971657678928</v>
      </c>
      <c r="AV7" s="138">
        <f>(1+'Thông số'!$C$10)^AV6</f>
        <v>31.920449390293239</v>
      </c>
    </row>
    <row r="8" spans="1:48" ht="16.5" customHeight="1" x14ac:dyDescent="0.5">
      <c r="B8" s="137" t="s">
        <v>205</v>
      </c>
      <c r="C8" s="138">
        <f>(1+'Thông số'!$C$11)^C6</f>
        <v>1</v>
      </c>
      <c r="D8" s="138">
        <f>(1+'Thông số'!$C$11)^D6</f>
        <v>1.02</v>
      </c>
      <c r="E8" s="138">
        <f>(1+'Thông số'!$C$11)^E6</f>
        <v>1.0404</v>
      </c>
      <c r="F8" s="138">
        <f>(1+'Thông số'!$C$11)^F6</f>
        <v>1.0612079999999999</v>
      </c>
      <c r="G8" s="138">
        <f>(1+'Thông số'!$C$11)^G6</f>
        <v>1.08243216</v>
      </c>
      <c r="H8" s="138">
        <f>(1+'Thông số'!$C$11)^H6</f>
        <v>1.1040808032</v>
      </c>
      <c r="I8" s="138">
        <f>(1+'Thông số'!$C$11)^I6</f>
        <v>1.1261624192640001</v>
      </c>
      <c r="J8" s="138">
        <f>(1+'Thông số'!$C$11)^J6</f>
        <v>1.1486856676492798</v>
      </c>
      <c r="K8" s="138">
        <f>(1+'Thông số'!$C$11)^K6</f>
        <v>1.1716593810022655</v>
      </c>
      <c r="L8" s="138">
        <f>(1+'Thông số'!$C$11)^L6</f>
        <v>1.1950925686223108</v>
      </c>
      <c r="M8" s="138">
        <f>(1+'Thông số'!$C$11)^M6</f>
        <v>1.2189944199947571</v>
      </c>
      <c r="N8" s="138">
        <f>(1+'Thông số'!$C$11)^N6</f>
        <v>1.243374308394652</v>
      </c>
      <c r="O8" s="138">
        <f>(1+'Thông số'!$C$11)^O6</f>
        <v>1.2682417945625453</v>
      </c>
      <c r="P8" s="138">
        <f>(1+'Thông số'!$C$11)^P6</f>
        <v>1.2936066304537961</v>
      </c>
      <c r="Q8" s="138">
        <f>(1+'Thông số'!$C$11)^Q6</f>
        <v>1.3194787630628722</v>
      </c>
      <c r="R8" s="138">
        <f>(1+'Thông số'!$C$11)^R6</f>
        <v>1.3458683383241292</v>
      </c>
      <c r="S8" s="138">
        <f>(1+'Thông số'!$C$11)^S6</f>
        <v>1.372785705090612</v>
      </c>
      <c r="T8" s="138">
        <f>(1+'Thông số'!$C$11)^T6</f>
        <v>1.4002414191924244</v>
      </c>
      <c r="U8" s="138">
        <f>(1+'Thông số'!$C$11)^U6</f>
        <v>1.4282462475762727</v>
      </c>
      <c r="V8" s="138">
        <f>(1+'Thông số'!$C$11)^V6</f>
        <v>1.4568111725277981</v>
      </c>
      <c r="W8" s="138">
        <f>(1+'Thông số'!$C$11)^W6</f>
        <v>1.4859473959783542</v>
      </c>
      <c r="X8" s="138">
        <f>(1+'Thông số'!$C$11)^X6</f>
        <v>1.5156663438979212</v>
      </c>
      <c r="Y8" s="138">
        <f>(1+'Thông số'!$C$11)^Y6</f>
        <v>1.5459796707758797</v>
      </c>
      <c r="Z8" s="138">
        <f>(1+'Thông số'!$C$11)^Z6</f>
        <v>1.576899264191397</v>
      </c>
      <c r="AA8" s="138">
        <f>(1+'Thông số'!$C$11)^AA6</f>
        <v>1.608437249475225</v>
      </c>
      <c r="AB8" s="138">
        <f>(1+'Thông số'!$C$11)^AB6</f>
        <v>1.6406059944647295</v>
      </c>
      <c r="AC8" s="138">
        <f>(1+'Thông số'!$C$11)^AC6</f>
        <v>1.6734181143540243</v>
      </c>
      <c r="AD8" s="138">
        <f>(1+'Thông số'!$C$11)^AD6</f>
        <v>1.7068864766411045</v>
      </c>
      <c r="AE8" s="138">
        <f>(1+'Thông số'!$C$11)^AE6</f>
        <v>1.7410242061739269</v>
      </c>
      <c r="AF8" s="138">
        <f>(1+'Thông số'!$C$11)^AF6</f>
        <v>1.7758446902974052</v>
      </c>
      <c r="AG8" s="138">
        <f>(1+'Thông số'!$C$11)^AG6</f>
        <v>1.8113615841033535</v>
      </c>
      <c r="AH8" s="138">
        <f>(1+'Thông số'!$C$11)^AH6</f>
        <v>1.8475888157854201</v>
      </c>
      <c r="AI8" s="138">
        <f>(1+'Thông số'!$C$11)^AI6</f>
        <v>1.8845405921011289</v>
      </c>
      <c r="AJ8" s="138">
        <f>(1+'Thông số'!$C$11)^AJ6</f>
        <v>1.9222314039431516</v>
      </c>
      <c r="AK8" s="138">
        <f>(1+'Thông số'!$C$11)^AK6</f>
        <v>1.9606760320220145</v>
      </c>
      <c r="AL8" s="138">
        <f>(1+'Thông số'!$C$11)^AL6</f>
        <v>1.9998895526624547</v>
      </c>
      <c r="AM8" s="138">
        <f>(1+'Thông số'!$C$11)^AM6</f>
        <v>2.0398873437157037</v>
      </c>
      <c r="AN8" s="138">
        <f>(1+'Thông số'!$C$11)^AN6</f>
        <v>2.080685090590018</v>
      </c>
      <c r="AO8" s="138">
        <f>(1+'Thông số'!$C$11)^AO6</f>
        <v>2.1222987924018186</v>
      </c>
      <c r="AP8" s="138">
        <f>(1+'Thông số'!$C$11)^AP6</f>
        <v>2.1647447682498542</v>
      </c>
      <c r="AQ8" s="138">
        <f>(1+'Thông số'!$C$11)^AQ6</f>
        <v>2.2080396636148518</v>
      </c>
      <c r="AR8" s="138">
        <f>(1+'Thông số'!$C$11)^AR6</f>
        <v>2.2522004568871488</v>
      </c>
      <c r="AS8" s="138">
        <f>(1+'Thông số'!$C$11)^AS6</f>
        <v>2.2972444660248916</v>
      </c>
      <c r="AT8" s="138">
        <f>(1+'Thông số'!$C$11)^AT6</f>
        <v>2.3431893553453893</v>
      </c>
      <c r="AU8" s="138">
        <f>(1+'Thông số'!$C$11)^AU6</f>
        <v>2.3900531424522975</v>
      </c>
      <c r="AV8" s="138">
        <f>(1+'Thông số'!$C$11)^AV6</f>
        <v>2.4378542053013432</v>
      </c>
    </row>
    <row r="9" spans="1:48" ht="16.5" customHeight="1" x14ac:dyDescent="0.5">
      <c r="B9" s="137" t="s">
        <v>77</v>
      </c>
      <c r="C9" s="138">
        <f>'Thông số'!$C$9*C7/C8</f>
        <v>80</v>
      </c>
      <c r="D9" s="138">
        <f>'Thông số'!$C$9*D7/D8</f>
        <v>84.705882352941174</v>
      </c>
      <c r="E9" s="138">
        <f>'Thông số'!$C$9*E7/E8</f>
        <v>89.688581314878903</v>
      </c>
      <c r="F9" s="138">
        <f>'Thông số'!$C$9*F7/F8</f>
        <v>94.964380215754147</v>
      </c>
      <c r="G9" s="138">
        <f>'Thông số'!$C$9*G7/G8</f>
        <v>100.55052022844556</v>
      </c>
      <c r="H9" s="138">
        <f>'Thông số'!$C$9*H7/H8</f>
        <v>106.46525671247177</v>
      </c>
      <c r="I9" s="138">
        <f>'Thông số'!$C$9*I7/I8</f>
        <v>112.72791887202894</v>
      </c>
      <c r="J9" s="138">
        <f>'Thông số'!$C$9*J7/J8</f>
        <v>119.35897292332479</v>
      </c>
      <c r="K9" s="138">
        <f>'Thông số'!$C$9*K7/K8</f>
        <v>126.380088977638</v>
      </c>
      <c r="L9" s="138">
        <f>'Thông số'!$C$9*L7/L8</f>
        <v>133.81421185867555</v>
      </c>
      <c r="M9" s="138">
        <f>'Thông số'!$C$9*M7/M8</f>
        <v>141.68563608565645</v>
      </c>
      <c r="N9" s="138">
        <f>'Thông số'!$C$9*N7/N8</f>
        <v>150.02008526716568</v>
      </c>
      <c r="O9" s="138">
        <f>'Thông số'!$C$9*O7/O8</f>
        <v>158.84479616523424</v>
      </c>
      <c r="P9" s="138">
        <f>'Thông số'!$C$9*P7/P8</f>
        <v>168.18860770436567</v>
      </c>
      <c r="Q9" s="138">
        <f>'Thông số'!$C$9*Q7/Q8</f>
        <v>178.0820552163872</v>
      </c>
      <c r="R9" s="138">
        <f>'Thông số'!$C$9*R7/R8</f>
        <v>188.55747022911595</v>
      </c>
      <c r="S9" s="138">
        <f>'Thông số'!$C$9*S7/S8</f>
        <v>199.64908612494625</v>
      </c>
      <c r="T9" s="138">
        <f>'Thông số'!$C$9*T7/T8</f>
        <v>211.39315001464894</v>
      </c>
      <c r="U9" s="138">
        <f>'Thông số'!$C$9*U7/U8</f>
        <v>223.8280411919813</v>
      </c>
      <c r="V9" s="138">
        <f>'Thông số'!$C$9*V7/V8</f>
        <v>236.99439655621552</v>
      </c>
      <c r="W9" s="138">
        <f>'Thông số'!$C$9*W7/W8</f>
        <v>250.93524341246342</v>
      </c>
      <c r="X9" s="138">
        <f>'Thông số'!$C$9*X7/X8</f>
        <v>265.69614008378483</v>
      </c>
      <c r="Y9" s="138">
        <f>'Thông số'!$C$9*Y7/Y8</f>
        <v>281.32532479459576</v>
      </c>
      <c r="Z9" s="138">
        <f>'Thông số'!$C$9*Z7/Z8</f>
        <v>297.87387331192497</v>
      </c>
      <c r="AA9" s="138">
        <f>'Thông số'!$C$9*AA7/AA8</f>
        <v>315.39586585968527</v>
      </c>
      <c r="AB9" s="138">
        <f>'Thông số'!$C$9*AB7/AB8</f>
        <v>333.94856385143146</v>
      </c>
      <c r="AC9" s="138">
        <f>'Thông số'!$C$9*AC7/AC8</f>
        <v>353.59259701916267</v>
      </c>
      <c r="AD9" s="138">
        <f>'Thông số'!$C$9*AD7/AD8</f>
        <v>374.39216154970171</v>
      </c>
      <c r="AE9" s="138">
        <f>'Thông số'!$C$9*AE7/AE8</f>
        <v>396.41522987615468</v>
      </c>
      <c r="AF9" s="138">
        <f>'Thông số'!$C$9*AF7/AF8</f>
        <v>419.73377281004628</v>
      </c>
      <c r="AG9" s="138">
        <f>'Thông số'!$C$9*AG7/AG8</f>
        <v>444.42399474004901</v>
      </c>
      <c r="AH9" s="138">
        <f>'Thông số'!$C$9*AH7/AH8</f>
        <v>470.56658266593439</v>
      </c>
      <c r="AI9" s="138">
        <f>'Thông số'!$C$9*AI7/AI8</f>
        <v>498.24696988157746</v>
      </c>
      <c r="AJ9" s="138">
        <f>'Thông số'!$C$9*AJ7/AJ8</f>
        <v>527.5556151687291</v>
      </c>
      <c r="AK9" s="138">
        <f>'Thông số'!$C$9*AK7/AK8</f>
        <v>558.58829841394856</v>
      </c>
      <c r="AL9" s="138">
        <f>'Thông số'!$C$9*AL7/AL8</f>
        <v>591.44643361476915</v>
      </c>
      <c r="AM9" s="138">
        <f>'Thông số'!$C$9*AM7/AM8</f>
        <v>626.23740029799092</v>
      </c>
      <c r="AN9" s="138">
        <f>'Thông số'!$C$9*AN7/AN8</f>
        <v>663.07489443316683</v>
      </c>
      <c r="AO9" s="138">
        <f>'Thông số'!$C$9*AO7/AO8</f>
        <v>702.07929998805889</v>
      </c>
      <c r="AP9" s="138">
        <f>'Thông số'!$C$9*AP7/AP8</f>
        <v>743.37808234029796</v>
      </c>
      <c r="AQ9" s="138">
        <f>'Thông số'!$C$9*AQ7/AQ8</f>
        <v>787.10620483090361</v>
      </c>
      <c r="AR9" s="138">
        <f>'Thông số'!$C$9*AR7/AR8</f>
        <v>833.40656982095686</v>
      </c>
      <c r="AS9" s="138">
        <f>'Thông số'!$C$9*AS7/AS8</f>
        <v>882.43048569277778</v>
      </c>
      <c r="AT9" s="138">
        <f>'Thông số'!$C$9*AT7/AT8</f>
        <v>934.33816132176469</v>
      </c>
      <c r="AU9" s="138">
        <f>'Thông số'!$C$9*AU7/AU8</f>
        <v>989.29922963480988</v>
      </c>
      <c r="AV9" s="138">
        <f>'Thông số'!$C$9*AV7/AV8</f>
        <v>1047.4933019662692</v>
      </c>
    </row>
    <row r="10" spans="1:48" ht="16.5" customHeight="1" x14ac:dyDescent="0.5">
      <c r="B10" s="171" t="s">
        <v>206</v>
      </c>
      <c r="C10" s="171"/>
      <c r="D10" s="171"/>
      <c r="E10" s="171"/>
      <c r="F10" s="171"/>
      <c r="G10" s="180">
        <f>(1+'Thông số'!$F$14)^C6</f>
        <v>1</v>
      </c>
      <c r="H10" s="180">
        <f>(1+'Thông số'!$F$14)^D6</f>
        <v>1.04</v>
      </c>
      <c r="I10" s="180">
        <f>(1+'Thông số'!$F$14)^E6</f>
        <v>1.0816000000000001</v>
      </c>
      <c r="J10" s="180">
        <f>(1+'Thông số'!$F$14)^F6</f>
        <v>1.1248640000000001</v>
      </c>
      <c r="K10" s="180">
        <f>(1+'Thông số'!$F$14)^G6</f>
        <v>1.1698585600000002</v>
      </c>
      <c r="L10" s="180">
        <f>(1+'Thông số'!$F$14)^H6</f>
        <v>1.2166529024000003</v>
      </c>
      <c r="M10" s="180">
        <f>(1+'Thông số'!$F$14)^I6</f>
        <v>1.2653190184960004</v>
      </c>
      <c r="N10" s="180">
        <f>(1+'Thông số'!$F$14)^J6</f>
        <v>1.3159317792358403</v>
      </c>
      <c r="O10" s="180">
        <f>(1+'Thông số'!$F$14)^K6</f>
        <v>1.3685690504052741</v>
      </c>
      <c r="P10" s="180">
        <f>(1+'Thông số'!$F$14)^L6</f>
        <v>1.4233118124214852</v>
      </c>
      <c r="Q10" s="180">
        <f>(1+'Thông số'!$F$14)^M6</f>
        <v>1.4802442849183446</v>
      </c>
      <c r="R10" s="180">
        <f>(1+'Thông số'!$F$14)^N6</f>
        <v>1.5394540563150783</v>
      </c>
      <c r="S10" s="180">
        <f>(1+'Thông số'!$F$14)^O6</f>
        <v>1.6010322185676817</v>
      </c>
      <c r="T10" s="180">
        <f>(1+'Thông số'!$F$14)^P6</f>
        <v>1.6650735073103891</v>
      </c>
      <c r="U10" s="180">
        <f>(1+'Thông số'!$F$14)^Q6</f>
        <v>1.7316764476028046</v>
      </c>
      <c r="V10" s="180">
        <f>(1+'Thông số'!$F$14)^R6</f>
        <v>1.8009435055069167</v>
      </c>
      <c r="W10" s="180">
        <f>(1+'Thông số'!$F$14)^S6</f>
        <v>1.8729812457271937</v>
      </c>
      <c r="X10" s="180">
        <f>(1+'Thông số'!$F$14)^T6</f>
        <v>1.9479004955562815</v>
      </c>
      <c r="Y10" s="180">
        <f>(1+'Thông số'!$F$14)^U6</f>
        <v>2.025816515378533</v>
      </c>
      <c r="Z10" s="180">
        <f>(1+'Thông số'!$F$14)^V6</f>
        <v>2.1068491759936743</v>
      </c>
      <c r="AA10" s="180">
        <f>(1+'Thông số'!$F$14)^W6</f>
        <v>2.1911231430334213</v>
      </c>
      <c r="AB10" s="180">
        <f>(1+'Thông số'!$F$14)^X6</f>
        <v>2.2787680687547587</v>
      </c>
      <c r="AC10" s="180">
        <f>(1+'Thông số'!$F$14)^Y6</f>
        <v>2.3699187915049489</v>
      </c>
      <c r="AD10" s="180">
        <f>(1+'Thông số'!$F$14)^Z6</f>
        <v>2.4647155431651466</v>
      </c>
      <c r="AE10" s="180">
        <f>(1+'Thông số'!$F$14)^AA6</f>
        <v>2.5633041648917527</v>
      </c>
      <c r="AF10" s="180">
        <f>(1+'Thông số'!$F$14)^AB6</f>
        <v>2.6658363314874234</v>
      </c>
      <c r="AG10" s="180">
        <f>(1+'Thông số'!$F$14)^AC6</f>
        <v>2.77246978474692</v>
      </c>
      <c r="AH10" s="180">
        <f>(1+'Thông số'!$F$14)^AD6</f>
        <v>2.8833685761367969</v>
      </c>
      <c r="AI10" s="180">
        <f>(1+'Thông số'!$F$14)^AE6</f>
        <v>2.9987033191822694</v>
      </c>
      <c r="AJ10" s="180">
        <f>(1+'Thông số'!$F$14)^AF6</f>
        <v>3.1186514519495603</v>
      </c>
      <c r="AK10" s="180">
        <f>(1+'Thông số'!$F$14)^AG6</f>
        <v>3.2433975100275423</v>
      </c>
      <c r="AL10" s="180">
        <f>(1+'Thông số'!$F$14)^AH6</f>
        <v>3.3731334104286441</v>
      </c>
      <c r="AM10" s="180">
        <f>(1+'Thông số'!$F$14)^AI6</f>
        <v>3.5080587468457902</v>
      </c>
      <c r="AN10" s="180">
        <f>(1+'Thông số'!$F$14)^AJ6</f>
        <v>3.6483810967196217</v>
      </c>
      <c r="AO10" s="180">
        <f>(1+'Thông số'!$F$14)^AK6</f>
        <v>3.7943163405884071</v>
      </c>
      <c r="AP10" s="180">
        <f>(1+'Thông số'!$F$14)^AL6</f>
        <v>3.9460889942119435</v>
      </c>
      <c r="AQ10" s="180">
        <f>(1+'Thông số'!$F$14)^AM6</f>
        <v>4.103932553980421</v>
      </c>
      <c r="AR10" s="180">
        <f>(1+'Thông số'!$F$14)^AN6</f>
        <v>4.268089856139639</v>
      </c>
      <c r="AS10" s="180">
        <f>(1+'Thông số'!$F$14)^AO6</f>
        <v>4.4388134503852239</v>
      </c>
      <c r="AT10" s="180">
        <f>(1+'Thông số'!$F$14)^AP6</f>
        <v>4.6163659884006325</v>
      </c>
      <c r="AU10" s="180">
        <f>(1+'Thông số'!$F$14)^AQ6</f>
        <v>4.8010206279366594</v>
      </c>
      <c r="AV10" s="180">
        <f>(1+'Thông số'!$F$14)^AR6</f>
        <v>4.9930614530541257</v>
      </c>
    </row>
    <row r="11" spans="1:48" ht="16.5" customHeight="1" x14ac:dyDescent="0.5"/>
    <row r="12" spans="1:48" ht="22.5" customHeight="1" x14ac:dyDescent="0.5">
      <c r="B12" s="164" t="s">
        <v>260</v>
      </c>
    </row>
    <row r="13" spans="1:48" ht="15" customHeight="1" x14ac:dyDescent="0.5">
      <c r="B13" s="166" t="str">
        <f>B6</f>
        <v>Năm dự án</v>
      </c>
      <c r="C13" s="166">
        <f t="shared" ref="C13:AV13" si="0">C6</f>
        <v>0</v>
      </c>
      <c r="D13" s="166">
        <f t="shared" si="0"/>
        <v>1</v>
      </c>
      <c r="E13" s="166">
        <f t="shared" si="0"/>
        <v>2</v>
      </c>
      <c r="F13" s="166">
        <f t="shared" si="0"/>
        <v>3</v>
      </c>
      <c r="G13" s="166">
        <f t="shared" si="0"/>
        <v>4</v>
      </c>
      <c r="H13" s="166">
        <f t="shared" si="0"/>
        <v>5</v>
      </c>
      <c r="I13" s="166">
        <f t="shared" si="0"/>
        <v>6</v>
      </c>
      <c r="J13" s="166">
        <f t="shared" si="0"/>
        <v>7</v>
      </c>
      <c r="K13" s="166">
        <f t="shared" si="0"/>
        <v>8</v>
      </c>
      <c r="L13" s="166">
        <f t="shared" si="0"/>
        <v>9</v>
      </c>
      <c r="M13" s="166">
        <f t="shared" si="0"/>
        <v>10</v>
      </c>
      <c r="N13" s="166">
        <f t="shared" si="0"/>
        <v>11</v>
      </c>
      <c r="O13" s="166">
        <f t="shared" si="0"/>
        <v>12</v>
      </c>
      <c r="P13" s="166">
        <f t="shared" si="0"/>
        <v>13</v>
      </c>
      <c r="Q13" s="166">
        <f t="shared" si="0"/>
        <v>14</v>
      </c>
      <c r="R13" s="166">
        <f t="shared" si="0"/>
        <v>15</v>
      </c>
      <c r="S13" s="166">
        <f t="shared" si="0"/>
        <v>16</v>
      </c>
      <c r="T13" s="166">
        <f t="shared" si="0"/>
        <v>17</v>
      </c>
      <c r="U13" s="166">
        <f t="shared" si="0"/>
        <v>18</v>
      </c>
      <c r="V13" s="166">
        <f t="shared" si="0"/>
        <v>19</v>
      </c>
      <c r="W13" s="166">
        <f t="shared" si="0"/>
        <v>20</v>
      </c>
      <c r="X13" s="166">
        <f t="shared" si="0"/>
        <v>21</v>
      </c>
      <c r="Y13" s="166">
        <f t="shared" si="0"/>
        <v>22</v>
      </c>
      <c r="Z13" s="166">
        <f t="shared" si="0"/>
        <v>23</v>
      </c>
      <c r="AA13" s="166">
        <f t="shared" si="0"/>
        <v>24</v>
      </c>
      <c r="AB13" s="166">
        <f t="shared" si="0"/>
        <v>25</v>
      </c>
      <c r="AC13" s="166">
        <f t="shared" si="0"/>
        <v>26</v>
      </c>
      <c r="AD13" s="166">
        <f t="shared" si="0"/>
        <v>27</v>
      </c>
      <c r="AE13" s="166">
        <f t="shared" si="0"/>
        <v>28</v>
      </c>
      <c r="AF13" s="166">
        <f t="shared" si="0"/>
        <v>29</v>
      </c>
      <c r="AG13" s="166">
        <f t="shared" si="0"/>
        <v>30</v>
      </c>
      <c r="AH13" s="166">
        <f t="shared" si="0"/>
        <v>31</v>
      </c>
      <c r="AI13" s="166">
        <f t="shared" si="0"/>
        <v>32</v>
      </c>
      <c r="AJ13" s="166">
        <f t="shared" si="0"/>
        <v>33</v>
      </c>
      <c r="AK13" s="166">
        <f t="shared" si="0"/>
        <v>34</v>
      </c>
      <c r="AL13" s="166">
        <f t="shared" si="0"/>
        <v>35</v>
      </c>
      <c r="AM13" s="166">
        <f t="shared" si="0"/>
        <v>36</v>
      </c>
      <c r="AN13" s="166">
        <f t="shared" si="0"/>
        <v>37</v>
      </c>
      <c r="AO13" s="166">
        <f t="shared" si="0"/>
        <v>38</v>
      </c>
      <c r="AP13" s="166">
        <f t="shared" si="0"/>
        <v>39</v>
      </c>
      <c r="AQ13" s="166">
        <f t="shared" si="0"/>
        <v>40</v>
      </c>
      <c r="AR13" s="166">
        <f t="shared" si="0"/>
        <v>41</v>
      </c>
      <c r="AS13" s="166">
        <f t="shared" si="0"/>
        <v>42</v>
      </c>
      <c r="AT13" s="166">
        <f t="shared" si="0"/>
        <v>43</v>
      </c>
      <c r="AU13" s="166">
        <f t="shared" si="0"/>
        <v>44</v>
      </c>
      <c r="AV13" s="166">
        <f t="shared" si="0"/>
        <v>45</v>
      </c>
    </row>
    <row r="14" spans="1:48" ht="19.5" customHeight="1" x14ac:dyDescent="0.5">
      <c r="A14" s="139"/>
      <c r="B14" s="286" t="s">
        <v>33</v>
      </c>
      <c r="C14" s="139"/>
      <c r="D14" s="139"/>
      <c r="E14" s="139"/>
      <c r="F14" s="140"/>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row>
    <row r="15" spans="1:48" ht="16.5" customHeight="1" x14ac:dyDescent="0.5">
      <c r="B15" s="137" t="s">
        <v>37</v>
      </c>
      <c r="F15" s="141"/>
      <c r="G15" s="141">
        <f t="shared" ref="G15" si="1">F18</f>
        <v>212.24159999999998</v>
      </c>
      <c r="H15" s="141">
        <f t="shared" ref="H15" si="2">G18</f>
        <v>202.45017153062796</v>
      </c>
      <c r="I15" s="141">
        <f t="shared" ref="I15" si="3">H18</f>
        <v>192.16329678070571</v>
      </c>
      <c r="J15" s="141">
        <f t="shared" ref="J15" si="4">I18</f>
        <v>181.3559061684374</v>
      </c>
      <c r="K15" s="141">
        <f t="shared" ref="K15" si="5">J18</f>
        <v>170.00166159118831</v>
      </c>
      <c r="L15" s="141">
        <f t="shared" ref="L15" si="6">K18</f>
        <v>158.07289223833041</v>
      </c>
      <c r="M15" s="141">
        <f t="shared" ref="M15" si="7">L18</f>
        <v>145.54052715621791</v>
      </c>
      <c r="N15" s="141">
        <f t="shared" ref="N15" si="8">M18</f>
        <v>132.3740244009505</v>
      </c>
      <c r="O15" s="141">
        <f t="shared" ref="O15" si="9">N18</f>
        <v>118.54129660626657</v>
      </c>
      <c r="P15" s="141">
        <f t="shared" ref="P15" si="10">O18</f>
        <v>104.00863278517163</v>
      </c>
      <c r="Q15" s="141">
        <f t="shared" ref="Q15" si="11">P18</f>
        <v>88.740616174729283</v>
      </c>
      <c r="R15" s="141">
        <f t="shared" ref="R15" si="12">Q18</f>
        <v>72.700037923798561</v>
      </c>
      <c r="S15" s="141">
        <f t="shared" ref="S15" si="13">R18</f>
        <v>55.847806413370733</v>
      </c>
      <c r="T15" s="141">
        <f t="shared" ref="T15" si="14">S18</f>
        <v>38.142851988515261</v>
      </c>
      <c r="U15" s="141">
        <f t="shared" ref="U15" si="15">T18</f>
        <v>19.542026869762108</v>
      </c>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row>
    <row r="16" spans="1:48" ht="16.5" customHeight="1" x14ac:dyDescent="0.5">
      <c r="B16" s="137" t="s">
        <v>271</v>
      </c>
      <c r="F16" s="141"/>
      <c r="G16" s="141">
        <f>G15*'Thông số'!$I$9</f>
        <v>10.739424960000001</v>
      </c>
      <c r="H16" s="141">
        <f>H15*'Thông số'!$I$9</f>
        <v>10.243978679449775</v>
      </c>
      <c r="I16" s="141">
        <f>I15*'Thông số'!$I$9</f>
        <v>9.7234628171037105</v>
      </c>
      <c r="J16" s="141">
        <f>J15*'Thông số'!$I$9</f>
        <v>9.1766088521229339</v>
      </c>
      <c r="K16" s="141">
        <f>K15*'Thông số'!$I$9</f>
        <v>8.6020840765141298</v>
      </c>
      <c r="L16" s="141">
        <f>L15*'Thông số'!$I$9</f>
        <v>7.9984883472595198</v>
      </c>
      <c r="M16" s="141">
        <f>M15*'Thông số'!$I$9</f>
        <v>7.3643506741046272</v>
      </c>
      <c r="N16" s="141">
        <f>N15*'Thông số'!$I$9</f>
        <v>6.698125634688096</v>
      </c>
      <c r="O16" s="141">
        <f>O15*'Thông số'!$I$9</f>
        <v>5.9981896082770891</v>
      </c>
      <c r="P16" s="141">
        <f>P15*'Thông số'!$I$9</f>
        <v>5.262836818929685</v>
      </c>
      <c r="Q16" s="141">
        <f>Q15*'Thông số'!$I$9</f>
        <v>4.4902751784413022</v>
      </c>
      <c r="R16" s="141">
        <f>R15*'Thông số'!$I$9</f>
        <v>3.6786219189442075</v>
      </c>
      <c r="S16" s="141">
        <f>S15*'Thông số'!$I$9</f>
        <v>2.8258990045165593</v>
      </c>
      <c r="T16" s="141">
        <f>T15*'Thông số'!$I$9</f>
        <v>1.9300283106188725</v>
      </c>
      <c r="U16" s="141">
        <f>U15*'Thông số'!$I$9</f>
        <v>0.9888265596099628</v>
      </c>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row>
    <row r="17" spans="2:48" ht="16.5" customHeight="1" x14ac:dyDescent="0.5">
      <c r="B17" s="137" t="s">
        <v>272</v>
      </c>
      <c r="F17" s="141"/>
      <c r="G17" s="141">
        <f>-PMT('Thông số'!$I$9,15,$G$15)</f>
        <v>20.530853429372026</v>
      </c>
      <c r="H17" s="141">
        <f>-PMT('Thông số'!$I$9,15,$G$15)</f>
        <v>20.530853429372026</v>
      </c>
      <c r="I17" s="141">
        <f>-PMT('Thông số'!$I$9,15,$G$15)</f>
        <v>20.530853429372026</v>
      </c>
      <c r="J17" s="141">
        <f>-PMT('Thông số'!$I$9,15,$G$15)</f>
        <v>20.530853429372026</v>
      </c>
      <c r="K17" s="141">
        <f>-PMT('Thông số'!$I$9,15,$G$15)</f>
        <v>20.530853429372026</v>
      </c>
      <c r="L17" s="141">
        <f>-PMT('Thông số'!$I$9,15,$G$15)</f>
        <v>20.530853429372026</v>
      </c>
      <c r="M17" s="141">
        <f>-PMT('Thông số'!$I$9,15,$G$15)</f>
        <v>20.530853429372026</v>
      </c>
      <c r="N17" s="141">
        <f>-PMT('Thông số'!$I$9,15,$G$15)</f>
        <v>20.530853429372026</v>
      </c>
      <c r="O17" s="141">
        <f>-PMT('Thông số'!$I$9,15,$G$15)</f>
        <v>20.530853429372026</v>
      </c>
      <c r="P17" s="141">
        <f>-PMT('Thông số'!$I$9,15,$G$15)</f>
        <v>20.530853429372026</v>
      </c>
      <c r="Q17" s="141">
        <f>-PMT('Thông số'!$I$9,15,$G$15)</f>
        <v>20.530853429372026</v>
      </c>
      <c r="R17" s="141">
        <f>-PMT('Thông số'!$I$9,15,$G$15)</f>
        <v>20.530853429372026</v>
      </c>
      <c r="S17" s="141">
        <f>-PMT('Thông số'!$I$9,15,$G$15)</f>
        <v>20.530853429372026</v>
      </c>
      <c r="T17" s="141">
        <f>-PMT('Thông số'!$I$9,15,$G$15)</f>
        <v>20.530853429372026</v>
      </c>
      <c r="U17" s="141">
        <f>-PMT('Thông số'!$I$9,15,$G$15)</f>
        <v>20.530853429372026</v>
      </c>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row>
    <row r="18" spans="2:48" ht="16.5" customHeight="1" x14ac:dyDescent="0.5">
      <c r="B18" s="137" t="s">
        <v>38</v>
      </c>
      <c r="C18" s="171"/>
      <c r="D18" s="171"/>
      <c r="E18" s="171"/>
      <c r="F18" s="170">
        <f>'Thông số'!F9*F8</f>
        <v>212.24159999999998</v>
      </c>
      <c r="G18" s="170">
        <f>G15+G16-G17</f>
        <v>202.45017153062796</v>
      </c>
      <c r="H18" s="170">
        <f t="shared" ref="H18:U18" si="16">H15+H16-H17</f>
        <v>192.16329678070571</v>
      </c>
      <c r="I18" s="170">
        <f t="shared" si="16"/>
        <v>181.3559061684374</v>
      </c>
      <c r="J18" s="170">
        <f t="shared" si="16"/>
        <v>170.00166159118831</v>
      </c>
      <c r="K18" s="170">
        <f t="shared" si="16"/>
        <v>158.07289223833041</v>
      </c>
      <c r="L18" s="170">
        <f t="shared" si="16"/>
        <v>145.54052715621791</v>
      </c>
      <c r="M18" s="170">
        <f t="shared" si="16"/>
        <v>132.3740244009505</v>
      </c>
      <c r="N18" s="170">
        <f t="shared" si="16"/>
        <v>118.54129660626657</v>
      </c>
      <c r="O18" s="170">
        <f t="shared" si="16"/>
        <v>104.00863278517163</v>
      </c>
      <c r="P18" s="170">
        <f t="shared" si="16"/>
        <v>88.740616174729283</v>
      </c>
      <c r="Q18" s="170">
        <f t="shared" si="16"/>
        <v>72.700037923798561</v>
      </c>
      <c r="R18" s="170">
        <f t="shared" si="16"/>
        <v>55.847806413370733</v>
      </c>
      <c r="S18" s="170">
        <f t="shared" si="16"/>
        <v>38.142851988515261</v>
      </c>
      <c r="T18" s="170">
        <f t="shared" si="16"/>
        <v>19.542026869762108</v>
      </c>
      <c r="U18" s="170">
        <f t="shared" si="16"/>
        <v>4.2632564145606011E-14</v>
      </c>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1"/>
      <c r="AV18" s="171"/>
    </row>
    <row r="19" spans="2:48" ht="19.5" customHeight="1" x14ac:dyDescent="0.5">
      <c r="B19" s="286" t="s">
        <v>34</v>
      </c>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row>
    <row r="20" spans="2:48" ht="16.5" customHeight="1" x14ac:dyDescent="0.5">
      <c r="B20" s="137" t="s">
        <v>37</v>
      </c>
      <c r="F20" s="141"/>
      <c r="G20" s="141">
        <f t="shared" ref="G20" si="17">F23</f>
        <v>636.72479999999996</v>
      </c>
      <c r="H20" s="141">
        <f t="shared" ref="H20" si="18">G23</f>
        <v>633.18169420580648</v>
      </c>
      <c r="I20" s="141">
        <f t="shared" ref="I20" si="19">H23</f>
        <v>629.40509773977567</v>
      </c>
      <c r="J20" s="141">
        <f t="shared" ref="J20" si="20">I23</f>
        <v>625.37962356663343</v>
      </c>
      <c r="K20" s="141">
        <f t="shared" ref="K20" si="21">J23</f>
        <v>621.08887064548105</v>
      </c>
      <c r="L20" s="141">
        <f t="shared" ref="L20" si="22">K23</f>
        <v>616.51535710682481</v>
      </c>
      <c r="M20" s="141">
        <f t="shared" ref="M20" si="23">L23</f>
        <v>611.64044902597107</v>
      </c>
      <c r="N20" s="141">
        <f t="shared" ref="N20" si="24">M23</f>
        <v>606.44428450258908</v>
      </c>
      <c r="O20" s="141">
        <f t="shared" ref="O20" si="25">N23</f>
        <v>600.90569273711628</v>
      </c>
      <c r="P20" s="141">
        <f t="shared" ref="P20" si="26">O23</f>
        <v>595.00210777429879</v>
      </c>
      <c r="Q20" s="141">
        <f t="shared" ref="Q20" si="27">P23</f>
        <v>588.70947656243163</v>
      </c>
      <c r="R20" s="141">
        <f t="shared" ref="R20" si="28">Q23</f>
        <v>582.0021609537024</v>
      </c>
      <c r="S20" s="141">
        <f t="shared" ref="S20" si="29">R23</f>
        <v>574.85283324635793</v>
      </c>
      <c r="T20" s="141">
        <f t="shared" ref="T20" si="30">S23</f>
        <v>567.23236484309939</v>
      </c>
      <c r="U20" s="141">
        <f t="shared" ref="U20" si="31">T23</f>
        <v>559.10970757206621</v>
      </c>
      <c r="V20" s="141">
        <f t="shared" ref="V20" si="32">U23</f>
        <v>550.45176718687196</v>
      </c>
      <c r="W20" s="141">
        <f t="shared" ref="W20" si="33">V23</f>
        <v>541.22326853029335</v>
      </c>
      <c r="X20" s="141">
        <f t="shared" ref="X20" si="34">W23</f>
        <v>531.3866118122462</v>
      </c>
      <c r="Y20" s="141">
        <f t="shared" ref="Y20" si="35">X23</f>
        <v>520.90171941647975</v>
      </c>
      <c r="Z20" s="141">
        <f t="shared" ref="Z20" si="36">Y23</f>
        <v>509.7258726118323</v>
      </c>
      <c r="AA20" s="141">
        <f t="shared" ref="AA20" si="37">Z23</f>
        <v>497.81353750275855</v>
      </c>
      <c r="AB20" s="141">
        <f t="shared" ref="AB20" si="38">AA23</f>
        <v>485.11617950999687</v>
      </c>
      <c r="AC20" s="141">
        <f t="shared" ref="AC20" si="39">AB23</f>
        <v>471.5820656255122</v>
      </c>
      <c r="AD20" s="141">
        <f t="shared" ref="AD20" si="40">AC23</f>
        <v>457.15605363603999</v>
      </c>
      <c r="AE20" s="141">
        <f t="shared" ref="AE20" si="41">AD23</f>
        <v>441.77936745646156</v>
      </c>
      <c r="AF20" s="141">
        <f t="shared" ref="AF20" si="42">AE23</f>
        <v>425.38935765764893</v>
      </c>
      <c r="AG20" s="141">
        <f t="shared" ref="AG20" si="43">AF23</f>
        <v>407.91924621309454</v>
      </c>
      <c r="AH20" s="141">
        <f t="shared" ref="AH20" si="44">AG23</f>
        <v>389.297854424344</v>
      </c>
      <c r="AI20" s="141">
        <f t="shared" ref="AI20" si="45">AH23</f>
        <v>369.4493129167148</v>
      </c>
      <c r="AJ20" s="141">
        <f t="shared" ref="AJ20" si="46">AI23</f>
        <v>348.29275252373282</v>
      </c>
      <c r="AK20" s="141">
        <f t="shared" ref="AK20" si="47">AJ23</f>
        <v>325.74197480085331</v>
      </c>
      <c r="AL20" s="141">
        <f t="shared" ref="AL20" si="48">AK23</f>
        <v>301.70510082603607</v>
      </c>
      <c r="AM20" s="141">
        <f t="shared" ref="AM20" si="49">AL23</f>
        <v>276.08419685627837</v>
      </c>
      <c r="AN20" s="141">
        <f t="shared" ref="AN20" si="50">AM23</f>
        <v>248.77487531491363</v>
      </c>
      <c r="AO20" s="141">
        <f t="shared" ref="AO20" si="51">AN23</f>
        <v>219.66586948397298</v>
      </c>
      <c r="AP20" s="141">
        <f t="shared" ref="AP20" si="52">AO23</f>
        <v>188.63858016877333</v>
      </c>
      <c r="AQ20" s="141">
        <f t="shared" ref="AQ20" si="53">AP23</f>
        <v>155.56659248770202</v>
      </c>
      <c r="AR20" s="141">
        <f t="shared" ref="AR20" si="54">AQ23</f>
        <v>120.31516081844811</v>
      </c>
      <c r="AS20" s="141">
        <f t="shared" ref="AS20" si="55">AR23</f>
        <v>82.740659802190379</v>
      </c>
      <c r="AT20" s="141">
        <f t="shared" ref="AT20" si="56">AS23</f>
        <v>42.689999168961243</v>
      </c>
      <c r="AU20" s="141"/>
      <c r="AV20" s="141"/>
    </row>
    <row r="21" spans="2:48" ht="16.5" customHeight="1" x14ac:dyDescent="0.5">
      <c r="B21" s="137" t="s">
        <v>271</v>
      </c>
      <c r="F21" s="141"/>
      <c r="G21" s="141">
        <f>G20*'Thông số'!$I$10</f>
        <v>41.960164319999997</v>
      </c>
      <c r="H21" s="141">
        <f>H20*'Thông số'!$I$10</f>
        <v>41.726673648162645</v>
      </c>
      <c r="I21" s="141">
        <f>I20*'Thông số'!$I$10</f>
        <v>41.47779594105122</v>
      </c>
      <c r="J21" s="141">
        <f>J20*'Thông số'!$I$10</f>
        <v>41.212517193041144</v>
      </c>
      <c r="K21" s="141">
        <f>K20*'Thông số'!$I$10</f>
        <v>40.929756575537205</v>
      </c>
      <c r="L21" s="141">
        <f>L20*'Thông số'!$I$10</f>
        <v>40.628362033339755</v>
      </c>
      <c r="M21" s="141">
        <f>M20*'Thông số'!$I$10</f>
        <v>40.307105590811496</v>
      </c>
      <c r="N21" s="141">
        <f>N20*'Thông số'!$I$10</f>
        <v>39.964678348720618</v>
      </c>
      <c r="O21" s="141">
        <f>O20*'Thông số'!$I$10</f>
        <v>39.599685151375965</v>
      </c>
      <c r="P21" s="141">
        <f>P20*'Thông số'!$I$10</f>
        <v>39.210638902326288</v>
      </c>
      <c r="Q21" s="141">
        <f>Q20*'Thông số'!$I$10</f>
        <v>38.795954505464245</v>
      </c>
      <c r="R21" s="141">
        <f>R20*'Thông số'!$I$10</f>
        <v>38.353942406848986</v>
      </c>
      <c r="S21" s="141">
        <f>S20*'Thông số'!$I$10</f>
        <v>37.882801710934984</v>
      </c>
      <c r="T21" s="141">
        <f>T20*'Thông số'!$I$10</f>
        <v>37.38061284316025</v>
      </c>
      <c r="U21" s="141">
        <f>U20*'Thông số'!$I$10</f>
        <v>36.845329728999161</v>
      </c>
      <c r="V21" s="141">
        <f>V20*'Thông số'!$I$10</f>
        <v>36.274771457614861</v>
      </c>
      <c r="W21" s="141">
        <f>W20*'Thông số'!$I$10</f>
        <v>35.666613396146332</v>
      </c>
      <c r="X21" s="141">
        <f>X20*'Thông số'!$I$10</f>
        <v>35.018377718427026</v>
      </c>
      <c r="Y21" s="141">
        <f>Y20*'Thông số'!$I$10</f>
        <v>34.327423309546013</v>
      </c>
      <c r="Z21" s="141">
        <f>Z20*'Thông số'!$I$10</f>
        <v>33.590935005119746</v>
      </c>
      <c r="AA21" s="141">
        <f>AA20*'Thông số'!$I$10</f>
        <v>32.805912121431788</v>
      </c>
      <c r="AB21" s="141">
        <f>AB20*'Thông số'!$I$10</f>
        <v>31.969156229708794</v>
      </c>
      <c r="AC21" s="141">
        <f>AC20*'Thông số'!$I$10</f>
        <v>31.077258124721254</v>
      </c>
      <c r="AD21" s="141">
        <f>AD20*'Thông số'!$I$10</f>
        <v>30.126583934615034</v>
      </c>
      <c r="AE21" s="141">
        <f>AE20*'Thông số'!$I$10</f>
        <v>29.113260315380817</v>
      </c>
      <c r="AF21" s="141">
        <f>AF20*'Thông số'!$I$10</f>
        <v>28.033158669639064</v>
      </c>
      <c r="AG21" s="141">
        <f>AG20*'Thông số'!$I$10</f>
        <v>26.88187832544293</v>
      </c>
      <c r="AH21" s="141">
        <f>AH20*'Thông số'!$I$10</f>
        <v>25.654728606564269</v>
      </c>
      <c r="AI21" s="141">
        <f>AI20*'Thông số'!$I$10</f>
        <v>24.346709721211507</v>
      </c>
      <c r="AJ21" s="141">
        <f>AJ20*'Thông số'!$I$10</f>
        <v>22.952492391313992</v>
      </c>
      <c r="AK21" s="141">
        <f>AK20*'Thông số'!$I$10</f>
        <v>21.466396139376233</v>
      </c>
      <c r="AL21" s="141">
        <f>AL20*'Thông số'!$I$10</f>
        <v>19.882366144435778</v>
      </c>
      <c r="AM21" s="141">
        <f>AM20*'Thông số'!$I$10</f>
        <v>18.193948572828745</v>
      </c>
      <c r="AN21" s="141">
        <f>AN20*'Thông số'!$I$10</f>
        <v>16.394264283252809</v>
      </c>
      <c r="AO21" s="141">
        <f>AO20*'Thông số'!$I$10</f>
        <v>14.47598079899382</v>
      </c>
      <c r="AP21" s="141">
        <f>AP20*'Thông số'!$I$10</f>
        <v>12.431282433122163</v>
      </c>
      <c r="AQ21" s="141">
        <f>AQ20*'Thông số'!$I$10</f>
        <v>10.251838444939564</v>
      </c>
      <c r="AR21" s="141">
        <f>AR20*'Thông số'!$I$10</f>
        <v>7.9287690979357306</v>
      </c>
      <c r="AS21" s="141">
        <f>AS20*'Thông số'!$I$10</f>
        <v>5.4526094809643464</v>
      </c>
      <c r="AT21" s="141">
        <f>AT20*'Thông số'!$I$10</f>
        <v>2.8132709452345459</v>
      </c>
      <c r="AU21" s="141"/>
      <c r="AV21" s="141"/>
    </row>
    <row r="22" spans="2:48" ht="16.5" customHeight="1" x14ac:dyDescent="0.5">
      <c r="B22" s="137" t="s">
        <v>272</v>
      </c>
      <c r="F22" s="141"/>
      <c r="G22" s="141">
        <f>-PMT('Thông số'!$I$10,40,$G$20)</f>
        <v>45.503270114193477</v>
      </c>
      <c r="H22" s="141">
        <f>-PMT('Thông số'!$I$10,40,$G$20)</f>
        <v>45.503270114193477</v>
      </c>
      <c r="I22" s="141">
        <f>-PMT('Thông số'!$I$10,40,$G$20)</f>
        <v>45.503270114193477</v>
      </c>
      <c r="J22" s="141">
        <f>-PMT('Thông số'!$I$10,40,$G$20)</f>
        <v>45.503270114193477</v>
      </c>
      <c r="K22" s="141">
        <f>-PMT('Thông số'!$I$10,40,$G$20)</f>
        <v>45.503270114193477</v>
      </c>
      <c r="L22" s="141">
        <f>-PMT('Thông số'!$I$10,40,$G$20)</f>
        <v>45.503270114193477</v>
      </c>
      <c r="M22" s="141">
        <f>-PMT('Thông số'!$I$10,40,$G$20)</f>
        <v>45.503270114193477</v>
      </c>
      <c r="N22" s="141">
        <f>-PMT('Thông số'!$I$10,40,$G$20)</f>
        <v>45.503270114193477</v>
      </c>
      <c r="O22" s="141">
        <f>-PMT('Thông số'!$I$10,40,$G$20)</f>
        <v>45.503270114193477</v>
      </c>
      <c r="P22" s="141">
        <f>-PMT('Thông số'!$I$10,40,$G$20)</f>
        <v>45.503270114193477</v>
      </c>
      <c r="Q22" s="141">
        <f>-PMT('Thông số'!$I$10,40,$G$20)</f>
        <v>45.503270114193477</v>
      </c>
      <c r="R22" s="141">
        <f>-PMT('Thông số'!$I$10,40,$G$20)</f>
        <v>45.503270114193477</v>
      </c>
      <c r="S22" s="141">
        <f>-PMT('Thông số'!$I$10,40,$G$20)</f>
        <v>45.503270114193477</v>
      </c>
      <c r="T22" s="141">
        <f>-PMT('Thông số'!$I$10,40,$G$20)</f>
        <v>45.503270114193477</v>
      </c>
      <c r="U22" s="141">
        <f>-PMT('Thông số'!$I$10,40,$G$20)</f>
        <v>45.503270114193477</v>
      </c>
      <c r="V22" s="141">
        <f>-PMT('Thông số'!$I$10,40,$G$20)</f>
        <v>45.503270114193477</v>
      </c>
      <c r="W22" s="141">
        <f>-PMT('Thông số'!$I$10,40,$G$20)</f>
        <v>45.503270114193477</v>
      </c>
      <c r="X22" s="141">
        <f>-PMT('Thông số'!$I$10,40,$G$20)</f>
        <v>45.503270114193477</v>
      </c>
      <c r="Y22" s="141">
        <f>-PMT('Thông số'!$I$10,40,$G$20)</f>
        <v>45.503270114193477</v>
      </c>
      <c r="Z22" s="141">
        <f>-PMT('Thông số'!$I$10,40,$G$20)</f>
        <v>45.503270114193477</v>
      </c>
      <c r="AA22" s="141">
        <f>-PMT('Thông số'!$I$10,40,$G$20)</f>
        <v>45.503270114193477</v>
      </c>
      <c r="AB22" s="141">
        <f>-PMT('Thông số'!$I$10,40,$G$20)</f>
        <v>45.503270114193477</v>
      </c>
      <c r="AC22" s="141">
        <f>-PMT('Thông số'!$I$10,40,$G$20)</f>
        <v>45.503270114193477</v>
      </c>
      <c r="AD22" s="141">
        <f>-PMT('Thông số'!$I$10,40,$G$20)</f>
        <v>45.503270114193477</v>
      </c>
      <c r="AE22" s="141">
        <f>-PMT('Thông số'!$I$10,40,$G$20)</f>
        <v>45.503270114193477</v>
      </c>
      <c r="AF22" s="141">
        <f>-PMT('Thông số'!$I$10,40,$G$20)</f>
        <v>45.503270114193477</v>
      </c>
      <c r="AG22" s="141">
        <f>-PMT('Thông số'!$I$10,40,$G$20)</f>
        <v>45.503270114193477</v>
      </c>
      <c r="AH22" s="141">
        <f>-PMT('Thông số'!$I$10,40,$G$20)</f>
        <v>45.503270114193477</v>
      </c>
      <c r="AI22" s="141">
        <f>-PMT('Thông số'!$I$10,40,$G$20)</f>
        <v>45.503270114193477</v>
      </c>
      <c r="AJ22" s="141">
        <f>-PMT('Thông số'!$I$10,40,$G$20)</f>
        <v>45.503270114193477</v>
      </c>
      <c r="AK22" s="141">
        <f>-PMT('Thông số'!$I$10,40,$G$20)</f>
        <v>45.503270114193477</v>
      </c>
      <c r="AL22" s="141">
        <f>-PMT('Thông số'!$I$10,40,$G$20)</f>
        <v>45.503270114193477</v>
      </c>
      <c r="AM22" s="141">
        <f>-PMT('Thông số'!$I$10,40,$G$20)</f>
        <v>45.503270114193477</v>
      </c>
      <c r="AN22" s="141">
        <f>-PMT('Thông số'!$I$10,40,$G$20)</f>
        <v>45.503270114193477</v>
      </c>
      <c r="AO22" s="141">
        <f>-PMT('Thông số'!$I$10,40,$G$20)</f>
        <v>45.503270114193477</v>
      </c>
      <c r="AP22" s="141">
        <f>-PMT('Thông số'!$I$10,40,$G$20)</f>
        <v>45.503270114193477</v>
      </c>
      <c r="AQ22" s="141">
        <f>-PMT('Thông số'!$I$10,40,$G$20)</f>
        <v>45.503270114193477</v>
      </c>
      <c r="AR22" s="141">
        <f>-PMT('Thông số'!$I$10,40,$G$20)</f>
        <v>45.503270114193477</v>
      </c>
      <c r="AS22" s="141">
        <f>-PMT('Thông số'!$I$10,40,$G$20)</f>
        <v>45.503270114193477</v>
      </c>
      <c r="AT22" s="141">
        <f>-PMT('Thông số'!$I$10,40,$G$20)</f>
        <v>45.503270114193477</v>
      </c>
      <c r="AU22" s="141"/>
      <c r="AV22" s="141"/>
    </row>
    <row r="23" spans="2:48" ht="16.5" customHeight="1" x14ac:dyDescent="0.5">
      <c r="B23" s="171" t="s">
        <v>38</v>
      </c>
      <c r="C23" s="171"/>
      <c r="D23" s="171"/>
      <c r="E23" s="171"/>
      <c r="F23" s="170">
        <f>'Thông số'!F10*F8</f>
        <v>636.72479999999996</v>
      </c>
      <c r="G23" s="170">
        <f t="shared" ref="G23" si="57">G20+G21-G22</f>
        <v>633.18169420580648</v>
      </c>
      <c r="H23" s="170">
        <f t="shared" ref="H23:AT23" si="58">H20+H21-H22</f>
        <v>629.40509773977567</v>
      </c>
      <c r="I23" s="170">
        <f t="shared" si="58"/>
        <v>625.37962356663343</v>
      </c>
      <c r="J23" s="170">
        <f t="shared" si="58"/>
        <v>621.08887064548105</v>
      </c>
      <c r="K23" s="170">
        <f t="shared" si="58"/>
        <v>616.51535710682481</v>
      </c>
      <c r="L23" s="170">
        <f t="shared" si="58"/>
        <v>611.64044902597107</v>
      </c>
      <c r="M23" s="170">
        <f t="shared" si="58"/>
        <v>606.44428450258908</v>
      </c>
      <c r="N23" s="170">
        <f t="shared" si="58"/>
        <v>600.90569273711628</v>
      </c>
      <c r="O23" s="170">
        <f t="shared" si="58"/>
        <v>595.00210777429879</v>
      </c>
      <c r="P23" s="170">
        <f t="shared" si="58"/>
        <v>588.70947656243163</v>
      </c>
      <c r="Q23" s="170">
        <f t="shared" si="58"/>
        <v>582.0021609537024</v>
      </c>
      <c r="R23" s="170">
        <f t="shared" si="58"/>
        <v>574.85283324635793</v>
      </c>
      <c r="S23" s="170">
        <f t="shared" si="58"/>
        <v>567.23236484309939</v>
      </c>
      <c r="T23" s="170">
        <f t="shared" si="58"/>
        <v>559.10970757206621</v>
      </c>
      <c r="U23" s="170">
        <f t="shared" si="58"/>
        <v>550.45176718687196</v>
      </c>
      <c r="V23" s="170">
        <f t="shared" si="58"/>
        <v>541.22326853029335</v>
      </c>
      <c r="W23" s="170">
        <f t="shared" si="58"/>
        <v>531.3866118122462</v>
      </c>
      <c r="X23" s="170">
        <f t="shared" si="58"/>
        <v>520.90171941647975</v>
      </c>
      <c r="Y23" s="170">
        <f t="shared" si="58"/>
        <v>509.7258726118323</v>
      </c>
      <c r="Z23" s="170">
        <f t="shared" si="58"/>
        <v>497.81353750275855</v>
      </c>
      <c r="AA23" s="170">
        <f t="shared" si="58"/>
        <v>485.11617950999687</v>
      </c>
      <c r="AB23" s="170">
        <f t="shared" si="58"/>
        <v>471.5820656255122</v>
      </c>
      <c r="AC23" s="170">
        <f t="shared" si="58"/>
        <v>457.15605363603999</v>
      </c>
      <c r="AD23" s="170">
        <f t="shared" si="58"/>
        <v>441.77936745646156</v>
      </c>
      <c r="AE23" s="170">
        <f t="shared" si="58"/>
        <v>425.38935765764893</v>
      </c>
      <c r="AF23" s="170">
        <f t="shared" si="58"/>
        <v>407.91924621309454</v>
      </c>
      <c r="AG23" s="170">
        <f t="shared" si="58"/>
        <v>389.297854424344</v>
      </c>
      <c r="AH23" s="170">
        <f t="shared" si="58"/>
        <v>369.4493129167148</v>
      </c>
      <c r="AI23" s="170">
        <f t="shared" si="58"/>
        <v>348.29275252373282</v>
      </c>
      <c r="AJ23" s="170">
        <f t="shared" si="58"/>
        <v>325.74197480085331</v>
      </c>
      <c r="AK23" s="170">
        <f t="shared" si="58"/>
        <v>301.70510082603607</v>
      </c>
      <c r="AL23" s="170">
        <f t="shared" si="58"/>
        <v>276.08419685627837</v>
      </c>
      <c r="AM23" s="170">
        <f t="shared" si="58"/>
        <v>248.77487531491363</v>
      </c>
      <c r="AN23" s="170">
        <f t="shared" si="58"/>
        <v>219.66586948397298</v>
      </c>
      <c r="AO23" s="170">
        <f t="shared" si="58"/>
        <v>188.63858016877333</v>
      </c>
      <c r="AP23" s="170">
        <f t="shared" si="58"/>
        <v>155.56659248770202</v>
      </c>
      <c r="AQ23" s="170">
        <f t="shared" si="58"/>
        <v>120.31516081844811</v>
      </c>
      <c r="AR23" s="170">
        <f t="shared" si="58"/>
        <v>82.740659802190379</v>
      </c>
      <c r="AS23" s="170">
        <f t="shared" si="58"/>
        <v>42.689999168961243</v>
      </c>
      <c r="AT23" s="170">
        <f t="shared" si="58"/>
        <v>2.3092638912203256E-12</v>
      </c>
      <c r="AU23" s="170"/>
      <c r="AV23" s="170"/>
    </row>
    <row r="24" spans="2:48" ht="17.25" customHeight="1" x14ac:dyDescent="0.5"/>
    <row r="25" spans="2:48" ht="22.5" customHeight="1" x14ac:dyDescent="0.5">
      <c r="B25" s="164" t="s">
        <v>273</v>
      </c>
    </row>
    <row r="26" spans="2:48" ht="15" customHeight="1" x14ac:dyDescent="0.5">
      <c r="B26" s="166" t="str">
        <f t="shared" ref="B26:AV26" si="59">B13</f>
        <v>Năm dự án</v>
      </c>
      <c r="C26" s="172">
        <f t="shared" si="59"/>
        <v>0</v>
      </c>
      <c r="D26" s="172">
        <f t="shared" si="59"/>
        <v>1</v>
      </c>
      <c r="E26" s="172">
        <f t="shared" si="59"/>
        <v>2</v>
      </c>
      <c r="F26" s="172">
        <f t="shared" si="59"/>
        <v>3</v>
      </c>
      <c r="G26" s="172">
        <f t="shared" si="59"/>
        <v>4</v>
      </c>
      <c r="H26" s="172">
        <f t="shared" si="59"/>
        <v>5</v>
      </c>
      <c r="I26" s="172">
        <f t="shared" si="59"/>
        <v>6</v>
      </c>
      <c r="J26" s="172">
        <f t="shared" si="59"/>
        <v>7</v>
      </c>
      <c r="K26" s="172">
        <f t="shared" si="59"/>
        <v>8</v>
      </c>
      <c r="L26" s="172">
        <f t="shared" si="59"/>
        <v>9</v>
      </c>
      <c r="M26" s="172">
        <f t="shared" si="59"/>
        <v>10</v>
      </c>
      <c r="N26" s="172">
        <f t="shared" si="59"/>
        <v>11</v>
      </c>
      <c r="O26" s="172">
        <f t="shared" si="59"/>
        <v>12</v>
      </c>
      <c r="P26" s="172">
        <f t="shared" si="59"/>
        <v>13</v>
      </c>
      <c r="Q26" s="172">
        <f t="shared" si="59"/>
        <v>14</v>
      </c>
      <c r="R26" s="172">
        <f t="shared" si="59"/>
        <v>15</v>
      </c>
      <c r="S26" s="172">
        <f t="shared" si="59"/>
        <v>16</v>
      </c>
      <c r="T26" s="172">
        <f t="shared" si="59"/>
        <v>17</v>
      </c>
      <c r="U26" s="172">
        <f t="shared" si="59"/>
        <v>18</v>
      </c>
      <c r="V26" s="172">
        <f t="shared" si="59"/>
        <v>19</v>
      </c>
      <c r="W26" s="172">
        <f t="shared" si="59"/>
        <v>20</v>
      </c>
      <c r="X26" s="172">
        <f t="shared" si="59"/>
        <v>21</v>
      </c>
      <c r="Y26" s="172">
        <f t="shared" si="59"/>
        <v>22</v>
      </c>
      <c r="Z26" s="172">
        <f t="shared" si="59"/>
        <v>23</v>
      </c>
      <c r="AA26" s="172">
        <f t="shared" si="59"/>
        <v>24</v>
      </c>
      <c r="AB26" s="172">
        <f t="shared" si="59"/>
        <v>25</v>
      </c>
      <c r="AC26" s="172">
        <f t="shared" si="59"/>
        <v>26</v>
      </c>
      <c r="AD26" s="172">
        <f t="shared" si="59"/>
        <v>27</v>
      </c>
      <c r="AE26" s="172">
        <f t="shared" si="59"/>
        <v>28</v>
      </c>
      <c r="AF26" s="172">
        <f t="shared" si="59"/>
        <v>29</v>
      </c>
      <c r="AG26" s="172">
        <f t="shared" si="59"/>
        <v>30</v>
      </c>
      <c r="AH26" s="172">
        <f t="shared" si="59"/>
        <v>31</v>
      </c>
      <c r="AI26" s="172">
        <f t="shared" si="59"/>
        <v>32</v>
      </c>
      <c r="AJ26" s="172">
        <f t="shared" si="59"/>
        <v>33</v>
      </c>
      <c r="AK26" s="172">
        <f t="shared" si="59"/>
        <v>34</v>
      </c>
      <c r="AL26" s="172">
        <f t="shared" si="59"/>
        <v>35</v>
      </c>
      <c r="AM26" s="172">
        <f t="shared" si="59"/>
        <v>36</v>
      </c>
      <c r="AN26" s="172">
        <f t="shared" si="59"/>
        <v>37</v>
      </c>
      <c r="AO26" s="172">
        <f t="shared" si="59"/>
        <v>38</v>
      </c>
      <c r="AP26" s="172">
        <f t="shared" si="59"/>
        <v>39</v>
      </c>
      <c r="AQ26" s="172">
        <f t="shared" si="59"/>
        <v>40</v>
      </c>
      <c r="AR26" s="172">
        <f t="shared" si="59"/>
        <v>41</v>
      </c>
      <c r="AS26" s="172">
        <f t="shared" si="59"/>
        <v>42</v>
      </c>
      <c r="AT26" s="172">
        <f t="shared" si="59"/>
        <v>43</v>
      </c>
      <c r="AU26" s="172">
        <f t="shared" si="59"/>
        <v>44</v>
      </c>
      <c r="AV26" s="172">
        <f t="shared" si="59"/>
        <v>45</v>
      </c>
    </row>
    <row r="27" spans="2:48" ht="17.25" customHeight="1" x14ac:dyDescent="0.5">
      <c r="B27" s="145" t="s">
        <v>284</v>
      </c>
      <c r="F27" s="141">
        <f>F18</f>
        <v>212.24159999999998</v>
      </c>
      <c r="G27" s="141">
        <f>-G17</f>
        <v>-20.530853429372026</v>
      </c>
      <c r="H27" s="141">
        <f t="shared" ref="H27:U27" si="60">-H17</f>
        <v>-20.530853429372026</v>
      </c>
      <c r="I27" s="141">
        <f t="shared" si="60"/>
        <v>-20.530853429372026</v>
      </c>
      <c r="J27" s="141">
        <f t="shared" si="60"/>
        <v>-20.530853429372026</v>
      </c>
      <c r="K27" s="141">
        <f t="shared" si="60"/>
        <v>-20.530853429372026</v>
      </c>
      <c r="L27" s="141">
        <f t="shared" si="60"/>
        <v>-20.530853429372026</v>
      </c>
      <c r="M27" s="141">
        <f t="shared" si="60"/>
        <v>-20.530853429372026</v>
      </c>
      <c r="N27" s="141">
        <f t="shared" si="60"/>
        <v>-20.530853429372026</v>
      </c>
      <c r="O27" s="141">
        <f t="shared" si="60"/>
        <v>-20.530853429372026</v>
      </c>
      <c r="P27" s="141">
        <f t="shared" si="60"/>
        <v>-20.530853429372026</v>
      </c>
      <c r="Q27" s="141">
        <f t="shared" si="60"/>
        <v>-20.530853429372026</v>
      </c>
      <c r="R27" s="141">
        <f t="shared" si="60"/>
        <v>-20.530853429372026</v>
      </c>
      <c r="S27" s="141">
        <f t="shared" si="60"/>
        <v>-20.530853429372026</v>
      </c>
      <c r="T27" s="141">
        <f t="shared" si="60"/>
        <v>-20.530853429372026</v>
      </c>
      <c r="U27" s="141">
        <f t="shared" si="60"/>
        <v>-20.530853429372026</v>
      </c>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row>
    <row r="28" spans="2:48" ht="16.5" customHeight="1" x14ac:dyDescent="0.5">
      <c r="B28" s="145" t="s">
        <v>285</v>
      </c>
      <c r="F28" s="141">
        <f>-F27</f>
        <v>-212.24159999999998</v>
      </c>
      <c r="G28" s="141">
        <f t="shared" ref="G28:U28" si="61">-G27</f>
        <v>20.530853429372026</v>
      </c>
      <c r="H28" s="141">
        <f t="shared" si="61"/>
        <v>20.530853429372026</v>
      </c>
      <c r="I28" s="141">
        <f t="shared" si="61"/>
        <v>20.530853429372026</v>
      </c>
      <c r="J28" s="141">
        <f t="shared" si="61"/>
        <v>20.530853429372026</v>
      </c>
      <c r="K28" s="141">
        <f t="shared" si="61"/>
        <v>20.530853429372026</v>
      </c>
      <c r="L28" s="141">
        <f t="shared" si="61"/>
        <v>20.530853429372026</v>
      </c>
      <c r="M28" s="141">
        <f t="shared" si="61"/>
        <v>20.530853429372026</v>
      </c>
      <c r="N28" s="141">
        <f t="shared" si="61"/>
        <v>20.530853429372026</v>
      </c>
      <c r="O28" s="141">
        <f t="shared" si="61"/>
        <v>20.530853429372026</v>
      </c>
      <c r="P28" s="141">
        <f t="shared" si="61"/>
        <v>20.530853429372026</v>
      </c>
      <c r="Q28" s="141">
        <f t="shared" si="61"/>
        <v>20.530853429372026</v>
      </c>
      <c r="R28" s="141">
        <f t="shared" si="61"/>
        <v>20.530853429372026</v>
      </c>
      <c r="S28" s="141">
        <f t="shared" si="61"/>
        <v>20.530853429372026</v>
      </c>
      <c r="T28" s="141">
        <f t="shared" si="61"/>
        <v>20.530853429372026</v>
      </c>
      <c r="U28" s="141">
        <f t="shared" si="61"/>
        <v>20.530853429372026</v>
      </c>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row>
    <row r="29" spans="2:48" ht="17.25" customHeight="1" x14ac:dyDescent="0.5">
      <c r="B29" s="145" t="s">
        <v>278</v>
      </c>
      <c r="F29" s="141">
        <f>F23</f>
        <v>636.72479999999996</v>
      </c>
      <c r="G29" s="141">
        <f>-G22</f>
        <v>-45.503270114193477</v>
      </c>
      <c r="H29" s="141">
        <f t="shared" ref="H29:AT29" si="62">-H22</f>
        <v>-45.503270114193477</v>
      </c>
      <c r="I29" s="141">
        <f t="shared" si="62"/>
        <v>-45.503270114193477</v>
      </c>
      <c r="J29" s="141">
        <f t="shared" si="62"/>
        <v>-45.503270114193477</v>
      </c>
      <c r="K29" s="141">
        <f t="shared" si="62"/>
        <v>-45.503270114193477</v>
      </c>
      <c r="L29" s="141">
        <f t="shared" si="62"/>
        <v>-45.503270114193477</v>
      </c>
      <c r="M29" s="141">
        <f t="shared" si="62"/>
        <v>-45.503270114193477</v>
      </c>
      <c r="N29" s="141">
        <f t="shared" si="62"/>
        <v>-45.503270114193477</v>
      </c>
      <c r="O29" s="141">
        <f t="shared" si="62"/>
        <v>-45.503270114193477</v>
      </c>
      <c r="P29" s="141">
        <f t="shared" si="62"/>
        <v>-45.503270114193477</v>
      </c>
      <c r="Q29" s="141">
        <f t="shared" si="62"/>
        <v>-45.503270114193477</v>
      </c>
      <c r="R29" s="141">
        <f t="shared" si="62"/>
        <v>-45.503270114193477</v>
      </c>
      <c r="S29" s="141">
        <f t="shared" si="62"/>
        <v>-45.503270114193477</v>
      </c>
      <c r="T29" s="141">
        <f t="shared" si="62"/>
        <v>-45.503270114193477</v>
      </c>
      <c r="U29" s="141">
        <f t="shared" si="62"/>
        <v>-45.503270114193477</v>
      </c>
      <c r="V29" s="141">
        <f t="shared" si="62"/>
        <v>-45.503270114193477</v>
      </c>
      <c r="W29" s="141">
        <f t="shared" si="62"/>
        <v>-45.503270114193477</v>
      </c>
      <c r="X29" s="141">
        <f t="shared" si="62"/>
        <v>-45.503270114193477</v>
      </c>
      <c r="Y29" s="141">
        <f t="shared" si="62"/>
        <v>-45.503270114193477</v>
      </c>
      <c r="Z29" s="141">
        <f t="shared" si="62"/>
        <v>-45.503270114193477</v>
      </c>
      <c r="AA29" s="141">
        <f t="shared" si="62"/>
        <v>-45.503270114193477</v>
      </c>
      <c r="AB29" s="141">
        <f t="shared" si="62"/>
        <v>-45.503270114193477</v>
      </c>
      <c r="AC29" s="141">
        <f t="shared" si="62"/>
        <v>-45.503270114193477</v>
      </c>
      <c r="AD29" s="141">
        <f t="shared" si="62"/>
        <v>-45.503270114193477</v>
      </c>
      <c r="AE29" s="141">
        <f t="shared" si="62"/>
        <v>-45.503270114193477</v>
      </c>
      <c r="AF29" s="141">
        <f t="shared" si="62"/>
        <v>-45.503270114193477</v>
      </c>
      <c r="AG29" s="141">
        <f t="shared" si="62"/>
        <v>-45.503270114193477</v>
      </c>
      <c r="AH29" s="141">
        <f t="shared" si="62"/>
        <v>-45.503270114193477</v>
      </c>
      <c r="AI29" s="141">
        <f t="shared" si="62"/>
        <v>-45.503270114193477</v>
      </c>
      <c r="AJ29" s="141">
        <f t="shared" si="62"/>
        <v>-45.503270114193477</v>
      </c>
      <c r="AK29" s="141">
        <f t="shared" si="62"/>
        <v>-45.503270114193477</v>
      </c>
      <c r="AL29" s="141">
        <f t="shared" si="62"/>
        <v>-45.503270114193477</v>
      </c>
      <c r="AM29" s="141">
        <f t="shared" si="62"/>
        <v>-45.503270114193477</v>
      </c>
      <c r="AN29" s="141">
        <f t="shared" si="62"/>
        <v>-45.503270114193477</v>
      </c>
      <c r="AO29" s="141">
        <f t="shared" si="62"/>
        <v>-45.503270114193477</v>
      </c>
      <c r="AP29" s="141">
        <f t="shared" si="62"/>
        <v>-45.503270114193477</v>
      </c>
      <c r="AQ29" s="141">
        <f t="shared" si="62"/>
        <v>-45.503270114193477</v>
      </c>
      <c r="AR29" s="141">
        <f t="shared" si="62"/>
        <v>-45.503270114193477</v>
      </c>
      <c r="AS29" s="141">
        <f t="shared" si="62"/>
        <v>-45.503270114193477</v>
      </c>
      <c r="AT29" s="141">
        <f t="shared" si="62"/>
        <v>-45.503270114193477</v>
      </c>
      <c r="AU29" s="141"/>
      <c r="AV29" s="141"/>
    </row>
    <row r="30" spans="2:48" ht="16.5" customHeight="1" x14ac:dyDescent="0.5">
      <c r="B30" s="145" t="s">
        <v>286</v>
      </c>
      <c r="F30" s="141">
        <f>-F29</f>
        <v>-636.72479999999996</v>
      </c>
      <c r="G30" s="141">
        <f t="shared" ref="G30:AT30" si="63">-G29</f>
        <v>45.503270114193477</v>
      </c>
      <c r="H30" s="141">
        <f t="shared" si="63"/>
        <v>45.503270114193477</v>
      </c>
      <c r="I30" s="141">
        <f t="shared" si="63"/>
        <v>45.503270114193477</v>
      </c>
      <c r="J30" s="141">
        <f t="shared" si="63"/>
        <v>45.503270114193477</v>
      </c>
      <c r="K30" s="141">
        <f t="shared" si="63"/>
        <v>45.503270114193477</v>
      </c>
      <c r="L30" s="141">
        <f t="shared" si="63"/>
        <v>45.503270114193477</v>
      </c>
      <c r="M30" s="141">
        <f t="shared" si="63"/>
        <v>45.503270114193477</v>
      </c>
      <c r="N30" s="141">
        <f t="shared" si="63"/>
        <v>45.503270114193477</v>
      </c>
      <c r="O30" s="141">
        <f t="shared" si="63"/>
        <v>45.503270114193477</v>
      </c>
      <c r="P30" s="141">
        <f t="shared" si="63"/>
        <v>45.503270114193477</v>
      </c>
      <c r="Q30" s="141">
        <f t="shared" si="63"/>
        <v>45.503270114193477</v>
      </c>
      <c r="R30" s="141">
        <f t="shared" si="63"/>
        <v>45.503270114193477</v>
      </c>
      <c r="S30" s="141">
        <f t="shared" si="63"/>
        <v>45.503270114193477</v>
      </c>
      <c r="T30" s="141">
        <f t="shared" si="63"/>
        <v>45.503270114193477</v>
      </c>
      <c r="U30" s="141">
        <f t="shared" si="63"/>
        <v>45.503270114193477</v>
      </c>
      <c r="V30" s="141">
        <f t="shared" si="63"/>
        <v>45.503270114193477</v>
      </c>
      <c r="W30" s="141">
        <f t="shared" si="63"/>
        <v>45.503270114193477</v>
      </c>
      <c r="X30" s="141">
        <f t="shared" si="63"/>
        <v>45.503270114193477</v>
      </c>
      <c r="Y30" s="141">
        <f t="shared" si="63"/>
        <v>45.503270114193477</v>
      </c>
      <c r="Z30" s="141">
        <f t="shared" si="63"/>
        <v>45.503270114193477</v>
      </c>
      <c r="AA30" s="141">
        <f t="shared" si="63"/>
        <v>45.503270114193477</v>
      </c>
      <c r="AB30" s="141">
        <f t="shared" si="63"/>
        <v>45.503270114193477</v>
      </c>
      <c r="AC30" s="141">
        <f t="shared" si="63"/>
        <v>45.503270114193477</v>
      </c>
      <c r="AD30" s="141">
        <f t="shared" si="63"/>
        <v>45.503270114193477</v>
      </c>
      <c r="AE30" s="141">
        <f t="shared" si="63"/>
        <v>45.503270114193477</v>
      </c>
      <c r="AF30" s="141">
        <f t="shared" si="63"/>
        <v>45.503270114193477</v>
      </c>
      <c r="AG30" s="141">
        <f t="shared" si="63"/>
        <v>45.503270114193477</v>
      </c>
      <c r="AH30" s="141">
        <f t="shared" si="63"/>
        <v>45.503270114193477</v>
      </c>
      <c r="AI30" s="141">
        <f t="shared" si="63"/>
        <v>45.503270114193477</v>
      </c>
      <c r="AJ30" s="141">
        <f t="shared" si="63"/>
        <v>45.503270114193477</v>
      </c>
      <c r="AK30" s="141">
        <f t="shared" si="63"/>
        <v>45.503270114193477</v>
      </c>
      <c r="AL30" s="141">
        <f t="shared" si="63"/>
        <v>45.503270114193477</v>
      </c>
      <c r="AM30" s="141">
        <f t="shared" si="63"/>
        <v>45.503270114193477</v>
      </c>
      <c r="AN30" s="141">
        <f t="shared" si="63"/>
        <v>45.503270114193477</v>
      </c>
      <c r="AO30" s="141">
        <f t="shared" si="63"/>
        <v>45.503270114193477</v>
      </c>
      <c r="AP30" s="141">
        <f t="shared" si="63"/>
        <v>45.503270114193477</v>
      </c>
      <c r="AQ30" s="141">
        <f t="shared" si="63"/>
        <v>45.503270114193477</v>
      </c>
      <c r="AR30" s="141">
        <f t="shared" si="63"/>
        <v>45.503270114193477</v>
      </c>
      <c r="AS30" s="141">
        <f t="shared" si="63"/>
        <v>45.503270114193477</v>
      </c>
      <c r="AT30" s="141">
        <f t="shared" si="63"/>
        <v>45.503270114193477</v>
      </c>
      <c r="AU30" s="141"/>
      <c r="AV30" s="141"/>
    </row>
    <row r="31" spans="2:48" ht="17.25" customHeight="1" x14ac:dyDescent="0.5">
      <c r="B31" s="382" t="s">
        <v>263</v>
      </c>
      <c r="C31" s="171"/>
      <c r="D31" s="171"/>
      <c r="E31" s="171"/>
      <c r="F31" s="170">
        <f>F27+F29</f>
        <v>848.96639999999991</v>
      </c>
      <c r="G31" s="170">
        <f t="shared" ref="G31:AT31" si="64">G27+G29</f>
        <v>-66.034123543565499</v>
      </c>
      <c r="H31" s="170">
        <f t="shared" si="64"/>
        <v>-66.034123543565499</v>
      </c>
      <c r="I31" s="170">
        <f t="shared" si="64"/>
        <v>-66.034123543565499</v>
      </c>
      <c r="J31" s="170">
        <f t="shared" si="64"/>
        <v>-66.034123543565499</v>
      </c>
      <c r="K31" s="170">
        <f t="shared" si="64"/>
        <v>-66.034123543565499</v>
      </c>
      <c r="L31" s="170">
        <f t="shared" si="64"/>
        <v>-66.034123543565499</v>
      </c>
      <c r="M31" s="170">
        <f t="shared" si="64"/>
        <v>-66.034123543565499</v>
      </c>
      <c r="N31" s="170">
        <f t="shared" si="64"/>
        <v>-66.034123543565499</v>
      </c>
      <c r="O31" s="170">
        <f t="shared" si="64"/>
        <v>-66.034123543565499</v>
      </c>
      <c r="P31" s="170">
        <f t="shared" si="64"/>
        <v>-66.034123543565499</v>
      </c>
      <c r="Q31" s="170">
        <f t="shared" si="64"/>
        <v>-66.034123543565499</v>
      </c>
      <c r="R31" s="170">
        <f t="shared" si="64"/>
        <v>-66.034123543565499</v>
      </c>
      <c r="S31" s="170">
        <f t="shared" si="64"/>
        <v>-66.034123543565499</v>
      </c>
      <c r="T31" s="170">
        <f t="shared" si="64"/>
        <v>-66.034123543565499</v>
      </c>
      <c r="U31" s="170">
        <f t="shared" si="64"/>
        <v>-66.034123543565499</v>
      </c>
      <c r="V31" s="170">
        <f t="shared" si="64"/>
        <v>-45.503270114193477</v>
      </c>
      <c r="W31" s="170">
        <f t="shared" si="64"/>
        <v>-45.503270114193477</v>
      </c>
      <c r="X31" s="170">
        <f t="shared" si="64"/>
        <v>-45.503270114193477</v>
      </c>
      <c r="Y31" s="170">
        <f t="shared" si="64"/>
        <v>-45.503270114193477</v>
      </c>
      <c r="Z31" s="170">
        <f t="shared" si="64"/>
        <v>-45.503270114193477</v>
      </c>
      <c r="AA31" s="170">
        <f t="shared" si="64"/>
        <v>-45.503270114193477</v>
      </c>
      <c r="AB31" s="170">
        <f t="shared" si="64"/>
        <v>-45.503270114193477</v>
      </c>
      <c r="AC31" s="170">
        <f t="shared" si="64"/>
        <v>-45.503270114193477</v>
      </c>
      <c r="AD31" s="170">
        <f t="shared" si="64"/>
        <v>-45.503270114193477</v>
      </c>
      <c r="AE31" s="170">
        <f t="shared" si="64"/>
        <v>-45.503270114193477</v>
      </c>
      <c r="AF31" s="170">
        <f t="shared" si="64"/>
        <v>-45.503270114193477</v>
      </c>
      <c r="AG31" s="170">
        <f t="shared" si="64"/>
        <v>-45.503270114193477</v>
      </c>
      <c r="AH31" s="170">
        <f t="shared" si="64"/>
        <v>-45.503270114193477</v>
      </c>
      <c r="AI31" s="170">
        <f t="shared" si="64"/>
        <v>-45.503270114193477</v>
      </c>
      <c r="AJ31" s="170">
        <f t="shared" si="64"/>
        <v>-45.503270114193477</v>
      </c>
      <c r="AK31" s="170">
        <f t="shared" si="64"/>
        <v>-45.503270114193477</v>
      </c>
      <c r="AL31" s="170">
        <f t="shared" si="64"/>
        <v>-45.503270114193477</v>
      </c>
      <c r="AM31" s="170">
        <f t="shared" si="64"/>
        <v>-45.503270114193477</v>
      </c>
      <c r="AN31" s="170">
        <f t="shared" si="64"/>
        <v>-45.503270114193477</v>
      </c>
      <c r="AO31" s="170">
        <f t="shared" si="64"/>
        <v>-45.503270114193477</v>
      </c>
      <c r="AP31" s="170">
        <f t="shared" si="64"/>
        <v>-45.503270114193477</v>
      </c>
      <c r="AQ31" s="170">
        <f t="shared" si="64"/>
        <v>-45.503270114193477</v>
      </c>
      <c r="AR31" s="170">
        <f t="shared" si="64"/>
        <v>-45.503270114193477</v>
      </c>
      <c r="AS31" s="170">
        <f t="shared" si="64"/>
        <v>-45.503270114193477</v>
      </c>
      <c r="AT31" s="170">
        <f t="shared" si="64"/>
        <v>-45.503270114193477</v>
      </c>
      <c r="AU31" s="170"/>
      <c r="AV31" s="170"/>
    </row>
    <row r="32" spans="2:48" ht="17.25" customHeight="1" x14ac:dyDescent="0.5">
      <c r="B32" s="142"/>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row>
    <row r="33" spans="2:48" ht="22.5" customHeight="1" x14ac:dyDescent="0.5">
      <c r="B33" s="164" t="s">
        <v>259</v>
      </c>
    </row>
    <row r="34" spans="2:48" ht="15" customHeight="1" x14ac:dyDescent="0.5">
      <c r="B34" s="166" t="str">
        <f t="shared" ref="B34:AV34" si="65">B6</f>
        <v>Năm dự án</v>
      </c>
      <c r="C34" s="166">
        <f t="shared" si="65"/>
        <v>0</v>
      </c>
      <c r="D34" s="166">
        <f t="shared" si="65"/>
        <v>1</v>
      </c>
      <c r="E34" s="166">
        <f t="shared" si="65"/>
        <v>2</v>
      </c>
      <c r="F34" s="166">
        <f t="shared" si="65"/>
        <v>3</v>
      </c>
      <c r="G34" s="166">
        <f t="shared" si="65"/>
        <v>4</v>
      </c>
      <c r="H34" s="166">
        <f t="shared" si="65"/>
        <v>5</v>
      </c>
      <c r="I34" s="166">
        <f t="shared" si="65"/>
        <v>6</v>
      </c>
      <c r="J34" s="166">
        <f t="shared" si="65"/>
        <v>7</v>
      </c>
      <c r="K34" s="166">
        <f t="shared" si="65"/>
        <v>8</v>
      </c>
      <c r="L34" s="166">
        <f t="shared" si="65"/>
        <v>9</v>
      </c>
      <c r="M34" s="166">
        <f t="shared" si="65"/>
        <v>10</v>
      </c>
      <c r="N34" s="166">
        <f t="shared" si="65"/>
        <v>11</v>
      </c>
      <c r="O34" s="166">
        <f t="shared" si="65"/>
        <v>12</v>
      </c>
      <c r="P34" s="166">
        <f t="shared" si="65"/>
        <v>13</v>
      </c>
      <c r="Q34" s="166">
        <f t="shared" si="65"/>
        <v>14</v>
      </c>
      <c r="R34" s="166">
        <f t="shared" si="65"/>
        <v>15</v>
      </c>
      <c r="S34" s="166">
        <f t="shared" si="65"/>
        <v>16</v>
      </c>
      <c r="T34" s="166">
        <f t="shared" si="65"/>
        <v>17</v>
      </c>
      <c r="U34" s="166">
        <f t="shared" si="65"/>
        <v>18</v>
      </c>
      <c r="V34" s="166">
        <f t="shared" si="65"/>
        <v>19</v>
      </c>
      <c r="W34" s="166">
        <f t="shared" si="65"/>
        <v>20</v>
      </c>
      <c r="X34" s="166">
        <f t="shared" si="65"/>
        <v>21</v>
      </c>
      <c r="Y34" s="166">
        <f t="shared" si="65"/>
        <v>22</v>
      </c>
      <c r="Z34" s="166">
        <f t="shared" si="65"/>
        <v>23</v>
      </c>
      <c r="AA34" s="166">
        <f t="shared" si="65"/>
        <v>24</v>
      </c>
      <c r="AB34" s="166">
        <f t="shared" si="65"/>
        <v>25</v>
      </c>
      <c r="AC34" s="166">
        <f t="shared" si="65"/>
        <v>26</v>
      </c>
      <c r="AD34" s="166">
        <f t="shared" si="65"/>
        <v>27</v>
      </c>
      <c r="AE34" s="166">
        <f t="shared" si="65"/>
        <v>28</v>
      </c>
      <c r="AF34" s="166">
        <f t="shared" si="65"/>
        <v>29</v>
      </c>
      <c r="AG34" s="166">
        <f t="shared" si="65"/>
        <v>30</v>
      </c>
      <c r="AH34" s="166">
        <f t="shared" si="65"/>
        <v>31</v>
      </c>
      <c r="AI34" s="166">
        <f t="shared" si="65"/>
        <v>32</v>
      </c>
      <c r="AJ34" s="166">
        <f t="shared" si="65"/>
        <v>33</v>
      </c>
      <c r="AK34" s="166">
        <f t="shared" si="65"/>
        <v>34</v>
      </c>
      <c r="AL34" s="166">
        <f t="shared" si="65"/>
        <v>35</v>
      </c>
      <c r="AM34" s="166">
        <f t="shared" si="65"/>
        <v>36</v>
      </c>
      <c r="AN34" s="166">
        <f t="shared" si="65"/>
        <v>37</v>
      </c>
      <c r="AO34" s="166">
        <f t="shared" si="65"/>
        <v>38</v>
      </c>
      <c r="AP34" s="166">
        <f t="shared" si="65"/>
        <v>39</v>
      </c>
      <c r="AQ34" s="166">
        <f t="shared" si="65"/>
        <v>40</v>
      </c>
      <c r="AR34" s="166">
        <f t="shared" si="65"/>
        <v>41</v>
      </c>
      <c r="AS34" s="166">
        <f t="shared" si="65"/>
        <v>42</v>
      </c>
      <c r="AT34" s="166">
        <f t="shared" si="65"/>
        <v>43</v>
      </c>
      <c r="AU34" s="166">
        <f t="shared" si="65"/>
        <v>44</v>
      </c>
      <c r="AV34" s="166">
        <f t="shared" si="65"/>
        <v>45</v>
      </c>
    </row>
    <row r="35" spans="2:48" ht="16.5" customHeight="1" x14ac:dyDescent="0.5">
      <c r="B35" s="137" t="s">
        <v>270</v>
      </c>
      <c r="G35" s="399"/>
      <c r="H35" s="399"/>
      <c r="I35" s="399"/>
      <c r="J35" s="399"/>
      <c r="K35" s="399"/>
      <c r="L35" s="399"/>
      <c r="M35" s="399"/>
      <c r="N35" s="399"/>
      <c r="O35" s="399"/>
      <c r="P35" s="399"/>
      <c r="Q35" s="399"/>
      <c r="R35" s="399"/>
      <c r="S35" s="399"/>
      <c r="T35" s="399"/>
      <c r="U35" s="399"/>
      <c r="V35" s="399"/>
      <c r="W35" s="399"/>
      <c r="X35" s="399"/>
      <c r="Y35" s="399"/>
      <c r="Z35" s="399"/>
      <c r="AA35" s="399"/>
      <c r="AB35" s="399"/>
      <c r="AC35" s="399"/>
      <c r="AD35" s="399"/>
      <c r="AE35" s="399"/>
      <c r="AF35" s="399"/>
      <c r="AG35" s="399"/>
      <c r="AH35" s="399"/>
      <c r="AI35" s="399"/>
      <c r="AJ35" s="399"/>
      <c r="AK35" s="399"/>
      <c r="AL35" s="399"/>
      <c r="AM35" s="399"/>
      <c r="AN35" s="399"/>
      <c r="AO35" s="399"/>
      <c r="AP35" s="399"/>
      <c r="AQ35" s="399"/>
      <c r="AR35" s="399"/>
      <c r="AS35" s="399"/>
      <c r="AT35" s="399"/>
      <c r="AU35" s="399"/>
      <c r="AV35" s="399"/>
    </row>
    <row r="36" spans="2:48" ht="16.5" customHeight="1" x14ac:dyDescent="0.5">
      <c r="B36" s="145" t="s">
        <v>298</v>
      </c>
      <c r="G36" s="399"/>
      <c r="H36" s="399"/>
      <c r="I36" s="399"/>
      <c r="J36" s="399"/>
      <c r="K36" s="399"/>
      <c r="L36" s="399"/>
      <c r="M36" s="399"/>
      <c r="N36" s="399"/>
      <c r="O36" s="399"/>
      <c r="P36" s="399"/>
      <c r="Q36" s="399"/>
      <c r="R36" s="399"/>
      <c r="S36" s="399"/>
      <c r="T36" s="399"/>
      <c r="U36" s="399"/>
      <c r="V36" s="399"/>
      <c r="W36" s="399"/>
      <c r="X36" s="399"/>
      <c r="Y36" s="399"/>
      <c r="Z36" s="399"/>
      <c r="AA36" s="399"/>
      <c r="AB36" s="399"/>
      <c r="AC36" s="399"/>
      <c r="AD36" s="399"/>
      <c r="AE36" s="399"/>
      <c r="AF36" s="399"/>
      <c r="AG36" s="399"/>
      <c r="AH36" s="399"/>
      <c r="AI36" s="399"/>
      <c r="AJ36" s="399"/>
      <c r="AK36" s="399"/>
      <c r="AL36" s="399"/>
      <c r="AM36" s="399"/>
      <c r="AN36" s="399"/>
      <c r="AO36" s="399"/>
      <c r="AP36" s="399"/>
      <c r="AQ36" s="399"/>
      <c r="AR36" s="399"/>
      <c r="AS36" s="399"/>
      <c r="AT36" s="399"/>
      <c r="AU36" s="399"/>
      <c r="AV36" s="399"/>
    </row>
    <row r="37" spans="2:48" ht="16.5" customHeight="1" x14ac:dyDescent="0.5">
      <c r="B37" s="137" t="s">
        <v>271</v>
      </c>
      <c r="G37" s="399"/>
      <c r="H37" s="399"/>
      <c r="I37" s="399"/>
      <c r="J37" s="399"/>
      <c r="K37" s="399"/>
      <c r="L37" s="399"/>
      <c r="M37" s="399"/>
      <c r="N37" s="399"/>
      <c r="O37" s="399"/>
      <c r="P37" s="399"/>
      <c r="Q37" s="399"/>
      <c r="R37" s="399"/>
      <c r="S37" s="399"/>
      <c r="T37" s="399"/>
      <c r="U37" s="399"/>
      <c r="V37" s="399"/>
      <c r="W37" s="399"/>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row>
    <row r="38" spans="2:48" ht="16.5" customHeight="1" x14ac:dyDescent="0.5">
      <c r="B38" s="142" t="s">
        <v>39</v>
      </c>
      <c r="G38" s="399"/>
      <c r="H38" s="399"/>
      <c r="I38" s="399"/>
      <c r="J38" s="399"/>
      <c r="K38" s="399"/>
      <c r="L38" s="399"/>
      <c r="M38" s="399"/>
      <c r="N38" s="399"/>
      <c r="O38" s="399"/>
      <c r="P38" s="399"/>
      <c r="Q38" s="399"/>
      <c r="R38" s="399"/>
      <c r="S38" s="399"/>
      <c r="T38" s="399"/>
      <c r="U38" s="399"/>
      <c r="V38" s="399"/>
      <c r="W38" s="399"/>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row>
    <row r="39" spans="2:48" ht="16.5" customHeight="1" x14ac:dyDescent="0.5">
      <c r="B39" s="167" t="s">
        <v>261</v>
      </c>
      <c r="C39" s="168"/>
      <c r="D39" s="168"/>
      <c r="E39" s="168"/>
      <c r="F39" s="168"/>
      <c r="G39" s="522"/>
      <c r="H39" s="522"/>
      <c r="I39" s="522"/>
      <c r="J39" s="522"/>
      <c r="K39" s="522"/>
      <c r="L39" s="522"/>
      <c r="M39" s="522"/>
      <c r="N39" s="522"/>
      <c r="O39" s="522"/>
      <c r="P39" s="522"/>
      <c r="Q39" s="522"/>
      <c r="R39" s="522"/>
      <c r="S39" s="522"/>
      <c r="T39" s="522"/>
      <c r="U39" s="522"/>
      <c r="V39" s="522"/>
      <c r="W39" s="522"/>
      <c r="X39" s="169"/>
      <c r="Y39" s="169"/>
      <c r="Z39" s="169"/>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69"/>
    </row>
    <row r="40" spans="2:48" ht="16.5" customHeight="1" x14ac:dyDescent="0.5"/>
    <row r="41" spans="2:48" ht="22.5" customHeight="1" x14ac:dyDescent="0.5">
      <c r="B41" s="164" t="s">
        <v>274</v>
      </c>
    </row>
    <row r="42" spans="2:48" ht="15" customHeight="1" x14ac:dyDescent="0.5">
      <c r="B42" s="166" t="str">
        <f t="shared" ref="B42:AV42" si="66">B6</f>
        <v>Năm dự án</v>
      </c>
      <c r="C42" s="166">
        <f t="shared" si="66"/>
        <v>0</v>
      </c>
      <c r="D42" s="166">
        <f t="shared" si="66"/>
        <v>1</v>
      </c>
      <c r="E42" s="166">
        <f t="shared" si="66"/>
        <v>2</v>
      </c>
      <c r="F42" s="166">
        <f t="shared" si="66"/>
        <v>3</v>
      </c>
      <c r="G42" s="166">
        <f t="shared" si="66"/>
        <v>4</v>
      </c>
      <c r="H42" s="166">
        <f t="shared" si="66"/>
        <v>5</v>
      </c>
      <c r="I42" s="166">
        <f t="shared" si="66"/>
        <v>6</v>
      </c>
      <c r="J42" s="166">
        <f t="shared" si="66"/>
        <v>7</v>
      </c>
      <c r="K42" s="166">
        <f t="shared" si="66"/>
        <v>8</v>
      </c>
      <c r="L42" s="166">
        <f t="shared" si="66"/>
        <v>9</v>
      </c>
      <c r="M42" s="166">
        <f t="shared" si="66"/>
        <v>10</v>
      </c>
      <c r="N42" s="166">
        <f t="shared" si="66"/>
        <v>11</v>
      </c>
      <c r="O42" s="166">
        <f t="shared" si="66"/>
        <v>12</v>
      </c>
      <c r="P42" s="166">
        <f t="shared" si="66"/>
        <v>13</v>
      </c>
      <c r="Q42" s="166">
        <f t="shared" si="66"/>
        <v>14</v>
      </c>
      <c r="R42" s="166">
        <f t="shared" si="66"/>
        <v>15</v>
      </c>
      <c r="S42" s="166">
        <f t="shared" si="66"/>
        <v>16</v>
      </c>
      <c r="T42" s="166">
        <f t="shared" si="66"/>
        <v>17</v>
      </c>
      <c r="U42" s="166">
        <f t="shared" si="66"/>
        <v>18</v>
      </c>
      <c r="V42" s="166">
        <f t="shared" si="66"/>
        <v>19</v>
      </c>
      <c r="W42" s="166">
        <f t="shared" si="66"/>
        <v>20</v>
      </c>
      <c r="X42" s="166">
        <f t="shared" si="66"/>
        <v>21</v>
      </c>
      <c r="Y42" s="166">
        <f t="shared" si="66"/>
        <v>22</v>
      </c>
      <c r="Z42" s="166">
        <f t="shared" si="66"/>
        <v>23</v>
      </c>
      <c r="AA42" s="166">
        <f t="shared" si="66"/>
        <v>24</v>
      </c>
      <c r="AB42" s="166">
        <f t="shared" si="66"/>
        <v>25</v>
      </c>
      <c r="AC42" s="166">
        <f t="shared" si="66"/>
        <v>26</v>
      </c>
      <c r="AD42" s="166">
        <f t="shared" si="66"/>
        <v>27</v>
      </c>
      <c r="AE42" s="166">
        <f t="shared" si="66"/>
        <v>28</v>
      </c>
      <c r="AF42" s="166">
        <f t="shared" si="66"/>
        <v>29</v>
      </c>
      <c r="AG42" s="166">
        <f t="shared" si="66"/>
        <v>30</v>
      </c>
      <c r="AH42" s="166">
        <f t="shared" si="66"/>
        <v>31</v>
      </c>
      <c r="AI42" s="166">
        <f t="shared" si="66"/>
        <v>32</v>
      </c>
      <c r="AJ42" s="166">
        <f t="shared" si="66"/>
        <v>33</v>
      </c>
      <c r="AK42" s="166">
        <f t="shared" si="66"/>
        <v>34</v>
      </c>
      <c r="AL42" s="166">
        <f t="shared" si="66"/>
        <v>35</v>
      </c>
      <c r="AM42" s="166">
        <f t="shared" si="66"/>
        <v>36</v>
      </c>
      <c r="AN42" s="166">
        <f t="shared" si="66"/>
        <v>37</v>
      </c>
      <c r="AO42" s="166">
        <f t="shared" si="66"/>
        <v>38</v>
      </c>
      <c r="AP42" s="166">
        <f t="shared" si="66"/>
        <v>39</v>
      </c>
      <c r="AQ42" s="166">
        <f t="shared" si="66"/>
        <v>40</v>
      </c>
      <c r="AR42" s="166">
        <f t="shared" si="66"/>
        <v>41</v>
      </c>
      <c r="AS42" s="166">
        <f t="shared" si="66"/>
        <v>42</v>
      </c>
      <c r="AT42" s="166">
        <f t="shared" si="66"/>
        <v>43</v>
      </c>
      <c r="AU42" s="166">
        <f t="shared" si="66"/>
        <v>44</v>
      </c>
      <c r="AV42" s="166">
        <f t="shared" si="66"/>
        <v>45</v>
      </c>
    </row>
    <row r="43" spans="2:48" ht="16.5" customHeight="1" x14ac:dyDescent="0.5">
      <c r="B43" s="142" t="s">
        <v>40</v>
      </c>
    </row>
    <row r="44" spans="2:48" ht="16.5" customHeight="1" x14ac:dyDescent="0.5">
      <c r="B44" s="145" t="s">
        <v>270</v>
      </c>
      <c r="C44" s="141"/>
      <c r="D44" s="141"/>
      <c r="E44" s="141"/>
      <c r="F44" s="141"/>
      <c r="G44" s="399"/>
      <c r="H44" s="399"/>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row>
    <row r="45" spans="2:48" ht="16.5" customHeight="1" x14ac:dyDescent="0.5">
      <c r="B45" s="145" t="s">
        <v>268</v>
      </c>
      <c r="C45" s="141"/>
      <c r="D45" s="141"/>
      <c r="E45" s="141"/>
      <c r="F45" s="141"/>
      <c r="G45" s="399"/>
      <c r="H45" s="399"/>
      <c r="I45" s="399"/>
      <c r="J45" s="399"/>
      <c r="K45" s="399"/>
      <c r="L45" s="399"/>
      <c r="M45" s="399"/>
      <c r="N45" s="399"/>
      <c r="O45" s="399"/>
      <c r="P45" s="399"/>
      <c r="Q45" s="399"/>
      <c r="R45" s="399"/>
      <c r="S45" s="399"/>
      <c r="T45" s="399"/>
      <c r="U45" s="399"/>
      <c r="V45" s="399"/>
      <c r="W45" s="399"/>
      <c r="X45" s="399"/>
      <c r="Y45" s="399"/>
      <c r="Z45" s="399"/>
      <c r="AA45" s="399"/>
      <c r="AB45" s="399"/>
      <c r="AC45" s="399"/>
      <c r="AD45" s="399"/>
      <c r="AE45" s="399"/>
      <c r="AF45" s="399"/>
      <c r="AG45" s="399"/>
      <c r="AH45" s="399"/>
      <c r="AI45" s="399"/>
      <c r="AJ45" s="399"/>
      <c r="AK45" s="399"/>
      <c r="AL45" s="399"/>
      <c r="AM45" s="399"/>
      <c r="AN45" s="399"/>
      <c r="AO45" s="399"/>
      <c r="AP45" s="399"/>
      <c r="AQ45" s="399"/>
      <c r="AR45" s="399"/>
      <c r="AS45" s="399"/>
      <c r="AT45" s="399"/>
      <c r="AU45" s="399"/>
      <c r="AV45" s="399"/>
    </row>
    <row r="46" spans="2:48" ht="16.5" customHeight="1" x14ac:dyDescent="0.5">
      <c r="B46" s="145" t="s">
        <v>269</v>
      </c>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399"/>
    </row>
    <row r="47" spans="2:48" ht="16.5" customHeight="1" x14ac:dyDescent="0.5">
      <c r="B47" s="145" t="s">
        <v>207</v>
      </c>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399"/>
    </row>
    <row r="48" spans="2:48" ht="16.5" customHeight="1" x14ac:dyDescent="0.5">
      <c r="B48" s="142" t="s">
        <v>41</v>
      </c>
      <c r="C48" s="141"/>
      <c r="D48" s="141"/>
      <c r="E48" s="141"/>
      <c r="F48" s="141"/>
      <c r="G48" s="141">
        <f>SUM(G44:G47)</f>
        <v>0</v>
      </c>
      <c r="H48" s="141">
        <f t="shared" ref="H48:AV48" si="67">SUM(H44:H47)</f>
        <v>0</v>
      </c>
      <c r="I48" s="141">
        <f t="shared" si="67"/>
        <v>0</v>
      </c>
      <c r="J48" s="141">
        <f t="shared" si="67"/>
        <v>0</v>
      </c>
      <c r="K48" s="141">
        <f t="shared" si="67"/>
        <v>0</v>
      </c>
      <c r="L48" s="141">
        <f t="shared" si="67"/>
        <v>0</v>
      </c>
      <c r="M48" s="141">
        <f t="shared" si="67"/>
        <v>0</v>
      </c>
      <c r="N48" s="141">
        <f t="shared" si="67"/>
        <v>0</v>
      </c>
      <c r="O48" s="141">
        <f t="shared" si="67"/>
        <v>0</v>
      </c>
      <c r="P48" s="141">
        <f t="shared" si="67"/>
        <v>0</v>
      </c>
      <c r="Q48" s="141">
        <f t="shared" si="67"/>
        <v>0</v>
      </c>
      <c r="R48" s="141">
        <f t="shared" si="67"/>
        <v>0</v>
      </c>
      <c r="S48" s="141">
        <f t="shared" si="67"/>
        <v>0</v>
      </c>
      <c r="T48" s="141">
        <f t="shared" si="67"/>
        <v>0</v>
      </c>
      <c r="U48" s="141">
        <f t="shared" si="67"/>
        <v>0</v>
      </c>
      <c r="V48" s="141">
        <f t="shared" si="67"/>
        <v>0</v>
      </c>
      <c r="W48" s="141">
        <f t="shared" si="67"/>
        <v>0</v>
      </c>
      <c r="X48" s="141">
        <f t="shared" si="67"/>
        <v>0</v>
      </c>
      <c r="Y48" s="141">
        <f t="shared" si="67"/>
        <v>0</v>
      </c>
      <c r="Z48" s="141">
        <f t="shared" si="67"/>
        <v>0</v>
      </c>
      <c r="AA48" s="141">
        <f t="shared" si="67"/>
        <v>0</v>
      </c>
      <c r="AB48" s="141">
        <f t="shared" si="67"/>
        <v>0</v>
      </c>
      <c r="AC48" s="141">
        <f t="shared" si="67"/>
        <v>0</v>
      </c>
      <c r="AD48" s="141">
        <f t="shared" si="67"/>
        <v>0</v>
      </c>
      <c r="AE48" s="141">
        <f t="shared" si="67"/>
        <v>0</v>
      </c>
      <c r="AF48" s="141">
        <f t="shared" si="67"/>
        <v>0</v>
      </c>
      <c r="AG48" s="141">
        <f t="shared" si="67"/>
        <v>0</v>
      </c>
      <c r="AH48" s="141">
        <f t="shared" si="67"/>
        <v>0</v>
      </c>
      <c r="AI48" s="141">
        <f t="shared" si="67"/>
        <v>0</v>
      </c>
      <c r="AJ48" s="141">
        <f t="shared" si="67"/>
        <v>0</v>
      </c>
      <c r="AK48" s="141">
        <f t="shared" si="67"/>
        <v>0</v>
      </c>
      <c r="AL48" s="141">
        <f t="shared" si="67"/>
        <v>0</v>
      </c>
      <c r="AM48" s="141">
        <f t="shared" si="67"/>
        <v>0</v>
      </c>
      <c r="AN48" s="141">
        <f t="shared" si="67"/>
        <v>0</v>
      </c>
      <c r="AO48" s="141">
        <f t="shared" si="67"/>
        <v>0</v>
      </c>
      <c r="AP48" s="141">
        <f t="shared" si="67"/>
        <v>0</v>
      </c>
      <c r="AQ48" s="141">
        <f t="shared" si="67"/>
        <v>0</v>
      </c>
      <c r="AR48" s="141">
        <f t="shared" si="67"/>
        <v>0</v>
      </c>
      <c r="AS48" s="141">
        <f t="shared" si="67"/>
        <v>0</v>
      </c>
      <c r="AT48" s="141">
        <f t="shared" si="67"/>
        <v>0</v>
      </c>
      <c r="AU48" s="141">
        <f t="shared" si="67"/>
        <v>0</v>
      </c>
      <c r="AV48" s="141">
        <f t="shared" si="67"/>
        <v>0</v>
      </c>
    </row>
    <row r="49" spans="2:48" ht="16.5" customHeight="1" x14ac:dyDescent="0.5">
      <c r="B49" s="143" t="s">
        <v>42</v>
      </c>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c r="AR49" s="141"/>
      <c r="AS49" s="141"/>
      <c r="AT49" s="141"/>
      <c r="AU49" s="141"/>
      <c r="AV49" s="141"/>
    </row>
    <row r="50" spans="2:48" ht="16.5" customHeight="1" x14ac:dyDescent="0.5">
      <c r="B50" s="145" t="s">
        <v>208</v>
      </c>
      <c r="C50" s="399"/>
      <c r="D50" s="399"/>
      <c r="E50" s="399"/>
      <c r="F50" s="399"/>
      <c r="G50" s="399"/>
      <c r="H50" s="399"/>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row>
    <row r="51" spans="2:48" ht="16.5" customHeight="1" x14ac:dyDescent="0.5">
      <c r="B51" s="145" t="s">
        <v>211</v>
      </c>
      <c r="C51" s="399"/>
      <c r="D51" s="399"/>
      <c r="E51" s="399"/>
      <c r="F51" s="399"/>
      <c r="G51" s="399"/>
      <c r="H51" s="399"/>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row>
    <row r="52" spans="2:48" ht="16.5" customHeight="1" x14ac:dyDescent="0.5">
      <c r="B52" s="145" t="s">
        <v>209</v>
      </c>
      <c r="C52" s="399"/>
      <c r="D52" s="399"/>
      <c r="E52" s="399"/>
      <c r="F52" s="399"/>
      <c r="G52" s="399"/>
      <c r="H52" s="399"/>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row>
    <row r="53" spans="2:48" ht="16.5" customHeight="1" x14ac:dyDescent="0.5">
      <c r="B53" s="145" t="s">
        <v>211</v>
      </c>
      <c r="C53" s="399"/>
      <c r="D53" s="399"/>
      <c r="E53" s="399"/>
      <c r="F53" s="399"/>
      <c r="G53" s="399"/>
      <c r="H53" s="399"/>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row>
    <row r="54" spans="2:48" ht="16.5" customHeight="1" x14ac:dyDescent="0.5">
      <c r="B54" s="145" t="s">
        <v>210</v>
      </c>
      <c r="C54" s="399"/>
      <c r="D54" s="399"/>
      <c r="E54" s="399"/>
      <c r="F54" s="399"/>
      <c r="G54" s="399"/>
      <c r="H54" s="399"/>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row>
    <row r="55" spans="2:48" ht="16.5" customHeight="1" x14ac:dyDescent="0.5">
      <c r="B55" s="145" t="s">
        <v>298</v>
      </c>
      <c r="C55" s="141"/>
      <c r="D55" s="141"/>
      <c r="E55" s="141"/>
      <c r="F55" s="141"/>
      <c r="G55" s="399"/>
      <c r="H55" s="399"/>
      <c r="I55" s="399"/>
      <c r="J55" s="399"/>
      <c r="K55" s="399"/>
      <c r="L55" s="399"/>
      <c r="M55" s="399"/>
      <c r="N55" s="399"/>
      <c r="O55" s="399"/>
      <c r="P55" s="399"/>
      <c r="Q55" s="399"/>
      <c r="R55" s="399"/>
      <c r="S55" s="399"/>
      <c r="T55" s="399"/>
      <c r="U55" s="399"/>
      <c r="V55" s="399"/>
      <c r="W55" s="399"/>
      <c r="X55" s="399"/>
      <c r="Y55" s="399"/>
      <c r="Z55" s="399"/>
      <c r="AA55" s="399"/>
      <c r="AB55" s="399"/>
      <c r="AC55" s="399"/>
      <c r="AD55" s="399"/>
      <c r="AE55" s="399"/>
      <c r="AF55" s="399"/>
      <c r="AG55" s="399"/>
      <c r="AH55" s="399"/>
      <c r="AI55" s="399"/>
      <c r="AJ55" s="399"/>
      <c r="AK55" s="399"/>
      <c r="AL55" s="399"/>
      <c r="AM55" s="399"/>
      <c r="AN55" s="399"/>
      <c r="AO55" s="399"/>
      <c r="AP55" s="399"/>
      <c r="AQ55" s="399"/>
      <c r="AR55" s="399"/>
      <c r="AS55" s="399"/>
      <c r="AT55" s="399"/>
      <c r="AU55" s="399"/>
      <c r="AV55" s="399"/>
    </row>
    <row r="56" spans="2:48" ht="16.5" customHeight="1" x14ac:dyDescent="0.5">
      <c r="B56" s="145" t="s">
        <v>211</v>
      </c>
      <c r="C56" s="141"/>
      <c r="D56" s="141"/>
      <c r="E56" s="141"/>
      <c r="F56" s="141"/>
      <c r="G56" s="399"/>
      <c r="H56" s="399"/>
      <c r="I56" s="399"/>
      <c r="J56" s="399"/>
      <c r="K56" s="399"/>
      <c r="L56" s="399"/>
      <c r="M56" s="399"/>
      <c r="N56" s="399"/>
      <c r="O56" s="399"/>
      <c r="P56" s="399"/>
      <c r="Q56" s="399"/>
      <c r="R56" s="399"/>
      <c r="S56" s="399"/>
      <c r="T56" s="399"/>
      <c r="U56" s="399"/>
      <c r="V56" s="399"/>
      <c r="W56" s="399"/>
      <c r="X56" s="399"/>
      <c r="Y56" s="399"/>
      <c r="Z56" s="399"/>
      <c r="AA56" s="399"/>
      <c r="AB56" s="399"/>
      <c r="AC56" s="399"/>
      <c r="AD56" s="399"/>
      <c r="AE56" s="399"/>
      <c r="AF56" s="399"/>
      <c r="AG56" s="399"/>
      <c r="AH56" s="399"/>
      <c r="AI56" s="399"/>
      <c r="AJ56" s="399"/>
      <c r="AK56" s="399"/>
      <c r="AL56" s="399"/>
      <c r="AM56" s="399"/>
      <c r="AN56" s="399"/>
      <c r="AO56" s="399"/>
      <c r="AP56" s="399"/>
      <c r="AQ56" s="399"/>
      <c r="AR56" s="399"/>
      <c r="AS56" s="399"/>
      <c r="AT56" s="399"/>
      <c r="AU56" s="399"/>
      <c r="AV56" s="399"/>
    </row>
    <row r="57" spans="2:48" ht="16.5" customHeight="1" x14ac:dyDescent="0.5">
      <c r="B57" s="167" t="s">
        <v>43</v>
      </c>
      <c r="C57" s="170">
        <f>SUM(C50:C56)</f>
        <v>0</v>
      </c>
      <c r="D57" s="170">
        <f t="shared" ref="D57:AV57" si="68">SUM(D50:D56)</f>
        <v>0</v>
      </c>
      <c r="E57" s="170">
        <f t="shared" si="68"/>
        <v>0</v>
      </c>
      <c r="F57" s="170">
        <f t="shared" si="68"/>
        <v>0</v>
      </c>
      <c r="G57" s="170">
        <f t="shared" si="68"/>
        <v>0</v>
      </c>
      <c r="H57" s="170">
        <f t="shared" si="68"/>
        <v>0</v>
      </c>
      <c r="I57" s="170">
        <f t="shared" si="68"/>
        <v>0</v>
      </c>
      <c r="J57" s="170">
        <f t="shared" si="68"/>
        <v>0</v>
      </c>
      <c r="K57" s="170">
        <f t="shared" si="68"/>
        <v>0</v>
      </c>
      <c r="L57" s="170">
        <f t="shared" si="68"/>
        <v>0</v>
      </c>
      <c r="M57" s="170">
        <f t="shared" si="68"/>
        <v>0</v>
      </c>
      <c r="N57" s="170">
        <f t="shared" si="68"/>
        <v>0</v>
      </c>
      <c r="O57" s="170">
        <f t="shared" si="68"/>
        <v>0</v>
      </c>
      <c r="P57" s="170">
        <f t="shared" si="68"/>
        <v>0</v>
      </c>
      <c r="Q57" s="170">
        <f t="shared" si="68"/>
        <v>0</v>
      </c>
      <c r="R57" s="170">
        <f t="shared" si="68"/>
        <v>0</v>
      </c>
      <c r="S57" s="170">
        <f t="shared" si="68"/>
        <v>0</v>
      </c>
      <c r="T57" s="170">
        <f t="shared" si="68"/>
        <v>0</v>
      </c>
      <c r="U57" s="170">
        <f t="shared" si="68"/>
        <v>0</v>
      </c>
      <c r="V57" s="170">
        <f t="shared" si="68"/>
        <v>0</v>
      </c>
      <c r="W57" s="170">
        <f t="shared" si="68"/>
        <v>0</v>
      </c>
      <c r="X57" s="170">
        <f t="shared" si="68"/>
        <v>0</v>
      </c>
      <c r="Y57" s="170">
        <f t="shared" si="68"/>
        <v>0</v>
      </c>
      <c r="Z57" s="170">
        <f t="shared" si="68"/>
        <v>0</v>
      </c>
      <c r="AA57" s="170">
        <f t="shared" si="68"/>
        <v>0</v>
      </c>
      <c r="AB57" s="170">
        <f t="shared" si="68"/>
        <v>0</v>
      </c>
      <c r="AC57" s="170">
        <f t="shared" si="68"/>
        <v>0</v>
      </c>
      <c r="AD57" s="170">
        <f t="shared" si="68"/>
        <v>0</v>
      </c>
      <c r="AE57" s="170">
        <f t="shared" si="68"/>
        <v>0</v>
      </c>
      <c r="AF57" s="170">
        <f t="shared" si="68"/>
        <v>0</v>
      </c>
      <c r="AG57" s="170">
        <f t="shared" si="68"/>
        <v>0</v>
      </c>
      <c r="AH57" s="170">
        <f t="shared" si="68"/>
        <v>0</v>
      </c>
      <c r="AI57" s="170">
        <f t="shared" si="68"/>
        <v>0</v>
      </c>
      <c r="AJ57" s="170">
        <f t="shared" si="68"/>
        <v>0</v>
      </c>
      <c r="AK57" s="170">
        <f t="shared" si="68"/>
        <v>0</v>
      </c>
      <c r="AL57" s="170">
        <f t="shared" si="68"/>
        <v>0</v>
      </c>
      <c r="AM57" s="170">
        <f t="shared" si="68"/>
        <v>0</v>
      </c>
      <c r="AN57" s="170">
        <f t="shared" si="68"/>
        <v>0</v>
      </c>
      <c r="AO57" s="170">
        <f t="shared" si="68"/>
        <v>0</v>
      </c>
      <c r="AP57" s="170">
        <f t="shared" si="68"/>
        <v>0</v>
      </c>
      <c r="AQ57" s="170">
        <f t="shared" si="68"/>
        <v>0</v>
      </c>
      <c r="AR57" s="170">
        <f t="shared" si="68"/>
        <v>0</v>
      </c>
      <c r="AS57" s="170">
        <f t="shared" si="68"/>
        <v>0</v>
      </c>
      <c r="AT57" s="170">
        <f t="shared" si="68"/>
        <v>0</v>
      </c>
      <c r="AU57" s="170">
        <f t="shared" si="68"/>
        <v>0</v>
      </c>
      <c r="AV57" s="170">
        <f t="shared" si="68"/>
        <v>0</v>
      </c>
    </row>
    <row r="58" spans="2:48" s="394" customFormat="1" ht="16.5" customHeight="1" x14ac:dyDescent="0.5">
      <c r="B58" s="185" t="s">
        <v>214</v>
      </c>
      <c r="C58" s="395">
        <f>C48-C57</f>
        <v>0</v>
      </c>
      <c r="D58" s="395">
        <f t="shared" ref="D58:AV58" si="69">D48-D57</f>
        <v>0</v>
      </c>
      <c r="E58" s="395">
        <f t="shared" si="69"/>
        <v>0</v>
      </c>
      <c r="F58" s="395">
        <f t="shared" si="69"/>
        <v>0</v>
      </c>
      <c r="G58" s="395">
        <f t="shared" si="69"/>
        <v>0</v>
      </c>
      <c r="H58" s="395">
        <f t="shared" si="69"/>
        <v>0</v>
      </c>
      <c r="I58" s="395">
        <f t="shared" si="69"/>
        <v>0</v>
      </c>
      <c r="J58" s="395">
        <f t="shared" si="69"/>
        <v>0</v>
      </c>
      <c r="K58" s="395">
        <f t="shared" si="69"/>
        <v>0</v>
      </c>
      <c r="L58" s="395">
        <f t="shared" si="69"/>
        <v>0</v>
      </c>
      <c r="M58" s="395">
        <f t="shared" si="69"/>
        <v>0</v>
      </c>
      <c r="N58" s="395">
        <f t="shared" si="69"/>
        <v>0</v>
      </c>
      <c r="O58" s="395">
        <f t="shared" si="69"/>
        <v>0</v>
      </c>
      <c r="P58" s="395">
        <f t="shared" si="69"/>
        <v>0</v>
      </c>
      <c r="Q58" s="395">
        <f t="shared" si="69"/>
        <v>0</v>
      </c>
      <c r="R58" s="395">
        <f t="shared" si="69"/>
        <v>0</v>
      </c>
      <c r="S58" s="395">
        <f t="shared" si="69"/>
        <v>0</v>
      </c>
      <c r="T58" s="395">
        <f t="shared" si="69"/>
        <v>0</v>
      </c>
      <c r="U58" s="395">
        <f t="shared" si="69"/>
        <v>0</v>
      </c>
      <c r="V58" s="395">
        <f t="shared" si="69"/>
        <v>0</v>
      </c>
      <c r="W58" s="395">
        <f t="shared" si="69"/>
        <v>0</v>
      </c>
      <c r="X58" s="395">
        <f t="shared" si="69"/>
        <v>0</v>
      </c>
      <c r="Y58" s="395">
        <f t="shared" si="69"/>
        <v>0</v>
      </c>
      <c r="Z58" s="395">
        <f t="shared" si="69"/>
        <v>0</v>
      </c>
      <c r="AA58" s="395">
        <f t="shared" si="69"/>
        <v>0</v>
      </c>
      <c r="AB58" s="395">
        <f t="shared" si="69"/>
        <v>0</v>
      </c>
      <c r="AC58" s="395">
        <f t="shared" si="69"/>
        <v>0</v>
      </c>
      <c r="AD58" s="395">
        <f t="shared" si="69"/>
        <v>0</v>
      </c>
      <c r="AE58" s="395">
        <f t="shared" si="69"/>
        <v>0</v>
      </c>
      <c r="AF58" s="395">
        <f t="shared" si="69"/>
        <v>0</v>
      </c>
      <c r="AG58" s="395">
        <f t="shared" si="69"/>
        <v>0</v>
      </c>
      <c r="AH58" s="395">
        <f t="shared" si="69"/>
        <v>0</v>
      </c>
      <c r="AI58" s="395">
        <f t="shared" si="69"/>
        <v>0</v>
      </c>
      <c r="AJ58" s="395">
        <f t="shared" si="69"/>
        <v>0</v>
      </c>
      <c r="AK58" s="395">
        <f t="shared" si="69"/>
        <v>0</v>
      </c>
      <c r="AL58" s="395">
        <f t="shared" si="69"/>
        <v>0</v>
      </c>
      <c r="AM58" s="395">
        <f t="shared" si="69"/>
        <v>0</v>
      </c>
      <c r="AN58" s="395">
        <f t="shared" si="69"/>
        <v>0</v>
      </c>
      <c r="AO58" s="395">
        <f t="shared" si="69"/>
        <v>0</v>
      </c>
      <c r="AP58" s="395">
        <f t="shared" si="69"/>
        <v>0</v>
      </c>
      <c r="AQ58" s="395">
        <f t="shared" si="69"/>
        <v>0</v>
      </c>
      <c r="AR58" s="395">
        <f t="shared" si="69"/>
        <v>0</v>
      </c>
      <c r="AS58" s="395">
        <f t="shared" si="69"/>
        <v>0</v>
      </c>
      <c r="AT58" s="395">
        <f t="shared" si="69"/>
        <v>0</v>
      </c>
      <c r="AU58" s="395">
        <f t="shared" si="69"/>
        <v>0</v>
      </c>
      <c r="AV58" s="395">
        <f t="shared" si="69"/>
        <v>0</v>
      </c>
    </row>
    <row r="59" spans="2:48" ht="16.5" customHeight="1" x14ac:dyDescent="0.5">
      <c r="B59" s="173" t="s">
        <v>262</v>
      </c>
      <c r="C59" s="174"/>
      <c r="D59" s="174"/>
      <c r="E59" s="174"/>
      <c r="F59" s="174"/>
      <c r="G59" s="174">
        <f t="shared" ref="G59:W59" si="70">G39</f>
        <v>0</v>
      </c>
      <c r="H59" s="174">
        <f t="shared" si="70"/>
        <v>0</v>
      </c>
      <c r="I59" s="174">
        <f t="shared" si="70"/>
        <v>0</v>
      </c>
      <c r="J59" s="174">
        <f t="shared" si="70"/>
        <v>0</v>
      </c>
      <c r="K59" s="174">
        <f t="shared" si="70"/>
        <v>0</v>
      </c>
      <c r="L59" s="174">
        <f t="shared" si="70"/>
        <v>0</v>
      </c>
      <c r="M59" s="174">
        <f t="shared" si="70"/>
        <v>0</v>
      </c>
      <c r="N59" s="174">
        <f t="shared" si="70"/>
        <v>0</v>
      </c>
      <c r="O59" s="174">
        <f t="shared" si="70"/>
        <v>0</v>
      </c>
      <c r="P59" s="174">
        <f t="shared" si="70"/>
        <v>0</v>
      </c>
      <c r="Q59" s="174">
        <f t="shared" si="70"/>
        <v>0</v>
      </c>
      <c r="R59" s="174">
        <f t="shared" si="70"/>
        <v>0</v>
      </c>
      <c r="S59" s="174">
        <f t="shared" si="70"/>
        <v>0</v>
      </c>
      <c r="T59" s="174">
        <f t="shared" si="70"/>
        <v>0</v>
      </c>
      <c r="U59" s="174">
        <f t="shared" si="70"/>
        <v>0</v>
      </c>
      <c r="V59" s="174">
        <f t="shared" si="70"/>
        <v>0</v>
      </c>
      <c r="W59" s="174">
        <f t="shared" si="70"/>
        <v>0</v>
      </c>
      <c r="X59" s="174">
        <f t="shared" ref="X59:AV59" si="71">X39</f>
        <v>0</v>
      </c>
      <c r="Y59" s="174">
        <f t="shared" si="71"/>
        <v>0</v>
      </c>
      <c r="Z59" s="174">
        <f t="shared" si="71"/>
        <v>0</v>
      </c>
      <c r="AA59" s="174">
        <f t="shared" si="71"/>
        <v>0</v>
      </c>
      <c r="AB59" s="174">
        <f t="shared" si="71"/>
        <v>0</v>
      </c>
      <c r="AC59" s="174">
        <f t="shared" si="71"/>
        <v>0</v>
      </c>
      <c r="AD59" s="174">
        <f t="shared" si="71"/>
        <v>0</v>
      </c>
      <c r="AE59" s="174">
        <f t="shared" si="71"/>
        <v>0</v>
      </c>
      <c r="AF59" s="174">
        <f t="shared" si="71"/>
        <v>0</v>
      </c>
      <c r="AG59" s="174">
        <f t="shared" si="71"/>
        <v>0</v>
      </c>
      <c r="AH59" s="174">
        <f t="shared" si="71"/>
        <v>0</v>
      </c>
      <c r="AI59" s="174">
        <f t="shared" si="71"/>
        <v>0</v>
      </c>
      <c r="AJ59" s="174">
        <f t="shared" si="71"/>
        <v>0</v>
      </c>
      <c r="AK59" s="174">
        <f t="shared" si="71"/>
        <v>0</v>
      </c>
      <c r="AL59" s="174">
        <f t="shared" si="71"/>
        <v>0</v>
      </c>
      <c r="AM59" s="174">
        <f t="shared" si="71"/>
        <v>0</v>
      </c>
      <c r="AN59" s="174">
        <f t="shared" si="71"/>
        <v>0</v>
      </c>
      <c r="AO59" s="174">
        <f t="shared" si="71"/>
        <v>0</v>
      </c>
      <c r="AP59" s="174">
        <f t="shared" si="71"/>
        <v>0</v>
      </c>
      <c r="AQ59" s="174">
        <f t="shared" si="71"/>
        <v>0</v>
      </c>
      <c r="AR59" s="174">
        <f t="shared" si="71"/>
        <v>0</v>
      </c>
      <c r="AS59" s="174">
        <f t="shared" si="71"/>
        <v>0</v>
      </c>
      <c r="AT59" s="174">
        <f t="shared" si="71"/>
        <v>0</v>
      </c>
      <c r="AU59" s="174">
        <f t="shared" si="71"/>
        <v>0</v>
      </c>
      <c r="AV59" s="174">
        <f t="shared" si="71"/>
        <v>0</v>
      </c>
    </row>
    <row r="60" spans="2:48" ht="16.5" customHeight="1" x14ac:dyDescent="0.5">
      <c r="B60" s="175" t="s">
        <v>215</v>
      </c>
      <c r="C60" s="176">
        <f>C58-C59</f>
        <v>0</v>
      </c>
      <c r="D60" s="176">
        <f t="shared" ref="D60:AV60" si="72">D58-D59</f>
        <v>0</v>
      </c>
      <c r="E60" s="176">
        <f t="shared" si="72"/>
        <v>0</v>
      </c>
      <c r="F60" s="176">
        <f t="shared" si="72"/>
        <v>0</v>
      </c>
      <c r="G60" s="176">
        <f t="shared" si="72"/>
        <v>0</v>
      </c>
      <c r="H60" s="176">
        <f t="shared" si="72"/>
        <v>0</v>
      </c>
      <c r="I60" s="176">
        <f t="shared" si="72"/>
        <v>0</v>
      </c>
      <c r="J60" s="176">
        <f t="shared" si="72"/>
        <v>0</v>
      </c>
      <c r="K60" s="176">
        <f t="shared" si="72"/>
        <v>0</v>
      </c>
      <c r="L60" s="176">
        <f t="shared" si="72"/>
        <v>0</v>
      </c>
      <c r="M60" s="176">
        <f t="shared" si="72"/>
        <v>0</v>
      </c>
      <c r="N60" s="176">
        <f t="shared" si="72"/>
        <v>0</v>
      </c>
      <c r="O60" s="176">
        <f t="shared" si="72"/>
        <v>0</v>
      </c>
      <c r="P60" s="176">
        <f t="shared" si="72"/>
        <v>0</v>
      </c>
      <c r="Q60" s="176">
        <f t="shared" si="72"/>
        <v>0</v>
      </c>
      <c r="R60" s="176">
        <f t="shared" si="72"/>
        <v>0</v>
      </c>
      <c r="S60" s="176">
        <f t="shared" si="72"/>
        <v>0</v>
      </c>
      <c r="T60" s="176">
        <f t="shared" si="72"/>
        <v>0</v>
      </c>
      <c r="U60" s="176">
        <f t="shared" si="72"/>
        <v>0</v>
      </c>
      <c r="V60" s="176">
        <f t="shared" si="72"/>
        <v>0</v>
      </c>
      <c r="W60" s="176">
        <f t="shared" si="72"/>
        <v>0</v>
      </c>
      <c r="X60" s="176">
        <f t="shared" si="72"/>
        <v>0</v>
      </c>
      <c r="Y60" s="176">
        <f t="shared" si="72"/>
        <v>0</v>
      </c>
      <c r="Z60" s="176">
        <f t="shared" si="72"/>
        <v>0</v>
      </c>
      <c r="AA60" s="176">
        <f t="shared" si="72"/>
        <v>0</v>
      </c>
      <c r="AB60" s="176">
        <f t="shared" si="72"/>
        <v>0</v>
      </c>
      <c r="AC60" s="176">
        <f t="shared" si="72"/>
        <v>0</v>
      </c>
      <c r="AD60" s="176">
        <f t="shared" si="72"/>
        <v>0</v>
      </c>
      <c r="AE60" s="176">
        <f t="shared" si="72"/>
        <v>0</v>
      </c>
      <c r="AF60" s="176">
        <f t="shared" si="72"/>
        <v>0</v>
      </c>
      <c r="AG60" s="176">
        <f t="shared" si="72"/>
        <v>0</v>
      </c>
      <c r="AH60" s="176">
        <f t="shared" si="72"/>
        <v>0</v>
      </c>
      <c r="AI60" s="176">
        <f t="shared" si="72"/>
        <v>0</v>
      </c>
      <c r="AJ60" s="176">
        <f t="shared" si="72"/>
        <v>0</v>
      </c>
      <c r="AK60" s="176">
        <f t="shared" si="72"/>
        <v>0</v>
      </c>
      <c r="AL60" s="176">
        <f t="shared" si="72"/>
        <v>0</v>
      </c>
      <c r="AM60" s="176">
        <f t="shared" si="72"/>
        <v>0</v>
      </c>
      <c r="AN60" s="176">
        <f t="shared" si="72"/>
        <v>0</v>
      </c>
      <c r="AO60" s="176">
        <f t="shared" si="72"/>
        <v>0</v>
      </c>
      <c r="AP60" s="176">
        <f t="shared" si="72"/>
        <v>0</v>
      </c>
      <c r="AQ60" s="176">
        <f t="shared" si="72"/>
        <v>0</v>
      </c>
      <c r="AR60" s="176">
        <f t="shared" si="72"/>
        <v>0</v>
      </c>
      <c r="AS60" s="176">
        <f t="shared" si="72"/>
        <v>0</v>
      </c>
      <c r="AT60" s="176">
        <f t="shared" si="72"/>
        <v>0</v>
      </c>
      <c r="AU60" s="176">
        <f t="shared" si="72"/>
        <v>0</v>
      </c>
      <c r="AV60" s="176">
        <f t="shared" si="72"/>
        <v>0</v>
      </c>
    </row>
    <row r="61" spans="2:48" s="23" customFormat="1" ht="16.5" customHeight="1" x14ac:dyDescent="0.45">
      <c r="B61" s="192" t="s">
        <v>266</v>
      </c>
      <c r="C61" s="193">
        <f t="shared" ref="C61:AV61" si="73">C58/C9</f>
        <v>0</v>
      </c>
      <c r="D61" s="193">
        <f t="shared" si="73"/>
        <v>0</v>
      </c>
      <c r="E61" s="193">
        <f t="shared" si="73"/>
        <v>0</v>
      </c>
      <c r="F61" s="193">
        <f t="shared" si="73"/>
        <v>0</v>
      </c>
      <c r="G61" s="193">
        <f t="shared" si="73"/>
        <v>0</v>
      </c>
      <c r="H61" s="193">
        <f t="shared" si="73"/>
        <v>0</v>
      </c>
      <c r="I61" s="193">
        <f t="shared" si="73"/>
        <v>0</v>
      </c>
      <c r="J61" s="193">
        <f t="shared" si="73"/>
        <v>0</v>
      </c>
      <c r="K61" s="193">
        <f t="shared" si="73"/>
        <v>0</v>
      </c>
      <c r="L61" s="193">
        <f t="shared" si="73"/>
        <v>0</v>
      </c>
      <c r="M61" s="193">
        <f t="shared" si="73"/>
        <v>0</v>
      </c>
      <c r="N61" s="193">
        <f t="shared" si="73"/>
        <v>0</v>
      </c>
      <c r="O61" s="193">
        <f t="shared" si="73"/>
        <v>0</v>
      </c>
      <c r="P61" s="193">
        <f t="shared" si="73"/>
        <v>0</v>
      </c>
      <c r="Q61" s="193">
        <f t="shared" si="73"/>
        <v>0</v>
      </c>
      <c r="R61" s="193">
        <f t="shared" si="73"/>
        <v>0</v>
      </c>
      <c r="S61" s="193">
        <f t="shared" si="73"/>
        <v>0</v>
      </c>
      <c r="T61" s="193">
        <f t="shared" si="73"/>
        <v>0</v>
      </c>
      <c r="U61" s="193">
        <f t="shared" si="73"/>
        <v>0</v>
      </c>
      <c r="V61" s="193">
        <f t="shared" si="73"/>
        <v>0</v>
      </c>
      <c r="W61" s="193">
        <f t="shared" si="73"/>
        <v>0</v>
      </c>
      <c r="X61" s="193">
        <f t="shared" si="73"/>
        <v>0</v>
      </c>
      <c r="Y61" s="193">
        <f t="shared" si="73"/>
        <v>0</v>
      </c>
      <c r="Z61" s="193">
        <f t="shared" si="73"/>
        <v>0</v>
      </c>
      <c r="AA61" s="193">
        <f t="shared" si="73"/>
        <v>0</v>
      </c>
      <c r="AB61" s="193">
        <f t="shared" si="73"/>
        <v>0</v>
      </c>
      <c r="AC61" s="193">
        <f t="shared" si="73"/>
        <v>0</v>
      </c>
      <c r="AD61" s="193">
        <f t="shared" si="73"/>
        <v>0</v>
      </c>
      <c r="AE61" s="193">
        <f t="shared" si="73"/>
        <v>0</v>
      </c>
      <c r="AF61" s="193">
        <f t="shared" si="73"/>
        <v>0</v>
      </c>
      <c r="AG61" s="193">
        <f t="shared" si="73"/>
        <v>0</v>
      </c>
      <c r="AH61" s="193">
        <f t="shared" si="73"/>
        <v>0</v>
      </c>
      <c r="AI61" s="193">
        <f t="shared" si="73"/>
        <v>0</v>
      </c>
      <c r="AJ61" s="193">
        <f t="shared" si="73"/>
        <v>0</v>
      </c>
      <c r="AK61" s="193">
        <f t="shared" si="73"/>
        <v>0</v>
      </c>
      <c r="AL61" s="193">
        <f t="shared" si="73"/>
        <v>0</v>
      </c>
      <c r="AM61" s="193">
        <f t="shared" si="73"/>
        <v>0</v>
      </c>
      <c r="AN61" s="193">
        <f t="shared" si="73"/>
        <v>0</v>
      </c>
      <c r="AO61" s="193">
        <f t="shared" si="73"/>
        <v>0</v>
      </c>
      <c r="AP61" s="193">
        <f t="shared" si="73"/>
        <v>0</v>
      </c>
      <c r="AQ61" s="193">
        <f t="shared" si="73"/>
        <v>0</v>
      </c>
      <c r="AR61" s="193">
        <f t="shared" si="73"/>
        <v>0</v>
      </c>
      <c r="AS61" s="193">
        <f t="shared" si="73"/>
        <v>0</v>
      </c>
      <c r="AT61" s="193">
        <f t="shared" si="73"/>
        <v>0</v>
      </c>
      <c r="AU61" s="193">
        <f t="shared" si="73"/>
        <v>0</v>
      </c>
      <c r="AV61" s="193">
        <f t="shared" si="73"/>
        <v>0</v>
      </c>
    </row>
    <row r="62" spans="2:48" s="23" customFormat="1" ht="16.5" customHeight="1" x14ac:dyDescent="0.45">
      <c r="B62" s="194" t="s">
        <v>267</v>
      </c>
      <c r="C62" s="195">
        <f t="shared" ref="C62:AV62" si="74">C60/C9</f>
        <v>0</v>
      </c>
      <c r="D62" s="195">
        <f t="shared" si="74"/>
        <v>0</v>
      </c>
      <c r="E62" s="195">
        <f t="shared" si="74"/>
        <v>0</v>
      </c>
      <c r="F62" s="195">
        <f t="shared" si="74"/>
        <v>0</v>
      </c>
      <c r="G62" s="195">
        <f t="shared" si="74"/>
        <v>0</v>
      </c>
      <c r="H62" s="195">
        <f t="shared" si="74"/>
        <v>0</v>
      </c>
      <c r="I62" s="195">
        <f t="shared" si="74"/>
        <v>0</v>
      </c>
      <c r="J62" s="195">
        <f t="shared" si="74"/>
        <v>0</v>
      </c>
      <c r="K62" s="195">
        <f t="shared" si="74"/>
        <v>0</v>
      </c>
      <c r="L62" s="195">
        <f t="shared" si="74"/>
        <v>0</v>
      </c>
      <c r="M62" s="195">
        <f t="shared" si="74"/>
        <v>0</v>
      </c>
      <c r="N62" s="195">
        <f t="shared" si="74"/>
        <v>0</v>
      </c>
      <c r="O62" s="195">
        <f t="shared" si="74"/>
        <v>0</v>
      </c>
      <c r="P62" s="195">
        <f t="shared" si="74"/>
        <v>0</v>
      </c>
      <c r="Q62" s="195">
        <f t="shared" si="74"/>
        <v>0</v>
      </c>
      <c r="R62" s="195">
        <f t="shared" si="74"/>
        <v>0</v>
      </c>
      <c r="S62" s="195">
        <f t="shared" si="74"/>
        <v>0</v>
      </c>
      <c r="T62" s="195">
        <f t="shared" si="74"/>
        <v>0</v>
      </c>
      <c r="U62" s="195">
        <f t="shared" si="74"/>
        <v>0</v>
      </c>
      <c r="V62" s="195">
        <f t="shared" si="74"/>
        <v>0</v>
      </c>
      <c r="W62" s="195">
        <f t="shared" si="74"/>
        <v>0</v>
      </c>
      <c r="X62" s="195">
        <f t="shared" si="74"/>
        <v>0</v>
      </c>
      <c r="Y62" s="195">
        <f t="shared" si="74"/>
        <v>0</v>
      </c>
      <c r="Z62" s="195">
        <f t="shared" si="74"/>
        <v>0</v>
      </c>
      <c r="AA62" s="195">
        <f t="shared" si="74"/>
        <v>0</v>
      </c>
      <c r="AB62" s="195">
        <f t="shared" si="74"/>
        <v>0</v>
      </c>
      <c r="AC62" s="195">
        <f t="shared" si="74"/>
        <v>0</v>
      </c>
      <c r="AD62" s="195">
        <f t="shared" si="74"/>
        <v>0</v>
      </c>
      <c r="AE62" s="195">
        <f t="shared" si="74"/>
        <v>0</v>
      </c>
      <c r="AF62" s="195">
        <f t="shared" si="74"/>
        <v>0</v>
      </c>
      <c r="AG62" s="195">
        <f t="shared" si="74"/>
        <v>0</v>
      </c>
      <c r="AH62" s="195">
        <f t="shared" si="74"/>
        <v>0</v>
      </c>
      <c r="AI62" s="195">
        <f t="shared" si="74"/>
        <v>0</v>
      </c>
      <c r="AJ62" s="195">
        <f t="shared" si="74"/>
        <v>0</v>
      </c>
      <c r="AK62" s="195">
        <f t="shared" si="74"/>
        <v>0</v>
      </c>
      <c r="AL62" s="195">
        <f t="shared" si="74"/>
        <v>0</v>
      </c>
      <c r="AM62" s="195">
        <f t="shared" si="74"/>
        <v>0</v>
      </c>
      <c r="AN62" s="195">
        <f t="shared" si="74"/>
        <v>0</v>
      </c>
      <c r="AO62" s="195">
        <f t="shared" si="74"/>
        <v>0</v>
      </c>
      <c r="AP62" s="195">
        <f t="shared" si="74"/>
        <v>0</v>
      </c>
      <c r="AQ62" s="195">
        <f t="shared" si="74"/>
        <v>0</v>
      </c>
      <c r="AR62" s="195">
        <f t="shared" si="74"/>
        <v>0</v>
      </c>
      <c r="AS62" s="195">
        <f t="shared" si="74"/>
        <v>0</v>
      </c>
      <c r="AT62" s="195">
        <f t="shared" si="74"/>
        <v>0</v>
      </c>
      <c r="AU62" s="195">
        <f t="shared" si="74"/>
        <v>0</v>
      </c>
      <c r="AV62" s="195">
        <f t="shared" si="74"/>
        <v>0</v>
      </c>
    </row>
    <row r="63" spans="2:48" ht="16.5" customHeight="1" x14ac:dyDescent="0.5"/>
    <row r="64" spans="2:48" ht="16.5" customHeight="1" x14ac:dyDescent="0.5">
      <c r="B64" s="271" t="s">
        <v>44</v>
      </c>
      <c r="C64" s="271" t="s">
        <v>45</v>
      </c>
      <c r="D64" s="271" t="s">
        <v>46</v>
      </c>
      <c r="E64" s="281"/>
      <c r="F64" s="281"/>
      <c r="G64" s="384"/>
      <c r="H64" s="281"/>
    </row>
    <row r="65" spans="2:51" ht="16.5" customHeight="1" x14ac:dyDescent="0.5">
      <c r="B65" s="274" t="s">
        <v>47</v>
      </c>
      <c r="C65" s="276">
        <f>'Thông số'!I12</f>
        <v>7.205780744205445E-2</v>
      </c>
      <c r="D65" s="276">
        <f>C65</f>
        <v>7.205780744205445E-2</v>
      </c>
      <c r="E65" s="282">
        <v>0.06</v>
      </c>
      <c r="F65" s="282">
        <f>E65+3%</f>
        <v>0.09</v>
      </c>
      <c r="G65" s="282">
        <f t="shared" ref="G65:H65" si="75">F65+3%</f>
        <v>0.12</v>
      </c>
      <c r="H65" s="282">
        <f t="shared" si="75"/>
        <v>0.15</v>
      </c>
    </row>
    <row r="66" spans="2:51" ht="16.5" customHeight="1" x14ac:dyDescent="0.5">
      <c r="B66" s="274" t="s">
        <v>276</v>
      </c>
      <c r="C66" s="275">
        <f>NPV(C65,D61:AV61)+C61</f>
        <v>0</v>
      </c>
      <c r="D66" s="275">
        <f>NPV(D65,$D62:$AV62)+$C62</f>
        <v>0</v>
      </c>
      <c r="E66" s="275">
        <f t="shared" ref="E66:H66" si="76">NPV(E65,$D62:$AV62)+$C62</f>
        <v>0</v>
      </c>
      <c r="F66" s="275">
        <f t="shared" si="76"/>
        <v>0</v>
      </c>
      <c r="G66" s="275">
        <f t="shared" si="76"/>
        <v>0</v>
      </c>
      <c r="H66" s="275">
        <f t="shared" si="76"/>
        <v>0</v>
      </c>
    </row>
    <row r="67" spans="2:51" ht="16.5" customHeight="1" x14ac:dyDescent="0.5">
      <c r="B67" s="274" t="s">
        <v>246</v>
      </c>
      <c r="C67" s="276" t="e">
        <f>IRR(C61:AV61)</f>
        <v>#NUM!</v>
      </c>
      <c r="D67" s="276" t="e">
        <f>IRR(C62:AV62)</f>
        <v>#NUM!</v>
      </c>
      <c r="E67" s="281"/>
      <c r="F67" s="281"/>
      <c r="G67" s="281"/>
      <c r="H67" s="281"/>
    </row>
    <row r="68" spans="2:51" ht="16.5" customHeight="1" x14ac:dyDescent="0.5">
      <c r="B68" s="274" t="s">
        <v>247</v>
      </c>
      <c r="C68" s="403"/>
      <c r="D68" s="403"/>
      <c r="E68" s="281"/>
      <c r="F68" s="281"/>
      <c r="G68" s="281"/>
      <c r="H68" s="281"/>
    </row>
    <row r="69" spans="2:51" ht="16.5" customHeight="1" x14ac:dyDescent="0.5">
      <c r="B69" s="277" t="s">
        <v>49</v>
      </c>
      <c r="C69" s="274"/>
      <c r="D69" s="278" t="e">
        <f t="array" ref="D69">(NPV(D65,D48:AV48)+C48)/(NPV(D65,D57:AV57)+C57)</f>
        <v>#DIV/0!</v>
      </c>
      <c r="E69" s="281"/>
      <c r="F69" s="281"/>
      <c r="G69" s="281"/>
      <c r="H69" s="281"/>
    </row>
    <row r="70" spans="2:51" ht="16.5" customHeight="1" x14ac:dyDescent="0.5">
      <c r="B70" s="277" t="s">
        <v>50</v>
      </c>
      <c r="C70" s="274"/>
      <c r="D70" s="278">
        <f>AVERAGE(G70:AT70)</f>
        <v>0</v>
      </c>
      <c r="E70" s="281"/>
      <c r="F70" s="281"/>
      <c r="G70" s="385"/>
      <c r="H70" s="385"/>
      <c r="I70" s="147">
        <f t="shared" ref="I70:AV70" si="77">I62/(I17+I22)</f>
        <v>0</v>
      </c>
      <c r="J70" s="147">
        <f t="shared" si="77"/>
        <v>0</v>
      </c>
      <c r="K70" s="147">
        <f t="shared" si="77"/>
        <v>0</v>
      </c>
      <c r="L70" s="147">
        <f t="shared" si="77"/>
        <v>0</v>
      </c>
      <c r="M70" s="147">
        <f t="shared" si="77"/>
        <v>0</v>
      </c>
      <c r="N70" s="147">
        <f t="shared" si="77"/>
        <v>0</v>
      </c>
      <c r="O70" s="147">
        <f t="shared" si="77"/>
        <v>0</v>
      </c>
      <c r="P70" s="147">
        <f t="shared" si="77"/>
        <v>0</v>
      </c>
      <c r="Q70" s="147">
        <f t="shared" si="77"/>
        <v>0</v>
      </c>
      <c r="R70" s="147">
        <f t="shared" si="77"/>
        <v>0</v>
      </c>
      <c r="S70" s="147">
        <f t="shared" si="77"/>
        <v>0</v>
      </c>
      <c r="T70" s="147">
        <f t="shared" si="77"/>
        <v>0</v>
      </c>
      <c r="U70" s="147">
        <f t="shared" si="77"/>
        <v>0</v>
      </c>
      <c r="V70" s="147">
        <f t="shared" si="77"/>
        <v>0</v>
      </c>
      <c r="W70" s="147">
        <f t="shared" si="77"/>
        <v>0</v>
      </c>
      <c r="X70" s="147">
        <f t="shared" si="77"/>
        <v>0</v>
      </c>
      <c r="Y70" s="147">
        <f t="shared" si="77"/>
        <v>0</v>
      </c>
      <c r="Z70" s="147">
        <f t="shared" si="77"/>
        <v>0</v>
      </c>
      <c r="AA70" s="147">
        <f t="shared" si="77"/>
        <v>0</v>
      </c>
      <c r="AB70" s="147">
        <f t="shared" si="77"/>
        <v>0</v>
      </c>
      <c r="AC70" s="147">
        <f t="shared" si="77"/>
        <v>0</v>
      </c>
      <c r="AD70" s="147">
        <f t="shared" si="77"/>
        <v>0</v>
      </c>
      <c r="AE70" s="147">
        <f t="shared" si="77"/>
        <v>0</v>
      </c>
      <c r="AF70" s="147">
        <f t="shared" si="77"/>
        <v>0</v>
      </c>
      <c r="AG70" s="147">
        <f t="shared" si="77"/>
        <v>0</v>
      </c>
      <c r="AH70" s="147">
        <f t="shared" si="77"/>
        <v>0</v>
      </c>
      <c r="AI70" s="147">
        <f t="shared" si="77"/>
        <v>0</v>
      </c>
      <c r="AJ70" s="147">
        <f t="shared" si="77"/>
        <v>0</v>
      </c>
      <c r="AK70" s="147">
        <f t="shared" si="77"/>
        <v>0</v>
      </c>
      <c r="AL70" s="147">
        <f t="shared" si="77"/>
        <v>0</v>
      </c>
      <c r="AM70" s="147">
        <f t="shared" si="77"/>
        <v>0</v>
      </c>
      <c r="AN70" s="147">
        <f t="shared" si="77"/>
        <v>0</v>
      </c>
      <c r="AO70" s="147">
        <f t="shared" si="77"/>
        <v>0</v>
      </c>
      <c r="AP70" s="147">
        <f t="shared" si="77"/>
        <v>0</v>
      </c>
      <c r="AQ70" s="147">
        <f t="shared" si="77"/>
        <v>0</v>
      </c>
      <c r="AR70" s="147">
        <f t="shared" si="77"/>
        <v>0</v>
      </c>
      <c r="AS70" s="147">
        <f t="shared" si="77"/>
        <v>0</v>
      </c>
      <c r="AT70" s="147">
        <f t="shared" si="77"/>
        <v>0</v>
      </c>
      <c r="AU70" s="147" t="e">
        <f t="shared" si="77"/>
        <v>#DIV/0!</v>
      </c>
      <c r="AV70" s="147" t="e">
        <f t="shared" si="77"/>
        <v>#DIV/0!</v>
      </c>
    </row>
    <row r="71" spans="2:51" ht="16.5" customHeight="1" x14ac:dyDescent="0.5">
      <c r="B71" s="277" t="s">
        <v>51</v>
      </c>
      <c r="C71" s="274"/>
      <c r="D71" s="278">
        <f>SUM(D79:AV79)</f>
        <v>0</v>
      </c>
      <c r="E71" s="281" t="s">
        <v>52</v>
      </c>
      <c r="F71" s="281"/>
      <c r="G71" s="281"/>
      <c r="H71" s="281"/>
    </row>
    <row r="72" spans="2:51" ht="16.5" customHeight="1" x14ac:dyDescent="0.5">
      <c r="B72" s="148"/>
    </row>
    <row r="73" spans="2:51" ht="16.5" customHeight="1" x14ac:dyDescent="0.5">
      <c r="B73" s="177" t="s">
        <v>287</v>
      </c>
    </row>
    <row r="74" spans="2:51" ht="16.5" customHeight="1" x14ac:dyDescent="0.5">
      <c r="B74" s="166" t="str">
        <f t="shared" ref="B74:AV74" si="78">B42</f>
        <v>Năm dự án</v>
      </c>
      <c r="C74" s="166">
        <f t="shared" si="78"/>
        <v>0</v>
      </c>
      <c r="D74" s="166">
        <f t="shared" si="78"/>
        <v>1</v>
      </c>
      <c r="E74" s="166">
        <f t="shared" si="78"/>
        <v>2</v>
      </c>
      <c r="F74" s="166">
        <f t="shared" si="78"/>
        <v>3</v>
      </c>
      <c r="G74" s="166">
        <f t="shared" si="78"/>
        <v>4</v>
      </c>
      <c r="H74" s="166">
        <f t="shared" si="78"/>
        <v>5</v>
      </c>
      <c r="I74" s="166">
        <f t="shared" si="78"/>
        <v>6</v>
      </c>
      <c r="J74" s="166">
        <f t="shared" si="78"/>
        <v>7</v>
      </c>
      <c r="K74" s="166">
        <f t="shared" si="78"/>
        <v>8</v>
      </c>
      <c r="L74" s="166">
        <f t="shared" si="78"/>
        <v>9</v>
      </c>
      <c r="M74" s="166">
        <f t="shared" si="78"/>
        <v>10</v>
      </c>
      <c r="N74" s="166">
        <f t="shared" si="78"/>
        <v>11</v>
      </c>
      <c r="O74" s="166">
        <f t="shared" si="78"/>
        <v>12</v>
      </c>
      <c r="P74" s="166">
        <f t="shared" si="78"/>
        <v>13</v>
      </c>
      <c r="Q74" s="166">
        <f t="shared" si="78"/>
        <v>14</v>
      </c>
      <c r="R74" s="166">
        <f t="shared" si="78"/>
        <v>15</v>
      </c>
      <c r="S74" s="166">
        <f t="shared" si="78"/>
        <v>16</v>
      </c>
      <c r="T74" s="166">
        <f t="shared" si="78"/>
        <v>17</v>
      </c>
      <c r="U74" s="166">
        <f t="shared" si="78"/>
        <v>18</v>
      </c>
      <c r="V74" s="166">
        <f t="shared" si="78"/>
        <v>19</v>
      </c>
      <c r="W74" s="166">
        <f t="shared" si="78"/>
        <v>20</v>
      </c>
      <c r="X74" s="166">
        <f t="shared" si="78"/>
        <v>21</v>
      </c>
      <c r="Y74" s="166">
        <f t="shared" si="78"/>
        <v>22</v>
      </c>
      <c r="Z74" s="166">
        <f t="shared" si="78"/>
        <v>23</v>
      </c>
      <c r="AA74" s="166">
        <f t="shared" si="78"/>
        <v>24</v>
      </c>
      <c r="AB74" s="166">
        <f t="shared" si="78"/>
        <v>25</v>
      </c>
      <c r="AC74" s="166">
        <f t="shared" si="78"/>
        <v>26</v>
      </c>
      <c r="AD74" s="166">
        <f t="shared" si="78"/>
        <v>27</v>
      </c>
      <c r="AE74" s="166">
        <f t="shared" si="78"/>
        <v>28</v>
      </c>
      <c r="AF74" s="166">
        <f t="shared" si="78"/>
        <v>29</v>
      </c>
      <c r="AG74" s="166">
        <f t="shared" si="78"/>
        <v>30</v>
      </c>
      <c r="AH74" s="166">
        <f t="shared" si="78"/>
        <v>31</v>
      </c>
      <c r="AI74" s="166">
        <f t="shared" si="78"/>
        <v>32</v>
      </c>
      <c r="AJ74" s="166">
        <f t="shared" si="78"/>
        <v>33</v>
      </c>
      <c r="AK74" s="166">
        <f t="shared" si="78"/>
        <v>34</v>
      </c>
      <c r="AL74" s="166">
        <f t="shared" si="78"/>
        <v>35</v>
      </c>
      <c r="AM74" s="166">
        <f t="shared" si="78"/>
        <v>36</v>
      </c>
      <c r="AN74" s="166">
        <f t="shared" si="78"/>
        <v>37</v>
      </c>
      <c r="AO74" s="166">
        <f t="shared" si="78"/>
        <v>38</v>
      </c>
      <c r="AP74" s="166">
        <f t="shared" si="78"/>
        <v>39</v>
      </c>
      <c r="AQ74" s="166">
        <f t="shared" si="78"/>
        <v>40</v>
      </c>
      <c r="AR74" s="166">
        <f t="shared" si="78"/>
        <v>41</v>
      </c>
      <c r="AS74" s="166">
        <f t="shared" si="78"/>
        <v>42</v>
      </c>
      <c r="AT74" s="166">
        <f t="shared" si="78"/>
        <v>43</v>
      </c>
      <c r="AU74" s="166">
        <f t="shared" si="78"/>
        <v>44</v>
      </c>
      <c r="AV74" s="166">
        <f t="shared" si="78"/>
        <v>45</v>
      </c>
    </row>
    <row r="75" spans="2:51" ht="16.5" customHeight="1" x14ac:dyDescent="0.5">
      <c r="B75" s="148" t="s">
        <v>281</v>
      </c>
      <c r="C75" s="141">
        <f>C62</f>
        <v>0</v>
      </c>
      <c r="D75" s="141">
        <f t="shared" ref="D75:AV75" si="79">D62</f>
        <v>0</v>
      </c>
      <c r="E75" s="141">
        <f t="shared" si="79"/>
        <v>0</v>
      </c>
      <c r="F75" s="141">
        <f t="shared" si="79"/>
        <v>0</v>
      </c>
      <c r="G75" s="141">
        <f t="shared" si="79"/>
        <v>0</v>
      </c>
      <c r="H75" s="141">
        <f t="shared" si="79"/>
        <v>0</v>
      </c>
      <c r="I75" s="141">
        <f t="shared" si="79"/>
        <v>0</v>
      </c>
      <c r="J75" s="141">
        <f t="shared" si="79"/>
        <v>0</v>
      </c>
      <c r="K75" s="141">
        <f t="shared" si="79"/>
        <v>0</v>
      </c>
      <c r="L75" s="141">
        <f t="shared" si="79"/>
        <v>0</v>
      </c>
      <c r="M75" s="141">
        <f t="shared" si="79"/>
        <v>0</v>
      </c>
      <c r="N75" s="141">
        <f t="shared" si="79"/>
        <v>0</v>
      </c>
      <c r="O75" s="141">
        <f t="shared" si="79"/>
        <v>0</v>
      </c>
      <c r="P75" s="141">
        <f t="shared" si="79"/>
        <v>0</v>
      </c>
      <c r="Q75" s="141">
        <f t="shared" si="79"/>
        <v>0</v>
      </c>
      <c r="R75" s="141">
        <f t="shared" si="79"/>
        <v>0</v>
      </c>
      <c r="S75" s="141">
        <f t="shared" si="79"/>
        <v>0</v>
      </c>
      <c r="T75" s="141">
        <f t="shared" si="79"/>
        <v>0</v>
      </c>
      <c r="U75" s="141">
        <f t="shared" si="79"/>
        <v>0</v>
      </c>
      <c r="V75" s="141">
        <f t="shared" si="79"/>
        <v>0</v>
      </c>
      <c r="W75" s="141">
        <f t="shared" si="79"/>
        <v>0</v>
      </c>
      <c r="X75" s="141">
        <f t="shared" si="79"/>
        <v>0</v>
      </c>
      <c r="Y75" s="141">
        <f t="shared" si="79"/>
        <v>0</v>
      </c>
      <c r="Z75" s="141">
        <f t="shared" si="79"/>
        <v>0</v>
      </c>
      <c r="AA75" s="141">
        <f t="shared" si="79"/>
        <v>0</v>
      </c>
      <c r="AB75" s="141">
        <f t="shared" si="79"/>
        <v>0</v>
      </c>
      <c r="AC75" s="141">
        <f t="shared" si="79"/>
        <v>0</v>
      </c>
      <c r="AD75" s="141">
        <f t="shared" si="79"/>
        <v>0</v>
      </c>
      <c r="AE75" s="141">
        <f t="shared" si="79"/>
        <v>0</v>
      </c>
      <c r="AF75" s="141">
        <f t="shared" si="79"/>
        <v>0</v>
      </c>
      <c r="AG75" s="141">
        <f t="shared" si="79"/>
        <v>0</v>
      </c>
      <c r="AH75" s="141">
        <f t="shared" si="79"/>
        <v>0</v>
      </c>
      <c r="AI75" s="141">
        <f t="shared" si="79"/>
        <v>0</v>
      </c>
      <c r="AJ75" s="141">
        <f t="shared" si="79"/>
        <v>0</v>
      </c>
      <c r="AK75" s="141">
        <f t="shared" si="79"/>
        <v>0</v>
      </c>
      <c r="AL75" s="141">
        <f t="shared" si="79"/>
        <v>0</v>
      </c>
      <c r="AM75" s="141">
        <f t="shared" si="79"/>
        <v>0</v>
      </c>
      <c r="AN75" s="141">
        <f t="shared" si="79"/>
        <v>0</v>
      </c>
      <c r="AO75" s="141">
        <f t="shared" si="79"/>
        <v>0</v>
      </c>
      <c r="AP75" s="141">
        <f t="shared" si="79"/>
        <v>0</v>
      </c>
      <c r="AQ75" s="141">
        <f t="shared" si="79"/>
        <v>0</v>
      </c>
      <c r="AR75" s="141">
        <f t="shared" si="79"/>
        <v>0</v>
      </c>
      <c r="AS75" s="141">
        <f t="shared" si="79"/>
        <v>0</v>
      </c>
      <c r="AT75" s="141">
        <f t="shared" si="79"/>
        <v>0</v>
      </c>
      <c r="AU75" s="141">
        <f t="shared" si="79"/>
        <v>0</v>
      </c>
      <c r="AV75" s="141">
        <f t="shared" si="79"/>
        <v>0</v>
      </c>
    </row>
    <row r="76" spans="2:51" ht="16.5" customHeight="1" x14ac:dyDescent="0.5">
      <c r="B76" s="148" t="s">
        <v>53</v>
      </c>
      <c r="C76" s="149">
        <f>1/(1+$D$65)^C74</f>
        <v>1</v>
      </c>
      <c r="D76" s="149">
        <f t="shared" ref="D76:AV76" si="80">1/(1+$D$65)^D74</f>
        <v>0.93278552057375963</v>
      </c>
      <c r="E76" s="149">
        <f t="shared" si="80"/>
        <v>0.87008882739205973</v>
      </c>
      <c r="F76" s="149">
        <f t="shared" si="80"/>
        <v>0.81160625980431456</v>
      </c>
      <c r="G76" s="149">
        <f t="shared" si="80"/>
        <v>0.75705456755248957</v>
      </c>
      <c r="H76" s="149">
        <f t="shared" si="80"/>
        <v>0.70616953889719136</v>
      </c>
      <c r="I76" s="149">
        <f t="shared" si="80"/>
        <v>0.65870472095354859</v>
      </c>
      <c r="J76" s="149">
        <f t="shared" si="80"/>
        <v>0.61443022603904884</v>
      </c>
      <c r="K76" s="149">
        <f t="shared" si="80"/>
        <v>0.57313161825208703</v>
      </c>
      <c r="L76" s="149">
        <f t="shared" si="80"/>
        <v>0.53460887488855424</v>
      </c>
      <c r="M76" s="149">
        <f t="shared" si="80"/>
        <v>0.4986754176662721</v>
      </c>
      <c r="N76" s="149">
        <f t="shared" si="80"/>
        <v>0.46515720906517061</v>
      </c>
      <c r="O76" s="149">
        <f t="shared" si="80"/>
        <v>0.43389190940649225</v>
      </c>
      <c r="P76" s="149">
        <f t="shared" si="80"/>
        <v>0.40472809058847742</v>
      </c>
      <c r="Q76" s="149">
        <f t="shared" si="80"/>
        <v>0.37752450267039672</v>
      </c>
      <c r="R76" s="149">
        <f t="shared" si="80"/>
        <v>0.35214938975275573</v>
      </c>
      <c r="S76" s="149">
        <f t="shared" si="80"/>
        <v>0.32847985184025602</v>
      </c>
      <c r="T76" s="149">
        <f t="shared" si="80"/>
        <v>0.30640124959680465</v>
      </c>
      <c r="U76" s="149">
        <f t="shared" si="80"/>
        <v>0.2858066491096059</v>
      </c>
      <c r="V76" s="149">
        <f t="shared" si="80"/>
        <v>0.2665963039731456</v>
      </c>
      <c r="W76" s="149">
        <f t="shared" si="80"/>
        <v>0.2486771721846309</v>
      </c>
      <c r="X76" s="149">
        <f t="shared" si="80"/>
        <v>0.23196246551105137</v>
      </c>
      <c r="Y76" s="149">
        <f t="shared" si="80"/>
        <v>0.21637122914529885</v>
      </c>
      <c r="Z76" s="149">
        <f t="shared" si="80"/>
        <v>0.20182794961548181</v>
      </c>
      <c r="AA76" s="149">
        <f t="shared" si="80"/>
        <v>0.18826218904841174</v>
      </c>
      <c r="AB76" s="149">
        <f t="shared" si="80"/>
        <v>0.17560824401587827</v>
      </c>
      <c r="AC76" s="149">
        <f t="shared" si="80"/>
        <v>0.16380482731139487</v>
      </c>
      <c r="AD76" s="149">
        <f t="shared" si="80"/>
        <v>0.15279477111615422</v>
      </c>
      <c r="AE76" s="149">
        <f t="shared" si="80"/>
        <v>0.14252475011653037</v>
      </c>
      <c r="AF76" s="149">
        <f t="shared" si="80"/>
        <v>0.13294502323209281</v>
      </c>
      <c r="AG76" s="149">
        <f t="shared" si="80"/>
        <v>0.12400919270323826</v>
      </c>
      <c r="AH76" s="149">
        <f t="shared" si="80"/>
        <v>0.11567397937162179</v>
      </c>
      <c r="AI76" s="149">
        <f t="shared" si="80"/>
        <v>0.10789901306499657</v>
      </c>
      <c r="AJ76" s="149">
        <f t="shared" si="80"/>
        <v>0.10064663707122772</v>
      </c>
      <c r="AK76" s="149">
        <f t="shared" si="80"/>
        <v>9.3881725754483406E-2</v>
      </c>
      <c r="AL76" s="149">
        <f t="shared" si="80"/>
        <v>8.7571514430258734E-2</v>
      </c>
      <c r="AM76" s="149">
        <f t="shared" si="80"/>
        <v>8.1685440675261414E-2</v>
      </c>
      <c r="AN76" s="149">
        <f t="shared" si="80"/>
        <v>7.6194996303570656E-2</v>
      </c>
      <c r="AO76" s="149">
        <f t="shared" si="80"/>
        <v>7.1073589292141859E-2</v>
      </c>
      <c r="AP76" s="149">
        <f t="shared" si="80"/>
        <v>6.629641498691613E-2</v>
      </c>
      <c r="AQ76" s="149">
        <f t="shared" si="80"/>
        <v>6.1840335965744571E-2</v>
      </c>
      <c r="AR76" s="149">
        <f t="shared" si="80"/>
        <v>5.7683769976263233E-2</v>
      </c>
      <c r="AS76" s="149">
        <f t="shared" si="80"/>
        <v>5.3806585405965716E-2</v>
      </c>
      <c r="AT76" s="149">
        <f t="shared" si="80"/>
        <v>5.0190003778200182E-2</v>
      </c>
      <c r="AU76" s="149">
        <f t="shared" si="80"/>
        <v>4.6816508801847415E-2</v>
      </c>
      <c r="AV76" s="149">
        <f t="shared" si="80"/>
        <v>4.3669761534177239E-2</v>
      </c>
    </row>
    <row r="77" spans="2:51" ht="16.5" customHeight="1" x14ac:dyDescent="0.5">
      <c r="B77" s="148" t="s">
        <v>282</v>
      </c>
      <c r="C77" s="141">
        <f t="shared" ref="C77:AV77" si="81">C75*C76</f>
        <v>0</v>
      </c>
      <c r="D77" s="141">
        <f t="shared" si="81"/>
        <v>0</v>
      </c>
      <c r="E77" s="141">
        <f t="shared" si="81"/>
        <v>0</v>
      </c>
      <c r="F77" s="141">
        <f t="shared" si="81"/>
        <v>0</v>
      </c>
      <c r="G77" s="141">
        <f t="shared" si="81"/>
        <v>0</v>
      </c>
      <c r="H77" s="141">
        <f t="shared" si="81"/>
        <v>0</v>
      </c>
      <c r="I77" s="141">
        <f t="shared" si="81"/>
        <v>0</v>
      </c>
      <c r="J77" s="141">
        <f t="shared" si="81"/>
        <v>0</v>
      </c>
      <c r="K77" s="141">
        <f t="shared" si="81"/>
        <v>0</v>
      </c>
      <c r="L77" s="141">
        <f t="shared" si="81"/>
        <v>0</v>
      </c>
      <c r="M77" s="141">
        <f t="shared" si="81"/>
        <v>0</v>
      </c>
      <c r="N77" s="141">
        <f t="shared" si="81"/>
        <v>0</v>
      </c>
      <c r="O77" s="141">
        <f t="shared" si="81"/>
        <v>0</v>
      </c>
      <c r="P77" s="141">
        <f t="shared" si="81"/>
        <v>0</v>
      </c>
      <c r="Q77" s="141">
        <f t="shared" si="81"/>
        <v>0</v>
      </c>
      <c r="R77" s="141">
        <f t="shared" si="81"/>
        <v>0</v>
      </c>
      <c r="S77" s="141">
        <f t="shared" si="81"/>
        <v>0</v>
      </c>
      <c r="T77" s="141">
        <f t="shared" si="81"/>
        <v>0</v>
      </c>
      <c r="U77" s="141">
        <f t="shared" si="81"/>
        <v>0</v>
      </c>
      <c r="V77" s="141">
        <f t="shared" si="81"/>
        <v>0</v>
      </c>
      <c r="W77" s="141">
        <f t="shared" si="81"/>
        <v>0</v>
      </c>
      <c r="X77" s="141">
        <f t="shared" si="81"/>
        <v>0</v>
      </c>
      <c r="Y77" s="141">
        <f t="shared" si="81"/>
        <v>0</v>
      </c>
      <c r="Z77" s="141">
        <f t="shared" si="81"/>
        <v>0</v>
      </c>
      <c r="AA77" s="141">
        <f t="shared" si="81"/>
        <v>0</v>
      </c>
      <c r="AB77" s="141">
        <f t="shared" si="81"/>
        <v>0</v>
      </c>
      <c r="AC77" s="141">
        <f t="shared" si="81"/>
        <v>0</v>
      </c>
      <c r="AD77" s="141">
        <f t="shared" si="81"/>
        <v>0</v>
      </c>
      <c r="AE77" s="141">
        <f t="shared" si="81"/>
        <v>0</v>
      </c>
      <c r="AF77" s="141">
        <f t="shared" si="81"/>
        <v>0</v>
      </c>
      <c r="AG77" s="141">
        <f t="shared" si="81"/>
        <v>0</v>
      </c>
      <c r="AH77" s="141">
        <f t="shared" si="81"/>
        <v>0</v>
      </c>
      <c r="AI77" s="141">
        <f t="shared" si="81"/>
        <v>0</v>
      </c>
      <c r="AJ77" s="141">
        <f t="shared" si="81"/>
        <v>0</v>
      </c>
      <c r="AK77" s="141">
        <f t="shared" si="81"/>
        <v>0</v>
      </c>
      <c r="AL77" s="141">
        <f t="shared" si="81"/>
        <v>0</v>
      </c>
      <c r="AM77" s="141">
        <f t="shared" si="81"/>
        <v>0</v>
      </c>
      <c r="AN77" s="141">
        <f t="shared" si="81"/>
        <v>0</v>
      </c>
      <c r="AO77" s="141">
        <f t="shared" si="81"/>
        <v>0</v>
      </c>
      <c r="AP77" s="141">
        <f t="shared" si="81"/>
        <v>0</v>
      </c>
      <c r="AQ77" s="141">
        <f t="shared" si="81"/>
        <v>0</v>
      </c>
      <c r="AR77" s="141">
        <f t="shared" si="81"/>
        <v>0</v>
      </c>
      <c r="AS77" s="141">
        <f t="shared" si="81"/>
        <v>0</v>
      </c>
      <c r="AT77" s="141">
        <f t="shared" si="81"/>
        <v>0</v>
      </c>
      <c r="AU77" s="141">
        <f t="shared" si="81"/>
        <v>0</v>
      </c>
      <c r="AV77" s="141">
        <f t="shared" si="81"/>
        <v>0</v>
      </c>
    </row>
    <row r="78" spans="2:51" ht="16.5" customHeight="1" x14ac:dyDescent="0.5">
      <c r="B78" s="148" t="s">
        <v>283</v>
      </c>
      <c r="C78" s="141">
        <f>C77</f>
        <v>0</v>
      </c>
      <c r="D78" s="141">
        <f t="shared" ref="D78:AV78" si="82">C78+D77</f>
        <v>0</v>
      </c>
      <c r="E78" s="141">
        <f t="shared" si="82"/>
        <v>0</v>
      </c>
      <c r="F78" s="141">
        <f t="shared" si="82"/>
        <v>0</v>
      </c>
      <c r="G78" s="141">
        <f t="shared" si="82"/>
        <v>0</v>
      </c>
      <c r="H78" s="141">
        <f t="shared" si="82"/>
        <v>0</v>
      </c>
      <c r="I78" s="141">
        <f t="shared" si="82"/>
        <v>0</v>
      </c>
      <c r="J78" s="141">
        <f t="shared" si="82"/>
        <v>0</v>
      </c>
      <c r="K78" s="141">
        <f t="shared" si="82"/>
        <v>0</v>
      </c>
      <c r="L78" s="141">
        <f t="shared" si="82"/>
        <v>0</v>
      </c>
      <c r="M78" s="141">
        <f t="shared" si="82"/>
        <v>0</v>
      </c>
      <c r="N78" s="141">
        <f t="shared" si="82"/>
        <v>0</v>
      </c>
      <c r="O78" s="141">
        <f t="shared" si="82"/>
        <v>0</v>
      </c>
      <c r="P78" s="141">
        <f t="shared" si="82"/>
        <v>0</v>
      </c>
      <c r="Q78" s="141">
        <f t="shared" si="82"/>
        <v>0</v>
      </c>
      <c r="R78" s="141">
        <f t="shared" si="82"/>
        <v>0</v>
      </c>
      <c r="S78" s="141">
        <f t="shared" si="82"/>
        <v>0</v>
      </c>
      <c r="T78" s="141">
        <f t="shared" si="82"/>
        <v>0</v>
      </c>
      <c r="U78" s="141">
        <f t="shared" si="82"/>
        <v>0</v>
      </c>
      <c r="V78" s="141">
        <f t="shared" si="82"/>
        <v>0</v>
      </c>
      <c r="W78" s="141">
        <f t="shared" si="82"/>
        <v>0</v>
      </c>
      <c r="X78" s="141">
        <f t="shared" si="82"/>
        <v>0</v>
      </c>
      <c r="Y78" s="141">
        <f t="shared" si="82"/>
        <v>0</v>
      </c>
      <c r="Z78" s="141">
        <f t="shared" si="82"/>
        <v>0</v>
      </c>
      <c r="AA78" s="141">
        <f t="shared" si="82"/>
        <v>0</v>
      </c>
      <c r="AB78" s="141">
        <f t="shared" si="82"/>
        <v>0</v>
      </c>
      <c r="AC78" s="141">
        <f t="shared" si="82"/>
        <v>0</v>
      </c>
      <c r="AD78" s="141">
        <f t="shared" si="82"/>
        <v>0</v>
      </c>
      <c r="AE78" s="141">
        <f t="shared" si="82"/>
        <v>0</v>
      </c>
      <c r="AF78" s="141">
        <f t="shared" si="82"/>
        <v>0</v>
      </c>
      <c r="AG78" s="141">
        <f t="shared" si="82"/>
        <v>0</v>
      </c>
      <c r="AH78" s="141">
        <f t="shared" si="82"/>
        <v>0</v>
      </c>
      <c r="AI78" s="141">
        <f t="shared" si="82"/>
        <v>0</v>
      </c>
      <c r="AJ78" s="141">
        <f t="shared" si="82"/>
        <v>0</v>
      </c>
      <c r="AK78" s="141">
        <f t="shared" si="82"/>
        <v>0</v>
      </c>
      <c r="AL78" s="141">
        <f t="shared" si="82"/>
        <v>0</v>
      </c>
      <c r="AM78" s="141">
        <f t="shared" si="82"/>
        <v>0</v>
      </c>
      <c r="AN78" s="141">
        <f t="shared" si="82"/>
        <v>0</v>
      </c>
      <c r="AO78" s="141">
        <f t="shared" si="82"/>
        <v>0</v>
      </c>
      <c r="AP78" s="141">
        <f t="shared" si="82"/>
        <v>0</v>
      </c>
      <c r="AQ78" s="141">
        <f t="shared" si="82"/>
        <v>0</v>
      </c>
      <c r="AR78" s="141">
        <f t="shared" si="82"/>
        <v>0</v>
      </c>
      <c r="AS78" s="141">
        <f t="shared" si="82"/>
        <v>0</v>
      </c>
      <c r="AT78" s="141">
        <f t="shared" si="82"/>
        <v>0</v>
      </c>
      <c r="AU78" s="141">
        <f t="shared" si="82"/>
        <v>0</v>
      </c>
      <c r="AV78" s="141">
        <f t="shared" si="82"/>
        <v>0</v>
      </c>
    </row>
    <row r="79" spans="2:51" ht="16.5" customHeight="1" x14ac:dyDescent="0.5">
      <c r="B79" s="178" t="s">
        <v>245</v>
      </c>
      <c r="C79" s="171"/>
      <c r="D79" s="171">
        <f>IF(D78&lt;0,1,IF(C78&lt;0,-C78/D77,0))</f>
        <v>0</v>
      </c>
      <c r="E79" s="171">
        <f t="shared" ref="E79:AV79" si="83">IF(E78&lt;0,1,IF(D78&lt;0,-D78/E77,0))</f>
        <v>0</v>
      </c>
      <c r="F79" s="171">
        <f t="shared" si="83"/>
        <v>0</v>
      </c>
      <c r="G79" s="171">
        <f t="shared" si="83"/>
        <v>0</v>
      </c>
      <c r="H79" s="171">
        <f t="shared" si="83"/>
        <v>0</v>
      </c>
      <c r="I79" s="171">
        <f t="shared" si="83"/>
        <v>0</v>
      </c>
      <c r="J79" s="171">
        <f t="shared" si="83"/>
        <v>0</v>
      </c>
      <c r="K79" s="171">
        <f t="shared" si="83"/>
        <v>0</v>
      </c>
      <c r="L79" s="171">
        <f t="shared" si="83"/>
        <v>0</v>
      </c>
      <c r="M79" s="171">
        <f t="shared" si="83"/>
        <v>0</v>
      </c>
      <c r="N79" s="171">
        <f t="shared" si="83"/>
        <v>0</v>
      </c>
      <c r="O79" s="171">
        <f t="shared" si="83"/>
        <v>0</v>
      </c>
      <c r="P79" s="171">
        <f t="shared" si="83"/>
        <v>0</v>
      </c>
      <c r="Q79" s="171">
        <f t="shared" si="83"/>
        <v>0</v>
      </c>
      <c r="R79" s="171">
        <f t="shared" si="83"/>
        <v>0</v>
      </c>
      <c r="S79" s="171">
        <f t="shared" si="83"/>
        <v>0</v>
      </c>
      <c r="T79" s="171">
        <f t="shared" si="83"/>
        <v>0</v>
      </c>
      <c r="U79" s="171">
        <f t="shared" si="83"/>
        <v>0</v>
      </c>
      <c r="V79" s="184">
        <f t="shared" si="83"/>
        <v>0</v>
      </c>
      <c r="W79" s="184">
        <f t="shared" si="83"/>
        <v>0</v>
      </c>
      <c r="X79" s="171">
        <f t="shared" si="83"/>
        <v>0</v>
      </c>
      <c r="Y79" s="171">
        <f t="shared" si="83"/>
        <v>0</v>
      </c>
      <c r="Z79" s="171">
        <f t="shared" si="83"/>
        <v>0</v>
      </c>
      <c r="AA79" s="184">
        <f t="shared" si="83"/>
        <v>0</v>
      </c>
      <c r="AB79" s="184">
        <f t="shared" si="83"/>
        <v>0</v>
      </c>
      <c r="AC79" s="184">
        <f t="shared" si="83"/>
        <v>0</v>
      </c>
      <c r="AD79" s="184">
        <f t="shared" si="83"/>
        <v>0</v>
      </c>
      <c r="AE79" s="184">
        <f t="shared" si="83"/>
        <v>0</v>
      </c>
      <c r="AF79" s="184">
        <f t="shared" si="83"/>
        <v>0</v>
      </c>
      <c r="AG79" s="184">
        <f t="shared" si="83"/>
        <v>0</v>
      </c>
      <c r="AH79" s="184">
        <f t="shared" si="83"/>
        <v>0</v>
      </c>
      <c r="AI79" s="184">
        <f t="shared" si="83"/>
        <v>0</v>
      </c>
      <c r="AJ79" s="184">
        <f t="shared" si="83"/>
        <v>0</v>
      </c>
      <c r="AK79" s="184">
        <f t="shared" si="83"/>
        <v>0</v>
      </c>
      <c r="AL79" s="184">
        <f t="shared" si="83"/>
        <v>0</v>
      </c>
      <c r="AM79" s="184">
        <f t="shared" si="83"/>
        <v>0</v>
      </c>
      <c r="AN79" s="184">
        <f t="shared" si="83"/>
        <v>0</v>
      </c>
      <c r="AO79" s="184">
        <f t="shared" si="83"/>
        <v>0</v>
      </c>
      <c r="AP79" s="184">
        <f t="shared" si="83"/>
        <v>0</v>
      </c>
      <c r="AQ79" s="184">
        <f t="shared" si="83"/>
        <v>0</v>
      </c>
      <c r="AR79" s="184">
        <f t="shared" si="83"/>
        <v>0</v>
      </c>
      <c r="AS79" s="184">
        <f t="shared" si="83"/>
        <v>0</v>
      </c>
      <c r="AT79" s="184">
        <f t="shared" si="83"/>
        <v>0</v>
      </c>
      <c r="AU79" s="184">
        <f t="shared" si="83"/>
        <v>0</v>
      </c>
      <c r="AV79" s="184">
        <f t="shared" si="83"/>
        <v>0</v>
      </c>
      <c r="AW79" s="393"/>
      <c r="AX79" s="393"/>
      <c r="AY79" s="393"/>
    </row>
    <row r="80" spans="2:51" ht="16.5" customHeight="1" x14ac:dyDescent="0.5">
      <c r="B80" s="148"/>
      <c r="V80" s="147"/>
      <c r="W80" s="147"/>
      <c r="AA80" s="138"/>
    </row>
    <row r="81" spans="2:48" ht="16.5" customHeight="1" x14ac:dyDescent="0.5">
      <c r="B81" s="164" t="s">
        <v>213</v>
      </c>
      <c r="V81" s="147"/>
      <c r="W81" s="147"/>
      <c r="AA81" s="138"/>
    </row>
    <row r="82" spans="2:48" ht="16.5" customHeight="1" x14ac:dyDescent="0.5">
      <c r="B82" s="377" t="str">
        <f t="shared" ref="B82:AV82" si="84">B6</f>
        <v>Năm dự án</v>
      </c>
      <c r="C82" s="181">
        <f t="shared" si="84"/>
        <v>0</v>
      </c>
      <c r="D82" s="181">
        <f t="shared" si="84"/>
        <v>1</v>
      </c>
      <c r="E82" s="181">
        <f t="shared" si="84"/>
        <v>2</v>
      </c>
      <c r="F82" s="181">
        <f t="shared" si="84"/>
        <v>3</v>
      </c>
      <c r="G82" s="181">
        <f t="shared" si="84"/>
        <v>4</v>
      </c>
      <c r="H82" s="181">
        <f t="shared" si="84"/>
        <v>5</v>
      </c>
      <c r="I82" s="181">
        <f t="shared" si="84"/>
        <v>6</v>
      </c>
      <c r="J82" s="181">
        <f t="shared" si="84"/>
        <v>7</v>
      </c>
      <c r="K82" s="181">
        <f t="shared" si="84"/>
        <v>8</v>
      </c>
      <c r="L82" s="181">
        <f t="shared" si="84"/>
        <v>9</v>
      </c>
      <c r="M82" s="181">
        <f t="shared" si="84"/>
        <v>10</v>
      </c>
      <c r="N82" s="181">
        <f t="shared" si="84"/>
        <v>11</v>
      </c>
      <c r="O82" s="181">
        <f t="shared" si="84"/>
        <v>12</v>
      </c>
      <c r="P82" s="181">
        <f t="shared" si="84"/>
        <v>13</v>
      </c>
      <c r="Q82" s="181">
        <f t="shared" si="84"/>
        <v>14</v>
      </c>
      <c r="R82" s="181">
        <f t="shared" si="84"/>
        <v>15</v>
      </c>
      <c r="S82" s="181">
        <f t="shared" si="84"/>
        <v>16</v>
      </c>
      <c r="T82" s="181">
        <f t="shared" si="84"/>
        <v>17</v>
      </c>
      <c r="U82" s="181">
        <f t="shared" si="84"/>
        <v>18</v>
      </c>
      <c r="V82" s="181">
        <f t="shared" si="84"/>
        <v>19</v>
      </c>
      <c r="W82" s="181">
        <f t="shared" si="84"/>
        <v>20</v>
      </c>
      <c r="X82" s="181">
        <f t="shared" si="84"/>
        <v>21</v>
      </c>
      <c r="Y82" s="181">
        <f t="shared" si="84"/>
        <v>22</v>
      </c>
      <c r="Z82" s="181">
        <f t="shared" si="84"/>
        <v>23</v>
      </c>
      <c r="AA82" s="181">
        <f t="shared" si="84"/>
        <v>24</v>
      </c>
      <c r="AB82" s="181">
        <f t="shared" si="84"/>
        <v>25</v>
      </c>
      <c r="AC82" s="181">
        <f t="shared" si="84"/>
        <v>26</v>
      </c>
      <c r="AD82" s="181">
        <f t="shared" si="84"/>
        <v>27</v>
      </c>
      <c r="AE82" s="181">
        <f t="shared" si="84"/>
        <v>28</v>
      </c>
      <c r="AF82" s="181">
        <f t="shared" si="84"/>
        <v>29</v>
      </c>
      <c r="AG82" s="181">
        <f t="shared" si="84"/>
        <v>30</v>
      </c>
      <c r="AH82" s="181">
        <f t="shared" si="84"/>
        <v>31</v>
      </c>
      <c r="AI82" s="181">
        <f t="shared" si="84"/>
        <v>32</v>
      </c>
      <c r="AJ82" s="181">
        <f t="shared" si="84"/>
        <v>33</v>
      </c>
      <c r="AK82" s="181">
        <f t="shared" si="84"/>
        <v>34</v>
      </c>
      <c r="AL82" s="181">
        <f t="shared" si="84"/>
        <v>35</v>
      </c>
      <c r="AM82" s="181">
        <f t="shared" si="84"/>
        <v>36</v>
      </c>
      <c r="AN82" s="181">
        <f t="shared" si="84"/>
        <v>37</v>
      </c>
      <c r="AO82" s="181">
        <f t="shared" si="84"/>
        <v>38</v>
      </c>
      <c r="AP82" s="181">
        <f t="shared" si="84"/>
        <v>39</v>
      </c>
      <c r="AQ82" s="181">
        <f t="shared" si="84"/>
        <v>40</v>
      </c>
      <c r="AR82" s="181">
        <f t="shared" si="84"/>
        <v>41</v>
      </c>
      <c r="AS82" s="181">
        <f t="shared" si="84"/>
        <v>42</v>
      </c>
      <c r="AT82" s="181">
        <f t="shared" si="84"/>
        <v>43</v>
      </c>
      <c r="AU82" s="181">
        <f t="shared" si="84"/>
        <v>44</v>
      </c>
      <c r="AV82" s="181">
        <f t="shared" si="84"/>
        <v>45</v>
      </c>
    </row>
    <row r="83" spans="2:48" ht="16.5" customHeight="1" x14ac:dyDescent="0.5">
      <c r="B83" s="148" t="str">
        <f>B60</f>
        <v>NCF_TIPV (Triệu J$)</v>
      </c>
      <c r="C83" s="399"/>
      <c r="D83" s="399"/>
      <c r="E83" s="399"/>
      <c r="F83" s="399"/>
      <c r="G83" s="399"/>
      <c r="H83" s="399"/>
      <c r="I83" s="399"/>
      <c r="J83" s="399"/>
      <c r="K83" s="399"/>
      <c r="L83" s="399"/>
      <c r="M83" s="399"/>
      <c r="N83" s="399"/>
      <c r="O83" s="399"/>
      <c r="P83" s="399"/>
      <c r="Q83" s="399"/>
      <c r="R83" s="399"/>
      <c r="S83" s="399"/>
      <c r="T83" s="399"/>
      <c r="U83" s="399"/>
      <c r="V83" s="399"/>
      <c r="W83" s="399"/>
      <c r="X83" s="399"/>
      <c r="Y83" s="399"/>
      <c r="Z83" s="399"/>
      <c r="AA83" s="399"/>
      <c r="AB83" s="399"/>
      <c r="AC83" s="399"/>
      <c r="AD83" s="399"/>
      <c r="AE83" s="399"/>
      <c r="AF83" s="399"/>
      <c r="AG83" s="399"/>
      <c r="AH83" s="399"/>
      <c r="AI83" s="399"/>
      <c r="AJ83" s="399"/>
      <c r="AK83" s="399"/>
      <c r="AL83" s="399"/>
      <c r="AM83" s="399"/>
      <c r="AN83" s="399"/>
      <c r="AO83" s="399"/>
      <c r="AP83" s="399"/>
      <c r="AQ83" s="399"/>
      <c r="AR83" s="399"/>
      <c r="AS83" s="399"/>
      <c r="AT83" s="399"/>
      <c r="AU83" s="399"/>
      <c r="AV83" s="399"/>
    </row>
    <row r="84" spans="2:48" ht="16.5" customHeight="1" x14ac:dyDescent="0.5">
      <c r="B84" s="178" t="s">
        <v>264</v>
      </c>
      <c r="C84" s="170"/>
      <c r="D84" s="170"/>
      <c r="E84" s="170"/>
      <c r="F84" s="522"/>
      <c r="G84" s="522"/>
      <c r="H84" s="522"/>
      <c r="I84" s="522"/>
      <c r="J84" s="522"/>
      <c r="K84" s="522"/>
      <c r="L84" s="522"/>
      <c r="M84" s="522"/>
      <c r="N84" s="522"/>
      <c r="O84" s="522"/>
      <c r="P84" s="522"/>
      <c r="Q84" s="522"/>
      <c r="R84" s="522"/>
      <c r="S84" s="522"/>
      <c r="T84" s="522"/>
      <c r="U84" s="522"/>
      <c r="V84" s="522"/>
      <c r="W84" s="522"/>
      <c r="X84" s="522"/>
      <c r="Y84" s="522"/>
      <c r="Z84" s="522"/>
      <c r="AA84" s="522"/>
      <c r="AB84" s="522"/>
      <c r="AC84" s="522"/>
      <c r="AD84" s="522"/>
      <c r="AE84" s="522"/>
      <c r="AF84" s="522"/>
      <c r="AG84" s="522"/>
      <c r="AH84" s="522"/>
      <c r="AI84" s="522"/>
      <c r="AJ84" s="522"/>
      <c r="AK84" s="522"/>
      <c r="AL84" s="522"/>
      <c r="AM84" s="522"/>
      <c r="AN84" s="522"/>
      <c r="AO84" s="522"/>
      <c r="AP84" s="522"/>
      <c r="AQ84" s="522"/>
      <c r="AR84" s="522"/>
      <c r="AS84" s="522"/>
      <c r="AT84" s="522"/>
      <c r="AU84" s="522"/>
      <c r="AV84" s="522"/>
    </row>
    <row r="85" spans="2:48" ht="16.5" customHeight="1" x14ac:dyDescent="0.5">
      <c r="B85" s="189" t="s">
        <v>265</v>
      </c>
      <c r="C85" s="190">
        <f>C83+C84</f>
        <v>0</v>
      </c>
      <c r="D85" s="190">
        <f t="shared" ref="D85:AV85" si="85">D83+D84</f>
        <v>0</v>
      </c>
      <c r="E85" s="190">
        <f t="shared" si="85"/>
        <v>0</v>
      </c>
      <c r="F85" s="190">
        <f t="shared" si="85"/>
        <v>0</v>
      </c>
      <c r="G85" s="190">
        <f t="shared" si="85"/>
        <v>0</v>
      </c>
      <c r="H85" s="190">
        <f t="shared" si="85"/>
        <v>0</v>
      </c>
      <c r="I85" s="190">
        <f t="shared" si="85"/>
        <v>0</v>
      </c>
      <c r="J85" s="190">
        <f t="shared" si="85"/>
        <v>0</v>
      </c>
      <c r="K85" s="190">
        <f t="shared" si="85"/>
        <v>0</v>
      </c>
      <c r="L85" s="190">
        <f t="shared" si="85"/>
        <v>0</v>
      </c>
      <c r="M85" s="190">
        <f t="shared" si="85"/>
        <v>0</v>
      </c>
      <c r="N85" s="190">
        <f t="shared" si="85"/>
        <v>0</v>
      </c>
      <c r="O85" s="190">
        <f t="shared" si="85"/>
        <v>0</v>
      </c>
      <c r="P85" s="190">
        <f t="shared" si="85"/>
        <v>0</v>
      </c>
      <c r="Q85" s="190">
        <f t="shared" si="85"/>
        <v>0</v>
      </c>
      <c r="R85" s="190">
        <f t="shared" si="85"/>
        <v>0</v>
      </c>
      <c r="S85" s="190">
        <f t="shared" si="85"/>
        <v>0</v>
      </c>
      <c r="T85" s="190">
        <f t="shared" si="85"/>
        <v>0</v>
      </c>
      <c r="U85" s="190">
        <f t="shared" si="85"/>
        <v>0</v>
      </c>
      <c r="V85" s="190">
        <f t="shared" si="85"/>
        <v>0</v>
      </c>
      <c r="W85" s="190">
        <f t="shared" si="85"/>
        <v>0</v>
      </c>
      <c r="X85" s="190">
        <f t="shared" si="85"/>
        <v>0</v>
      </c>
      <c r="Y85" s="190">
        <f t="shared" si="85"/>
        <v>0</v>
      </c>
      <c r="Z85" s="190">
        <f t="shared" si="85"/>
        <v>0</v>
      </c>
      <c r="AA85" s="190">
        <f t="shared" si="85"/>
        <v>0</v>
      </c>
      <c r="AB85" s="190">
        <f t="shared" si="85"/>
        <v>0</v>
      </c>
      <c r="AC85" s="190">
        <f t="shared" si="85"/>
        <v>0</v>
      </c>
      <c r="AD85" s="190">
        <f t="shared" si="85"/>
        <v>0</v>
      </c>
      <c r="AE85" s="190">
        <f t="shared" si="85"/>
        <v>0</v>
      </c>
      <c r="AF85" s="190">
        <f t="shared" si="85"/>
        <v>0</v>
      </c>
      <c r="AG85" s="190">
        <f t="shared" si="85"/>
        <v>0</v>
      </c>
      <c r="AH85" s="190">
        <f t="shared" si="85"/>
        <v>0</v>
      </c>
      <c r="AI85" s="190">
        <f t="shared" si="85"/>
        <v>0</v>
      </c>
      <c r="AJ85" s="190">
        <f t="shared" si="85"/>
        <v>0</v>
      </c>
      <c r="AK85" s="190">
        <f t="shared" si="85"/>
        <v>0</v>
      </c>
      <c r="AL85" s="190">
        <f t="shared" si="85"/>
        <v>0</v>
      </c>
      <c r="AM85" s="190">
        <f t="shared" si="85"/>
        <v>0</v>
      </c>
      <c r="AN85" s="190">
        <f t="shared" si="85"/>
        <v>0</v>
      </c>
      <c r="AO85" s="190">
        <f t="shared" si="85"/>
        <v>0</v>
      </c>
      <c r="AP85" s="190">
        <f t="shared" si="85"/>
        <v>0</v>
      </c>
      <c r="AQ85" s="190">
        <f t="shared" si="85"/>
        <v>0</v>
      </c>
      <c r="AR85" s="190">
        <f t="shared" si="85"/>
        <v>0</v>
      </c>
      <c r="AS85" s="190">
        <f t="shared" si="85"/>
        <v>0</v>
      </c>
      <c r="AT85" s="190">
        <f t="shared" si="85"/>
        <v>0</v>
      </c>
      <c r="AU85" s="190">
        <f t="shared" si="85"/>
        <v>0</v>
      </c>
      <c r="AV85" s="190">
        <f t="shared" si="85"/>
        <v>0</v>
      </c>
    </row>
    <row r="86" spans="2:48" ht="16.5" customHeight="1" x14ac:dyDescent="0.5">
      <c r="B86" s="197" t="s">
        <v>290</v>
      </c>
      <c r="C86" s="198">
        <f t="shared" ref="C86:AV86" si="86">C85/C9</f>
        <v>0</v>
      </c>
      <c r="D86" s="198">
        <f t="shared" si="86"/>
        <v>0</v>
      </c>
      <c r="E86" s="198">
        <f t="shared" si="86"/>
        <v>0</v>
      </c>
      <c r="F86" s="198">
        <f t="shared" si="86"/>
        <v>0</v>
      </c>
      <c r="G86" s="198">
        <f t="shared" si="86"/>
        <v>0</v>
      </c>
      <c r="H86" s="198">
        <f t="shared" si="86"/>
        <v>0</v>
      </c>
      <c r="I86" s="198">
        <f t="shared" si="86"/>
        <v>0</v>
      </c>
      <c r="J86" s="198">
        <f t="shared" si="86"/>
        <v>0</v>
      </c>
      <c r="K86" s="198">
        <f t="shared" si="86"/>
        <v>0</v>
      </c>
      <c r="L86" s="198">
        <f t="shared" si="86"/>
        <v>0</v>
      </c>
      <c r="M86" s="198">
        <f t="shared" si="86"/>
        <v>0</v>
      </c>
      <c r="N86" s="198">
        <f t="shared" si="86"/>
        <v>0</v>
      </c>
      <c r="O86" s="198">
        <f t="shared" si="86"/>
        <v>0</v>
      </c>
      <c r="P86" s="198">
        <f t="shared" si="86"/>
        <v>0</v>
      </c>
      <c r="Q86" s="198">
        <f t="shared" si="86"/>
        <v>0</v>
      </c>
      <c r="R86" s="198">
        <f t="shared" si="86"/>
        <v>0</v>
      </c>
      <c r="S86" s="198">
        <f t="shared" si="86"/>
        <v>0</v>
      </c>
      <c r="T86" s="198">
        <f t="shared" si="86"/>
        <v>0</v>
      </c>
      <c r="U86" s="198">
        <f t="shared" si="86"/>
        <v>0</v>
      </c>
      <c r="V86" s="198">
        <f t="shared" si="86"/>
        <v>0</v>
      </c>
      <c r="W86" s="198">
        <f t="shared" si="86"/>
        <v>0</v>
      </c>
      <c r="X86" s="198">
        <f t="shared" si="86"/>
        <v>0</v>
      </c>
      <c r="Y86" s="198">
        <f t="shared" si="86"/>
        <v>0</v>
      </c>
      <c r="Z86" s="198">
        <f t="shared" si="86"/>
        <v>0</v>
      </c>
      <c r="AA86" s="198">
        <f t="shared" si="86"/>
        <v>0</v>
      </c>
      <c r="AB86" s="198">
        <f t="shared" si="86"/>
        <v>0</v>
      </c>
      <c r="AC86" s="198">
        <f t="shared" si="86"/>
        <v>0</v>
      </c>
      <c r="AD86" s="198">
        <f t="shared" si="86"/>
        <v>0</v>
      </c>
      <c r="AE86" s="198">
        <f t="shared" si="86"/>
        <v>0</v>
      </c>
      <c r="AF86" s="198">
        <f t="shared" si="86"/>
        <v>0</v>
      </c>
      <c r="AG86" s="198">
        <f t="shared" si="86"/>
        <v>0</v>
      </c>
      <c r="AH86" s="198">
        <f t="shared" si="86"/>
        <v>0</v>
      </c>
      <c r="AI86" s="198">
        <f t="shared" si="86"/>
        <v>0</v>
      </c>
      <c r="AJ86" s="198">
        <f t="shared" si="86"/>
        <v>0</v>
      </c>
      <c r="AK86" s="198">
        <f t="shared" si="86"/>
        <v>0</v>
      </c>
      <c r="AL86" s="198">
        <f t="shared" si="86"/>
        <v>0</v>
      </c>
      <c r="AM86" s="198">
        <f t="shared" si="86"/>
        <v>0</v>
      </c>
      <c r="AN86" s="198">
        <f t="shared" si="86"/>
        <v>0</v>
      </c>
      <c r="AO86" s="198">
        <f t="shared" si="86"/>
        <v>0</v>
      </c>
      <c r="AP86" s="198">
        <f t="shared" si="86"/>
        <v>0</v>
      </c>
      <c r="AQ86" s="198">
        <f t="shared" si="86"/>
        <v>0</v>
      </c>
      <c r="AR86" s="198">
        <f t="shared" si="86"/>
        <v>0</v>
      </c>
      <c r="AS86" s="198">
        <f t="shared" si="86"/>
        <v>0</v>
      </c>
      <c r="AT86" s="198">
        <f t="shared" si="86"/>
        <v>0</v>
      </c>
      <c r="AU86" s="198">
        <f t="shared" si="86"/>
        <v>0</v>
      </c>
      <c r="AV86" s="198">
        <f t="shared" si="86"/>
        <v>0</v>
      </c>
    </row>
    <row r="87" spans="2:48" ht="16.5" customHeight="1" x14ac:dyDescent="0.5">
      <c r="B87" s="196"/>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c r="AR87" s="141"/>
      <c r="AS87" s="141"/>
      <c r="AT87" s="141"/>
      <c r="AU87" s="141"/>
      <c r="AV87" s="141"/>
    </row>
    <row r="88" spans="2:48" ht="16.5" customHeight="1" x14ac:dyDescent="0.5">
      <c r="B88" s="273" t="s">
        <v>44</v>
      </c>
      <c r="C88" s="272" t="s">
        <v>222</v>
      </c>
      <c r="D88" s="275"/>
      <c r="E88" s="275"/>
      <c r="F88" s="275"/>
      <c r="G88" s="287"/>
      <c r="H88" s="287"/>
      <c r="I88" s="287"/>
      <c r="J88" s="287"/>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c r="AR88" s="141"/>
      <c r="AS88" s="141"/>
      <c r="AT88" s="141"/>
      <c r="AU88" s="141"/>
      <c r="AV88" s="141"/>
    </row>
    <row r="89" spans="2:48" ht="16.5" customHeight="1" x14ac:dyDescent="0.5">
      <c r="B89" s="277" t="s">
        <v>47</v>
      </c>
      <c r="C89" s="283">
        <v>0.06</v>
      </c>
      <c r="D89" s="283">
        <f>C89+3%</f>
        <v>0.09</v>
      </c>
      <c r="E89" s="283">
        <f t="shared" ref="E89:F89" si="87">D89+3%</f>
        <v>0.12</v>
      </c>
      <c r="F89" s="283">
        <f t="shared" si="87"/>
        <v>0.15</v>
      </c>
      <c r="G89" s="383"/>
      <c r="H89" s="383"/>
      <c r="I89" s="383"/>
      <c r="J89" s="383"/>
      <c r="K89" s="161"/>
      <c r="L89" s="141"/>
      <c r="M89" s="141"/>
      <c r="N89" s="141"/>
      <c r="O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c r="AR89" s="141"/>
      <c r="AS89" s="141"/>
      <c r="AT89" s="141"/>
      <c r="AU89" s="141"/>
      <c r="AV89" s="141"/>
    </row>
    <row r="90" spans="2:48" ht="16.5" customHeight="1" x14ac:dyDescent="0.5">
      <c r="B90" s="274" t="s">
        <v>276</v>
      </c>
      <c r="C90" s="275">
        <f>NPV(C89,$D86:$AV86)+$C$86</f>
        <v>0</v>
      </c>
      <c r="D90" s="275">
        <f t="shared" ref="D90:F90" si="88">NPV(D89,$D86:$AV86)+$C$86</f>
        <v>0</v>
      </c>
      <c r="E90" s="275">
        <f t="shared" si="88"/>
        <v>0</v>
      </c>
      <c r="F90" s="275">
        <f t="shared" si="88"/>
        <v>0</v>
      </c>
      <c r="G90" s="287"/>
      <c r="H90" s="287"/>
      <c r="I90" s="287"/>
      <c r="J90" s="287"/>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row>
    <row r="91" spans="2:48" ht="16.5" customHeight="1" x14ac:dyDescent="0.5">
      <c r="B91" s="277" t="s">
        <v>246</v>
      </c>
      <c r="C91" s="284" t="e">
        <f>IRR(C85:AV85)</f>
        <v>#NUM!</v>
      </c>
      <c r="D91" s="275"/>
      <c r="E91" s="275"/>
      <c r="F91" s="275"/>
      <c r="G91" s="287"/>
      <c r="H91" s="287"/>
      <c r="I91" s="287"/>
      <c r="J91" s="287"/>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row>
    <row r="92" spans="2:48" ht="16.5" customHeight="1" x14ac:dyDescent="0.5">
      <c r="B92" s="277" t="s">
        <v>247</v>
      </c>
      <c r="C92" s="404"/>
      <c r="D92" s="275"/>
      <c r="E92" s="275"/>
      <c r="F92" s="275"/>
      <c r="G92" s="287"/>
      <c r="H92" s="287"/>
      <c r="I92" s="287"/>
      <c r="J92" s="287"/>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row>
    <row r="93" spans="2:48" ht="16.5" customHeight="1" x14ac:dyDescent="0.5"/>
    <row r="94" spans="2:48" ht="22.5" customHeight="1" x14ac:dyDescent="0.5">
      <c r="B94" s="164" t="s">
        <v>275</v>
      </c>
    </row>
    <row r="95" spans="2:48" ht="15" customHeight="1" x14ac:dyDescent="0.5">
      <c r="B95" s="166" t="str">
        <f t="shared" ref="B95:W95" si="89">B42</f>
        <v>Năm dự án</v>
      </c>
      <c r="C95" s="166">
        <f t="shared" si="89"/>
        <v>0</v>
      </c>
      <c r="D95" s="166">
        <f t="shared" si="89"/>
        <v>1</v>
      </c>
      <c r="E95" s="166">
        <f t="shared" si="89"/>
        <v>2</v>
      </c>
      <c r="F95" s="166">
        <f t="shared" si="89"/>
        <v>3</v>
      </c>
      <c r="G95" s="166">
        <f t="shared" si="89"/>
        <v>4</v>
      </c>
      <c r="H95" s="166">
        <f t="shared" si="89"/>
        <v>5</v>
      </c>
      <c r="I95" s="166">
        <f t="shared" si="89"/>
        <v>6</v>
      </c>
      <c r="J95" s="166">
        <f t="shared" si="89"/>
        <v>7</v>
      </c>
      <c r="K95" s="166">
        <f t="shared" si="89"/>
        <v>8</v>
      </c>
      <c r="L95" s="166">
        <f t="shared" si="89"/>
        <v>9</v>
      </c>
      <c r="M95" s="166">
        <f t="shared" si="89"/>
        <v>10</v>
      </c>
      <c r="N95" s="166">
        <f t="shared" si="89"/>
        <v>11</v>
      </c>
      <c r="O95" s="166">
        <f t="shared" si="89"/>
        <v>12</v>
      </c>
      <c r="P95" s="166">
        <f t="shared" si="89"/>
        <v>13</v>
      </c>
      <c r="Q95" s="166">
        <f t="shared" si="89"/>
        <v>14</v>
      </c>
      <c r="R95" s="166">
        <f t="shared" si="89"/>
        <v>15</v>
      </c>
      <c r="S95" s="166">
        <f t="shared" si="89"/>
        <v>16</v>
      </c>
      <c r="T95" s="166">
        <f t="shared" si="89"/>
        <v>17</v>
      </c>
      <c r="U95" s="166">
        <f t="shared" si="89"/>
        <v>18</v>
      </c>
      <c r="V95" s="166">
        <f t="shared" si="89"/>
        <v>19</v>
      </c>
      <c r="W95" s="166">
        <f t="shared" si="89"/>
        <v>20</v>
      </c>
    </row>
    <row r="96" spans="2:48" ht="16.5" customHeight="1" x14ac:dyDescent="0.5">
      <c r="B96" s="137" t="s">
        <v>281</v>
      </c>
      <c r="C96" s="141">
        <f t="shared" ref="C96:W96" si="90">C83</f>
        <v>0</v>
      </c>
      <c r="D96" s="141">
        <f t="shared" si="90"/>
        <v>0</v>
      </c>
      <c r="E96" s="141">
        <f t="shared" si="90"/>
        <v>0</v>
      </c>
      <c r="F96" s="141">
        <f t="shared" si="90"/>
        <v>0</v>
      </c>
      <c r="G96" s="141">
        <f t="shared" si="90"/>
        <v>0</v>
      </c>
      <c r="H96" s="141">
        <f t="shared" si="90"/>
        <v>0</v>
      </c>
      <c r="I96" s="141">
        <f t="shared" si="90"/>
        <v>0</v>
      </c>
      <c r="J96" s="141">
        <f t="shared" si="90"/>
        <v>0</v>
      </c>
      <c r="K96" s="141">
        <f t="shared" si="90"/>
        <v>0</v>
      </c>
      <c r="L96" s="141">
        <f t="shared" si="90"/>
        <v>0</v>
      </c>
      <c r="M96" s="141">
        <f t="shared" si="90"/>
        <v>0</v>
      </c>
      <c r="N96" s="141">
        <f t="shared" si="90"/>
        <v>0</v>
      </c>
      <c r="O96" s="141">
        <f t="shared" si="90"/>
        <v>0</v>
      </c>
      <c r="P96" s="141">
        <f t="shared" si="90"/>
        <v>0</v>
      </c>
      <c r="Q96" s="141">
        <f t="shared" si="90"/>
        <v>0</v>
      </c>
      <c r="R96" s="141">
        <f t="shared" si="90"/>
        <v>0</v>
      </c>
      <c r="S96" s="141">
        <f t="shared" si="90"/>
        <v>0</v>
      </c>
      <c r="T96" s="141">
        <f t="shared" si="90"/>
        <v>0</v>
      </c>
      <c r="U96" s="141">
        <f t="shared" si="90"/>
        <v>0</v>
      </c>
      <c r="V96" s="141">
        <f t="shared" si="90"/>
        <v>0</v>
      </c>
      <c r="W96" s="141">
        <f t="shared" si="90"/>
        <v>0</v>
      </c>
    </row>
    <row r="97" spans="2:23" ht="16.5" customHeight="1" x14ac:dyDescent="0.5">
      <c r="B97" s="137" t="s">
        <v>212</v>
      </c>
      <c r="C97" s="399"/>
      <c r="D97" s="399"/>
      <c r="E97" s="399"/>
      <c r="F97" s="399"/>
      <c r="G97" s="399"/>
      <c r="H97" s="399"/>
      <c r="I97" s="141"/>
      <c r="J97" s="141"/>
      <c r="K97" s="141"/>
      <c r="L97" s="141"/>
      <c r="M97" s="141"/>
      <c r="N97" s="141"/>
      <c r="O97" s="141"/>
      <c r="P97" s="141"/>
      <c r="Q97" s="141"/>
      <c r="R97" s="141"/>
      <c r="S97" s="141"/>
      <c r="T97" s="141"/>
      <c r="U97" s="141"/>
      <c r="V97" s="141"/>
      <c r="W97" s="141"/>
    </row>
    <row r="98" spans="2:23" ht="16.5" customHeight="1" x14ac:dyDescent="0.5">
      <c r="B98" s="137" t="s">
        <v>268</v>
      </c>
      <c r="C98" s="141"/>
      <c r="D98" s="141"/>
      <c r="E98" s="141"/>
      <c r="F98" s="141"/>
      <c r="G98" s="399"/>
      <c r="H98" s="399"/>
      <c r="I98" s="399"/>
      <c r="J98" s="399"/>
      <c r="K98" s="399"/>
      <c r="L98" s="399"/>
      <c r="M98" s="399"/>
      <c r="N98" s="399"/>
      <c r="O98" s="399"/>
      <c r="P98" s="399"/>
      <c r="Q98" s="399"/>
      <c r="R98" s="399"/>
      <c r="S98" s="399"/>
      <c r="T98" s="399"/>
      <c r="U98" s="399"/>
      <c r="V98" s="399"/>
      <c r="W98" s="399"/>
    </row>
    <row r="99" spans="2:23" ht="16.5" customHeight="1" x14ac:dyDescent="0.5">
      <c r="B99" s="171" t="s">
        <v>284</v>
      </c>
      <c r="C99" s="170"/>
      <c r="D99" s="170"/>
      <c r="E99" s="170"/>
      <c r="F99" s="170">
        <f>F18*F9</f>
        <v>20155.392000000003</v>
      </c>
      <c r="G99" s="170">
        <f>-G17*G9</f>
        <v>-2064.387993057323</v>
      </c>
      <c r="H99" s="170">
        <f t="shared" ref="H99:W99" si="91">-H17*H9</f>
        <v>-2185.8225808842244</v>
      </c>
      <c r="I99" s="170">
        <f t="shared" si="91"/>
        <v>-2314.400379759767</v>
      </c>
      <c r="J99" s="170">
        <f t="shared" si="91"/>
        <v>-2450.5415785691657</v>
      </c>
      <c r="K99" s="170">
        <f t="shared" si="91"/>
        <v>-2594.6910831908808</v>
      </c>
      <c r="L99" s="170">
        <f t="shared" si="91"/>
        <v>-2747.3199704374038</v>
      </c>
      <c r="M99" s="170">
        <f t="shared" si="91"/>
        <v>-2908.9270275219569</v>
      </c>
      <c r="N99" s="170">
        <f t="shared" si="91"/>
        <v>-3080.0403820820725</v>
      </c>
      <c r="O99" s="170">
        <f t="shared" si="91"/>
        <v>-3261.2192280868999</v>
      </c>
      <c r="P99" s="170">
        <f t="shared" si="91"/>
        <v>-3453.0556532684823</v>
      </c>
      <c r="Q99" s="170">
        <f t="shared" si="91"/>
        <v>-3656.1765740489818</v>
      </c>
      <c r="R99" s="170">
        <f t="shared" si="91"/>
        <v>-3871.245784287159</v>
      </c>
      <c r="S99" s="170">
        <f t="shared" si="91"/>
        <v>-4098.9661245393436</v>
      </c>
      <c r="T99" s="170">
        <f t="shared" si="91"/>
        <v>-4340.08177892401</v>
      </c>
      <c r="U99" s="170">
        <f t="shared" si="91"/>
        <v>-4595.3807070960129</v>
      </c>
      <c r="V99" s="170">
        <f t="shared" si="91"/>
        <v>0</v>
      </c>
      <c r="W99" s="170">
        <f t="shared" si="91"/>
        <v>0</v>
      </c>
    </row>
    <row r="100" spans="2:23" ht="16.5" customHeight="1" x14ac:dyDescent="0.5">
      <c r="B100" s="187" t="s">
        <v>288</v>
      </c>
      <c r="C100" s="188">
        <f>C96+C97+C98+C99</f>
        <v>0</v>
      </c>
      <c r="D100" s="188">
        <f t="shared" ref="D100:W100" si="92">D96+D97+D98+D99</f>
        <v>0</v>
      </c>
      <c r="E100" s="188">
        <f t="shared" si="92"/>
        <v>0</v>
      </c>
      <c r="F100" s="188">
        <f t="shared" si="92"/>
        <v>20155.392000000003</v>
      </c>
      <c r="G100" s="188">
        <f t="shared" si="92"/>
        <v>-2064.387993057323</v>
      </c>
      <c r="H100" s="188">
        <f t="shared" si="92"/>
        <v>-2185.8225808842244</v>
      </c>
      <c r="I100" s="188">
        <f t="shared" si="92"/>
        <v>-2314.400379759767</v>
      </c>
      <c r="J100" s="188">
        <f t="shared" si="92"/>
        <v>-2450.5415785691657</v>
      </c>
      <c r="K100" s="188">
        <f t="shared" si="92"/>
        <v>-2594.6910831908808</v>
      </c>
      <c r="L100" s="188">
        <f t="shared" si="92"/>
        <v>-2747.3199704374038</v>
      </c>
      <c r="M100" s="188">
        <f t="shared" si="92"/>
        <v>-2908.9270275219569</v>
      </c>
      <c r="N100" s="188">
        <f t="shared" si="92"/>
        <v>-3080.0403820820725</v>
      </c>
      <c r="O100" s="188">
        <f t="shared" si="92"/>
        <v>-3261.2192280868999</v>
      </c>
      <c r="P100" s="188">
        <f t="shared" si="92"/>
        <v>-3453.0556532684823</v>
      </c>
      <c r="Q100" s="188">
        <f t="shared" si="92"/>
        <v>-3656.1765740489818</v>
      </c>
      <c r="R100" s="188">
        <f t="shared" si="92"/>
        <v>-3871.245784287159</v>
      </c>
      <c r="S100" s="188">
        <f t="shared" si="92"/>
        <v>-4098.9661245393436</v>
      </c>
      <c r="T100" s="188">
        <f t="shared" si="92"/>
        <v>-4340.08177892401</v>
      </c>
      <c r="U100" s="188">
        <f t="shared" si="92"/>
        <v>-4595.3807070960129</v>
      </c>
      <c r="V100" s="188">
        <f t="shared" si="92"/>
        <v>0</v>
      </c>
      <c r="W100" s="188">
        <f t="shared" si="92"/>
        <v>0</v>
      </c>
    </row>
    <row r="101" spans="2:23" ht="16.5" customHeight="1" x14ac:dyDescent="0.5">
      <c r="B101" s="199" t="s">
        <v>289</v>
      </c>
      <c r="C101" s="200">
        <f t="shared" ref="C101:W101" si="93">C100/C9</f>
        <v>0</v>
      </c>
      <c r="D101" s="200">
        <f t="shared" si="93"/>
        <v>0</v>
      </c>
      <c r="E101" s="200">
        <f t="shared" si="93"/>
        <v>0</v>
      </c>
      <c r="F101" s="200">
        <f t="shared" si="93"/>
        <v>212.24159999999998</v>
      </c>
      <c r="G101" s="200">
        <f t="shared" si="93"/>
        <v>-20.530853429372026</v>
      </c>
      <c r="H101" s="200">
        <f t="shared" si="93"/>
        <v>-20.53085342937203</v>
      </c>
      <c r="I101" s="200">
        <f t="shared" si="93"/>
        <v>-20.530853429372026</v>
      </c>
      <c r="J101" s="200">
        <f t="shared" si="93"/>
        <v>-20.53085342937203</v>
      </c>
      <c r="K101" s="200">
        <f t="shared" si="93"/>
        <v>-20.530853429372026</v>
      </c>
      <c r="L101" s="200">
        <f t="shared" si="93"/>
        <v>-20.530853429372026</v>
      </c>
      <c r="M101" s="200">
        <f t="shared" si="93"/>
        <v>-20.530853429372026</v>
      </c>
      <c r="N101" s="200">
        <f t="shared" si="93"/>
        <v>-20.530853429372026</v>
      </c>
      <c r="O101" s="200">
        <f t="shared" si="93"/>
        <v>-20.530853429372026</v>
      </c>
      <c r="P101" s="200">
        <f t="shared" si="93"/>
        <v>-20.530853429372026</v>
      </c>
      <c r="Q101" s="200">
        <f t="shared" si="93"/>
        <v>-20.530853429372026</v>
      </c>
      <c r="R101" s="200">
        <f t="shared" si="93"/>
        <v>-20.530853429372026</v>
      </c>
      <c r="S101" s="200">
        <f t="shared" si="93"/>
        <v>-20.530853429372026</v>
      </c>
      <c r="T101" s="200">
        <f t="shared" si="93"/>
        <v>-20.530853429372023</v>
      </c>
      <c r="U101" s="200">
        <f t="shared" si="93"/>
        <v>-20.53085342937203</v>
      </c>
      <c r="V101" s="200">
        <f t="shared" si="93"/>
        <v>0</v>
      </c>
      <c r="W101" s="200">
        <f t="shared" si="93"/>
        <v>0</v>
      </c>
    </row>
    <row r="102" spans="2:23" ht="16.5" customHeight="1" x14ac:dyDescent="0.5"/>
    <row r="103" spans="2:23" ht="16.5" customHeight="1" x14ac:dyDescent="0.5">
      <c r="B103" s="271" t="s">
        <v>44</v>
      </c>
      <c r="C103" s="279" t="s">
        <v>54</v>
      </c>
      <c r="D103" s="281"/>
      <c r="E103" s="281"/>
      <c r="F103" s="281"/>
      <c r="G103" s="288"/>
      <c r="H103" s="288"/>
      <c r="I103" s="288"/>
      <c r="J103" s="288"/>
    </row>
    <row r="104" spans="2:23" ht="16.5" customHeight="1" x14ac:dyDescent="0.5">
      <c r="B104" s="274" t="s">
        <v>47</v>
      </c>
      <c r="C104" s="282">
        <v>0.06</v>
      </c>
      <c r="D104" s="282">
        <f>C104+3%</f>
        <v>0.09</v>
      </c>
      <c r="E104" s="282">
        <f t="shared" ref="E104:F104" si="94">D104+3%</f>
        <v>0.12</v>
      </c>
      <c r="F104" s="282">
        <f t="shared" si="94"/>
        <v>0.15</v>
      </c>
      <c r="G104" s="289"/>
      <c r="H104" s="289"/>
      <c r="I104" s="289"/>
      <c r="J104" s="289"/>
    </row>
    <row r="105" spans="2:23" ht="16.5" customHeight="1" x14ac:dyDescent="0.5">
      <c r="B105" s="274" t="s">
        <v>276</v>
      </c>
      <c r="C105" s="275">
        <f>NPV(C104,$D101:$W101)+$C101</f>
        <v>10.781416507522172</v>
      </c>
      <c r="D105" s="275">
        <f t="shared" ref="D105:F105" si="95">NPV(D104,$D101:$W101)+$C101</f>
        <v>36.098641271220636</v>
      </c>
      <c r="E105" s="275">
        <f t="shared" si="95"/>
        <v>51.539110502089272</v>
      </c>
      <c r="F105" s="275">
        <f t="shared" si="95"/>
        <v>60.616488243749423</v>
      </c>
      <c r="G105" s="287"/>
      <c r="H105" s="287"/>
      <c r="I105" s="287"/>
      <c r="J105" s="287"/>
    </row>
    <row r="106" spans="2:23" ht="16.5" customHeight="1" x14ac:dyDescent="0.5">
      <c r="B106" s="274" t="s">
        <v>246</v>
      </c>
      <c r="C106" s="276">
        <f>IRR(C101:W101)</f>
        <v>5.0600000000000644E-2</v>
      </c>
      <c r="D106" s="281"/>
      <c r="E106" s="281"/>
      <c r="F106" s="281"/>
      <c r="G106" s="288"/>
      <c r="H106" s="288"/>
      <c r="I106" s="288"/>
      <c r="J106" s="288"/>
    </row>
    <row r="107" spans="2:23" ht="16.5" customHeight="1" x14ac:dyDescent="0.5">
      <c r="B107" s="274" t="s">
        <v>247</v>
      </c>
      <c r="C107" s="405"/>
      <c r="D107" s="281"/>
      <c r="E107" s="281"/>
      <c r="F107" s="281"/>
      <c r="G107" s="288"/>
      <c r="H107" s="288"/>
      <c r="I107" s="288"/>
      <c r="J107" s="288"/>
    </row>
    <row r="108" spans="2:23" ht="16.5" customHeight="1" x14ac:dyDescent="0.5">
      <c r="B108" s="280" t="s">
        <v>51</v>
      </c>
      <c r="C108" s="278">
        <f>SUM(D116:W116)</f>
        <v>0</v>
      </c>
      <c r="D108" s="281" t="s">
        <v>52</v>
      </c>
      <c r="E108" s="281"/>
      <c r="F108" s="281"/>
      <c r="G108" s="288"/>
      <c r="H108" s="288"/>
      <c r="I108" s="288"/>
      <c r="J108" s="288"/>
    </row>
    <row r="109" spans="2:23" ht="16.5" customHeight="1" x14ac:dyDescent="0.5">
      <c r="B109" s="150"/>
    </row>
    <row r="110" spans="2:23" ht="16.5" customHeight="1" x14ac:dyDescent="0.5">
      <c r="B110" s="182" t="str">
        <f>B73</f>
        <v>Thời gian hoàn vốn có chiết khấu</v>
      </c>
    </row>
    <row r="111" spans="2:23" ht="16.5" customHeight="1" x14ac:dyDescent="0.5">
      <c r="B111" s="166" t="str">
        <f>B74</f>
        <v>Năm dự án</v>
      </c>
      <c r="C111" s="166">
        <f t="shared" ref="C111:W111" si="96">C74</f>
        <v>0</v>
      </c>
      <c r="D111" s="166">
        <f t="shared" si="96"/>
        <v>1</v>
      </c>
      <c r="E111" s="166">
        <f t="shared" si="96"/>
        <v>2</v>
      </c>
      <c r="F111" s="166">
        <f t="shared" si="96"/>
        <v>3</v>
      </c>
      <c r="G111" s="166">
        <f t="shared" si="96"/>
        <v>4</v>
      </c>
      <c r="H111" s="166">
        <f t="shared" si="96"/>
        <v>5</v>
      </c>
      <c r="I111" s="166">
        <f t="shared" si="96"/>
        <v>6</v>
      </c>
      <c r="J111" s="166">
        <f t="shared" si="96"/>
        <v>7</v>
      </c>
      <c r="K111" s="166">
        <f t="shared" si="96"/>
        <v>8</v>
      </c>
      <c r="L111" s="166">
        <f t="shared" si="96"/>
        <v>9</v>
      </c>
      <c r="M111" s="166">
        <f t="shared" si="96"/>
        <v>10</v>
      </c>
      <c r="N111" s="166">
        <f t="shared" si="96"/>
        <v>11</v>
      </c>
      <c r="O111" s="166">
        <f t="shared" si="96"/>
        <v>12</v>
      </c>
      <c r="P111" s="166">
        <f t="shared" si="96"/>
        <v>13</v>
      </c>
      <c r="Q111" s="166">
        <f t="shared" si="96"/>
        <v>14</v>
      </c>
      <c r="R111" s="166">
        <f t="shared" si="96"/>
        <v>15</v>
      </c>
      <c r="S111" s="166">
        <f t="shared" si="96"/>
        <v>16</v>
      </c>
      <c r="T111" s="166">
        <f t="shared" si="96"/>
        <v>17</v>
      </c>
      <c r="U111" s="166">
        <f t="shared" si="96"/>
        <v>18</v>
      </c>
      <c r="V111" s="166">
        <f t="shared" si="96"/>
        <v>19</v>
      </c>
      <c r="W111" s="166">
        <f t="shared" si="96"/>
        <v>20</v>
      </c>
    </row>
    <row r="112" spans="2:23" ht="16.5" customHeight="1" x14ac:dyDescent="0.5">
      <c r="B112" s="150" t="s">
        <v>291</v>
      </c>
      <c r="C112" s="141">
        <f>C101</f>
        <v>0</v>
      </c>
      <c r="D112" s="141">
        <f t="shared" ref="D112:W112" si="97">D101</f>
        <v>0</v>
      </c>
      <c r="E112" s="141">
        <f t="shared" si="97"/>
        <v>0</v>
      </c>
      <c r="F112" s="141">
        <f t="shared" si="97"/>
        <v>212.24159999999998</v>
      </c>
      <c r="G112" s="141">
        <f t="shared" si="97"/>
        <v>-20.530853429372026</v>
      </c>
      <c r="H112" s="141">
        <f t="shared" si="97"/>
        <v>-20.53085342937203</v>
      </c>
      <c r="I112" s="141">
        <f t="shared" si="97"/>
        <v>-20.530853429372026</v>
      </c>
      <c r="J112" s="141">
        <f t="shared" si="97"/>
        <v>-20.53085342937203</v>
      </c>
      <c r="K112" s="141">
        <f t="shared" si="97"/>
        <v>-20.530853429372026</v>
      </c>
      <c r="L112" s="141">
        <f t="shared" si="97"/>
        <v>-20.530853429372026</v>
      </c>
      <c r="M112" s="141">
        <f t="shared" si="97"/>
        <v>-20.530853429372026</v>
      </c>
      <c r="N112" s="141">
        <f t="shared" si="97"/>
        <v>-20.530853429372026</v>
      </c>
      <c r="O112" s="141">
        <f t="shared" si="97"/>
        <v>-20.530853429372026</v>
      </c>
      <c r="P112" s="141">
        <f t="shared" si="97"/>
        <v>-20.530853429372026</v>
      </c>
      <c r="Q112" s="141">
        <f t="shared" si="97"/>
        <v>-20.530853429372026</v>
      </c>
      <c r="R112" s="141">
        <f t="shared" si="97"/>
        <v>-20.530853429372026</v>
      </c>
      <c r="S112" s="141">
        <f t="shared" si="97"/>
        <v>-20.530853429372026</v>
      </c>
      <c r="T112" s="141">
        <f t="shared" si="97"/>
        <v>-20.530853429372023</v>
      </c>
      <c r="U112" s="141">
        <f t="shared" si="97"/>
        <v>-20.53085342937203</v>
      </c>
      <c r="V112" s="141">
        <f t="shared" si="97"/>
        <v>0</v>
      </c>
      <c r="W112" s="141">
        <f t="shared" si="97"/>
        <v>0</v>
      </c>
    </row>
    <row r="113" spans="2:48" ht="16.5" customHeight="1" x14ac:dyDescent="0.5">
      <c r="B113" s="150" t="s">
        <v>53</v>
      </c>
      <c r="C113" s="138">
        <f t="shared" ref="C113:W113" si="98">1/(1+$C$104)^C111</f>
        <v>1</v>
      </c>
      <c r="D113" s="138">
        <f t="shared" si="98"/>
        <v>0.94339622641509424</v>
      </c>
      <c r="E113" s="138">
        <f t="shared" si="98"/>
        <v>0.88999644001423983</v>
      </c>
      <c r="F113" s="138">
        <f t="shared" si="98"/>
        <v>0.8396192830323016</v>
      </c>
      <c r="G113" s="138">
        <f t="shared" si="98"/>
        <v>0.79209366323802044</v>
      </c>
      <c r="H113" s="138">
        <f t="shared" si="98"/>
        <v>0.74725817286605689</v>
      </c>
      <c r="I113" s="138">
        <f t="shared" si="98"/>
        <v>0.70496054043967626</v>
      </c>
      <c r="J113" s="138">
        <f t="shared" si="98"/>
        <v>0.66505711362233599</v>
      </c>
      <c r="K113" s="138">
        <f t="shared" si="98"/>
        <v>0.62741237134182648</v>
      </c>
      <c r="L113" s="138">
        <f t="shared" si="98"/>
        <v>0.59189846353002495</v>
      </c>
      <c r="M113" s="138">
        <f t="shared" si="98"/>
        <v>0.55839477691511785</v>
      </c>
      <c r="N113" s="138">
        <f t="shared" si="98"/>
        <v>0.52678752539162055</v>
      </c>
      <c r="O113" s="138">
        <f t="shared" si="98"/>
        <v>0.4969693635770005</v>
      </c>
      <c r="P113" s="138">
        <f t="shared" si="98"/>
        <v>0.46883902224245327</v>
      </c>
      <c r="Q113" s="138">
        <f t="shared" si="98"/>
        <v>0.44230096437967292</v>
      </c>
      <c r="R113" s="138">
        <f t="shared" si="98"/>
        <v>0.41726506073554037</v>
      </c>
      <c r="S113" s="138">
        <f t="shared" si="98"/>
        <v>0.39364628371277405</v>
      </c>
      <c r="T113" s="138">
        <f t="shared" si="98"/>
        <v>0.37136441859695657</v>
      </c>
      <c r="U113" s="138">
        <f t="shared" si="98"/>
        <v>0.35034379112920433</v>
      </c>
      <c r="V113" s="138">
        <f t="shared" si="98"/>
        <v>0.3305130104992493</v>
      </c>
      <c r="W113" s="138">
        <f t="shared" si="98"/>
        <v>0.31180472688608429</v>
      </c>
    </row>
    <row r="114" spans="2:48" ht="16.5" customHeight="1" x14ac:dyDescent="0.5">
      <c r="B114" s="150" t="s">
        <v>292</v>
      </c>
      <c r="C114" s="147">
        <f t="shared" ref="C114:W114" si="99">C112*C113</f>
        <v>0</v>
      </c>
      <c r="D114" s="147">
        <f t="shared" si="99"/>
        <v>0</v>
      </c>
      <c r="E114" s="147">
        <f t="shared" si="99"/>
        <v>0</v>
      </c>
      <c r="F114" s="147">
        <f t="shared" si="99"/>
        <v>178.20214002162854</v>
      </c>
      <c r="G114" s="147">
        <f t="shared" si="99"/>
        <v>-16.262358902274162</v>
      </c>
      <c r="H114" s="147">
        <f t="shared" si="99"/>
        <v>-15.341848021013361</v>
      </c>
      <c r="I114" s="147">
        <f t="shared" si="99"/>
        <v>-14.473441529257885</v>
      </c>
      <c r="J114" s="147">
        <f t="shared" si="99"/>
        <v>-13.654190121941401</v>
      </c>
      <c r="K114" s="147">
        <f t="shared" si="99"/>
        <v>-12.881311435793773</v>
      </c>
      <c r="L114" s="147">
        <f t="shared" si="99"/>
        <v>-12.152180599805446</v>
      </c>
      <c r="M114" s="147">
        <f t="shared" si="99"/>
        <v>-11.464321320571175</v>
      </c>
      <c r="N114" s="147">
        <f t="shared" si="99"/>
        <v>-10.815397472236956</v>
      </c>
      <c r="O114" s="147">
        <f t="shared" si="99"/>
        <v>-10.203205162487695</v>
      </c>
      <c r="P114" s="147">
        <f t="shared" si="99"/>
        <v>-9.6256652476299003</v>
      </c>
      <c r="Q114" s="147">
        <f t="shared" si="99"/>
        <v>-9.0808162713489615</v>
      </c>
      <c r="R114" s="147">
        <f t="shared" si="99"/>
        <v>-8.5668078031593957</v>
      </c>
      <c r="S114" s="147">
        <f t="shared" si="99"/>
        <v>-8.0818941539239599</v>
      </c>
      <c r="T114" s="147">
        <f t="shared" si="99"/>
        <v>-7.6244284470980732</v>
      </c>
      <c r="U114" s="147">
        <f t="shared" si="99"/>
        <v>-7.1928570255642228</v>
      </c>
      <c r="V114" s="147">
        <f t="shared" si="99"/>
        <v>0</v>
      </c>
      <c r="W114" s="147">
        <f t="shared" si="99"/>
        <v>0</v>
      </c>
    </row>
    <row r="115" spans="2:48" ht="16.5" customHeight="1" x14ac:dyDescent="0.5">
      <c r="B115" s="150" t="s">
        <v>293</v>
      </c>
      <c r="C115" s="147">
        <f>C114</f>
        <v>0</v>
      </c>
      <c r="D115" s="147">
        <f t="shared" ref="D115:W115" si="100">C115+D114</f>
        <v>0</v>
      </c>
      <c r="E115" s="147">
        <f t="shared" si="100"/>
        <v>0</v>
      </c>
      <c r="F115" s="147">
        <f t="shared" si="100"/>
        <v>178.20214002162854</v>
      </c>
      <c r="G115" s="147">
        <f t="shared" si="100"/>
        <v>161.93978111935436</v>
      </c>
      <c r="H115" s="147">
        <f t="shared" si="100"/>
        <v>146.597933098341</v>
      </c>
      <c r="I115" s="147">
        <f t="shared" si="100"/>
        <v>132.12449156908312</v>
      </c>
      <c r="J115" s="147">
        <f t="shared" si="100"/>
        <v>118.47030144714172</v>
      </c>
      <c r="K115" s="147">
        <f t="shared" si="100"/>
        <v>105.58899001134795</v>
      </c>
      <c r="L115" s="147">
        <f t="shared" si="100"/>
        <v>93.436809411542498</v>
      </c>
      <c r="M115" s="147">
        <f t="shared" si="100"/>
        <v>81.972488090971325</v>
      </c>
      <c r="N115" s="147">
        <f t="shared" si="100"/>
        <v>71.157090618734372</v>
      </c>
      <c r="O115" s="147">
        <f t="shared" si="100"/>
        <v>60.953885456246681</v>
      </c>
      <c r="P115" s="147">
        <f t="shared" si="100"/>
        <v>51.328220208616784</v>
      </c>
      <c r="Q115" s="147">
        <f t="shared" si="100"/>
        <v>42.247403937267819</v>
      </c>
      <c r="R115" s="147">
        <f t="shared" si="100"/>
        <v>33.680596134108427</v>
      </c>
      <c r="S115" s="147">
        <f t="shared" si="100"/>
        <v>25.598701980184465</v>
      </c>
      <c r="T115" s="147">
        <f t="shared" si="100"/>
        <v>17.974273533086393</v>
      </c>
      <c r="U115" s="147">
        <f t="shared" si="100"/>
        <v>10.78141650752217</v>
      </c>
      <c r="V115" s="147">
        <f t="shared" si="100"/>
        <v>10.78141650752217</v>
      </c>
      <c r="W115" s="147">
        <f t="shared" si="100"/>
        <v>10.78141650752217</v>
      </c>
    </row>
    <row r="116" spans="2:48" ht="16.5" customHeight="1" x14ac:dyDescent="0.5">
      <c r="B116" s="183" t="s">
        <v>245</v>
      </c>
      <c r="C116" s="171"/>
      <c r="D116" s="184">
        <f t="shared" ref="D116:W116" si="101">IF(D115&lt;0,1,IF(C115&lt;0,-C115/D114,0))</f>
        <v>0</v>
      </c>
      <c r="E116" s="184">
        <f t="shared" si="101"/>
        <v>0</v>
      </c>
      <c r="F116" s="184">
        <f t="shared" si="101"/>
        <v>0</v>
      </c>
      <c r="G116" s="184">
        <f t="shared" si="101"/>
        <v>0</v>
      </c>
      <c r="H116" s="184">
        <f t="shared" si="101"/>
        <v>0</v>
      </c>
      <c r="I116" s="184">
        <f t="shared" si="101"/>
        <v>0</v>
      </c>
      <c r="J116" s="184">
        <f t="shared" si="101"/>
        <v>0</v>
      </c>
      <c r="K116" s="184">
        <f t="shared" si="101"/>
        <v>0</v>
      </c>
      <c r="L116" s="184">
        <f t="shared" si="101"/>
        <v>0</v>
      </c>
      <c r="M116" s="184">
        <f t="shared" si="101"/>
        <v>0</v>
      </c>
      <c r="N116" s="184">
        <f t="shared" si="101"/>
        <v>0</v>
      </c>
      <c r="O116" s="184">
        <f t="shared" si="101"/>
        <v>0</v>
      </c>
      <c r="P116" s="184">
        <f t="shared" si="101"/>
        <v>0</v>
      </c>
      <c r="Q116" s="184">
        <f t="shared" si="101"/>
        <v>0</v>
      </c>
      <c r="R116" s="184">
        <f t="shared" si="101"/>
        <v>0</v>
      </c>
      <c r="S116" s="184">
        <f t="shared" si="101"/>
        <v>0</v>
      </c>
      <c r="T116" s="184">
        <f t="shared" si="101"/>
        <v>0</v>
      </c>
      <c r="U116" s="184">
        <f t="shared" si="101"/>
        <v>0</v>
      </c>
      <c r="V116" s="184">
        <f t="shared" si="101"/>
        <v>0</v>
      </c>
      <c r="W116" s="184">
        <f t="shared" si="101"/>
        <v>0</v>
      </c>
      <c r="X116" s="393"/>
      <c r="Y116" s="393"/>
      <c r="Z116" s="393"/>
      <c r="AA116" s="393"/>
      <c r="AB116" s="393"/>
      <c r="AC116" s="393"/>
      <c r="AD116" s="393"/>
      <c r="AE116" s="393"/>
      <c r="AF116" s="393"/>
      <c r="AG116" s="393"/>
      <c r="AH116" s="393"/>
      <c r="AI116" s="393"/>
      <c r="AJ116" s="393"/>
      <c r="AK116" s="393"/>
      <c r="AL116" s="393"/>
      <c r="AM116" s="393"/>
    </row>
    <row r="117" spans="2:48" ht="16.5" customHeight="1" x14ac:dyDescent="0.5">
      <c r="B117" s="150"/>
      <c r="F117" s="147"/>
      <c r="M117" s="138"/>
      <c r="N117" s="138"/>
      <c r="O117" s="138"/>
      <c r="P117" s="138"/>
      <c r="Q117" s="138"/>
      <c r="R117" s="138"/>
      <c r="S117" s="138"/>
      <c r="T117" s="138"/>
      <c r="U117" s="138"/>
      <c r="V117" s="138"/>
      <c r="W117" s="138"/>
    </row>
    <row r="118" spans="2:48" ht="16.5" customHeight="1" x14ac:dyDescent="0.5">
      <c r="B118" s="164" t="s">
        <v>258</v>
      </c>
      <c r="F118" s="147"/>
      <c r="M118" s="138"/>
      <c r="N118" s="138"/>
      <c r="O118" s="138"/>
      <c r="P118" s="138"/>
      <c r="Q118" s="138"/>
      <c r="R118" s="138"/>
      <c r="S118" s="138"/>
      <c r="T118" s="138"/>
      <c r="U118" s="138"/>
      <c r="V118" s="138"/>
      <c r="W118" s="138"/>
    </row>
    <row r="119" spans="2:48" ht="16.5" customHeight="1" x14ac:dyDescent="0.5">
      <c r="B119" s="381" t="str">
        <f>B111</f>
        <v>Năm dự án</v>
      </c>
      <c r="C119" s="380">
        <f t="shared" ref="C119:AV119" si="102">C111</f>
        <v>0</v>
      </c>
      <c r="D119" s="380">
        <f t="shared" si="102"/>
        <v>1</v>
      </c>
      <c r="E119" s="380">
        <f t="shared" si="102"/>
        <v>2</v>
      </c>
      <c r="F119" s="380">
        <f t="shared" si="102"/>
        <v>3</v>
      </c>
      <c r="G119" s="380">
        <f t="shared" si="102"/>
        <v>4</v>
      </c>
      <c r="H119" s="380">
        <f t="shared" si="102"/>
        <v>5</v>
      </c>
      <c r="I119" s="380">
        <f t="shared" si="102"/>
        <v>6</v>
      </c>
      <c r="J119" s="380">
        <f t="shared" si="102"/>
        <v>7</v>
      </c>
      <c r="K119" s="380">
        <f t="shared" si="102"/>
        <v>8</v>
      </c>
      <c r="L119" s="380">
        <f t="shared" si="102"/>
        <v>9</v>
      </c>
      <c r="M119" s="380">
        <f t="shared" si="102"/>
        <v>10</v>
      </c>
      <c r="N119" s="380">
        <f t="shared" si="102"/>
        <v>11</v>
      </c>
      <c r="O119" s="380">
        <f t="shared" si="102"/>
        <v>12</v>
      </c>
      <c r="P119" s="380">
        <f t="shared" si="102"/>
        <v>13</v>
      </c>
      <c r="Q119" s="380">
        <f t="shared" si="102"/>
        <v>14</v>
      </c>
      <c r="R119" s="380">
        <f t="shared" si="102"/>
        <v>15</v>
      </c>
      <c r="S119" s="380">
        <f t="shared" si="102"/>
        <v>16</v>
      </c>
      <c r="T119" s="380">
        <f t="shared" si="102"/>
        <v>17</v>
      </c>
      <c r="U119" s="380">
        <f t="shared" si="102"/>
        <v>18</v>
      </c>
      <c r="V119" s="380">
        <f t="shared" si="102"/>
        <v>19</v>
      </c>
      <c r="W119" s="380">
        <f t="shared" si="102"/>
        <v>20</v>
      </c>
      <c r="X119" s="380">
        <f t="shared" si="102"/>
        <v>0</v>
      </c>
      <c r="Y119" s="380">
        <f t="shared" si="102"/>
        <v>0</v>
      </c>
      <c r="Z119" s="380">
        <f t="shared" si="102"/>
        <v>0</v>
      </c>
      <c r="AA119" s="380">
        <f t="shared" si="102"/>
        <v>0</v>
      </c>
      <c r="AB119" s="380">
        <f t="shared" si="102"/>
        <v>0</v>
      </c>
      <c r="AC119" s="380">
        <f t="shared" si="102"/>
        <v>0</v>
      </c>
      <c r="AD119" s="380">
        <f t="shared" si="102"/>
        <v>0</v>
      </c>
      <c r="AE119" s="380">
        <f t="shared" si="102"/>
        <v>0</v>
      </c>
      <c r="AF119" s="380">
        <f t="shared" si="102"/>
        <v>0</v>
      </c>
      <c r="AG119" s="380">
        <f t="shared" si="102"/>
        <v>0</v>
      </c>
      <c r="AH119" s="380">
        <f t="shared" si="102"/>
        <v>0</v>
      </c>
      <c r="AI119" s="380">
        <f t="shared" si="102"/>
        <v>0</v>
      </c>
      <c r="AJ119" s="380">
        <f t="shared" si="102"/>
        <v>0</v>
      </c>
      <c r="AK119" s="380">
        <f t="shared" si="102"/>
        <v>0</v>
      </c>
      <c r="AL119" s="380">
        <f t="shared" si="102"/>
        <v>0</v>
      </c>
      <c r="AM119" s="380">
        <f t="shared" si="102"/>
        <v>0</v>
      </c>
      <c r="AN119" s="380">
        <f t="shared" si="102"/>
        <v>0</v>
      </c>
      <c r="AO119" s="380">
        <f t="shared" si="102"/>
        <v>0</v>
      </c>
      <c r="AP119" s="380">
        <f t="shared" si="102"/>
        <v>0</v>
      </c>
      <c r="AQ119" s="380">
        <f t="shared" si="102"/>
        <v>0</v>
      </c>
      <c r="AR119" s="380">
        <f t="shared" si="102"/>
        <v>0</v>
      </c>
      <c r="AS119" s="380">
        <f t="shared" si="102"/>
        <v>0</v>
      </c>
      <c r="AT119" s="380">
        <f t="shared" si="102"/>
        <v>0</v>
      </c>
      <c r="AU119" s="380">
        <f t="shared" si="102"/>
        <v>0</v>
      </c>
      <c r="AV119" s="380">
        <f t="shared" si="102"/>
        <v>0</v>
      </c>
    </row>
    <row r="120" spans="2:48" ht="16.5" customHeight="1" x14ac:dyDescent="0.5">
      <c r="B120" s="150" t="str">
        <f>B96</f>
        <v>NCF_TIPV</v>
      </c>
      <c r="C120" s="141">
        <f>C60</f>
        <v>0</v>
      </c>
      <c r="D120" s="141">
        <f t="shared" ref="D120:AV120" si="103">D60</f>
        <v>0</v>
      </c>
      <c r="E120" s="141">
        <f t="shared" si="103"/>
        <v>0</v>
      </c>
      <c r="F120" s="141">
        <f t="shared" si="103"/>
        <v>0</v>
      </c>
      <c r="G120" s="141">
        <f t="shared" si="103"/>
        <v>0</v>
      </c>
      <c r="H120" s="141">
        <f t="shared" si="103"/>
        <v>0</v>
      </c>
      <c r="I120" s="141">
        <f t="shared" si="103"/>
        <v>0</v>
      </c>
      <c r="J120" s="141">
        <f t="shared" si="103"/>
        <v>0</v>
      </c>
      <c r="K120" s="141">
        <f t="shared" si="103"/>
        <v>0</v>
      </c>
      <c r="L120" s="141">
        <f t="shared" si="103"/>
        <v>0</v>
      </c>
      <c r="M120" s="141">
        <f t="shared" si="103"/>
        <v>0</v>
      </c>
      <c r="N120" s="141">
        <f t="shared" si="103"/>
        <v>0</v>
      </c>
      <c r="O120" s="141">
        <f t="shared" si="103"/>
        <v>0</v>
      </c>
      <c r="P120" s="141">
        <f t="shared" si="103"/>
        <v>0</v>
      </c>
      <c r="Q120" s="141">
        <f t="shared" si="103"/>
        <v>0</v>
      </c>
      <c r="R120" s="141">
        <f t="shared" si="103"/>
        <v>0</v>
      </c>
      <c r="S120" s="141">
        <f t="shared" si="103"/>
        <v>0</v>
      </c>
      <c r="T120" s="141">
        <f t="shared" si="103"/>
        <v>0</v>
      </c>
      <c r="U120" s="141">
        <f t="shared" si="103"/>
        <v>0</v>
      </c>
      <c r="V120" s="141">
        <f t="shared" si="103"/>
        <v>0</v>
      </c>
      <c r="W120" s="141">
        <f t="shared" si="103"/>
        <v>0</v>
      </c>
      <c r="X120" s="141">
        <f t="shared" si="103"/>
        <v>0</v>
      </c>
      <c r="Y120" s="141">
        <f t="shared" si="103"/>
        <v>0</v>
      </c>
      <c r="Z120" s="141">
        <f t="shared" si="103"/>
        <v>0</v>
      </c>
      <c r="AA120" s="141">
        <f t="shared" si="103"/>
        <v>0</v>
      </c>
      <c r="AB120" s="141">
        <f t="shared" si="103"/>
        <v>0</v>
      </c>
      <c r="AC120" s="141">
        <f t="shared" si="103"/>
        <v>0</v>
      </c>
      <c r="AD120" s="141">
        <f t="shared" si="103"/>
        <v>0</v>
      </c>
      <c r="AE120" s="141">
        <f t="shared" si="103"/>
        <v>0</v>
      </c>
      <c r="AF120" s="141">
        <f t="shared" si="103"/>
        <v>0</v>
      </c>
      <c r="AG120" s="141">
        <f t="shared" si="103"/>
        <v>0</v>
      </c>
      <c r="AH120" s="141">
        <f t="shared" si="103"/>
        <v>0</v>
      </c>
      <c r="AI120" s="141">
        <f t="shared" si="103"/>
        <v>0</v>
      </c>
      <c r="AJ120" s="141">
        <f t="shared" si="103"/>
        <v>0</v>
      </c>
      <c r="AK120" s="141">
        <f t="shared" si="103"/>
        <v>0</v>
      </c>
      <c r="AL120" s="141">
        <f t="shared" si="103"/>
        <v>0</v>
      </c>
      <c r="AM120" s="141">
        <f t="shared" si="103"/>
        <v>0</v>
      </c>
      <c r="AN120" s="141">
        <f t="shared" si="103"/>
        <v>0</v>
      </c>
      <c r="AO120" s="141">
        <f t="shared" si="103"/>
        <v>0</v>
      </c>
      <c r="AP120" s="141">
        <f t="shared" si="103"/>
        <v>0</v>
      </c>
      <c r="AQ120" s="141">
        <f t="shared" si="103"/>
        <v>0</v>
      </c>
      <c r="AR120" s="141">
        <f t="shared" si="103"/>
        <v>0</v>
      </c>
      <c r="AS120" s="141">
        <f t="shared" si="103"/>
        <v>0</v>
      </c>
      <c r="AT120" s="141">
        <f t="shared" si="103"/>
        <v>0</v>
      </c>
      <c r="AU120" s="141">
        <f t="shared" si="103"/>
        <v>0</v>
      </c>
      <c r="AV120" s="141">
        <f t="shared" si="103"/>
        <v>0</v>
      </c>
    </row>
    <row r="121" spans="2:48" ht="16.5" customHeight="1" x14ac:dyDescent="0.5">
      <c r="B121" s="150" t="s">
        <v>277</v>
      </c>
      <c r="C121" s="400"/>
      <c r="D121" s="400"/>
      <c r="E121" s="400"/>
      <c r="F121" s="400"/>
      <c r="G121" s="400"/>
      <c r="M121" s="138"/>
      <c r="N121" s="138"/>
      <c r="O121" s="138"/>
      <c r="P121" s="138"/>
      <c r="Q121" s="138"/>
      <c r="R121" s="138"/>
      <c r="S121" s="138"/>
      <c r="T121" s="138"/>
      <c r="U121" s="138"/>
      <c r="V121" s="138"/>
      <c r="W121" s="138"/>
    </row>
    <row r="122" spans="2:48" ht="16.5" customHeight="1" x14ac:dyDescent="0.5">
      <c r="B122" s="150" t="s">
        <v>295</v>
      </c>
      <c r="C122" s="386"/>
      <c r="D122" s="386"/>
      <c r="E122" s="386"/>
      <c r="F122" s="386"/>
      <c r="G122" s="401"/>
      <c r="H122" s="401"/>
      <c r="I122" s="401"/>
      <c r="J122" s="401"/>
      <c r="K122" s="401"/>
      <c r="L122" s="401"/>
      <c r="M122" s="401"/>
      <c r="N122" s="401"/>
      <c r="O122" s="401"/>
      <c r="P122" s="401"/>
      <c r="Q122" s="401"/>
      <c r="R122" s="401"/>
      <c r="S122" s="401"/>
      <c r="T122" s="401"/>
      <c r="U122" s="401"/>
      <c r="V122" s="401"/>
      <c r="W122" s="401"/>
      <c r="X122" s="387"/>
    </row>
    <row r="123" spans="2:48" ht="16.5" customHeight="1" x14ac:dyDescent="0.5">
      <c r="B123" s="150" t="s">
        <v>278</v>
      </c>
      <c r="F123" s="387">
        <f t="shared" ref="F123:AV123" si="104">F29*F9</f>
        <v>60466.176000000014</v>
      </c>
      <c r="G123" s="387">
        <f t="shared" si="104"/>
        <v>-4575.3774820776334</v>
      </c>
      <c r="H123" s="387">
        <f t="shared" si="104"/>
        <v>-4844.5173339645535</v>
      </c>
      <c r="I123" s="387">
        <f t="shared" si="104"/>
        <v>-5129.4889418448211</v>
      </c>
      <c r="J123" s="387">
        <f t="shared" si="104"/>
        <v>-5431.2235854827532</v>
      </c>
      <c r="K123" s="387">
        <f t="shared" si="104"/>
        <v>-5750.7073258052678</v>
      </c>
      <c r="L123" s="387">
        <f t="shared" si="104"/>
        <v>-6088.9842273232252</v>
      </c>
      <c r="M123" s="387">
        <f t="shared" si="104"/>
        <v>-6447.1597701069441</v>
      </c>
      <c r="N123" s="387">
        <f t="shared" si="104"/>
        <v>-6826.4044624661774</v>
      </c>
      <c r="O123" s="387">
        <f t="shared" si="104"/>
        <v>-7227.9576661406581</v>
      </c>
      <c r="P123" s="387">
        <f t="shared" si="104"/>
        <v>-7653.1316465018726</v>
      </c>
      <c r="Q123" s="387">
        <f t="shared" si="104"/>
        <v>-8103.3158610019846</v>
      </c>
      <c r="R123" s="387">
        <f t="shared" si="104"/>
        <v>-8579.9814998844577</v>
      </c>
      <c r="S123" s="387">
        <f t="shared" si="104"/>
        <v>-9084.6862939953062</v>
      </c>
      <c r="T123" s="387">
        <f t="shared" si="104"/>
        <v>-9619.0796054067941</v>
      </c>
      <c r="U123" s="387">
        <f t="shared" si="104"/>
        <v>-10184.907817489549</v>
      </c>
      <c r="V123" s="387">
        <f t="shared" si="104"/>
        <v>-10784.020042047759</v>
      </c>
      <c r="W123" s="387">
        <f t="shared" si="104"/>
        <v>-11418.374162168213</v>
      </c>
      <c r="X123" s="387">
        <f t="shared" si="104"/>
        <v>-12090.04323053105</v>
      </c>
      <c r="Y123" s="387">
        <f t="shared" si="104"/>
        <v>-12801.222244091703</v>
      </c>
      <c r="Z123" s="387">
        <f t="shared" si="104"/>
        <v>-13554.235317273569</v>
      </c>
      <c r="AA123" s="387">
        <f t="shared" si="104"/>
        <v>-14351.543277113191</v>
      </c>
      <c r="AB123" s="387">
        <f t="shared" si="104"/>
        <v>-15195.751705178673</v>
      </c>
      <c r="AC123" s="387">
        <f t="shared" si="104"/>
        <v>-16089.619452542122</v>
      </c>
      <c r="AD123" s="387">
        <f t="shared" si="104"/>
        <v>-17036.067655632836</v>
      </c>
      <c r="AE123" s="387">
        <f t="shared" si="104"/>
        <v>-18038.189282434767</v>
      </c>
      <c r="AF123" s="387">
        <f t="shared" si="104"/>
        <v>-19099.259240225052</v>
      </c>
      <c r="AG123" s="387">
        <f t="shared" si="104"/>
        <v>-20222.745077885353</v>
      </c>
      <c r="AH123" s="387">
        <f t="shared" si="104"/>
        <v>-21412.318317760968</v>
      </c>
      <c r="AI123" s="387">
        <f t="shared" si="104"/>
        <v>-22671.86645409984</v>
      </c>
      <c r="AJ123" s="387">
        <f t="shared" si="104"/>
        <v>-24005.505657282185</v>
      </c>
      <c r="AK123" s="387">
        <f t="shared" si="104"/>
        <v>-25417.594225357614</v>
      </c>
      <c r="AL123" s="387">
        <f t="shared" si="104"/>
        <v>-26912.746826849241</v>
      </c>
      <c r="AM123" s="387">
        <f t="shared" si="104"/>
        <v>-28495.849581369788</v>
      </c>
      <c r="AN123" s="387">
        <f t="shared" si="104"/>
        <v>-30172.076027332714</v>
      </c>
      <c r="AO123" s="387">
        <f t="shared" si="104"/>
        <v>-31946.904028940517</v>
      </c>
      <c r="AP123" s="387">
        <f t="shared" si="104"/>
        <v>-33826.133677701735</v>
      </c>
      <c r="AQ123" s="387">
        <f t="shared" si="104"/>
        <v>-35815.906246978302</v>
      </c>
      <c r="AR123" s="387">
        <f t="shared" si="104"/>
        <v>-37922.724261506446</v>
      </c>
      <c r="AS123" s="387">
        <f t="shared" si="104"/>
        <v>-40153.472747477412</v>
      </c>
      <c r="AT123" s="387">
        <f t="shared" si="104"/>
        <v>-42515.441732623141</v>
      </c>
      <c r="AU123" s="387">
        <f t="shared" si="104"/>
        <v>0</v>
      </c>
      <c r="AV123" s="387">
        <f t="shared" si="104"/>
        <v>0</v>
      </c>
    </row>
    <row r="124" spans="2:48" ht="16.5" customHeight="1" x14ac:dyDescent="0.5">
      <c r="B124" s="150" t="s">
        <v>279</v>
      </c>
      <c r="C124" s="387">
        <f>C120+C121+C122+C123</f>
        <v>0</v>
      </c>
      <c r="D124" s="387">
        <f t="shared" ref="D124:AV124" si="105">D120+D121+D122+D123</f>
        <v>0</v>
      </c>
      <c r="E124" s="387">
        <f t="shared" si="105"/>
        <v>0</v>
      </c>
      <c r="F124" s="387">
        <f t="shared" si="105"/>
        <v>60466.176000000014</v>
      </c>
      <c r="G124" s="387">
        <f t="shared" si="105"/>
        <v>-4575.3774820776334</v>
      </c>
      <c r="H124" s="387">
        <f t="shared" si="105"/>
        <v>-4844.5173339645535</v>
      </c>
      <c r="I124" s="387">
        <f t="shared" si="105"/>
        <v>-5129.4889418448211</v>
      </c>
      <c r="J124" s="387">
        <f t="shared" si="105"/>
        <v>-5431.2235854827532</v>
      </c>
      <c r="K124" s="387">
        <f t="shared" si="105"/>
        <v>-5750.7073258052678</v>
      </c>
      <c r="L124" s="387">
        <f t="shared" si="105"/>
        <v>-6088.9842273232252</v>
      </c>
      <c r="M124" s="387">
        <f t="shared" si="105"/>
        <v>-6447.1597701069441</v>
      </c>
      <c r="N124" s="387">
        <f t="shared" si="105"/>
        <v>-6826.4044624661774</v>
      </c>
      <c r="O124" s="387">
        <f t="shared" si="105"/>
        <v>-7227.9576661406581</v>
      </c>
      <c r="P124" s="387">
        <f t="shared" si="105"/>
        <v>-7653.1316465018726</v>
      </c>
      <c r="Q124" s="387">
        <f t="shared" si="105"/>
        <v>-8103.3158610019846</v>
      </c>
      <c r="R124" s="387">
        <f t="shared" si="105"/>
        <v>-8579.9814998844577</v>
      </c>
      <c r="S124" s="387">
        <f t="shared" si="105"/>
        <v>-9084.6862939953062</v>
      </c>
      <c r="T124" s="387">
        <f t="shared" si="105"/>
        <v>-9619.0796054067941</v>
      </c>
      <c r="U124" s="387">
        <f t="shared" si="105"/>
        <v>-10184.907817489549</v>
      </c>
      <c r="V124" s="387">
        <f t="shared" si="105"/>
        <v>-10784.020042047759</v>
      </c>
      <c r="W124" s="387">
        <f t="shared" si="105"/>
        <v>-11418.374162168213</v>
      </c>
      <c r="X124" s="387">
        <f t="shared" si="105"/>
        <v>-12090.04323053105</v>
      </c>
      <c r="Y124" s="387">
        <f t="shared" si="105"/>
        <v>-12801.222244091703</v>
      </c>
      <c r="Z124" s="387">
        <f t="shared" si="105"/>
        <v>-13554.235317273569</v>
      </c>
      <c r="AA124" s="387">
        <f t="shared" si="105"/>
        <v>-14351.543277113191</v>
      </c>
      <c r="AB124" s="387">
        <f t="shared" si="105"/>
        <v>-15195.751705178673</v>
      </c>
      <c r="AC124" s="387">
        <f t="shared" si="105"/>
        <v>-16089.619452542122</v>
      </c>
      <c r="AD124" s="387">
        <f t="shared" si="105"/>
        <v>-17036.067655632836</v>
      </c>
      <c r="AE124" s="387">
        <f t="shared" si="105"/>
        <v>-18038.189282434767</v>
      </c>
      <c r="AF124" s="387">
        <f t="shared" si="105"/>
        <v>-19099.259240225052</v>
      </c>
      <c r="AG124" s="387">
        <f t="shared" si="105"/>
        <v>-20222.745077885353</v>
      </c>
      <c r="AH124" s="387">
        <f t="shared" si="105"/>
        <v>-21412.318317760968</v>
      </c>
      <c r="AI124" s="387">
        <f t="shared" si="105"/>
        <v>-22671.86645409984</v>
      </c>
      <c r="AJ124" s="387">
        <f t="shared" si="105"/>
        <v>-24005.505657282185</v>
      </c>
      <c r="AK124" s="387">
        <f t="shared" si="105"/>
        <v>-25417.594225357614</v>
      </c>
      <c r="AL124" s="387">
        <f t="shared" si="105"/>
        <v>-26912.746826849241</v>
      </c>
      <c r="AM124" s="387">
        <f t="shared" si="105"/>
        <v>-28495.849581369788</v>
      </c>
      <c r="AN124" s="387">
        <f t="shared" si="105"/>
        <v>-30172.076027332714</v>
      </c>
      <c r="AO124" s="387">
        <f t="shared" si="105"/>
        <v>-31946.904028940517</v>
      </c>
      <c r="AP124" s="387">
        <f t="shared" si="105"/>
        <v>-33826.133677701735</v>
      </c>
      <c r="AQ124" s="387">
        <f t="shared" si="105"/>
        <v>-35815.906246978302</v>
      </c>
      <c r="AR124" s="387">
        <f t="shared" si="105"/>
        <v>-37922.724261506446</v>
      </c>
      <c r="AS124" s="387">
        <f t="shared" si="105"/>
        <v>-40153.472747477412</v>
      </c>
      <c r="AT124" s="387">
        <f t="shared" si="105"/>
        <v>-42515.441732623141</v>
      </c>
      <c r="AU124" s="387">
        <f t="shared" si="105"/>
        <v>0</v>
      </c>
      <c r="AV124" s="387">
        <f t="shared" si="105"/>
        <v>0</v>
      </c>
    </row>
    <row r="125" spans="2:48" ht="16.5" customHeight="1" x14ac:dyDescent="0.5">
      <c r="B125" s="183" t="s">
        <v>280</v>
      </c>
      <c r="C125" s="171">
        <f>C124/C9</f>
        <v>0</v>
      </c>
      <c r="D125" s="171">
        <f t="shared" ref="D125:AV125" si="106">D124/D9</f>
        <v>0</v>
      </c>
      <c r="E125" s="171">
        <f t="shared" si="106"/>
        <v>0</v>
      </c>
      <c r="F125" s="179">
        <f t="shared" si="106"/>
        <v>636.72479999999996</v>
      </c>
      <c r="G125" s="179">
        <f t="shared" si="106"/>
        <v>-45.503270114193477</v>
      </c>
      <c r="H125" s="179">
        <f t="shared" si="106"/>
        <v>-45.503270114193477</v>
      </c>
      <c r="I125" s="179">
        <f t="shared" si="106"/>
        <v>-45.503270114193477</v>
      </c>
      <c r="J125" s="179">
        <f t="shared" si="106"/>
        <v>-45.503270114193477</v>
      </c>
      <c r="K125" s="179">
        <f t="shared" si="106"/>
        <v>-45.503270114193477</v>
      </c>
      <c r="L125" s="179">
        <f t="shared" si="106"/>
        <v>-45.503270114193477</v>
      </c>
      <c r="M125" s="179">
        <f t="shared" si="106"/>
        <v>-45.503270114193477</v>
      </c>
      <c r="N125" s="179">
        <f t="shared" si="106"/>
        <v>-45.503270114193477</v>
      </c>
      <c r="O125" s="179">
        <f t="shared" si="106"/>
        <v>-45.503270114193477</v>
      </c>
      <c r="P125" s="179">
        <f t="shared" si="106"/>
        <v>-45.503270114193477</v>
      </c>
      <c r="Q125" s="179">
        <f t="shared" si="106"/>
        <v>-45.503270114193477</v>
      </c>
      <c r="R125" s="179">
        <f t="shared" si="106"/>
        <v>-45.503270114193477</v>
      </c>
      <c r="S125" s="179">
        <f t="shared" si="106"/>
        <v>-45.503270114193477</v>
      </c>
      <c r="T125" s="179">
        <f t="shared" si="106"/>
        <v>-45.503270114193484</v>
      </c>
      <c r="U125" s="179">
        <f t="shared" si="106"/>
        <v>-45.503270114193477</v>
      </c>
      <c r="V125" s="179">
        <f t="shared" si="106"/>
        <v>-45.503270114193477</v>
      </c>
      <c r="W125" s="179">
        <f t="shared" si="106"/>
        <v>-45.503270114193477</v>
      </c>
      <c r="X125" s="179">
        <f t="shared" si="106"/>
        <v>-45.503270114193477</v>
      </c>
      <c r="Y125" s="179">
        <f t="shared" si="106"/>
        <v>-45.503270114193477</v>
      </c>
      <c r="Z125" s="179">
        <f t="shared" si="106"/>
        <v>-45.503270114193477</v>
      </c>
      <c r="AA125" s="179">
        <f t="shared" si="106"/>
        <v>-45.503270114193477</v>
      </c>
      <c r="AB125" s="179">
        <f t="shared" si="106"/>
        <v>-45.503270114193477</v>
      </c>
      <c r="AC125" s="179">
        <f t="shared" si="106"/>
        <v>-45.503270114193477</v>
      </c>
      <c r="AD125" s="179">
        <f t="shared" si="106"/>
        <v>-45.503270114193469</v>
      </c>
      <c r="AE125" s="179">
        <f t="shared" si="106"/>
        <v>-45.503270114193477</v>
      </c>
      <c r="AF125" s="179">
        <f t="shared" si="106"/>
        <v>-45.503270114193477</v>
      </c>
      <c r="AG125" s="179">
        <f t="shared" si="106"/>
        <v>-45.503270114193484</v>
      </c>
      <c r="AH125" s="179">
        <f t="shared" si="106"/>
        <v>-45.503270114193477</v>
      </c>
      <c r="AI125" s="179">
        <f t="shared" si="106"/>
        <v>-45.503270114193477</v>
      </c>
      <c r="AJ125" s="179">
        <f t="shared" si="106"/>
        <v>-45.503270114193477</v>
      </c>
      <c r="AK125" s="179">
        <f t="shared" si="106"/>
        <v>-45.503270114193477</v>
      </c>
      <c r="AL125" s="179">
        <f t="shared" si="106"/>
        <v>-45.503270114193477</v>
      </c>
      <c r="AM125" s="179">
        <f t="shared" si="106"/>
        <v>-45.503270114193477</v>
      </c>
      <c r="AN125" s="179">
        <f t="shared" si="106"/>
        <v>-45.503270114193477</v>
      </c>
      <c r="AO125" s="179">
        <f t="shared" si="106"/>
        <v>-45.503270114193477</v>
      </c>
      <c r="AP125" s="179">
        <f t="shared" si="106"/>
        <v>-45.503270114193469</v>
      </c>
      <c r="AQ125" s="179">
        <f t="shared" si="106"/>
        <v>-45.503270114193469</v>
      </c>
      <c r="AR125" s="179">
        <f t="shared" si="106"/>
        <v>-45.503270114193477</v>
      </c>
      <c r="AS125" s="179">
        <f t="shared" si="106"/>
        <v>-45.503270114193477</v>
      </c>
      <c r="AT125" s="179">
        <f t="shared" si="106"/>
        <v>-45.503270114193477</v>
      </c>
      <c r="AU125" s="179">
        <f t="shared" si="106"/>
        <v>0</v>
      </c>
      <c r="AV125" s="179">
        <f t="shared" si="106"/>
        <v>0</v>
      </c>
    </row>
    <row r="126" spans="2:48" ht="16.5" customHeight="1" x14ac:dyDescent="0.5">
      <c r="B126" s="150"/>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141"/>
      <c r="AH126" s="141"/>
      <c r="AI126" s="141"/>
      <c r="AJ126" s="141"/>
      <c r="AK126" s="141"/>
      <c r="AL126" s="141"/>
      <c r="AM126" s="141"/>
      <c r="AN126" s="141"/>
      <c r="AO126" s="141"/>
      <c r="AP126" s="141"/>
      <c r="AQ126" s="141"/>
      <c r="AR126" s="141"/>
      <c r="AS126" s="141"/>
      <c r="AT126" s="141"/>
      <c r="AU126" s="141"/>
      <c r="AV126" s="141"/>
    </row>
    <row r="127" spans="2:48" ht="16.5" customHeight="1" x14ac:dyDescent="0.5">
      <c r="B127" s="388" t="s">
        <v>44</v>
      </c>
      <c r="C127" s="271" t="s">
        <v>294</v>
      </c>
      <c r="D127" s="274"/>
      <c r="E127" s="274"/>
      <c r="F127" s="278"/>
      <c r="G127" s="141"/>
      <c r="H127" s="141"/>
      <c r="I127" s="141"/>
      <c r="J127" s="141"/>
      <c r="M127" s="138"/>
      <c r="N127" s="138"/>
      <c r="O127" s="138"/>
      <c r="P127" s="138"/>
      <c r="Q127" s="138"/>
      <c r="R127" s="138"/>
      <c r="S127" s="138"/>
      <c r="T127" s="138"/>
      <c r="U127" s="138"/>
      <c r="V127" s="138"/>
      <c r="W127" s="138"/>
    </row>
    <row r="128" spans="2:48" ht="16.5" customHeight="1" x14ac:dyDescent="0.5">
      <c r="B128" s="280" t="s">
        <v>47</v>
      </c>
      <c r="C128" s="282">
        <v>0.06</v>
      </c>
      <c r="D128" s="282">
        <f>C128+3%</f>
        <v>0.09</v>
      </c>
      <c r="E128" s="282">
        <f t="shared" ref="E128:F128" si="107">D128+3%</f>
        <v>0.12</v>
      </c>
      <c r="F128" s="282">
        <f t="shared" si="107"/>
        <v>0.15</v>
      </c>
      <c r="M128" s="138"/>
      <c r="N128" s="138"/>
      <c r="O128" s="138"/>
      <c r="P128" s="138"/>
      <c r="Q128" s="138"/>
      <c r="R128" s="138"/>
      <c r="S128" s="138"/>
      <c r="T128" s="138"/>
      <c r="U128" s="138"/>
      <c r="V128" s="138"/>
      <c r="W128" s="138"/>
    </row>
    <row r="129" spans="2:48" ht="16.5" customHeight="1" x14ac:dyDescent="0.5">
      <c r="B129" s="280" t="s">
        <v>276</v>
      </c>
      <c r="C129" s="278">
        <f>NPV(C128,$D125:$AV125)+$C125</f>
        <v>-40.243716930201998</v>
      </c>
      <c r="D129" s="278">
        <f t="shared" ref="D129:F129" si="108">NPV(D128,$D125:$AV125)+$C125</f>
        <v>113.68836784378395</v>
      </c>
      <c r="E129" s="278">
        <f t="shared" si="108"/>
        <v>186.20598556389976</v>
      </c>
      <c r="F129" s="278">
        <f t="shared" si="108"/>
        <v>219.94060305145339</v>
      </c>
      <c r="M129" s="138"/>
      <c r="N129" s="138"/>
      <c r="O129" s="138"/>
      <c r="P129" s="138"/>
      <c r="Q129" s="138"/>
      <c r="R129" s="138"/>
      <c r="S129" s="138"/>
      <c r="T129" s="138"/>
      <c r="U129" s="138"/>
      <c r="V129" s="138"/>
      <c r="W129" s="138"/>
    </row>
    <row r="130" spans="2:48" ht="16.5" customHeight="1" x14ac:dyDescent="0.5">
      <c r="B130" s="274" t="s">
        <v>246</v>
      </c>
      <c r="C130" s="282">
        <f>IRR(C125:AV125)</f>
        <v>6.5900000002095949E-2</v>
      </c>
      <c r="D130" s="274"/>
      <c r="E130" s="274"/>
      <c r="F130" s="278"/>
      <c r="M130" s="138"/>
      <c r="N130" s="138"/>
      <c r="O130" s="138"/>
      <c r="P130" s="138"/>
      <c r="Q130" s="138"/>
      <c r="R130" s="138"/>
      <c r="S130" s="138"/>
      <c r="T130" s="138"/>
      <c r="U130" s="138"/>
      <c r="V130" s="138"/>
      <c r="W130" s="138"/>
    </row>
    <row r="131" spans="2:48" ht="16.5" customHeight="1" x14ac:dyDescent="0.5">
      <c r="B131" s="274" t="s">
        <v>247</v>
      </c>
      <c r="C131" s="406"/>
      <c r="D131" s="274"/>
      <c r="E131" s="274"/>
      <c r="F131" s="278"/>
      <c r="M131" s="138"/>
      <c r="N131" s="138"/>
      <c r="O131" s="138"/>
      <c r="P131" s="138"/>
      <c r="Q131" s="138"/>
      <c r="R131" s="138"/>
      <c r="S131" s="138"/>
      <c r="T131" s="138"/>
      <c r="U131" s="138"/>
      <c r="V131" s="138"/>
      <c r="W131" s="138"/>
    </row>
    <row r="132" spans="2:48" ht="16.5" customHeight="1" x14ac:dyDescent="0.5">
      <c r="B132" s="150"/>
    </row>
    <row r="133" spans="2:48" ht="22.5" customHeight="1" x14ac:dyDescent="0.5">
      <c r="B133" s="164" t="s">
        <v>55</v>
      </c>
    </row>
    <row r="134" spans="2:48" ht="15" customHeight="1" x14ac:dyDescent="0.5">
      <c r="B134" s="166" t="str">
        <f t="shared" ref="B134:AV134" si="109">B42</f>
        <v>Năm dự án</v>
      </c>
      <c r="C134" s="166">
        <f t="shared" si="109"/>
        <v>0</v>
      </c>
      <c r="D134" s="166">
        <f t="shared" si="109"/>
        <v>1</v>
      </c>
      <c r="E134" s="166">
        <f t="shared" si="109"/>
        <v>2</v>
      </c>
      <c r="F134" s="166">
        <f t="shared" si="109"/>
        <v>3</v>
      </c>
      <c r="G134" s="166">
        <f t="shared" si="109"/>
        <v>4</v>
      </c>
      <c r="H134" s="166">
        <f t="shared" si="109"/>
        <v>5</v>
      </c>
      <c r="I134" s="166">
        <f t="shared" si="109"/>
        <v>6</v>
      </c>
      <c r="J134" s="166">
        <f t="shared" si="109"/>
        <v>7</v>
      </c>
      <c r="K134" s="166">
        <f t="shared" si="109"/>
        <v>8</v>
      </c>
      <c r="L134" s="166">
        <f t="shared" si="109"/>
        <v>9</v>
      </c>
      <c r="M134" s="166">
        <f t="shared" si="109"/>
        <v>10</v>
      </c>
      <c r="N134" s="166">
        <f t="shared" si="109"/>
        <v>11</v>
      </c>
      <c r="O134" s="166">
        <f t="shared" si="109"/>
        <v>12</v>
      </c>
      <c r="P134" s="166">
        <f t="shared" si="109"/>
        <v>13</v>
      </c>
      <c r="Q134" s="166">
        <f t="shared" si="109"/>
        <v>14</v>
      </c>
      <c r="R134" s="166">
        <f t="shared" si="109"/>
        <v>15</v>
      </c>
      <c r="S134" s="166">
        <f t="shared" si="109"/>
        <v>16</v>
      </c>
      <c r="T134" s="166">
        <f t="shared" si="109"/>
        <v>17</v>
      </c>
      <c r="U134" s="166">
        <f t="shared" si="109"/>
        <v>18</v>
      </c>
      <c r="V134" s="166">
        <f t="shared" si="109"/>
        <v>19</v>
      </c>
      <c r="W134" s="166">
        <f t="shared" si="109"/>
        <v>20</v>
      </c>
      <c r="X134" s="166">
        <f t="shared" si="109"/>
        <v>21</v>
      </c>
      <c r="Y134" s="166">
        <f t="shared" si="109"/>
        <v>22</v>
      </c>
      <c r="Z134" s="166">
        <f t="shared" si="109"/>
        <v>23</v>
      </c>
      <c r="AA134" s="166">
        <f t="shared" si="109"/>
        <v>24</v>
      </c>
      <c r="AB134" s="166">
        <f t="shared" si="109"/>
        <v>25</v>
      </c>
      <c r="AC134" s="166">
        <f t="shared" si="109"/>
        <v>26</v>
      </c>
      <c r="AD134" s="166">
        <f t="shared" si="109"/>
        <v>27</v>
      </c>
      <c r="AE134" s="166">
        <f t="shared" si="109"/>
        <v>28</v>
      </c>
      <c r="AF134" s="166">
        <f t="shared" si="109"/>
        <v>29</v>
      </c>
      <c r="AG134" s="166">
        <f t="shared" si="109"/>
        <v>30</v>
      </c>
      <c r="AH134" s="166">
        <f t="shared" si="109"/>
        <v>31</v>
      </c>
      <c r="AI134" s="166">
        <f t="shared" si="109"/>
        <v>32</v>
      </c>
      <c r="AJ134" s="166">
        <f t="shared" si="109"/>
        <v>33</v>
      </c>
      <c r="AK134" s="166">
        <f t="shared" si="109"/>
        <v>34</v>
      </c>
      <c r="AL134" s="166">
        <f t="shared" si="109"/>
        <v>35</v>
      </c>
      <c r="AM134" s="166">
        <f t="shared" si="109"/>
        <v>36</v>
      </c>
      <c r="AN134" s="166">
        <f t="shared" si="109"/>
        <v>37</v>
      </c>
      <c r="AO134" s="166">
        <f t="shared" si="109"/>
        <v>38</v>
      </c>
      <c r="AP134" s="166">
        <f t="shared" si="109"/>
        <v>39</v>
      </c>
      <c r="AQ134" s="166">
        <f t="shared" si="109"/>
        <v>40</v>
      </c>
      <c r="AR134" s="166">
        <f t="shared" si="109"/>
        <v>41</v>
      </c>
      <c r="AS134" s="166">
        <f t="shared" si="109"/>
        <v>42</v>
      </c>
      <c r="AT134" s="166">
        <f t="shared" si="109"/>
        <v>43</v>
      </c>
      <c r="AU134" s="166">
        <f t="shared" si="109"/>
        <v>44</v>
      </c>
      <c r="AV134" s="166">
        <f t="shared" si="109"/>
        <v>45</v>
      </c>
    </row>
    <row r="135" spans="2:48" ht="16.5" customHeight="1" x14ac:dyDescent="0.5">
      <c r="B135" s="143" t="s">
        <v>56</v>
      </c>
    </row>
    <row r="136" spans="2:48" ht="16.5" customHeight="1" x14ac:dyDescent="0.5">
      <c r="B136" s="145" t="s">
        <v>252</v>
      </c>
      <c r="G136" s="399"/>
      <c r="H136" s="399"/>
      <c r="I136" s="399"/>
      <c r="J136" s="399"/>
      <c r="K136" s="399"/>
      <c r="L136" s="399"/>
      <c r="M136" s="399"/>
      <c r="N136" s="399"/>
      <c r="O136" s="399"/>
      <c r="P136" s="399"/>
      <c r="Q136" s="399"/>
      <c r="R136" s="399"/>
      <c r="S136" s="399"/>
      <c r="T136" s="399"/>
      <c r="U136" s="399"/>
      <c r="V136" s="399"/>
      <c r="W136" s="399"/>
      <c r="X136" s="399"/>
      <c r="Y136" s="399"/>
      <c r="Z136" s="399"/>
      <c r="AA136" s="399"/>
      <c r="AB136" s="399"/>
      <c r="AC136" s="399"/>
      <c r="AD136" s="399"/>
      <c r="AE136" s="399"/>
      <c r="AF136" s="399"/>
      <c r="AG136" s="399"/>
      <c r="AH136" s="399"/>
      <c r="AI136" s="399"/>
      <c r="AJ136" s="399"/>
      <c r="AK136" s="399"/>
      <c r="AL136" s="399"/>
      <c r="AM136" s="399"/>
      <c r="AN136" s="399"/>
      <c r="AO136" s="399"/>
      <c r="AP136" s="399"/>
      <c r="AQ136" s="399"/>
      <c r="AR136" s="399"/>
      <c r="AS136" s="399"/>
      <c r="AT136" s="399"/>
      <c r="AU136" s="399"/>
      <c r="AV136" s="399"/>
    </row>
    <row r="137" spans="2:48" ht="16.5" customHeight="1" x14ac:dyDescent="0.5">
      <c r="B137" s="379" t="s">
        <v>299</v>
      </c>
      <c r="G137" s="402"/>
      <c r="H137" s="402"/>
      <c r="I137" s="402"/>
      <c r="J137" s="402"/>
      <c r="K137" s="402"/>
      <c r="L137" s="402"/>
      <c r="M137" s="402"/>
      <c r="N137" s="402"/>
      <c r="O137" s="402"/>
      <c r="P137" s="402"/>
      <c r="Q137" s="402"/>
      <c r="R137" s="402"/>
      <c r="S137" s="402"/>
      <c r="T137" s="402"/>
      <c r="U137" s="402"/>
      <c r="V137" s="402"/>
      <c r="W137" s="402"/>
      <c r="X137" s="402"/>
      <c r="Y137" s="402"/>
      <c r="Z137" s="402"/>
      <c r="AA137" s="402"/>
      <c r="AB137" s="402"/>
      <c r="AC137" s="402"/>
      <c r="AD137" s="402"/>
      <c r="AE137" s="402"/>
      <c r="AF137" s="402"/>
      <c r="AG137" s="402"/>
      <c r="AH137" s="402"/>
      <c r="AI137" s="402"/>
      <c r="AJ137" s="402"/>
      <c r="AK137" s="402"/>
      <c r="AL137" s="402"/>
      <c r="AM137" s="402"/>
      <c r="AN137" s="402"/>
      <c r="AO137" s="402"/>
      <c r="AP137" s="402"/>
      <c r="AQ137" s="402"/>
      <c r="AR137" s="402"/>
      <c r="AS137" s="402"/>
      <c r="AT137" s="402"/>
      <c r="AU137" s="402"/>
      <c r="AV137" s="402"/>
    </row>
    <row r="138" spans="2:48" ht="16.5" customHeight="1" x14ac:dyDescent="0.5">
      <c r="B138" s="145" t="s">
        <v>253</v>
      </c>
      <c r="G138" s="399"/>
      <c r="H138" s="399"/>
      <c r="I138" s="399"/>
      <c r="J138" s="399"/>
      <c r="K138" s="399"/>
      <c r="L138" s="399"/>
      <c r="M138" s="399"/>
      <c r="N138" s="399"/>
      <c r="O138" s="399"/>
      <c r="P138" s="399"/>
      <c r="Q138" s="399"/>
      <c r="R138" s="399"/>
      <c r="S138" s="399"/>
      <c r="T138" s="399"/>
      <c r="U138" s="399"/>
      <c r="V138" s="399"/>
      <c r="W138" s="399"/>
      <c r="X138" s="399"/>
      <c r="Y138" s="399"/>
      <c r="Z138" s="399"/>
      <c r="AA138" s="399"/>
      <c r="AB138" s="399"/>
      <c r="AC138" s="399"/>
      <c r="AD138" s="399"/>
      <c r="AE138" s="399"/>
      <c r="AF138" s="399"/>
      <c r="AG138" s="399"/>
      <c r="AH138" s="399"/>
      <c r="AI138" s="399"/>
      <c r="AJ138" s="399"/>
      <c r="AK138" s="399"/>
      <c r="AL138" s="399"/>
      <c r="AM138" s="399"/>
      <c r="AN138" s="399"/>
      <c r="AO138" s="399"/>
      <c r="AP138" s="399"/>
      <c r="AQ138" s="399"/>
      <c r="AR138" s="399"/>
      <c r="AS138" s="399"/>
      <c r="AT138" s="399"/>
      <c r="AU138" s="399"/>
      <c r="AV138" s="399"/>
    </row>
    <row r="139" spans="2:48" ht="16.5" customHeight="1" x14ac:dyDescent="0.5">
      <c r="B139" s="145" t="s">
        <v>254</v>
      </c>
      <c r="G139" s="399"/>
      <c r="H139" s="399"/>
      <c r="I139" s="399"/>
      <c r="J139" s="399"/>
      <c r="K139" s="399"/>
      <c r="L139" s="399"/>
      <c r="M139" s="399"/>
      <c r="N139" s="399"/>
      <c r="O139" s="399"/>
      <c r="P139" s="399"/>
      <c r="Q139" s="399"/>
      <c r="R139" s="399"/>
      <c r="S139" s="399"/>
      <c r="T139" s="399"/>
      <c r="U139" s="399"/>
      <c r="V139" s="399"/>
      <c r="W139" s="399"/>
      <c r="X139" s="399"/>
      <c r="Y139" s="399"/>
      <c r="Z139" s="399"/>
      <c r="AA139" s="399"/>
      <c r="AB139" s="399"/>
      <c r="AC139" s="399"/>
      <c r="AD139" s="399"/>
      <c r="AE139" s="399"/>
      <c r="AF139" s="399"/>
      <c r="AG139" s="399"/>
      <c r="AH139" s="399"/>
      <c r="AI139" s="399"/>
      <c r="AJ139" s="399"/>
      <c r="AK139" s="399"/>
      <c r="AL139" s="399"/>
      <c r="AM139" s="399"/>
      <c r="AN139" s="399"/>
      <c r="AO139" s="399"/>
      <c r="AP139" s="399"/>
      <c r="AQ139" s="399"/>
      <c r="AR139" s="399"/>
      <c r="AS139" s="399"/>
      <c r="AT139" s="399"/>
      <c r="AU139" s="399"/>
      <c r="AV139" s="399"/>
    </row>
    <row r="140" spans="2:48" ht="16.5" customHeight="1" x14ac:dyDescent="0.5">
      <c r="B140" s="145" t="s">
        <v>255</v>
      </c>
      <c r="G140" s="402"/>
      <c r="H140" s="402"/>
      <c r="I140" s="402"/>
      <c r="J140" s="402"/>
      <c r="K140" s="402"/>
      <c r="L140" s="402"/>
      <c r="M140" s="402"/>
      <c r="N140" s="402"/>
      <c r="O140" s="402"/>
      <c r="P140" s="402"/>
      <c r="Q140" s="402"/>
      <c r="R140" s="402"/>
      <c r="S140" s="402"/>
      <c r="T140" s="402"/>
      <c r="U140" s="402"/>
      <c r="V140" s="402"/>
      <c r="W140" s="402"/>
      <c r="X140" s="402"/>
      <c r="Y140" s="402"/>
      <c r="Z140" s="402"/>
      <c r="AA140" s="402"/>
      <c r="AB140" s="402"/>
      <c r="AC140" s="402"/>
      <c r="AD140" s="402"/>
      <c r="AE140" s="402"/>
      <c r="AF140" s="402"/>
      <c r="AG140" s="402"/>
      <c r="AH140" s="402"/>
      <c r="AI140" s="402"/>
      <c r="AJ140" s="402"/>
      <c r="AK140" s="402"/>
      <c r="AL140" s="402"/>
      <c r="AM140" s="402"/>
      <c r="AN140" s="402"/>
      <c r="AO140" s="402"/>
      <c r="AP140" s="402"/>
      <c r="AQ140" s="402"/>
      <c r="AR140" s="402"/>
      <c r="AS140" s="402"/>
      <c r="AT140" s="402"/>
      <c r="AU140" s="402"/>
      <c r="AV140" s="402"/>
    </row>
    <row r="141" spans="2:48" ht="16.5" customHeight="1" x14ac:dyDescent="0.5">
      <c r="B141" s="145" t="s">
        <v>256</v>
      </c>
      <c r="G141" s="402"/>
      <c r="H141" s="402"/>
      <c r="I141" s="402"/>
      <c r="J141" s="402"/>
      <c r="K141" s="402"/>
      <c r="L141" s="402"/>
      <c r="M141" s="402"/>
      <c r="N141" s="402"/>
      <c r="O141" s="402"/>
      <c r="P141" s="402"/>
      <c r="Q141" s="402"/>
      <c r="R141" s="402"/>
      <c r="S141" s="402"/>
      <c r="T141" s="402"/>
      <c r="U141" s="402"/>
      <c r="V141" s="402"/>
      <c r="W141" s="402"/>
      <c r="X141" s="402"/>
      <c r="Y141" s="402"/>
      <c r="Z141" s="402"/>
      <c r="AA141" s="402"/>
      <c r="AB141" s="402"/>
      <c r="AC141" s="402"/>
      <c r="AD141" s="402"/>
      <c r="AE141" s="402"/>
      <c r="AF141" s="402"/>
      <c r="AG141" s="402"/>
      <c r="AH141" s="402"/>
      <c r="AI141" s="402"/>
      <c r="AJ141" s="402"/>
      <c r="AK141" s="402"/>
      <c r="AL141" s="402"/>
      <c r="AM141" s="402"/>
      <c r="AN141" s="402"/>
      <c r="AO141" s="402"/>
      <c r="AP141" s="402"/>
      <c r="AQ141" s="402"/>
      <c r="AR141" s="402"/>
      <c r="AS141" s="402"/>
      <c r="AT141" s="402"/>
      <c r="AU141" s="402"/>
      <c r="AV141" s="402"/>
    </row>
    <row r="142" spans="2:48" ht="16.5" customHeight="1" x14ac:dyDescent="0.5">
      <c r="B142" s="145" t="s">
        <v>312</v>
      </c>
      <c r="G142" s="147"/>
      <c r="H142" s="147"/>
      <c r="I142" s="147"/>
      <c r="J142" s="147"/>
      <c r="K142" s="147"/>
      <c r="L142" s="147"/>
      <c r="M142" s="147"/>
      <c r="N142" s="147"/>
      <c r="O142" s="147"/>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7"/>
      <c r="AL142" s="147"/>
      <c r="AM142" s="147"/>
      <c r="AN142" s="147"/>
      <c r="AO142" s="147"/>
      <c r="AP142" s="147"/>
      <c r="AQ142" s="147"/>
      <c r="AR142" s="147"/>
      <c r="AS142" s="147"/>
      <c r="AT142" s="147"/>
      <c r="AU142" s="147"/>
      <c r="AV142" s="402"/>
    </row>
    <row r="143" spans="2:48" ht="16.5" customHeight="1" x14ac:dyDescent="0.5">
      <c r="B143" s="137" t="s">
        <v>311</v>
      </c>
      <c r="AV143" s="399"/>
    </row>
    <row r="144" spans="2:48" s="151" customFormat="1" ht="16.5" customHeight="1" x14ac:dyDescent="0.5">
      <c r="B144" s="374" t="s">
        <v>57</v>
      </c>
      <c r="G144" s="285">
        <f>SUM(G136:G143)</f>
        <v>0</v>
      </c>
      <c r="H144" s="285">
        <f t="shared" ref="H144:AU144" si="110">SUM(H136:H143)</f>
        <v>0</v>
      </c>
      <c r="I144" s="285">
        <f t="shared" si="110"/>
        <v>0</v>
      </c>
      <c r="J144" s="285">
        <f t="shared" si="110"/>
        <v>0</v>
      </c>
      <c r="K144" s="285">
        <f t="shared" si="110"/>
        <v>0</v>
      </c>
      <c r="L144" s="285">
        <f t="shared" si="110"/>
        <v>0</v>
      </c>
      <c r="M144" s="285">
        <f t="shared" si="110"/>
        <v>0</v>
      </c>
      <c r="N144" s="285">
        <f t="shared" si="110"/>
        <v>0</v>
      </c>
      <c r="O144" s="285">
        <f t="shared" si="110"/>
        <v>0</v>
      </c>
      <c r="P144" s="285">
        <f t="shared" si="110"/>
        <v>0</v>
      </c>
      <c r="Q144" s="285">
        <f t="shared" si="110"/>
        <v>0</v>
      </c>
      <c r="R144" s="285">
        <f t="shared" si="110"/>
        <v>0</v>
      </c>
      <c r="S144" s="285">
        <f t="shared" si="110"/>
        <v>0</v>
      </c>
      <c r="T144" s="285">
        <f t="shared" si="110"/>
        <v>0</v>
      </c>
      <c r="U144" s="285">
        <f t="shared" si="110"/>
        <v>0</v>
      </c>
      <c r="V144" s="285">
        <f t="shared" si="110"/>
        <v>0</v>
      </c>
      <c r="W144" s="285">
        <f t="shared" si="110"/>
        <v>0</v>
      </c>
      <c r="X144" s="285">
        <f t="shared" si="110"/>
        <v>0</v>
      </c>
      <c r="Y144" s="285">
        <f t="shared" si="110"/>
        <v>0</v>
      </c>
      <c r="Z144" s="285">
        <f t="shared" si="110"/>
        <v>0</v>
      </c>
      <c r="AA144" s="285">
        <f t="shared" si="110"/>
        <v>0</v>
      </c>
      <c r="AB144" s="285">
        <f t="shared" si="110"/>
        <v>0</v>
      </c>
      <c r="AC144" s="285">
        <f t="shared" si="110"/>
        <v>0</v>
      </c>
      <c r="AD144" s="285">
        <f t="shared" si="110"/>
        <v>0</v>
      </c>
      <c r="AE144" s="285">
        <f t="shared" si="110"/>
        <v>0</v>
      </c>
      <c r="AF144" s="285">
        <f t="shared" si="110"/>
        <v>0</v>
      </c>
      <c r="AG144" s="285">
        <f t="shared" si="110"/>
        <v>0</v>
      </c>
      <c r="AH144" s="285">
        <f t="shared" si="110"/>
        <v>0</v>
      </c>
      <c r="AI144" s="285">
        <f t="shared" si="110"/>
        <v>0</v>
      </c>
      <c r="AJ144" s="285">
        <f t="shared" si="110"/>
        <v>0</v>
      </c>
      <c r="AK144" s="285">
        <f t="shared" si="110"/>
        <v>0</v>
      </c>
      <c r="AL144" s="285">
        <f t="shared" si="110"/>
        <v>0</v>
      </c>
      <c r="AM144" s="285">
        <f t="shared" si="110"/>
        <v>0</v>
      </c>
      <c r="AN144" s="285">
        <f t="shared" si="110"/>
        <v>0</v>
      </c>
      <c r="AO144" s="285">
        <f t="shared" si="110"/>
        <v>0</v>
      </c>
      <c r="AP144" s="285">
        <f t="shared" si="110"/>
        <v>0</v>
      </c>
      <c r="AQ144" s="285">
        <f t="shared" si="110"/>
        <v>0</v>
      </c>
      <c r="AR144" s="285">
        <f t="shared" si="110"/>
        <v>0</v>
      </c>
      <c r="AS144" s="285">
        <f t="shared" si="110"/>
        <v>0</v>
      </c>
      <c r="AT144" s="285">
        <f t="shared" si="110"/>
        <v>0</v>
      </c>
      <c r="AU144" s="285">
        <f t="shared" si="110"/>
        <v>0</v>
      </c>
      <c r="AV144" s="285">
        <f>SUM(AV136:AV143)</f>
        <v>0</v>
      </c>
    </row>
    <row r="145" spans="2:48" ht="16.5" customHeight="1" x14ac:dyDescent="0.5">
      <c r="B145" s="143" t="s">
        <v>58</v>
      </c>
    </row>
    <row r="146" spans="2:48" ht="16.5" customHeight="1" x14ac:dyDescent="0.5">
      <c r="B146" s="145" t="s">
        <v>249</v>
      </c>
      <c r="C146" s="402"/>
      <c r="D146" s="402"/>
      <c r="E146" s="402"/>
      <c r="F146" s="402"/>
      <c r="G146" s="402"/>
      <c r="H146" s="402"/>
    </row>
    <row r="147" spans="2:48" ht="16.5" customHeight="1" x14ac:dyDescent="0.5">
      <c r="B147" s="145" t="s">
        <v>250</v>
      </c>
      <c r="C147" s="147"/>
      <c r="D147" s="147"/>
      <c r="E147" s="147"/>
      <c r="F147" s="402"/>
      <c r="G147" s="402"/>
      <c r="H147" s="402"/>
    </row>
    <row r="148" spans="2:48" ht="16.5" customHeight="1" x14ac:dyDescent="0.5">
      <c r="B148" s="145" t="s">
        <v>251</v>
      </c>
      <c r="C148" s="402"/>
      <c r="D148" s="147"/>
      <c r="E148" s="147"/>
      <c r="F148" s="402"/>
      <c r="G148" s="147"/>
      <c r="H148" s="147"/>
    </row>
    <row r="149" spans="2:48" ht="16.5" customHeight="1" x14ac:dyDescent="0.5">
      <c r="B149" s="145" t="s">
        <v>297</v>
      </c>
      <c r="G149" s="399"/>
      <c r="H149" s="399"/>
      <c r="I149" s="399"/>
      <c r="J149" s="399"/>
      <c r="K149" s="399"/>
      <c r="L149" s="399"/>
      <c r="M149" s="399"/>
      <c r="N149" s="399"/>
      <c r="O149" s="399"/>
      <c r="P149" s="399"/>
      <c r="Q149" s="399"/>
      <c r="R149" s="399"/>
      <c r="S149" s="399"/>
      <c r="T149" s="399"/>
      <c r="U149" s="399"/>
      <c r="V149" s="399"/>
      <c r="W149" s="399"/>
      <c r="X149" s="399"/>
      <c r="Y149" s="399"/>
      <c r="Z149" s="399"/>
      <c r="AA149" s="399"/>
      <c r="AB149" s="399"/>
      <c r="AC149" s="399"/>
      <c r="AD149" s="399"/>
      <c r="AE149" s="399"/>
      <c r="AF149" s="399"/>
      <c r="AG149" s="399"/>
      <c r="AH149" s="399"/>
      <c r="AI149" s="399"/>
      <c r="AJ149" s="399"/>
      <c r="AK149" s="399"/>
      <c r="AL149" s="399"/>
      <c r="AM149" s="399"/>
      <c r="AN149" s="399"/>
      <c r="AO149" s="399"/>
      <c r="AP149" s="399"/>
      <c r="AQ149" s="399"/>
      <c r="AR149" s="399"/>
      <c r="AS149" s="399"/>
      <c r="AT149" s="399"/>
      <c r="AU149" s="399"/>
      <c r="AV149" s="399"/>
    </row>
    <row r="150" spans="2:48" s="151" customFormat="1" ht="16.5" customHeight="1" x14ac:dyDescent="0.5">
      <c r="B150" s="375" t="s">
        <v>59</v>
      </c>
      <c r="C150" s="376">
        <f>SUM(C146:C149)</f>
        <v>0</v>
      </c>
      <c r="D150" s="376">
        <f t="shared" ref="D150:AV150" si="111">SUM(D146:D149)</f>
        <v>0</v>
      </c>
      <c r="E150" s="376">
        <f t="shared" si="111"/>
        <v>0</v>
      </c>
      <c r="F150" s="376">
        <f t="shared" si="111"/>
        <v>0</v>
      </c>
      <c r="G150" s="376">
        <f t="shared" si="111"/>
        <v>0</v>
      </c>
      <c r="H150" s="376">
        <f t="shared" si="111"/>
        <v>0</v>
      </c>
      <c r="I150" s="376">
        <f t="shared" si="111"/>
        <v>0</v>
      </c>
      <c r="J150" s="376">
        <f t="shared" si="111"/>
        <v>0</v>
      </c>
      <c r="K150" s="376">
        <f t="shared" si="111"/>
        <v>0</v>
      </c>
      <c r="L150" s="376">
        <f t="shared" si="111"/>
        <v>0</v>
      </c>
      <c r="M150" s="376">
        <f t="shared" si="111"/>
        <v>0</v>
      </c>
      <c r="N150" s="376">
        <f t="shared" si="111"/>
        <v>0</v>
      </c>
      <c r="O150" s="376">
        <f t="shared" si="111"/>
        <v>0</v>
      </c>
      <c r="P150" s="376">
        <f t="shared" si="111"/>
        <v>0</v>
      </c>
      <c r="Q150" s="376">
        <f t="shared" si="111"/>
        <v>0</v>
      </c>
      <c r="R150" s="376">
        <f t="shared" si="111"/>
        <v>0</v>
      </c>
      <c r="S150" s="376">
        <f t="shared" si="111"/>
        <v>0</v>
      </c>
      <c r="T150" s="376">
        <f t="shared" si="111"/>
        <v>0</v>
      </c>
      <c r="U150" s="376">
        <f t="shared" si="111"/>
        <v>0</v>
      </c>
      <c r="V150" s="376">
        <f t="shared" si="111"/>
        <v>0</v>
      </c>
      <c r="W150" s="376">
        <f t="shared" si="111"/>
        <v>0</v>
      </c>
      <c r="X150" s="376">
        <f t="shared" si="111"/>
        <v>0</v>
      </c>
      <c r="Y150" s="376">
        <f t="shared" si="111"/>
        <v>0</v>
      </c>
      <c r="Z150" s="376">
        <f t="shared" si="111"/>
        <v>0</v>
      </c>
      <c r="AA150" s="376">
        <f t="shared" si="111"/>
        <v>0</v>
      </c>
      <c r="AB150" s="376">
        <f t="shared" si="111"/>
        <v>0</v>
      </c>
      <c r="AC150" s="376">
        <f t="shared" si="111"/>
        <v>0</v>
      </c>
      <c r="AD150" s="376">
        <f t="shared" si="111"/>
        <v>0</v>
      </c>
      <c r="AE150" s="376">
        <f t="shared" si="111"/>
        <v>0</v>
      </c>
      <c r="AF150" s="376">
        <f t="shared" si="111"/>
        <v>0</v>
      </c>
      <c r="AG150" s="376">
        <f t="shared" si="111"/>
        <v>0</v>
      </c>
      <c r="AH150" s="376">
        <f t="shared" si="111"/>
        <v>0</v>
      </c>
      <c r="AI150" s="376">
        <f t="shared" si="111"/>
        <v>0</v>
      </c>
      <c r="AJ150" s="376">
        <f t="shared" si="111"/>
        <v>0</v>
      </c>
      <c r="AK150" s="376">
        <f t="shared" si="111"/>
        <v>0</v>
      </c>
      <c r="AL150" s="376">
        <f t="shared" si="111"/>
        <v>0</v>
      </c>
      <c r="AM150" s="376">
        <f t="shared" si="111"/>
        <v>0</v>
      </c>
      <c r="AN150" s="376">
        <f t="shared" si="111"/>
        <v>0</v>
      </c>
      <c r="AO150" s="376">
        <f t="shared" si="111"/>
        <v>0</v>
      </c>
      <c r="AP150" s="376">
        <f t="shared" si="111"/>
        <v>0</v>
      </c>
      <c r="AQ150" s="376">
        <f t="shared" si="111"/>
        <v>0</v>
      </c>
      <c r="AR150" s="376">
        <f t="shared" si="111"/>
        <v>0</v>
      </c>
      <c r="AS150" s="376">
        <f t="shared" si="111"/>
        <v>0</v>
      </c>
      <c r="AT150" s="376">
        <f t="shared" si="111"/>
        <v>0</v>
      </c>
      <c r="AU150" s="376">
        <f t="shared" si="111"/>
        <v>0</v>
      </c>
      <c r="AV150" s="376">
        <f t="shared" si="111"/>
        <v>0</v>
      </c>
    </row>
    <row r="151" spans="2:48" ht="16.5" customHeight="1" x14ac:dyDescent="0.5">
      <c r="B151" s="185" t="s">
        <v>216</v>
      </c>
      <c r="C151" s="186">
        <f t="shared" ref="C151:AV151" si="112">C144-C150</f>
        <v>0</v>
      </c>
      <c r="D151" s="186">
        <f t="shared" si="112"/>
        <v>0</v>
      </c>
      <c r="E151" s="186">
        <f t="shared" si="112"/>
        <v>0</v>
      </c>
      <c r="F151" s="186">
        <f t="shared" si="112"/>
        <v>0</v>
      </c>
      <c r="G151" s="186">
        <f t="shared" si="112"/>
        <v>0</v>
      </c>
      <c r="H151" s="186">
        <f t="shared" si="112"/>
        <v>0</v>
      </c>
      <c r="I151" s="186">
        <f t="shared" si="112"/>
        <v>0</v>
      </c>
      <c r="J151" s="186">
        <f t="shared" si="112"/>
        <v>0</v>
      </c>
      <c r="K151" s="186">
        <f t="shared" si="112"/>
        <v>0</v>
      </c>
      <c r="L151" s="186">
        <f t="shared" si="112"/>
        <v>0</v>
      </c>
      <c r="M151" s="186">
        <f t="shared" si="112"/>
        <v>0</v>
      </c>
      <c r="N151" s="186">
        <f t="shared" si="112"/>
        <v>0</v>
      </c>
      <c r="O151" s="186">
        <f t="shared" si="112"/>
        <v>0</v>
      </c>
      <c r="P151" s="186">
        <f t="shared" si="112"/>
        <v>0</v>
      </c>
      <c r="Q151" s="186">
        <f t="shared" si="112"/>
        <v>0</v>
      </c>
      <c r="R151" s="186">
        <f t="shared" si="112"/>
        <v>0</v>
      </c>
      <c r="S151" s="186">
        <f t="shared" si="112"/>
        <v>0</v>
      </c>
      <c r="T151" s="186">
        <f t="shared" si="112"/>
        <v>0</v>
      </c>
      <c r="U151" s="186">
        <f t="shared" si="112"/>
        <v>0</v>
      </c>
      <c r="V151" s="186">
        <f t="shared" si="112"/>
        <v>0</v>
      </c>
      <c r="W151" s="186">
        <f t="shared" si="112"/>
        <v>0</v>
      </c>
      <c r="X151" s="186">
        <f t="shared" si="112"/>
        <v>0</v>
      </c>
      <c r="Y151" s="186">
        <f t="shared" si="112"/>
        <v>0</v>
      </c>
      <c r="Z151" s="186">
        <f t="shared" si="112"/>
        <v>0</v>
      </c>
      <c r="AA151" s="186">
        <f t="shared" si="112"/>
        <v>0</v>
      </c>
      <c r="AB151" s="186">
        <f t="shared" si="112"/>
        <v>0</v>
      </c>
      <c r="AC151" s="186">
        <f t="shared" si="112"/>
        <v>0</v>
      </c>
      <c r="AD151" s="186">
        <f t="shared" si="112"/>
        <v>0</v>
      </c>
      <c r="AE151" s="186">
        <f t="shared" si="112"/>
        <v>0</v>
      </c>
      <c r="AF151" s="186">
        <f t="shared" si="112"/>
        <v>0</v>
      </c>
      <c r="AG151" s="186">
        <f t="shared" si="112"/>
        <v>0</v>
      </c>
      <c r="AH151" s="186">
        <f t="shared" si="112"/>
        <v>0</v>
      </c>
      <c r="AI151" s="186">
        <f t="shared" si="112"/>
        <v>0</v>
      </c>
      <c r="AJ151" s="186">
        <f t="shared" si="112"/>
        <v>0</v>
      </c>
      <c r="AK151" s="186">
        <f t="shared" si="112"/>
        <v>0</v>
      </c>
      <c r="AL151" s="186">
        <f t="shared" si="112"/>
        <v>0</v>
      </c>
      <c r="AM151" s="186">
        <f t="shared" si="112"/>
        <v>0</v>
      </c>
      <c r="AN151" s="186">
        <f t="shared" si="112"/>
        <v>0</v>
      </c>
      <c r="AO151" s="186">
        <f t="shared" si="112"/>
        <v>0</v>
      </c>
      <c r="AP151" s="186">
        <f t="shared" si="112"/>
        <v>0</v>
      </c>
      <c r="AQ151" s="186">
        <f t="shared" si="112"/>
        <v>0</v>
      </c>
      <c r="AR151" s="186">
        <f t="shared" si="112"/>
        <v>0</v>
      </c>
      <c r="AS151" s="186">
        <f t="shared" si="112"/>
        <v>0</v>
      </c>
      <c r="AT151" s="186">
        <f t="shared" si="112"/>
        <v>0</v>
      </c>
      <c r="AU151" s="186">
        <f t="shared" si="112"/>
        <v>0</v>
      </c>
      <c r="AV151" s="186">
        <f t="shared" si="112"/>
        <v>0</v>
      </c>
    </row>
    <row r="152" spans="2:48" ht="16.5" customHeight="1" x14ac:dyDescent="0.5">
      <c r="B152" s="201" t="s">
        <v>217</v>
      </c>
      <c r="C152" s="202">
        <f t="shared" ref="C152:AV152" si="113">C151/C9</f>
        <v>0</v>
      </c>
      <c r="D152" s="202">
        <f t="shared" si="113"/>
        <v>0</v>
      </c>
      <c r="E152" s="202">
        <f t="shared" si="113"/>
        <v>0</v>
      </c>
      <c r="F152" s="202">
        <f t="shared" si="113"/>
        <v>0</v>
      </c>
      <c r="G152" s="202">
        <f t="shared" si="113"/>
        <v>0</v>
      </c>
      <c r="H152" s="202">
        <f t="shared" si="113"/>
        <v>0</v>
      </c>
      <c r="I152" s="202">
        <f t="shared" si="113"/>
        <v>0</v>
      </c>
      <c r="J152" s="202">
        <f t="shared" si="113"/>
        <v>0</v>
      </c>
      <c r="K152" s="202">
        <f t="shared" si="113"/>
        <v>0</v>
      </c>
      <c r="L152" s="202">
        <f t="shared" si="113"/>
        <v>0</v>
      </c>
      <c r="M152" s="202">
        <f t="shared" si="113"/>
        <v>0</v>
      </c>
      <c r="N152" s="202">
        <f t="shared" si="113"/>
        <v>0</v>
      </c>
      <c r="O152" s="202">
        <f t="shared" si="113"/>
        <v>0</v>
      </c>
      <c r="P152" s="202">
        <f t="shared" si="113"/>
        <v>0</v>
      </c>
      <c r="Q152" s="202">
        <f t="shared" si="113"/>
        <v>0</v>
      </c>
      <c r="R152" s="202">
        <f t="shared" si="113"/>
        <v>0</v>
      </c>
      <c r="S152" s="202">
        <f t="shared" si="113"/>
        <v>0</v>
      </c>
      <c r="T152" s="202">
        <f t="shared" si="113"/>
        <v>0</v>
      </c>
      <c r="U152" s="202">
        <f t="shared" si="113"/>
        <v>0</v>
      </c>
      <c r="V152" s="202">
        <f t="shared" si="113"/>
        <v>0</v>
      </c>
      <c r="W152" s="202">
        <f t="shared" si="113"/>
        <v>0</v>
      </c>
      <c r="X152" s="202">
        <f t="shared" si="113"/>
        <v>0</v>
      </c>
      <c r="Y152" s="202">
        <f t="shared" si="113"/>
        <v>0</v>
      </c>
      <c r="Z152" s="202">
        <f t="shared" si="113"/>
        <v>0</v>
      </c>
      <c r="AA152" s="202">
        <f t="shared" si="113"/>
        <v>0</v>
      </c>
      <c r="AB152" s="202">
        <f t="shared" si="113"/>
        <v>0</v>
      </c>
      <c r="AC152" s="202">
        <f t="shared" si="113"/>
        <v>0</v>
      </c>
      <c r="AD152" s="202">
        <f t="shared" si="113"/>
        <v>0</v>
      </c>
      <c r="AE152" s="202">
        <f t="shared" si="113"/>
        <v>0</v>
      </c>
      <c r="AF152" s="202">
        <f t="shared" si="113"/>
        <v>0</v>
      </c>
      <c r="AG152" s="202">
        <f t="shared" si="113"/>
        <v>0</v>
      </c>
      <c r="AH152" s="202">
        <f t="shared" si="113"/>
        <v>0</v>
      </c>
      <c r="AI152" s="202">
        <f t="shared" si="113"/>
        <v>0</v>
      </c>
      <c r="AJ152" s="202">
        <f t="shared" si="113"/>
        <v>0</v>
      </c>
      <c r="AK152" s="202">
        <f t="shared" si="113"/>
        <v>0</v>
      </c>
      <c r="AL152" s="202">
        <f t="shared" si="113"/>
        <v>0</v>
      </c>
      <c r="AM152" s="202">
        <f t="shared" si="113"/>
        <v>0</v>
      </c>
      <c r="AN152" s="202">
        <f t="shared" si="113"/>
        <v>0</v>
      </c>
      <c r="AO152" s="202">
        <f t="shared" si="113"/>
        <v>0</v>
      </c>
      <c r="AP152" s="202">
        <f t="shared" si="113"/>
        <v>0</v>
      </c>
      <c r="AQ152" s="202">
        <f t="shared" si="113"/>
        <v>0</v>
      </c>
      <c r="AR152" s="202">
        <f t="shared" si="113"/>
        <v>0</v>
      </c>
      <c r="AS152" s="202">
        <f t="shared" si="113"/>
        <v>0</v>
      </c>
      <c r="AT152" s="202">
        <f t="shared" si="113"/>
        <v>0</v>
      </c>
      <c r="AU152" s="202">
        <f t="shared" si="113"/>
        <v>0</v>
      </c>
      <c r="AV152" s="202">
        <f t="shared" si="113"/>
        <v>0</v>
      </c>
    </row>
    <row r="153" spans="2:48" ht="16.5" customHeight="1" x14ac:dyDescent="0.5"/>
    <row r="154" spans="2:48" ht="16.5" customHeight="1" x14ac:dyDescent="0.5">
      <c r="B154" s="271" t="s">
        <v>44</v>
      </c>
      <c r="C154" s="279" t="s">
        <v>60</v>
      </c>
      <c r="D154" s="281"/>
      <c r="E154" s="281"/>
      <c r="F154" s="281"/>
      <c r="G154" s="288"/>
      <c r="H154" s="288"/>
      <c r="I154" s="288"/>
      <c r="J154" s="288"/>
      <c r="K154" s="288"/>
      <c r="L154" s="288"/>
      <c r="M154" s="288"/>
    </row>
    <row r="155" spans="2:48" ht="16.5" customHeight="1" x14ac:dyDescent="0.5">
      <c r="B155" s="274" t="s">
        <v>4</v>
      </c>
      <c r="C155" s="282">
        <v>0.06</v>
      </c>
      <c r="D155" s="282">
        <f>C155+3%</f>
        <v>0.09</v>
      </c>
      <c r="E155" s="282">
        <f t="shared" ref="E155:F155" si="114">D155+3%</f>
        <v>0.12</v>
      </c>
      <c r="F155" s="282">
        <f t="shared" si="114"/>
        <v>0.15</v>
      </c>
      <c r="G155" s="289"/>
      <c r="H155" s="289"/>
      <c r="I155" s="289"/>
      <c r="J155" s="289"/>
      <c r="K155" s="289"/>
      <c r="L155" s="289"/>
      <c r="M155" s="289"/>
    </row>
    <row r="156" spans="2:48" ht="16.5" customHeight="1" x14ac:dyDescent="0.5">
      <c r="B156" s="274" t="s">
        <v>48</v>
      </c>
      <c r="C156" s="275">
        <f>NPV(C155,$D152:$AV152)+$C$152</f>
        <v>0</v>
      </c>
      <c r="D156" s="275">
        <f>NPV(D155,$D152:$AV152)+$C$152</f>
        <v>0</v>
      </c>
      <c r="E156" s="275">
        <f>NPV(E155,$D152:$AV152)+$C$152</f>
        <v>0</v>
      </c>
      <c r="F156" s="275">
        <f>NPV(F155,$D152:$AV152)+$C$152</f>
        <v>0</v>
      </c>
      <c r="G156" s="287"/>
      <c r="H156" s="287"/>
      <c r="I156" s="287"/>
      <c r="J156" s="287"/>
      <c r="K156" s="287"/>
      <c r="L156" s="287"/>
      <c r="M156" s="287"/>
    </row>
    <row r="157" spans="2:48" ht="16.5" customHeight="1" x14ac:dyDescent="0.5">
      <c r="B157" s="274" t="s">
        <v>246</v>
      </c>
      <c r="C157" s="276" t="e">
        <f>IRR(C152:AV152)</f>
        <v>#NUM!</v>
      </c>
      <c r="D157" s="274"/>
      <c r="E157" s="274"/>
      <c r="F157" s="274"/>
      <c r="G157" s="290"/>
      <c r="H157" s="290"/>
      <c r="I157" s="290"/>
      <c r="J157" s="290"/>
      <c r="K157" s="290"/>
      <c r="L157" s="290"/>
      <c r="M157" s="290"/>
    </row>
    <row r="158" spans="2:48" ht="16.5" customHeight="1" x14ac:dyDescent="0.5">
      <c r="B158" s="274" t="s">
        <v>247</v>
      </c>
      <c r="C158" s="405"/>
      <c r="D158" s="274"/>
      <c r="E158" s="274"/>
      <c r="F158" s="274"/>
      <c r="G158" s="290"/>
      <c r="H158" s="290"/>
      <c r="I158" s="290"/>
      <c r="J158" s="290"/>
      <c r="K158" s="290"/>
      <c r="L158" s="290"/>
      <c r="M158" s="290"/>
    </row>
    <row r="159" spans="2:48" ht="16.5" customHeight="1" x14ac:dyDescent="0.5"/>
    <row r="160" spans="2:48" ht="16.5" customHeight="1" x14ac:dyDescent="0.5">
      <c r="B160" s="291"/>
      <c r="C160" s="292"/>
      <c r="D160" s="292"/>
      <c r="E160" s="292"/>
      <c r="F160" s="292"/>
      <c r="G160" s="292"/>
      <c r="H160" s="293"/>
      <c r="I160" s="292"/>
      <c r="J160" s="292"/>
      <c r="K160" s="292"/>
      <c r="L160" s="292"/>
      <c r="M160" s="292"/>
      <c r="N160" s="292"/>
      <c r="O160" s="292"/>
      <c r="P160" s="292"/>
      <c r="Q160" s="292"/>
      <c r="R160" s="292"/>
      <c r="S160" s="292"/>
      <c r="T160" s="292"/>
      <c r="U160" s="292"/>
      <c r="V160" s="292"/>
      <c r="W160" s="292"/>
      <c r="X160" s="292"/>
      <c r="Y160" s="292"/>
      <c r="Z160" s="292"/>
      <c r="AA160" s="292"/>
      <c r="AB160" s="292"/>
      <c r="AC160" s="292"/>
      <c r="AD160" s="292"/>
      <c r="AE160" s="292"/>
      <c r="AF160" s="292"/>
      <c r="AG160" s="292"/>
      <c r="AH160" s="292"/>
      <c r="AI160" s="292"/>
      <c r="AJ160" s="292"/>
      <c r="AK160" s="292"/>
      <c r="AL160" s="292"/>
      <c r="AM160" s="292"/>
      <c r="AN160" s="292"/>
      <c r="AO160" s="292"/>
      <c r="AP160" s="292"/>
      <c r="AQ160" s="292"/>
      <c r="AR160" s="292"/>
      <c r="AS160" s="292"/>
      <c r="AT160" s="292"/>
      <c r="AU160" s="292"/>
      <c r="AV160" s="292"/>
    </row>
    <row r="161" spans="2:48" ht="22.5" customHeight="1" x14ac:dyDescent="0.5">
      <c r="B161" s="164" t="s">
        <v>61</v>
      </c>
      <c r="C161" s="152" t="s">
        <v>3</v>
      </c>
      <c r="D161" s="153">
        <f>'Thông số'!I12</f>
        <v>7.205780744205445E-2</v>
      </c>
      <c r="E161" s="152" t="s">
        <v>0</v>
      </c>
      <c r="F161" s="153">
        <f>'Thông số'!I9</f>
        <v>5.0600000000000006E-2</v>
      </c>
      <c r="G161" s="152" t="s">
        <v>1</v>
      </c>
      <c r="H161" s="153">
        <f>'Thông số'!I10</f>
        <v>6.59E-2</v>
      </c>
      <c r="P161" s="154"/>
    </row>
    <row r="162" spans="2:48" ht="15" customHeight="1" x14ac:dyDescent="0.5">
      <c r="B162" s="166" t="str">
        <f t="shared" ref="B162:AV162" si="115">B13</f>
        <v>Năm dự án</v>
      </c>
      <c r="C162" s="166">
        <f t="shared" si="115"/>
        <v>0</v>
      </c>
      <c r="D162" s="166">
        <f t="shared" si="115"/>
        <v>1</v>
      </c>
      <c r="E162" s="166">
        <f t="shared" si="115"/>
        <v>2</v>
      </c>
      <c r="F162" s="166">
        <f t="shared" si="115"/>
        <v>3</v>
      </c>
      <c r="G162" s="166">
        <f t="shared" si="115"/>
        <v>4</v>
      </c>
      <c r="H162" s="166">
        <f t="shared" si="115"/>
        <v>5</v>
      </c>
      <c r="I162" s="166">
        <f t="shared" si="115"/>
        <v>6</v>
      </c>
      <c r="J162" s="166">
        <f t="shared" si="115"/>
        <v>7</v>
      </c>
      <c r="K162" s="166">
        <f t="shared" si="115"/>
        <v>8</v>
      </c>
      <c r="L162" s="166">
        <f t="shared" si="115"/>
        <v>9</v>
      </c>
      <c r="M162" s="166">
        <f t="shared" si="115"/>
        <v>10</v>
      </c>
      <c r="N162" s="166">
        <f t="shared" si="115"/>
        <v>11</v>
      </c>
      <c r="O162" s="166">
        <f t="shared" si="115"/>
        <v>12</v>
      </c>
      <c r="P162" s="166">
        <f t="shared" si="115"/>
        <v>13</v>
      </c>
      <c r="Q162" s="166">
        <f t="shared" si="115"/>
        <v>14</v>
      </c>
      <c r="R162" s="166">
        <f t="shared" si="115"/>
        <v>15</v>
      </c>
      <c r="S162" s="166">
        <f t="shared" si="115"/>
        <v>16</v>
      </c>
      <c r="T162" s="166">
        <f t="shared" si="115"/>
        <v>17</v>
      </c>
      <c r="U162" s="166">
        <f t="shared" si="115"/>
        <v>18</v>
      </c>
      <c r="V162" s="166">
        <f t="shared" si="115"/>
        <v>19</v>
      </c>
      <c r="W162" s="166">
        <f t="shared" si="115"/>
        <v>20</v>
      </c>
      <c r="X162" s="166">
        <f t="shared" si="115"/>
        <v>21</v>
      </c>
      <c r="Y162" s="166">
        <f t="shared" si="115"/>
        <v>22</v>
      </c>
      <c r="Z162" s="166">
        <f t="shared" si="115"/>
        <v>23</v>
      </c>
      <c r="AA162" s="166">
        <f t="shared" si="115"/>
        <v>24</v>
      </c>
      <c r="AB162" s="166">
        <f t="shared" si="115"/>
        <v>25</v>
      </c>
      <c r="AC162" s="166">
        <f t="shared" si="115"/>
        <v>26</v>
      </c>
      <c r="AD162" s="166">
        <f t="shared" si="115"/>
        <v>27</v>
      </c>
      <c r="AE162" s="166">
        <f t="shared" si="115"/>
        <v>28</v>
      </c>
      <c r="AF162" s="166">
        <f t="shared" si="115"/>
        <v>29</v>
      </c>
      <c r="AG162" s="166">
        <f t="shared" si="115"/>
        <v>30</v>
      </c>
      <c r="AH162" s="166">
        <f t="shared" si="115"/>
        <v>31</v>
      </c>
      <c r="AI162" s="166">
        <f t="shared" si="115"/>
        <v>32</v>
      </c>
      <c r="AJ162" s="166">
        <f t="shared" si="115"/>
        <v>33</v>
      </c>
      <c r="AK162" s="166">
        <f t="shared" si="115"/>
        <v>34</v>
      </c>
      <c r="AL162" s="166">
        <f t="shared" si="115"/>
        <v>35</v>
      </c>
      <c r="AM162" s="166">
        <f t="shared" si="115"/>
        <v>36</v>
      </c>
      <c r="AN162" s="166">
        <f t="shared" si="115"/>
        <v>37</v>
      </c>
      <c r="AO162" s="166">
        <f t="shared" si="115"/>
        <v>38</v>
      </c>
      <c r="AP162" s="166">
        <f t="shared" si="115"/>
        <v>39</v>
      </c>
      <c r="AQ162" s="166">
        <f t="shared" si="115"/>
        <v>40</v>
      </c>
      <c r="AR162" s="166">
        <f t="shared" si="115"/>
        <v>41</v>
      </c>
      <c r="AS162" s="166">
        <f t="shared" si="115"/>
        <v>42</v>
      </c>
      <c r="AT162" s="166">
        <f t="shared" si="115"/>
        <v>43</v>
      </c>
      <c r="AU162" s="166">
        <f t="shared" si="115"/>
        <v>44</v>
      </c>
      <c r="AV162" s="166">
        <f t="shared" si="115"/>
        <v>45</v>
      </c>
    </row>
    <row r="163" spans="2:48" ht="16.5" customHeight="1" x14ac:dyDescent="0.5">
      <c r="B163" s="155" t="str">
        <f>B60</f>
        <v>NCF_TIPV (Triệu J$)</v>
      </c>
      <c r="C163" s="141">
        <f t="shared" ref="C163:AV163" si="116">C62</f>
        <v>0</v>
      </c>
      <c r="D163" s="141">
        <f t="shared" si="116"/>
        <v>0</v>
      </c>
      <c r="E163" s="141">
        <f t="shared" si="116"/>
        <v>0</v>
      </c>
      <c r="F163" s="141">
        <f t="shared" si="116"/>
        <v>0</v>
      </c>
      <c r="G163" s="141">
        <f t="shared" si="116"/>
        <v>0</v>
      </c>
      <c r="H163" s="141">
        <f t="shared" si="116"/>
        <v>0</v>
      </c>
      <c r="I163" s="141">
        <f t="shared" si="116"/>
        <v>0</v>
      </c>
      <c r="J163" s="141">
        <f t="shared" si="116"/>
        <v>0</v>
      </c>
      <c r="K163" s="141">
        <f t="shared" si="116"/>
        <v>0</v>
      </c>
      <c r="L163" s="141">
        <f t="shared" si="116"/>
        <v>0</v>
      </c>
      <c r="M163" s="141">
        <f t="shared" si="116"/>
        <v>0</v>
      </c>
      <c r="N163" s="141">
        <f t="shared" si="116"/>
        <v>0</v>
      </c>
      <c r="O163" s="141">
        <f t="shared" si="116"/>
        <v>0</v>
      </c>
      <c r="P163" s="141">
        <f t="shared" si="116"/>
        <v>0</v>
      </c>
      <c r="Q163" s="141">
        <f t="shared" si="116"/>
        <v>0</v>
      </c>
      <c r="R163" s="141">
        <f t="shared" si="116"/>
        <v>0</v>
      </c>
      <c r="S163" s="141">
        <f t="shared" si="116"/>
        <v>0</v>
      </c>
      <c r="T163" s="141">
        <f t="shared" si="116"/>
        <v>0</v>
      </c>
      <c r="U163" s="141">
        <f t="shared" si="116"/>
        <v>0</v>
      </c>
      <c r="V163" s="141">
        <f t="shared" si="116"/>
        <v>0</v>
      </c>
      <c r="W163" s="141">
        <f t="shared" si="116"/>
        <v>0</v>
      </c>
      <c r="X163" s="141">
        <f t="shared" si="116"/>
        <v>0</v>
      </c>
      <c r="Y163" s="141">
        <f t="shared" si="116"/>
        <v>0</v>
      </c>
      <c r="Z163" s="141">
        <f t="shared" si="116"/>
        <v>0</v>
      </c>
      <c r="AA163" s="141">
        <f t="shared" si="116"/>
        <v>0</v>
      </c>
      <c r="AB163" s="141">
        <f t="shared" si="116"/>
        <v>0</v>
      </c>
      <c r="AC163" s="141">
        <f t="shared" si="116"/>
        <v>0</v>
      </c>
      <c r="AD163" s="141">
        <f t="shared" si="116"/>
        <v>0</v>
      </c>
      <c r="AE163" s="141">
        <f t="shared" si="116"/>
        <v>0</v>
      </c>
      <c r="AF163" s="141">
        <f t="shared" si="116"/>
        <v>0</v>
      </c>
      <c r="AG163" s="141">
        <f t="shared" si="116"/>
        <v>0</v>
      </c>
      <c r="AH163" s="141">
        <f t="shared" si="116"/>
        <v>0</v>
      </c>
      <c r="AI163" s="141">
        <f t="shared" si="116"/>
        <v>0</v>
      </c>
      <c r="AJ163" s="141">
        <f t="shared" si="116"/>
        <v>0</v>
      </c>
      <c r="AK163" s="141">
        <f t="shared" si="116"/>
        <v>0</v>
      </c>
      <c r="AL163" s="141">
        <f t="shared" si="116"/>
        <v>0</v>
      </c>
      <c r="AM163" s="141">
        <f t="shared" si="116"/>
        <v>0</v>
      </c>
      <c r="AN163" s="141">
        <f t="shared" si="116"/>
        <v>0</v>
      </c>
      <c r="AO163" s="141">
        <f t="shared" si="116"/>
        <v>0</v>
      </c>
      <c r="AP163" s="141">
        <f t="shared" si="116"/>
        <v>0</v>
      </c>
      <c r="AQ163" s="141">
        <f t="shared" si="116"/>
        <v>0</v>
      </c>
      <c r="AR163" s="141">
        <f t="shared" si="116"/>
        <v>0</v>
      </c>
      <c r="AS163" s="141">
        <f t="shared" si="116"/>
        <v>0</v>
      </c>
      <c r="AT163" s="141">
        <f t="shared" si="116"/>
        <v>0</v>
      </c>
      <c r="AU163" s="141">
        <f t="shared" si="116"/>
        <v>0</v>
      </c>
      <c r="AV163" s="141">
        <f t="shared" si="116"/>
        <v>0</v>
      </c>
    </row>
    <row r="164" spans="2:48" ht="16.5" customHeight="1" x14ac:dyDescent="0.5">
      <c r="B164" s="137" t="s">
        <v>62</v>
      </c>
      <c r="C164" s="141">
        <f t="shared" ref="C164:AU164" si="117">NPV($D$65,D163:$AV163)</f>
        <v>0</v>
      </c>
      <c r="D164" s="141">
        <f t="shared" si="117"/>
        <v>0</v>
      </c>
      <c r="E164" s="141">
        <f t="shared" si="117"/>
        <v>0</v>
      </c>
      <c r="F164" s="141">
        <f t="shared" si="117"/>
        <v>0</v>
      </c>
      <c r="G164" s="141">
        <f t="shared" si="117"/>
        <v>0</v>
      </c>
      <c r="H164" s="141">
        <f t="shared" si="117"/>
        <v>0</v>
      </c>
      <c r="I164" s="141">
        <f t="shared" si="117"/>
        <v>0</v>
      </c>
      <c r="J164" s="141">
        <f t="shared" si="117"/>
        <v>0</v>
      </c>
      <c r="K164" s="141">
        <f t="shared" si="117"/>
        <v>0</v>
      </c>
      <c r="L164" s="141">
        <f t="shared" si="117"/>
        <v>0</v>
      </c>
      <c r="M164" s="141">
        <f t="shared" si="117"/>
        <v>0</v>
      </c>
      <c r="N164" s="141">
        <f t="shared" si="117"/>
        <v>0</v>
      </c>
      <c r="O164" s="141">
        <f t="shared" si="117"/>
        <v>0</v>
      </c>
      <c r="P164" s="141">
        <f t="shared" si="117"/>
        <v>0</v>
      </c>
      <c r="Q164" s="141">
        <f t="shared" si="117"/>
        <v>0</v>
      </c>
      <c r="R164" s="141">
        <f t="shared" si="117"/>
        <v>0</v>
      </c>
      <c r="S164" s="141">
        <f t="shared" si="117"/>
        <v>0</v>
      </c>
      <c r="T164" s="141">
        <f t="shared" si="117"/>
        <v>0</v>
      </c>
      <c r="U164" s="141">
        <f t="shared" si="117"/>
        <v>0</v>
      </c>
      <c r="V164" s="141">
        <f t="shared" si="117"/>
        <v>0</v>
      </c>
      <c r="W164" s="141">
        <f t="shared" si="117"/>
        <v>0</v>
      </c>
      <c r="X164" s="141">
        <f t="shared" si="117"/>
        <v>0</v>
      </c>
      <c r="Y164" s="141">
        <f t="shared" si="117"/>
        <v>0</v>
      </c>
      <c r="Z164" s="141">
        <f t="shared" si="117"/>
        <v>0</v>
      </c>
      <c r="AA164" s="141">
        <f t="shared" si="117"/>
        <v>0</v>
      </c>
      <c r="AB164" s="141">
        <f t="shared" si="117"/>
        <v>0</v>
      </c>
      <c r="AC164" s="141">
        <f t="shared" si="117"/>
        <v>0</v>
      </c>
      <c r="AD164" s="141">
        <f t="shared" si="117"/>
        <v>0</v>
      </c>
      <c r="AE164" s="141">
        <f t="shared" si="117"/>
        <v>0</v>
      </c>
      <c r="AF164" s="141">
        <f t="shared" si="117"/>
        <v>0</v>
      </c>
      <c r="AG164" s="141">
        <f t="shared" si="117"/>
        <v>0</v>
      </c>
      <c r="AH164" s="141">
        <f t="shared" si="117"/>
        <v>0</v>
      </c>
      <c r="AI164" s="141">
        <f t="shared" si="117"/>
        <v>0</v>
      </c>
      <c r="AJ164" s="141">
        <f t="shared" si="117"/>
        <v>0</v>
      </c>
      <c r="AK164" s="141">
        <f t="shared" si="117"/>
        <v>0</v>
      </c>
      <c r="AL164" s="141">
        <f t="shared" si="117"/>
        <v>0</v>
      </c>
      <c r="AM164" s="141">
        <f t="shared" si="117"/>
        <v>0</v>
      </c>
      <c r="AN164" s="141">
        <f t="shared" si="117"/>
        <v>0</v>
      </c>
      <c r="AO164" s="141">
        <f t="shared" si="117"/>
        <v>0</v>
      </c>
      <c r="AP164" s="141">
        <f t="shared" si="117"/>
        <v>0</v>
      </c>
      <c r="AQ164" s="141">
        <f t="shared" si="117"/>
        <v>0</v>
      </c>
      <c r="AR164" s="141">
        <f t="shared" si="117"/>
        <v>0</v>
      </c>
      <c r="AS164" s="141">
        <f t="shared" si="117"/>
        <v>0</v>
      </c>
      <c r="AT164" s="141">
        <f t="shared" si="117"/>
        <v>0</v>
      </c>
      <c r="AU164" s="141">
        <f t="shared" si="117"/>
        <v>0</v>
      </c>
      <c r="AV164" s="141"/>
    </row>
    <row r="165" spans="2:48" ht="16.5" customHeight="1" x14ac:dyDescent="0.5">
      <c r="B165" s="137" t="s">
        <v>63</v>
      </c>
      <c r="C165" s="141">
        <f t="shared" ref="C165:U165" si="118">C18</f>
        <v>0</v>
      </c>
      <c r="D165" s="141">
        <f t="shared" si="118"/>
        <v>0</v>
      </c>
      <c r="E165" s="141">
        <f t="shared" si="118"/>
        <v>0</v>
      </c>
      <c r="F165" s="141">
        <f t="shared" si="118"/>
        <v>212.24159999999998</v>
      </c>
      <c r="G165" s="141">
        <f t="shared" si="118"/>
        <v>202.45017153062796</v>
      </c>
      <c r="H165" s="141">
        <f t="shared" si="118"/>
        <v>192.16329678070571</v>
      </c>
      <c r="I165" s="141">
        <f t="shared" si="118"/>
        <v>181.3559061684374</v>
      </c>
      <c r="J165" s="141">
        <f t="shared" si="118"/>
        <v>170.00166159118831</v>
      </c>
      <c r="K165" s="141">
        <f t="shared" si="118"/>
        <v>158.07289223833041</v>
      </c>
      <c r="L165" s="141">
        <f t="shared" si="118"/>
        <v>145.54052715621791</v>
      </c>
      <c r="M165" s="141">
        <f t="shared" si="118"/>
        <v>132.3740244009505</v>
      </c>
      <c r="N165" s="141">
        <f t="shared" si="118"/>
        <v>118.54129660626657</v>
      </c>
      <c r="O165" s="141">
        <f t="shared" si="118"/>
        <v>104.00863278517163</v>
      </c>
      <c r="P165" s="141">
        <f t="shared" si="118"/>
        <v>88.740616174729283</v>
      </c>
      <c r="Q165" s="141">
        <f t="shared" si="118"/>
        <v>72.700037923798561</v>
      </c>
      <c r="R165" s="141">
        <f t="shared" si="118"/>
        <v>55.847806413370733</v>
      </c>
      <c r="S165" s="141">
        <f t="shared" si="118"/>
        <v>38.142851988515261</v>
      </c>
      <c r="T165" s="141">
        <f t="shared" si="118"/>
        <v>19.542026869762108</v>
      </c>
      <c r="U165" s="141">
        <f t="shared" si="118"/>
        <v>4.2632564145606011E-14</v>
      </c>
      <c r="V165" s="141"/>
      <c r="W165" s="141"/>
      <c r="X165" s="141"/>
      <c r="Y165" s="141"/>
      <c r="Z165" s="141"/>
      <c r="AA165" s="141"/>
      <c r="AB165" s="141"/>
      <c r="AC165" s="141"/>
      <c r="AD165" s="141"/>
      <c r="AE165" s="141"/>
      <c r="AF165" s="141"/>
      <c r="AG165" s="141"/>
      <c r="AH165" s="141"/>
      <c r="AI165" s="141"/>
      <c r="AJ165" s="141"/>
      <c r="AK165" s="141"/>
      <c r="AL165" s="141"/>
      <c r="AM165" s="141"/>
      <c r="AN165" s="141"/>
      <c r="AO165" s="141"/>
      <c r="AP165" s="141"/>
      <c r="AQ165" s="141"/>
      <c r="AR165" s="141"/>
      <c r="AS165" s="141"/>
      <c r="AT165" s="141"/>
      <c r="AU165" s="141"/>
      <c r="AV165" s="141"/>
    </row>
    <row r="166" spans="2:48" ht="16.5" customHeight="1" x14ac:dyDescent="0.5">
      <c r="B166" s="137" t="s">
        <v>64</v>
      </c>
      <c r="C166" s="141">
        <f t="shared" ref="C166:AT166" si="119">C23</f>
        <v>0</v>
      </c>
      <c r="D166" s="141">
        <f t="shared" si="119"/>
        <v>0</v>
      </c>
      <c r="E166" s="141">
        <f t="shared" si="119"/>
        <v>0</v>
      </c>
      <c r="F166" s="141">
        <f t="shared" si="119"/>
        <v>636.72479999999996</v>
      </c>
      <c r="G166" s="141">
        <f t="shared" si="119"/>
        <v>633.18169420580648</v>
      </c>
      <c r="H166" s="141">
        <f t="shared" si="119"/>
        <v>629.40509773977567</v>
      </c>
      <c r="I166" s="141">
        <f t="shared" si="119"/>
        <v>625.37962356663343</v>
      </c>
      <c r="J166" s="141">
        <f t="shared" si="119"/>
        <v>621.08887064548105</v>
      </c>
      <c r="K166" s="141">
        <f t="shared" si="119"/>
        <v>616.51535710682481</v>
      </c>
      <c r="L166" s="141">
        <f t="shared" si="119"/>
        <v>611.64044902597107</v>
      </c>
      <c r="M166" s="141">
        <f t="shared" si="119"/>
        <v>606.44428450258908</v>
      </c>
      <c r="N166" s="141">
        <f t="shared" si="119"/>
        <v>600.90569273711628</v>
      </c>
      <c r="O166" s="141">
        <f t="shared" si="119"/>
        <v>595.00210777429879</v>
      </c>
      <c r="P166" s="141">
        <f t="shared" si="119"/>
        <v>588.70947656243163</v>
      </c>
      <c r="Q166" s="141">
        <f t="shared" si="119"/>
        <v>582.0021609537024</v>
      </c>
      <c r="R166" s="141">
        <f t="shared" si="119"/>
        <v>574.85283324635793</v>
      </c>
      <c r="S166" s="141">
        <f t="shared" si="119"/>
        <v>567.23236484309939</v>
      </c>
      <c r="T166" s="141">
        <f t="shared" si="119"/>
        <v>559.10970757206621</v>
      </c>
      <c r="U166" s="141">
        <f t="shared" si="119"/>
        <v>550.45176718687196</v>
      </c>
      <c r="V166" s="141">
        <f t="shared" si="119"/>
        <v>541.22326853029335</v>
      </c>
      <c r="W166" s="141">
        <f t="shared" si="119"/>
        <v>531.3866118122462</v>
      </c>
      <c r="X166" s="141">
        <f t="shared" si="119"/>
        <v>520.90171941647975</v>
      </c>
      <c r="Y166" s="141">
        <f t="shared" si="119"/>
        <v>509.7258726118323</v>
      </c>
      <c r="Z166" s="141">
        <f t="shared" si="119"/>
        <v>497.81353750275855</v>
      </c>
      <c r="AA166" s="141">
        <f t="shared" si="119"/>
        <v>485.11617950999687</v>
      </c>
      <c r="AB166" s="141">
        <f t="shared" si="119"/>
        <v>471.5820656255122</v>
      </c>
      <c r="AC166" s="141">
        <f t="shared" si="119"/>
        <v>457.15605363603999</v>
      </c>
      <c r="AD166" s="141">
        <f t="shared" si="119"/>
        <v>441.77936745646156</v>
      </c>
      <c r="AE166" s="141">
        <f t="shared" si="119"/>
        <v>425.38935765764893</v>
      </c>
      <c r="AF166" s="141">
        <f t="shared" si="119"/>
        <v>407.91924621309454</v>
      </c>
      <c r="AG166" s="141">
        <f t="shared" si="119"/>
        <v>389.297854424344</v>
      </c>
      <c r="AH166" s="141">
        <f t="shared" si="119"/>
        <v>369.4493129167148</v>
      </c>
      <c r="AI166" s="141">
        <f t="shared" si="119"/>
        <v>348.29275252373282</v>
      </c>
      <c r="AJ166" s="141">
        <f t="shared" si="119"/>
        <v>325.74197480085331</v>
      </c>
      <c r="AK166" s="141">
        <f t="shared" si="119"/>
        <v>301.70510082603607</v>
      </c>
      <c r="AL166" s="141">
        <f t="shared" si="119"/>
        <v>276.08419685627837</v>
      </c>
      <c r="AM166" s="141">
        <f t="shared" si="119"/>
        <v>248.77487531491363</v>
      </c>
      <c r="AN166" s="141">
        <f t="shared" si="119"/>
        <v>219.66586948397298</v>
      </c>
      <c r="AO166" s="141">
        <f t="shared" si="119"/>
        <v>188.63858016877333</v>
      </c>
      <c r="AP166" s="141">
        <f t="shared" si="119"/>
        <v>155.56659248770202</v>
      </c>
      <c r="AQ166" s="141">
        <f t="shared" si="119"/>
        <v>120.31516081844811</v>
      </c>
      <c r="AR166" s="141">
        <f t="shared" si="119"/>
        <v>82.740659802190379</v>
      </c>
      <c r="AS166" s="141">
        <f t="shared" si="119"/>
        <v>42.689999168961243</v>
      </c>
      <c r="AT166" s="141">
        <f t="shared" si="119"/>
        <v>2.3092638912203256E-12</v>
      </c>
      <c r="AU166" s="141"/>
      <c r="AV166" s="141"/>
    </row>
    <row r="167" spans="2:48" ht="16.5" customHeight="1" x14ac:dyDescent="0.5">
      <c r="B167" s="137" t="s">
        <v>65</v>
      </c>
      <c r="C167" s="141">
        <f t="shared" ref="C167:AU167" si="120">C164-C165-C166</f>
        <v>0</v>
      </c>
      <c r="D167" s="141">
        <f t="shared" si="120"/>
        <v>0</v>
      </c>
      <c r="E167" s="141">
        <f t="shared" si="120"/>
        <v>0</v>
      </c>
      <c r="F167" s="141">
        <f t="shared" si="120"/>
        <v>-848.96639999999991</v>
      </c>
      <c r="G167" s="141">
        <f t="shared" si="120"/>
        <v>-835.63186573643441</v>
      </c>
      <c r="H167" s="141">
        <f t="shared" si="120"/>
        <v>-821.56839452048143</v>
      </c>
      <c r="I167" s="141">
        <f t="shared" si="120"/>
        <v>-806.73552973507083</v>
      </c>
      <c r="J167" s="141">
        <f t="shared" si="120"/>
        <v>-791.09053223666933</v>
      </c>
      <c r="K167" s="141">
        <f t="shared" si="120"/>
        <v>-774.58824934515519</v>
      </c>
      <c r="L167" s="141">
        <f t="shared" si="120"/>
        <v>-757.18097618218894</v>
      </c>
      <c r="M167" s="141">
        <f t="shared" si="120"/>
        <v>-738.81830890353956</v>
      </c>
      <c r="N167" s="141">
        <f t="shared" si="120"/>
        <v>-719.44698934338282</v>
      </c>
      <c r="O167" s="141">
        <f t="shared" si="120"/>
        <v>-699.01074055947038</v>
      </c>
      <c r="P167" s="141">
        <f t="shared" si="120"/>
        <v>-677.45009273716096</v>
      </c>
      <c r="Q167" s="141">
        <f t="shared" si="120"/>
        <v>-654.7021988775009</v>
      </c>
      <c r="R167" s="141">
        <f t="shared" si="120"/>
        <v>-630.70063965972872</v>
      </c>
      <c r="S167" s="141">
        <f t="shared" si="120"/>
        <v>-605.37521683161469</v>
      </c>
      <c r="T167" s="141">
        <f t="shared" si="120"/>
        <v>-578.65173444182835</v>
      </c>
      <c r="U167" s="141">
        <f t="shared" si="120"/>
        <v>-550.45176718687196</v>
      </c>
      <c r="V167" s="141">
        <f t="shared" si="120"/>
        <v>-541.22326853029335</v>
      </c>
      <c r="W167" s="141">
        <f t="shared" si="120"/>
        <v>-531.3866118122462</v>
      </c>
      <c r="X167" s="141">
        <f t="shared" si="120"/>
        <v>-520.90171941647975</v>
      </c>
      <c r="Y167" s="141">
        <f t="shared" si="120"/>
        <v>-509.7258726118323</v>
      </c>
      <c r="Z167" s="141">
        <f t="shared" si="120"/>
        <v>-497.81353750275855</v>
      </c>
      <c r="AA167" s="141">
        <f t="shared" si="120"/>
        <v>-485.11617950999687</v>
      </c>
      <c r="AB167" s="141">
        <f t="shared" si="120"/>
        <v>-471.5820656255122</v>
      </c>
      <c r="AC167" s="141">
        <f t="shared" si="120"/>
        <v>-457.15605363603999</v>
      </c>
      <c r="AD167" s="141">
        <f t="shared" si="120"/>
        <v>-441.77936745646156</v>
      </c>
      <c r="AE167" s="141">
        <f t="shared" si="120"/>
        <v>-425.38935765764893</v>
      </c>
      <c r="AF167" s="141">
        <f t="shared" si="120"/>
        <v>-407.91924621309454</v>
      </c>
      <c r="AG167" s="141">
        <f t="shared" si="120"/>
        <v>-389.297854424344</v>
      </c>
      <c r="AH167" s="141">
        <f t="shared" si="120"/>
        <v>-369.4493129167148</v>
      </c>
      <c r="AI167" s="141">
        <f t="shared" si="120"/>
        <v>-348.29275252373282</v>
      </c>
      <c r="AJ167" s="141">
        <f t="shared" si="120"/>
        <v>-325.74197480085331</v>
      </c>
      <c r="AK167" s="141">
        <f t="shared" si="120"/>
        <v>-301.70510082603607</v>
      </c>
      <c r="AL167" s="141">
        <f t="shared" si="120"/>
        <v>-276.08419685627837</v>
      </c>
      <c r="AM167" s="141">
        <f t="shared" si="120"/>
        <v>-248.77487531491363</v>
      </c>
      <c r="AN167" s="141">
        <f t="shared" si="120"/>
        <v>-219.66586948397298</v>
      </c>
      <c r="AO167" s="141">
        <f t="shared" si="120"/>
        <v>-188.63858016877333</v>
      </c>
      <c r="AP167" s="141">
        <f t="shared" si="120"/>
        <v>-155.56659248770202</v>
      </c>
      <c r="AQ167" s="141">
        <f t="shared" si="120"/>
        <v>-120.31516081844811</v>
      </c>
      <c r="AR167" s="141">
        <f t="shared" si="120"/>
        <v>-82.740659802190379</v>
      </c>
      <c r="AS167" s="141">
        <f t="shared" si="120"/>
        <v>-42.689999168961243</v>
      </c>
      <c r="AT167" s="141">
        <f t="shared" si="120"/>
        <v>-2.3092638912203256E-12</v>
      </c>
      <c r="AU167" s="141">
        <f t="shared" si="120"/>
        <v>0</v>
      </c>
    </row>
    <row r="168" spans="2:48" ht="16.5" customHeight="1" x14ac:dyDescent="0.5">
      <c r="B168" s="146" t="s">
        <v>66</v>
      </c>
      <c r="C168" s="156" t="e">
        <f t="shared" ref="C168:AU168" si="121">C165/C164</f>
        <v>#DIV/0!</v>
      </c>
      <c r="D168" s="156" t="e">
        <f t="shared" si="121"/>
        <v>#DIV/0!</v>
      </c>
      <c r="E168" s="156" t="e">
        <f t="shared" si="121"/>
        <v>#DIV/0!</v>
      </c>
      <c r="F168" s="156" t="e">
        <f t="shared" si="121"/>
        <v>#DIV/0!</v>
      </c>
      <c r="G168" s="156" t="e">
        <f t="shared" si="121"/>
        <v>#DIV/0!</v>
      </c>
      <c r="H168" s="156" t="e">
        <f t="shared" si="121"/>
        <v>#DIV/0!</v>
      </c>
      <c r="I168" s="156" t="e">
        <f t="shared" si="121"/>
        <v>#DIV/0!</v>
      </c>
      <c r="J168" s="156" t="e">
        <f t="shared" si="121"/>
        <v>#DIV/0!</v>
      </c>
      <c r="K168" s="156" t="e">
        <f t="shared" si="121"/>
        <v>#DIV/0!</v>
      </c>
      <c r="L168" s="156" t="e">
        <f t="shared" si="121"/>
        <v>#DIV/0!</v>
      </c>
      <c r="M168" s="156" t="e">
        <f t="shared" si="121"/>
        <v>#DIV/0!</v>
      </c>
      <c r="N168" s="156" t="e">
        <f t="shared" si="121"/>
        <v>#DIV/0!</v>
      </c>
      <c r="O168" s="156" t="e">
        <f t="shared" si="121"/>
        <v>#DIV/0!</v>
      </c>
      <c r="P168" s="156" t="e">
        <f t="shared" si="121"/>
        <v>#DIV/0!</v>
      </c>
      <c r="Q168" s="156" t="e">
        <f t="shared" si="121"/>
        <v>#DIV/0!</v>
      </c>
      <c r="R168" s="156" t="e">
        <f t="shared" si="121"/>
        <v>#DIV/0!</v>
      </c>
      <c r="S168" s="156" t="e">
        <f t="shared" si="121"/>
        <v>#DIV/0!</v>
      </c>
      <c r="T168" s="156" t="e">
        <f t="shared" si="121"/>
        <v>#DIV/0!</v>
      </c>
      <c r="U168" s="156" t="e">
        <f t="shared" si="121"/>
        <v>#DIV/0!</v>
      </c>
      <c r="V168" s="156" t="e">
        <f t="shared" si="121"/>
        <v>#DIV/0!</v>
      </c>
      <c r="W168" s="156" t="e">
        <f t="shared" si="121"/>
        <v>#DIV/0!</v>
      </c>
      <c r="X168" s="156" t="e">
        <f t="shared" si="121"/>
        <v>#DIV/0!</v>
      </c>
      <c r="Y168" s="156" t="e">
        <f t="shared" si="121"/>
        <v>#DIV/0!</v>
      </c>
      <c r="Z168" s="156" t="e">
        <f t="shared" si="121"/>
        <v>#DIV/0!</v>
      </c>
      <c r="AA168" s="156" t="e">
        <f t="shared" si="121"/>
        <v>#DIV/0!</v>
      </c>
      <c r="AB168" s="156" t="e">
        <f t="shared" si="121"/>
        <v>#DIV/0!</v>
      </c>
      <c r="AC168" s="156" t="e">
        <f t="shared" si="121"/>
        <v>#DIV/0!</v>
      </c>
      <c r="AD168" s="156" t="e">
        <f t="shared" si="121"/>
        <v>#DIV/0!</v>
      </c>
      <c r="AE168" s="156" t="e">
        <f t="shared" si="121"/>
        <v>#DIV/0!</v>
      </c>
      <c r="AF168" s="156" t="e">
        <f t="shared" si="121"/>
        <v>#DIV/0!</v>
      </c>
      <c r="AG168" s="156" t="e">
        <f t="shared" si="121"/>
        <v>#DIV/0!</v>
      </c>
      <c r="AH168" s="156" t="e">
        <f t="shared" si="121"/>
        <v>#DIV/0!</v>
      </c>
      <c r="AI168" s="156" t="e">
        <f t="shared" si="121"/>
        <v>#DIV/0!</v>
      </c>
      <c r="AJ168" s="156" t="e">
        <f t="shared" si="121"/>
        <v>#DIV/0!</v>
      </c>
      <c r="AK168" s="156" t="e">
        <f t="shared" si="121"/>
        <v>#DIV/0!</v>
      </c>
      <c r="AL168" s="156" t="e">
        <f t="shared" si="121"/>
        <v>#DIV/0!</v>
      </c>
      <c r="AM168" s="156" t="e">
        <f t="shared" si="121"/>
        <v>#DIV/0!</v>
      </c>
      <c r="AN168" s="156" t="e">
        <f t="shared" si="121"/>
        <v>#DIV/0!</v>
      </c>
      <c r="AO168" s="156" t="e">
        <f t="shared" si="121"/>
        <v>#DIV/0!</v>
      </c>
      <c r="AP168" s="156" t="e">
        <f t="shared" si="121"/>
        <v>#DIV/0!</v>
      </c>
      <c r="AQ168" s="156" t="e">
        <f t="shared" si="121"/>
        <v>#DIV/0!</v>
      </c>
      <c r="AR168" s="156" t="e">
        <f t="shared" si="121"/>
        <v>#DIV/0!</v>
      </c>
      <c r="AS168" s="156" t="e">
        <f t="shared" si="121"/>
        <v>#DIV/0!</v>
      </c>
      <c r="AT168" s="156" t="e">
        <f t="shared" si="121"/>
        <v>#DIV/0!</v>
      </c>
      <c r="AU168" s="156" t="e">
        <f t="shared" si="121"/>
        <v>#DIV/0!</v>
      </c>
    </row>
    <row r="169" spans="2:48" ht="16.5" customHeight="1" x14ac:dyDescent="0.5">
      <c r="B169" s="146" t="s">
        <v>67</v>
      </c>
      <c r="C169" s="156" t="e">
        <f t="shared" ref="C169:AU169" si="122">C166/C164</f>
        <v>#DIV/0!</v>
      </c>
      <c r="D169" s="156" t="e">
        <f t="shared" si="122"/>
        <v>#DIV/0!</v>
      </c>
      <c r="E169" s="156" t="e">
        <f t="shared" si="122"/>
        <v>#DIV/0!</v>
      </c>
      <c r="F169" s="156" t="e">
        <f t="shared" si="122"/>
        <v>#DIV/0!</v>
      </c>
      <c r="G169" s="156" t="e">
        <f t="shared" si="122"/>
        <v>#DIV/0!</v>
      </c>
      <c r="H169" s="156" t="e">
        <f t="shared" si="122"/>
        <v>#DIV/0!</v>
      </c>
      <c r="I169" s="156" t="e">
        <f t="shared" si="122"/>
        <v>#DIV/0!</v>
      </c>
      <c r="J169" s="156" t="e">
        <f t="shared" si="122"/>
        <v>#DIV/0!</v>
      </c>
      <c r="K169" s="156" t="e">
        <f t="shared" si="122"/>
        <v>#DIV/0!</v>
      </c>
      <c r="L169" s="156" t="e">
        <f t="shared" si="122"/>
        <v>#DIV/0!</v>
      </c>
      <c r="M169" s="156" t="e">
        <f t="shared" si="122"/>
        <v>#DIV/0!</v>
      </c>
      <c r="N169" s="156" t="e">
        <f t="shared" si="122"/>
        <v>#DIV/0!</v>
      </c>
      <c r="O169" s="156" t="e">
        <f t="shared" si="122"/>
        <v>#DIV/0!</v>
      </c>
      <c r="P169" s="156" t="e">
        <f t="shared" si="122"/>
        <v>#DIV/0!</v>
      </c>
      <c r="Q169" s="156" t="e">
        <f t="shared" si="122"/>
        <v>#DIV/0!</v>
      </c>
      <c r="R169" s="156" t="e">
        <f t="shared" si="122"/>
        <v>#DIV/0!</v>
      </c>
      <c r="S169" s="156" t="e">
        <f t="shared" si="122"/>
        <v>#DIV/0!</v>
      </c>
      <c r="T169" s="156" t="e">
        <f t="shared" si="122"/>
        <v>#DIV/0!</v>
      </c>
      <c r="U169" s="156" t="e">
        <f t="shared" si="122"/>
        <v>#DIV/0!</v>
      </c>
      <c r="V169" s="156" t="e">
        <f t="shared" si="122"/>
        <v>#DIV/0!</v>
      </c>
      <c r="W169" s="156" t="e">
        <f t="shared" si="122"/>
        <v>#DIV/0!</v>
      </c>
      <c r="X169" s="156" t="e">
        <f t="shared" si="122"/>
        <v>#DIV/0!</v>
      </c>
      <c r="Y169" s="156" t="e">
        <f t="shared" si="122"/>
        <v>#DIV/0!</v>
      </c>
      <c r="Z169" s="156" t="e">
        <f t="shared" si="122"/>
        <v>#DIV/0!</v>
      </c>
      <c r="AA169" s="156" t="e">
        <f t="shared" si="122"/>
        <v>#DIV/0!</v>
      </c>
      <c r="AB169" s="156" t="e">
        <f t="shared" si="122"/>
        <v>#DIV/0!</v>
      </c>
      <c r="AC169" s="156" t="e">
        <f t="shared" si="122"/>
        <v>#DIV/0!</v>
      </c>
      <c r="AD169" s="156" t="e">
        <f t="shared" si="122"/>
        <v>#DIV/0!</v>
      </c>
      <c r="AE169" s="156" t="e">
        <f t="shared" si="122"/>
        <v>#DIV/0!</v>
      </c>
      <c r="AF169" s="156" t="e">
        <f t="shared" si="122"/>
        <v>#DIV/0!</v>
      </c>
      <c r="AG169" s="156" t="e">
        <f t="shared" si="122"/>
        <v>#DIV/0!</v>
      </c>
      <c r="AH169" s="156" t="e">
        <f t="shared" si="122"/>
        <v>#DIV/0!</v>
      </c>
      <c r="AI169" s="156" t="e">
        <f t="shared" si="122"/>
        <v>#DIV/0!</v>
      </c>
      <c r="AJ169" s="156" t="e">
        <f t="shared" si="122"/>
        <v>#DIV/0!</v>
      </c>
      <c r="AK169" s="156" t="e">
        <f t="shared" si="122"/>
        <v>#DIV/0!</v>
      </c>
      <c r="AL169" s="156" t="e">
        <f t="shared" si="122"/>
        <v>#DIV/0!</v>
      </c>
      <c r="AM169" s="156" t="e">
        <f t="shared" si="122"/>
        <v>#DIV/0!</v>
      </c>
      <c r="AN169" s="156" t="e">
        <f t="shared" si="122"/>
        <v>#DIV/0!</v>
      </c>
      <c r="AO169" s="156" t="e">
        <f t="shared" si="122"/>
        <v>#DIV/0!</v>
      </c>
      <c r="AP169" s="156" t="e">
        <f t="shared" si="122"/>
        <v>#DIV/0!</v>
      </c>
      <c r="AQ169" s="156" t="e">
        <f t="shared" si="122"/>
        <v>#DIV/0!</v>
      </c>
      <c r="AR169" s="156" t="e">
        <f t="shared" si="122"/>
        <v>#DIV/0!</v>
      </c>
      <c r="AS169" s="156" t="e">
        <f t="shared" si="122"/>
        <v>#DIV/0!</v>
      </c>
      <c r="AT169" s="156" t="e">
        <f t="shared" si="122"/>
        <v>#DIV/0!</v>
      </c>
      <c r="AU169" s="156" t="e">
        <f t="shared" si="122"/>
        <v>#DIV/0!</v>
      </c>
    </row>
    <row r="170" spans="2:48" ht="16.5" customHeight="1" x14ac:dyDescent="0.5">
      <c r="B170" s="146" t="s">
        <v>68</v>
      </c>
      <c r="C170" s="156" t="e">
        <f t="shared" ref="C170:AU170" si="123">C167/C164</f>
        <v>#DIV/0!</v>
      </c>
      <c r="D170" s="156" t="e">
        <f t="shared" si="123"/>
        <v>#DIV/0!</v>
      </c>
      <c r="E170" s="156" t="e">
        <f t="shared" si="123"/>
        <v>#DIV/0!</v>
      </c>
      <c r="F170" s="156" t="e">
        <f t="shared" si="123"/>
        <v>#DIV/0!</v>
      </c>
      <c r="G170" s="156" t="e">
        <f t="shared" si="123"/>
        <v>#DIV/0!</v>
      </c>
      <c r="H170" s="156" t="e">
        <f t="shared" si="123"/>
        <v>#DIV/0!</v>
      </c>
      <c r="I170" s="156" t="e">
        <f t="shared" si="123"/>
        <v>#DIV/0!</v>
      </c>
      <c r="J170" s="156" t="e">
        <f t="shared" si="123"/>
        <v>#DIV/0!</v>
      </c>
      <c r="K170" s="156" t="e">
        <f t="shared" si="123"/>
        <v>#DIV/0!</v>
      </c>
      <c r="L170" s="156" t="e">
        <f t="shared" si="123"/>
        <v>#DIV/0!</v>
      </c>
      <c r="M170" s="156" t="e">
        <f t="shared" si="123"/>
        <v>#DIV/0!</v>
      </c>
      <c r="N170" s="156" t="e">
        <f t="shared" si="123"/>
        <v>#DIV/0!</v>
      </c>
      <c r="O170" s="156" t="e">
        <f t="shared" si="123"/>
        <v>#DIV/0!</v>
      </c>
      <c r="P170" s="156" t="e">
        <f t="shared" si="123"/>
        <v>#DIV/0!</v>
      </c>
      <c r="Q170" s="156" t="e">
        <f t="shared" si="123"/>
        <v>#DIV/0!</v>
      </c>
      <c r="R170" s="156" t="e">
        <f t="shared" si="123"/>
        <v>#DIV/0!</v>
      </c>
      <c r="S170" s="156" t="e">
        <f t="shared" si="123"/>
        <v>#DIV/0!</v>
      </c>
      <c r="T170" s="156" t="e">
        <f t="shared" si="123"/>
        <v>#DIV/0!</v>
      </c>
      <c r="U170" s="156" t="e">
        <f t="shared" si="123"/>
        <v>#DIV/0!</v>
      </c>
      <c r="V170" s="156" t="e">
        <f t="shared" si="123"/>
        <v>#DIV/0!</v>
      </c>
      <c r="W170" s="156" t="e">
        <f t="shared" si="123"/>
        <v>#DIV/0!</v>
      </c>
      <c r="X170" s="156" t="e">
        <f t="shared" si="123"/>
        <v>#DIV/0!</v>
      </c>
      <c r="Y170" s="156" t="e">
        <f t="shared" si="123"/>
        <v>#DIV/0!</v>
      </c>
      <c r="Z170" s="156" t="e">
        <f t="shared" si="123"/>
        <v>#DIV/0!</v>
      </c>
      <c r="AA170" s="156" t="e">
        <f t="shared" si="123"/>
        <v>#DIV/0!</v>
      </c>
      <c r="AB170" s="156" t="e">
        <f t="shared" si="123"/>
        <v>#DIV/0!</v>
      </c>
      <c r="AC170" s="156" t="e">
        <f t="shared" si="123"/>
        <v>#DIV/0!</v>
      </c>
      <c r="AD170" s="156" t="e">
        <f t="shared" si="123"/>
        <v>#DIV/0!</v>
      </c>
      <c r="AE170" s="156" t="e">
        <f t="shared" si="123"/>
        <v>#DIV/0!</v>
      </c>
      <c r="AF170" s="156" t="e">
        <f t="shared" si="123"/>
        <v>#DIV/0!</v>
      </c>
      <c r="AG170" s="156" t="e">
        <f t="shared" si="123"/>
        <v>#DIV/0!</v>
      </c>
      <c r="AH170" s="156" t="e">
        <f t="shared" si="123"/>
        <v>#DIV/0!</v>
      </c>
      <c r="AI170" s="156" t="e">
        <f t="shared" si="123"/>
        <v>#DIV/0!</v>
      </c>
      <c r="AJ170" s="156" t="e">
        <f t="shared" si="123"/>
        <v>#DIV/0!</v>
      </c>
      <c r="AK170" s="156" t="e">
        <f t="shared" si="123"/>
        <v>#DIV/0!</v>
      </c>
      <c r="AL170" s="156" t="e">
        <f t="shared" si="123"/>
        <v>#DIV/0!</v>
      </c>
      <c r="AM170" s="156" t="e">
        <f t="shared" si="123"/>
        <v>#DIV/0!</v>
      </c>
      <c r="AN170" s="156" t="e">
        <f t="shared" si="123"/>
        <v>#DIV/0!</v>
      </c>
      <c r="AO170" s="156" t="e">
        <f t="shared" si="123"/>
        <v>#DIV/0!</v>
      </c>
      <c r="AP170" s="156" t="e">
        <f t="shared" si="123"/>
        <v>#DIV/0!</v>
      </c>
      <c r="AQ170" s="156" t="e">
        <f t="shared" si="123"/>
        <v>#DIV/0!</v>
      </c>
      <c r="AR170" s="156" t="e">
        <f t="shared" si="123"/>
        <v>#DIV/0!</v>
      </c>
      <c r="AS170" s="156" t="e">
        <f t="shared" si="123"/>
        <v>#DIV/0!</v>
      </c>
      <c r="AT170" s="156" t="e">
        <f t="shared" si="123"/>
        <v>#DIV/0!</v>
      </c>
      <c r="AU170" s="156" t="e">
        <f t="shared" si="123"/>
        <v>#DIV/0!</v>
      </c>
    </row>
    <row r="171" spans="2:48" ht="16.5" customHeight="1" x14ac:dyDescent="0.5">
      <c r="B171" s="146" t="s">
        <v>69</v>
      </c>
      <c r="C171" s="149" t="e">
        <f t="shared" ref="C171:AU171" si="124">C165/C167</f>
        <v>#DIV/0!</v>
      </c>
      <c r="D171" s="149" t="e">
        <f t="shared" si="124"/>
        <v>#DIV/0!</v>
      </c>
      <c r="E171" s="149" t="e">
        <f t="shared" si="124"/>
        <v>#DIV/0!</v>
      </c>
      <c r="F171" s="149">
        <f t="shared" si="124"/>
        <v>-0.25</v>
      </c>
      <c r="G171" s="149">
        <f t="shared" si="124"/>
        <v>-0.24227196189103026</v>
      </c>
      <c r="H171" s="149">
        <f t="shared" si="124"/>
        <v>-0.2338981125154701</v>
      </c>
      <c r="I171" s="149">
        <f t="shared" si="124"/>
        <v>-0.22480218049649314</v>
      </c>
      <c r="J171" s="149">
        <f t="shared" si="124"/>
        <v>-0.21489533076642758</v>
      </c>
      <c r="K171" s="149">
        <f t="shared" si="124"/>
        <v>-0.20407344466168553</v>
      </c>
      <c r="L171" s="149">
        <f t="shared" si="124"/>
        <v>-0.19221366058356795</v>
      </c>
      <c r="M171" s="149">
        <f t="shared" si="124"/>
        <v>-0.17916992961016795</v>
      </c>
      <c r="N171" s="149">
        <f t="shared" si="124"/>
        <v>-0.16476724256564834</v>
      </c>
      <c r="O171" s="149">
        <f t="shared" si="124"/>
        <v>-0.14879404099274035</v>
      </c>
      <c r="P171" s="149">
        <f t="shared" si="124"/>
        <v>-0.13099210868240169</v>
      </c>
      <c r="Q171" s="149">
        <f t="shared" si="124"/>
        <v>-0.11104291088138107</v>
      </c>
      <c r="R171" s="149">
        <f t="shared" si="124"/>
        <v>-8.8548834267080115E-2</v>
      </c>
      <c r="S171" s="149">
        <f t="shared" si="124"/>
        <v>-6.3006959862257961E-2</v>
      </c>
      <c r="T171" s="149">
        <f t="shared" si="124"/>
        <v>-3.3771655223002982E-2</v>
      </c>
      <c r="U171" s="149">
        <f t="shared" si="124"/>
        <v>-7.7450135846566827E-17</v>
      </c>
      <c r="V171" s="149">
        <f t="shared" si="124"/>
        <v>0</v>
      </c>
      <c r="W171" s="149">
        <f t="shared" si="124"/>
        <v>0</v>
      </c>
      <c r="X171" s="149">
        <f t="shared" si="124"/>
        <v>0</v>
      </c>
      <c r="Y171" s="149">
        <f t="shared" si="124"/>
        <v>0</v>
      </c>
      <c r="Z171" s="149">
        <f t="shared" si="124"/>
        <v>0</v>
      </c>
      <c r="AA171" s="149">
        <f t="shared" si="124"/>
        <v>0</v>
      </c>
      <c r="AB171" s="149">
        <f t="shared" si="124"/>
        <v>0</v>
      </c>
      <c r="AC171" s="149">
        <f t="shared" si="124"/>
        <v>0</v>
      </c>
      <c r="AD171" s="149">
        <f t="shared" si="124"/>
        <v>0</v>
      </c>
      <c r="AE171" s="149">
        <f t="shared" si="124"/>
        <v>0</v>
      </c>
      <c r="AF171" s="149">
        <f t="shared" si="124"/>
        <v>0</v>
      </c>
      <c r="AG171" s="149">
        <f t="shared" si="124"/>
        <v>0</v>
      </c>
      <c r="AH171" s="149">
        <f t="shared" si="124"/>
        <v>0</v>
      </c>
      <c r="AI171" s="149">
        <f t="shared" si="124"/>
        <v>0</v>
      </c>
      <c r="AJ171" s="149">
        <f t="shared" si="124"/>
        <v>0</v>
      </c>
      <c r="AK171" s="149">
        <f t="shared" si="124"/>
        <v>0</v>
      </c>
      <c r="AL171" s="149">
        <f t="shared" si="124"/>
        <v>0</v>
      </c>
      <c r="AM171" s="149">
        <f t="shared" si="124"/>
        <v>0</v>
      </c>
      <c r="AN171" s="149">
        <f t="shared" si="124"/>
        <v>0</v>
      </c>
      <c r="AO171" s="149">
        <f t="shared" si="124"/>
        <v>0</v>
      </c>
      <c r="AP171" s="149">
        <f t="shared" si="124"/>
        <v>0</v>
      </c>
      <c r="AQ171" s="149">
        <f t="shared" si="124"/>
        <v>0</v>
      </c>
      <c r="AR171" s="149">
        <f t="shared" si="124"/>
        <v>0</v>
      </c>
      <c r="AS171" s="149">
        <f t="shared" si="124"/>
        <v>0</v>
      </c>
      <c r="AT171" s="149">
        <f t="shared" si="124"/>
        <v>0</v>
      </c>
      <c r="AU171" s="149" t="e">
        <f t="shared" si="124"/>
        <v>#DIV/0!</v>
      </c>
    </row>
    <row r="172" spans="2:48" ht="16.5" customHeight="1" x14ac:dyDescent="0.5">
      <c r="B172" s="146" t="s">
        <v>70</v>
      </c>
      <c r="C172" s="138" t="e">
        <f t="shared" ref="C172:AU172" si="125">C166/C167</f>
        <v>#DIV/0!</v>
      </c>
      <c r="D172" s="138" t="e">
        <f t="shared" si="125"/>
        <v>#DIV/0!</v>
      </c>
      <c r="E172" s="138" t="e">
        <f t="shared" si="125"/>
        <v>#DIV/0!</v>
      </c>
      <c r="F172" s="138">
        <f t="shared" si="125"/>
        <v>-0.75</v>
      </c>
      <c r="G172" s="138">
        <f t="shared" si="125"/>
        <v>-0.75772803810896971</v>
      </c>
      <c r="H172" s="138">
        <f t="shared" si="125"/>
        <v>-0.76610188748452979</v>
      </c>
      <c r="I172" s="138">
        <f t="shared" si="125"/>
        <v>-0.77519781950350686</v>
      </c>
      <c r="J172" s="138">
        <f t="shared" si="125"/>
        <v>-0.78510466923357247</v>
      </c>
      <c r="K172" s="138">
        <f t="shared" si="125"/>
        <v>-0.79592655533831447</v>
      </c>
      <c r="L172" s="138">
        <f t="shared" si="125"/>
        <v>-0.80778633941643208</v>
      </c>
      <c r="M172" s="138">
        <f t="shared" si="125"/>
        <v>-0.82083007038983213</v>
      </c>
      <c r="N172" s="138">
        <f t="shared" si="125"/>
        <v>-0.83523275743435166</v>
      </c>
      <c r="O172" s="138">
        <f t="shared" si="125"/>
        <v>-0.8512059590072597</v>
      </c>
      <c r="P172" s="138">
        <f t="shared" si="125"/>
        <v>-0.86900789131759826</v>
      </c>
      <c r="Q172" s="138">
        <f t="shared" si="125"/>
        <v>-0.88895708911861904</v>
      </c>
      <c r="R172" s="138">
        <f t="shared" si="125"/>
        <v>-0.91145116573291984</v>
      </c>
      <c r="S172" s="138">
        <f t="shared" si="125"/>
        <v>-0.93699304013774198</v>
      </c>
      <c r="T172" s="138">
        <f t="shared" si="125"/>
        <v>-0.96622834477699693</v>
      </c>
      <c r="U172" s="138">
        <f t="shared" si="125"/>
        <v>-1</v>
      </c>
      <c r="V172" s="138">
        <f t="shared" si="125"/>
        <v>-1</v>
      </c>
      <c r="W172" s="138">
        <f t="shared" si="125"/>
        <v>-1</v>
      </c>
      <c r="X172" s="138">
        <f t="shared" si="125"/>
        <v>-1</v>
      </c>
      <c r="Y172" s="138">
        <f t="shared" si="125"/>
        <v>-1</v>
      </c>
      <c r="Z172" s="138">
        <f t="shared" si="125"/>
        <v>-1</v>
      </c>
      <c r="AA172" s="138">
        <f t="shared" si="125"/>
        <v>-1</v>
      </c>
      <c r="AB172" s="138">
        <f t="shared" si="125"/>
        <v>-1</v>
      </c>
      <c r="AC172" s="138">
        <f t="shared" si="125"/>
        <v>-1</v>
      </c>
      <c r="AD172" s="138">
        <f t="shared" si="125"/>
        <v>-1</v>
      </c>
      <c r="AE172" s="138">
        <f t="shared" si="125"/>
        <v>-1</v>
      </c>
      <c r="AF172" s="138">
        <f t="shared" si="125"/>
        <v>-1</v>
      </c>
      <c r="AG172" s="138">
        <f t="shared" si="125"/>
        <v>-1</v>
      </c>
      <c r="AH172" s="138">
        <f t="shared" si="125"/>
        <v>-1</v>
      </c>
      <c r="AI172" s="138">
        <f t="shared" si="125"/>
        <v>-1</v>
      </c>
      <c r="AJ172" s="138">
        <f t="shared" si="125"/>
        <v>-1</v>
      </c>
      <c r="AK172" s="138">
        <f t="shared" si="125"/>
        <v>-1</v>
      </c>
      <c r="AL172" s="138">
        <f t="shared" si="125"/>
        <v>-1</v>
      </c>
      <c r="AM172" s="138">
        <f t="shared" si="125"/>
        <v>-1</v>
      </c>
      <c r="AN172" s="138">
        <f t="shared" si="125"/>
        <v>-1</v>
      </c>
      <c r="AO172" s="138">
        <f t="shared" si="125"/>
        <v>-1</v>
      </c>
      <c r="AP172" s="138">
        <f t="shared" si="125"/>
        <v>-1</v>
      </c>
      <c r="AQ172" s="138">
        <f t="shared" si="125"/>
        <v>-1</v>
      </c>
      <c r="AR172" s="138">
        <f t="shared" si="125"/>
        <v>-1</v>
      </c>
      <c r="AS172" s="138">
        <f t="shared" si="125"/>
        <v>-1</v>
      </c>
      <c r="AT172" s="138">
        <f t="shared" si="125"/>
        <v>-1</v>
      </c>
      <c r="AU172" s="138" t="e">
        <f t="shared" si="125"/>
        <v>#DIV/0!</v>
      </c>
    </row>
    <row r="173" spans="2:48" ht="16.5" customHeight="1" x14ac:dyDescent="0.5">
      <c r="B173" s="137" t="s">
        <v>71</v>
      </c>
      <c r="C173" s="156" t="e">
        <f t="shared" ref="C173:AU173" si="126">$D$161+($D$161-$F$161)*C171+($D$161-$H$161)*C172</f>
        <v>#DIV/0!</v>
      </c>
      <c r="D173" s="156" t="e">
        <f t="shared" si="126"/>
        <v>#DIV/0!</v>
      </c>
      <c r="E173" s="156" t="e">
        <f t="shared" si="126"/>
        <v>#DIV/0!</v>
      </c>
      <c r="F173" s="156">
        <f t="shared" si="126"/>
        <v>6.2075000000000005E-2</v>
      </c>
      <c r="G173" s="156">
        <f t="shared" si="126"/>
        <v>6.2193238983067244E-2</v>
      </c>
      <c r="H173" s="156">
        <f t="shared" si="126"/>
        <v>6.2321358878513311E-2</v>
      </c>
      <c r="I173" s="156">
        <f t="shared" si="126"/>
        <v>6.2460526638403666E-2</v>
      </c>
      <c r="J173" s="156">
        <f t="shared" si="126"/>
        <v>6.2612101439273662E-2</v>
      </c>
      <c r="K173" s="156">
        <f t="shared" si="126"/>
        <v>6.2777676296676216E-2</v>
      </c>
      <c r="L173" s="156">
        <f t="shared" si="126"/>
        <v>6.2959130993071419E-2</v>
      </c>
      <c r="M173" s="156">
        <f t="shared" si="126"/>
        <v>6.3158700076964433E-2</v>
      </c>
      <c r="N173" s="156">
        <f t="shared" si="126"/>
        <v>6.3379061188745589E-2</v>
      </c>
      <c r="O173" s="156">
        <f t="shared" si="126"/>
        <v>6.3623451172811082E-2</v>
      </c>
      <c r="P173" s="156">
        <f t="shared" si="126"/>
        <v>6.3895820737159256E-2</v>
      </c>
      <c r="Q173" s="156">
        <f t="shared" si="126"/>
        <v>6.4201043463514865E-2</v>
      </c>
      <c r="R173" s="156">
        <f t="shared" si="126"/>
        <v>6.4545202835713675E-2</v>
      </c>
      <c r="S173" s="156">
        <f t="shared" si="126"/>
        <v>6.4935993514107448E-2</v>
      </c>
      <c r="T173" s="156">
        <f t="shared" si="126"/>
        <v>6.538329367508805E-2</v>
      </c>
      <c r="U173" s="156">
        <f t="shared" si="126"/>
        <v>6.59E-2</v>
      </c>
      <c r="V173" s="156">
        <f t="shared" si="126"/>
        <v>6.59E-2</v>
      </c>
      <c r="W173" s="156">
        <f t="shared" si="126"/>
        <v>6.59E-2</v>
      </c>
      <c r="X173" s="156">
        <f t="shared" si="126"/>
        <v>6.59E-2</v>
      </c>
      <c r="Y173" s="156">
        <f t="shared" si="126"/>
        <v>6.59E-2</v>
      </c>
      <c r="Z173" s="156">
        <f t="shared" si="126"/>
        <v>6.59E-2</v>
      </c>
      <c r="AA173" s="156">
        <f t="shared" si="126"/>
        <v>6.59E-2</v>
      </c>
      <c r="AB173" s="156">
        <f t="shared" si="126"/>
        <v>6.59E-2</v>
      </c>
      <c r="AC173" s="156">
        <f t="shared" si="126"/>
        <v>6.59E-2</v>
      </c>
      <c r="AD173" s="156">
        <f t="shared" si="126"/>
        <v>6.59E-2</v>
      </c>
      <c r="AE173" s="156">
        <f t="shared" si="126"/>
        <v>6.59E-2</v>
      </c>
      <c r="AF173" s="156">
        <f t="shared" si="126"/>
        <v>6.59E-2</v>
      </c>
      <c r="AG173" s="156">
        <f t="shared" si="126"/>
        <v>6.59E-2</v>
      </c>
      <c r="AH173" s="156">
        <f t="shared" si="126"/>
        <v>6.59E-2</v>
      </c>
      <c r="AI173" s="156">
        <f t="shared" si="126"/>
        <v>6.59E-2</v>
      </c>
      <c r="AJ173" s="156">
        <f t="shared" si="126"/>
        <v>6.59E-2</v>
      </c>
      <c r="AK173" s="156">
        <f t="shared" si="126"/>
        <v>6.59E-2</v>
      </c>
      <c r="AL173" s="156">
        <f t="shared" si="126"/>
        <v>6.59E-2</v>
      </c>
      <c r="AM173" s="156">
        <f t="shared" si="126"/>
        <v>6.59E-2</v>
      </c>
      <c r="AN173" s="156">
        <f t="shared" si="126"/>
        <v>6.59E-2</v>
      </c>
      <c r="AO173" s="156">
        <f t="shared" si="126"/>
        <v>6.59E-2</v>
      </c>
      <c r="AP173" s="156">
        <f t="shared" si="126"/>
        <v>6.59E-2</v>
      </c>
      <c r="AQ173" s="156">
        <f t="shared" si="126"/>
        <v>6.59E-2</v>
      </c>
      <c r="AR173" s="156">
        <f t="shared" si="126"/>
        <v>6.59E-2</v>
      </c>
      <c r="AS173" s="156">
        <f t="shared" si="126"/>
        <v>6.59E-2</v>
      </c>
      <c r="AT173" s="156">
        <f t="shared" si="126"/>
        <v>6.59E-2</v>
      </c>
      <c r="AU173" s="156" t="e">
        <f t="shared" si="126"/>
        <v>#DIV/0!</v>
      </c>
    </row>
    <row r="174" spans="2:48" ht="16.5" customHeight="1" x14ac:dyDescent="0.5">
      <c r="B174" s="146" t="s">
        <v>292</v>
      </c>
      <c r="C174" s="141">
        <v>1</v>
      </c>
      <c r="D174" s="149" t="e">
        <f t="shared" ref="D174:AV174" si="127">C174/(1+C173)</f>
        <v>#DIV/0!</v>
      </c>
      <c r="E174" s="149" t="e">
        <f t="shared" si="127"/>
        <v>#DIV/0!</v>
      </c>
      <c r="F174" s="149" t="e">
        <f t="shared" si="127"/>
        <v>#DIV/0!</v>
      </c>
      <c r="G174" s="149" t="e">
        <f t="shared" si="127"/>
        <v>#DIV/0!</v>
      </c>
      <c r="H174" s="149" t="e">
        <f t="shared" si="127"/>
        <v>#DIV/0!</v>
      </c>
      <c r="I174" s="149" t="e">
        <f t="shared" si="127"/>
        <v>#DIV/0!</v>
      </c>
      <c r="J174" s="149" t="e">
        <f t="shared" si="127"/>
        <v>#DIV/0!</v>
      </c>
      <c r="K174" s="149" t="e">
        <f t="shared" si="127"/>
        <v>#DIV/0!</v>
      </c>
      <c r="L174" s="149" t="e">
        <f t="shared" si="127"/>
        <v>#DIV/0!</v>
      </c>
      <c r="M174" s="149" t="e">
        <f t="shared" si="127"/>
        <v>#DIV/0!</v>
      </c>
      <c r="N174" s="149" t="e">
        <f t="shared" si="127"/>
        <v>#DIV/0!</v>
      </c>
      <c r="O174" s="149" t="e">
        <f t="shared" si="127"/>
        <v>#DIV/0!</v>
      </c>
      <c r="P174" s="149" t="e">
        <f t="shared" si="127"/>
        <v>#DIV/0!</v>
      </c>
      <c r="Q174" s="149" t="e">
        <f t="shared" si="127"/>
        <v>#DIV/0!</v>
      </c>
      <c r="R174" s="149" t="e">
        <f t="shared" si="127"/>
        <v>#DIV/0!</v>
      </c>
      <c r="S174" s="149" t="e">
        <f t="shared" si="127"/>
        <v>#DIV/0!</v>
      </c>
      <c r="T174" s="149" t="e">
        <f t="shared" si="127"/>
        <v>#DIV/0!</v>
      </c>
      <c r="U174" s="149" t="e">
        <f t="shared" si="127"/>
        <v>#DIV/0!</v>
      </c>
      <c r="V174" s="149" t="e">
        <f t="shared" si="127"/>
        <v>#DIV/0!</v>
      </c>
      <c r="W174" s="149" t="e">
        <f t="shared" si="127"/>
        <v>#DIV/0!</v>
      </c>
      <c r="X174" s="149" t="e">
        <f t="shared" si="127"/>
        <v>#DIV/0!</v>
      </c>
      <c r="Y174" s="149" t="e">
        <f t="shared" si="127"/>
        <v>#DIV/0!</v>
      </c>
      <c r="Z174" s="149" t="e">
        <f t="shared" si="127"/>
        <v>#DIV/0!</v>
      </c>
      <c r="AA174" s="149" t="e">
        <f t="shared" si="127"/>
        <v>#DIV/0!</v>
      </c>
      <c r="AB174" s="149" t="e">
        <f t="shared" si="127"/>
        <v>#DIV/0!</v>
      </c>
      <c r="AC174" s="149" t="e">
        <f t="shared" si="127"/>
        <v>#DIV/0!</v>
      </c>
      <c r="AD174" s="149" t="e">
        <f t="shared" si="127"/>
        <v>#DIV/0!</v>
      </c>
      <c r="AE174" s="149" t="e">
        <f t="shared" si="127"/>
        <v>#DIV/0!</v>
      </c>
      <c r="AF174" s="149" t="e">
        <f t="shared" si="127"/>
        <v>#DIV/0!</v>
      </c>
      <c r="AG174" s="149" t="e">
        <f t="shared" si="127"/>
        <v>#DIV/0!</v>
      </c>
      <c r="AH174" s="149" t="e">
        <f t="shared" si="127"/>
        <v>#DIV/0!</v>
      </c>
      <c r="AI174" s="149" t="e">
        <f t="shared" si="127"/>
        <v>#DIV/0!</v>
      </c>
      <c r="AJ174" s="149" t="e">
        <f t="shared" si="127"/>
        <v>#DIV/0!</v>
      </c>
      <c r="AK174" s="149" t="e">
        <f t="shared" si="127"/>
        <v>#DIV/0!</v>
      </c>
      <c r="AL174" s="149" t="e">
        <f t="shared" si="127"/>
        <v>#DIV/0!</v>
      </c>
      <c r="AM174" s="149" t="e">
        <f t="shared" si="127"/>
        <v>#DIV/0!</v>
      </c>
      <c r="AN174" s="149" t="e">
        <f t="shared" si="127"/>
        <v>#DIV/0!</v>
      </c>
      <c r="AO174" s="149" t="e">
        <f t="shared" si="127"/>
        <v>#DIV/0!</v>
      </c>
      <c r="AP174" s="149" t="e">
        <f t="shared" si="127"/>
        <v>#DIV/0!</v>
      </c>
      <c r="AQ174" s="149" t="e">
        <f t="shared" si="127"/>
        <v>#DIV/0!</v>
      </c>
      <c r="AR174" s="149" t="e">
        <f t="shared" si="127"/>
        <v>#DIV/0!</v>
      </c>
      <c r="AS174" s="149" t="e">
        <f t="shared" si="127"/>
        <v>#DIV/0!</v>
      </c>
      <c r="AT174" s="149" t="e">
        <f t="shared" si="127"/>
        <v>#DIV/0!</v>
      </c>
      <c r="AU174" s="149" t="e">
        <f t="shared" si="127"/>
        <v>#DIV/0!</v>
      </c>
      <c r="AV174" s="149" t="e">
        <f t="shared" si="127"/>
        <v>#DIV/0!</v>
      </c>
    </row>
    <row r="175" spans="2:48" ht="16.5" customHeight="1" x14ac:dyDescent="0.5">
      <c r="B175" s="204" t="s">
        <v>296</v>
      </c>
      <c r="C175" s="179">
        <f t="shared" ref="C175:AV175" si="128">C174*C86</f>
        <v>0</v>
      </c>
      <c r="D175" s="179" t="e">
        <f t="shared" si="128"/>
        <v>#DIV/0!</v>
      </c>
      <c r="E175" s="179" t="e">
        <f t="shared" si="128"/>
        <v>#DIV/0!</v>
      </c>
      <c r="F175" s="179" t="e">
        <f t="shared" si="128"/>
        <v>#DIV/0!</v>
      </c>
      <c r="G175" s="179" t="e">
        <f t="shared" si="128"/>
        <v>#DIV/0!</v>
      </c>
      <c r="H175" s="179" t="e">
        <f t="shared" si="128"/>
        <v>#DIV/0!</v>
      </c>
      <c r="I175" s="179" t="e">
        <f t="shared" si="128"/>
        <v>#DIV/0!</v>
      </c>
      <c r="J175" s="179" t="e">
        <f t="shared" si="128"/>
        <v>#DIV/0!</v>
      </c>
      <c r="K175" s="179" t="e">
        <f t="shared" si="128"/>
        <v>#DIV/0!</v>
      </c>
      <c r="L175" s="179" t="e">
        <f t="shared" si="128"/>
        <v>#DIV/0!</v>
      </c>
      <c r="M175" s="179" t="e">
        <f t="shared" si="128"/>
        <v>#DIV/0!</v>
      </c>
      <c r="N175" s="179" t="e">
        <f t="shared" si="128"/>
        <v>#DIV/0!</v>
      </c>
      <c r="O175" s="179" t="e">
        <f t="shared" si="128"/>
        <v>#DIV/0!</v>
      </c>
      <c r="P175" s="179" t="e">
        <f t="shared" si="128"/>
        <v>#DIV/0!</v>
      </c>
      <c r="Q175" s="179" t="e">
        <f t="shared" si="128"/>
        <v>#DIV/0!</v>
      </c>
      <c r="R175" s="179" t="e">
        <f t="shared" si="128"/>
        <v>#DIV/0!</v>
      </c>
      <c r="S175" s="179" t="e">
        <f t="shared" si="128"/>
        <v>#DIV/0!</v>
      </c>
      <c r="T175" s="179" t="e">
        <f t="shared" si="128"/>
        <v>#DIV/0!</v>
      </c>
      <c r="U175" s="179" t="e">
        <f t="shared" si="128"/>
        <v>#DIV/0!</v>
      </c>
      <c r="V175" s="179" t="e">
        <f t="shared" si="128"/>
        <v>#DIV/0!</v>
      </c>
      <c r="W175" s="179" t="e">
        <f t="shared" si="128"/>
        <v>#DIV/0!</v>
      </c>
      <c r="X175" s="179" t="e">
        <f t="shared" si="128"/>
        <v>#DIV/0!</v>
      </c>
      <c r="Y175" s="179" t="e">
        <f t="shared" si="128"/>
        <v>#DIV/0!</v>
      </c>
      <c r="Z175" s="179" t="e">
        <f t="shared" si="128"/>
        <v>#DIV/0!</v>
      </c>
      <c r="AA175" s="179" t="e">
        <f t="shared" si="128"/>
        <v>#DIV/0!</v>
      </c>
      <c r="AB175" s="179" t="e">
        <f t="shared" si="128"/>
        <v>#DIV/0!</v>
      </c>
      <c r="AC175" s="179" t="e">
        <f t="shared" si="128"/>
        <v>#DIV/0!</v>
      </c>
      <c r="AD175" s="179" t="e">
        <f t="shared" si="128"/>
        <v>#DIV/0!</v>
      </c>
      <c r="AE175" s="179" t="e">
        <f t="shared" si="128"/>
        <v>#DIV/0!</v>
      </c>
      <c r="AF175" s="179" t="e">
        <f t="shared" si="128"/>
        <v>#DIV/0!</v>
      </c>
      <c r="AG175" s="179" t="e">
        <f t="shared" si="128"/>
        <v>#DIV/0!</v>
      </c>
      <c r="AH175" s="179" t="e">
        <f t="shared" si="128"/>
        <v>#DIV/0!</v>
      </c>
      <c r="AI175" s="179" t="e">
        <f t="shared" si="128"/>
        <v>#DIV/0!</v>
      </c>
      <c r="AJ175" s="179" t="e">
        <f t="shared" si="128"/>
        <v>#DIV/0!</v>
      </c>
      <c r="AK175" s="179" t="e">
        <f t="shared" si="128"/>
        <v>#DIV/0!</v>
      </c>
      <c r="AL175" s="179" t="e">
        <f t="shared" si="128"/>
        <v>#DIV/0!</v>
      </c>
      <c r="AM175" s="179" t="e">
        <f t="shared" si="128"/>
        <v>#DIV/0!</v>
      </c>
      <c r="AN175" s="179" t="e">
        <f t="shared" si="128"/>
        <v>#DIV/0!</v>
      </c>
      <c r="AO175" s="179" t="e">
        <f t="shared" si="128"/>
        <v>#DIV/0!</v>
      </c>
      <c r="AP175" s="179" t="e">
        <f t="shared" si="128"/>
        <v>#DIV/0!</v>
      </c>
      <c r="AQ175" s="179" t="e">
        <f t="shared" si="128"/>
        <v>#DIV/0!</v>
      </c>
      <c r="AR175" s="179" t="e">
        <f t="shared" si="128"/>
        <v>#DIV/0!</v>
      </c>
      <c r="AS175" s="179" t="e">
        <f t="shared" si="128"/>
        <v>#DIV/0!</v>
      </c>
      <c r="AT175" s="179" t="e">
        <f t="shared" si="128"/>
        <v>#DIV/0!</v>
      </c>
      <c r="AU175" s="179" t="e">
        <f t="shared" si="128"/>
        <v>#DIV/0!</v>
      </c>
      <c r="AV175" s="179" t="e">
        <f t="shared" si="128"/>
        <v>#DIV/0!</v>
      </c>
    </row>
    <row r="176" spans="2:48" ht="16.5" customHeight="1" x14ac:dyDescent="0.5"/>
    <row r="177" spans="2:10" ht="16.5" customHeight="1" x14ac:dyDescent="0.5">
      <c r="B177" s="271" t="s">
        <v>44</v>
      </c>
      <c r="C177" s="271" t="s">
        <v>46</v>
      </c>
      <c r="D177" s="271" t="s">
        <v>222</v>
      </c>
    </row>
    <row r="178" spans="2:10" ht="16.5" customHeight="1" x14ac:dyDescent="0.5">
      <c r="B178" s="274" t="s">
        <v>48</v>
      </c>
      <c r="C178" s="275">
        <f>D66</f>
        <v>0</v>
      </c>
      <c r="D178" s="275" t="e">
        <f>SUM(C175:AV175)</f>
        <v>#DIV/0!</v>
      </c>
      <c r="E178" s="141"/>
      <c r="G178" s="147"/>
      <c r="J178" s="147"/>
    </row>
    <row r="179" spans="2:10" ht="16.5" customHeight="1" x14ac:dyDescent="0.5">
      <c r="C179" s="141"/>
    </row>
    <row r="180" spans="2:10" ht="16.5" customHeight="1" x14ac:dyDescent="0.5"/>
    <row r="181" spans="2:10" ht="16.5" customHeight="1" x14ac:dyDescent="0.5">
      <c r="C181" s="141"/>
    </row>
  </sheetData>
  <pageMargins left="0.75" right="0.75" top="1" bottom="1"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C1D8D-0F90-45B0-A381-C7B73FBBAB78}">
  <dimension ref="A1:BH186"/>
  <sheetViews>
    <sheetView topLeftCell="A153" zoomScale="67" workbookViewId="0">
      <selection activeCell="G147" sqref="G147"/>
    </sheetView>
  </sheetViews>
  <sheetFormatPr defaultColWidth="14.46484375" defaultRowHeight="15" customHeight="1" x14ac:dyDescent="0.5"/>
  <cols>
    <col min="1" max="1" width="7.73046875" style="137" customWidth="1"/>
    <col min="2" max="2" width="61.796875" style="137" customWidth="1"/>
    <col min="3" max="3" width="14.796875" style="137" customWidth="1"/>
    <col min="4" max="5" width="12.9296875" style="137" bestFit="1" customWidth="1"/>
    <col min="6" max="6" width="11.53125" style="137" bestFit="1" customWidth="1"/>
    <col min="7" max="8" width="11.46484375" style="137" bestFit="1" customWidth="1"/>
    <col min="9" max="40" width="11.265625" style="137" bestFit="1" customWidth="1"/>
    <col min="41" max="41" width="11.796875" style="137" bestFit="1" customWidth="1"/>
    <col min="42" max="48" width="12.265625" style="137" customWidth="1"/>
    <col min="49" max="16384" width="14.46484375" style="137"/>
  </cols>
  <sheetData>
    <row r="1" spans="1:48" ht="16.5" customHeight="1" x14ac:dyDescent="0.5"/>
    <row r="2" spans="1:48" ht="30" customHeight="1" x14ac:dyDescent="0.5">
      <c r="A2" s="34"/>
      <c r="B2" s="270" t="s">
        <v>304</v>
      </c>
    </row>
    <row r="3" spans="1:48" ht="16.5" customHeight="1" x14ac:dyDescent="0.5"/>
    <row r="4" spans="1:48" ht="16.5" customHeight="1" x14ac:dyDescent="0.5">
      <c r="B4" s="162" t="s">
        <v>203</v>
      </c>
    </row>
    <row r="5" spans="1:48" ht="16.5" customHeight="1" x14ac:dyDescent="0.5">
      <c r="B5" s="137" t="s">
        <v>16</v>
      </c>
      <c r="C5" s="137">
        <v>2013</v>
      </c>
      <c r="D5" s="137">
        <v>2014</v>
      </c>
      <c r="E5" s="137">
        <v>2015</v>
      </c>
      <c r="F5" s="137">
        <v>2016</v>
      </c>
      <c r="G5" s="137">
        <v>2017</v>
      </c>
      <c r="H5" s="137">
        <v>2018</v>
      </c>
      <c r="I5" s="137">
        <v>2019</v>
      </c>
      <c r="J5" s="137">
        <v>2020</v>
      </c>
      <c r="K5" s="137">
        <v>2021</v>
      </c>
      <c r="L5" s="137">
        <v>2022</v>
      </c>
      <c r="M5" s="137">
        <v>2023</v>
      </c>
      <c r="N5" s="137">
        <v>2024</v>
      </c>
      <c r="O5" s="137">
        <v>2025</v>
      </c>
      <c r="P5" s="137">
        <v>2026</v>
      </c>
      <c r="Q5" s="137">
        <v>2027</v>
      </c>
      <c r="R5" s="137">
        <v>2028</v>
      </c>
      <c r="S5" s="137">
        <v>2029</v>
      </c>
      <c r="T5" s="137">
        <v>2030</v>
      </c>
      <c r="U5" s="137">
        <v>2031</v>
      </c>
      <c r="V5" s="137">
        <v>2032</v>
      </c>
      <c r="W5" s="137">
        <v>2033</v>
      </c>
      <c r="X5" s="137">
        <v>2034</v>
      </c>
      <c r="Y5" s="137">
        <v>2035</v>
      </c>
      <c r="Z5" s="137">
        <v>2036</v>
      </c>
      <c r="AA5" s="137">
        <v>2037</v>
      </c>
      <c r="AB5" s="137">
        <v>2038</v>
      </c>
      <c r="AC5" s="137">
        <v>2039</v>
      </c>
      <c r="AD5" s="137">
        <v>2040</v>
      </c>
      <c r="AE5" s="137">
        <v>2041</v>
      </c>
      <c r="AF5" s="137">
        <v>2042</v>
      </c>
      <c r="AG5" s="137">
        <v>2043</v>
      </c>
      <c r="AH5" s="137">
        <v>2044</v>
      </c>
      <c r="AI5" s="137">
        <v>2045</v>
      </c>
      <c r="AJ5" s="137">
        <v>2046</v>
      </c>
      <c r="AK5" s="137">
        <v>2047</v>
      </c>
      <c r="AL5" s="137">
        <v>2048</v>
      </c>
      <c r="AM5" s="137">
        <v>2049</v>
      </c>
      <c r="AN5" s="137">
        <v>2050</v>
      </c>
      <c r="AO5" s="137">
        <v>2051</v>
      </c>
      <c r="AP5" s="137">
        <v>2052</v>
      </c>
      <c r="AQ5" s="137">
        <v>2053</v>
      </c>
      <c r="AR5" s="137">
        <v>2054</v>
      </c>
      <c r="AS5" s="137">
        <v>2055</v>
      </c>
      <c r="AT5" s="137">
        <v>2056</v>
      </c>
      <c r="AU5" s="137">
        <v>2057</v>
      </c>
      <c r="AV5" s="137">
        <v>2058</v>
      </c>
    </row>
    <row r="6" spans="1:48" ht="16.5" customHeight="1" x14ac:dyDescent="0.5">
      <c r="B6" s="165" t="s">
        <v>36</v>
      </c>
      <c r="C6" s="163">
        <v>0</v>
      </c>
      <c r="D6" s="163">
        <v>1</v>
      </c>
      <c r="E6" s="163">
        <v>2</v>
      </c>
      <c r="F6" s="163">
        <v>3</v>
      </c>
      <c r="G6" s="163">
        <v>4</v>
      </c>
      <c r="H6" s="163">
        <v>5</v>
      </c>
      <c r="I6" s="163">
        <v>6</v>
      </c>
      <c r="J6" s="163">
        <v>7</v>
      </c>
      <c r="K6" s="163">
        <v>8</v>
      </c>
      <c r="L6" s="163">
        <v>9</v>
      </c>
      <c r="M6" s="163">
        <v>10</v>
      </c>
      <c r="N6" s="163">
        <v>11</v>
      </c>
      <c r="O6" s="163">
        <v>12</v>
      </c>
      <c r="P6" s="163">
        <v>13</v>
      </c>
      <c r="Q6" s="163">
        <v>14</v>
      </c>
      <c r="R6" s="163">
        <v>15</v>
      </c>
      <c r="S6" s="163">
        <v>16</v>
      </c>
      <c r="T6" s="163">
        <v>17</v>
      </c>
      <c r="U6" s="163">
        <v>18</v>
      </c>
      <c r="V6" s="163">
        <v>19</v>
      </c>
      <c r="W6" s="163">
        <v>20</v>
      </c>
      <c r="X6" s="163">
        <v>21</v>
      </c>
      <c r="Y6" s="163">
        <v>22</v>
      </c>
      <c r="Z6" s="163">
        <v>23</v>
      </c>
      <c r="AA6" s="163">
        <v>24</v>
      </c>
      <c r="AB6" s="163">
        <v>25</v>
      </c>
      <c r="AC6" s="163">
        <v>26</v>
      </c>
      <c r="AD6" s="163">
        <v>27</v>
      </c>
      <c r="AE6" s="163">
        <v>28</v>
      </c>
      <c r="AF6" s="163">
        <v>29</v>
      </c>
      <c r="AG6" s="163">
        <v>30</v>
      </c>
      <c r="AH6" s="163">
        <v>31</v>
      </c>
      <c r="AI6" s="163">
        <v>32</v>
      </c>
      <c r="AJ6" s="163">
        <v>33</v>
      </c>
      <c r="AK6" s="163">
        <v>34</v>
      </c>
      <c r="AL6" s="163">
        <v>35</v>
      </c>
      <c r="AM6" s="163">
        <v>36</v>
      </c>
      <c r="AN6" s="163">
        <v>37</v>
      </c>
      <c r="AO6" s="163">
        <v>38</v>
      </c>
      <c r="AP6" s="163">
        <v>39</v>
      </c>
      <c r="AQ6" s="163">
        <v>40</v>
      </c>
      <c r="AR6" s="163">
        <v>41</v>
      </c>
      <c r="AS6" s="163">
        <v>42</v>
      </c>
      <c r="AT6" s="163">
        <v>43</v>
      </c>
      <c r="AU6" s="163">
        <v>44</v>
      </c>
      <c r="AV6" s="163">
        <v>45</v>
      </c>
    </row>
    <row r="7" spans="1:48" ht="16.5" customHeight="1" x14ac:dyDescent="0.5">
      <c r="B7" s="137" t="s">
        <v>204</v>
      </c>
      <c r="C7" s="138">
        <f>(1+'Thông số'!$C$10)^C6</f>
        <v>1</v>
      </c>
      <c r="D7" s="138">
        <f>(1+'Thông số'!$C$10)^D6</f>
        <v>1.08</v>
      </c>
      <c r="E7" s="138">
        <f>(1+'Thông số'!$C$10)^E6</f>
        <v>1.1664000000000001</v>
      </c>
      <c r="F7" s="138">
        <f>(1+'Thông số'!$C$10)^F6</f>
        <v>1.2597120000000002</v>
      </c>
      <c r="G7" s="138">
        <f>(1+'Thông số'!$C$10)^G6</f>
        <v>1.3604889600000003</v>
      </c>
      <c r="H7" s="138">
        <f>(1+'Thông số'!$C$10)^H6</f>
        <v>1.4693280768000003</v>
      </c>
      <c r="I7" s="138">
        <f>(1+'Thông số'!$C$10)^I6</f>
        <v>1.5868743229440005</v>
      </c>
      <c r="J7" s="138">
        <f>(1+'Thông số'!$C$10)^J6</f>
        <v>1.7138242687795207</v>
      </c>
      <c r="K7" s="138">
        <f>(1+'Thông số'!$C$10)^K6</f>
        <v>1.8509302102818823</v>
      </c>
      <c r="L7" s="138">
        <f>(1+'Thông số'!$C$10)^L6</f>
        <v>1.9990046271044331</v>
      </c>
      <c r="M7" s="138">
        <f>(1+'Thông số'!$C$10)^M6</f>
        <v>2.1589249972727877</v>
      </c>
      <c r="N7" s="138">
        <f>(1+'Thông số'!$C$10)^N6</f>
        <v>2.3316389970546108</v>
      </c>
      <c r="O7" s="138">
        <f>(1+'Thông số'!$C$10)^O6</f>
        <v>2.5181701168189798</v>
      </c>
      <c r="P7" s="138">
        <f>(1+'Thông số'!$C$10)^P6</f>
        <v>2.7196237261644982</v>
      </c>
      <c r="Q7" s="138">
        <f>(1+'Thông số'!$C$10)^Q6</f>
        <v>2.9371936242576586</v>
      </c>
      <c r="R7" s="138">
        <f>(1+'Thông số'!$C$10)^R6</f>
        <v>3.1721691141982715</v>
      </c>
      <c r="S7" s="138">
        <f>(1+'Thông số'!$C$10)^S6</f>
        <v>3.4259426433341331</v>
      </c>
      <c r="T7" s="138">
        <f>(1+'Thông số'!$C$10)^T6</f>
        <v>3.7000180548008639</v>
      </c>
      <c r="U7" s="138">
        <f>(1+'Thông số'!$C$10)^U6</f>
        <v>3.9960194991849334</v>
      </c>
      <c r="V7" s="138">
        <f>(1+'Thông số'!$C$10)^V6</f>
        <v>4.3157010591197285</v>
      </c>
      <c r="W7" s="138">
        <f>(1+'Thông số'!$C$10)^W6</f>
        <v>4.6609571438493065</v>
      </c>
      <c r="X7" s="138">
        <f>(1+'Thông số'!$C$10)^X6</f>
        <v>5.0338337153572512</v>
      </c>
      <c r="Y7" s="138">
        <f>(1+'Thông số'!$C$10)^Y6</f>
        <v>5.4365404125858321</v>
      </c>
      <c r="Z7" s="138">
        <f>(1+'Thông số'!$C$10)^Z6</f>
        <v>5.8714636455926987</v>
      </c>
      <c r="AA7" s="138">
        <f>(1+'Thông số'!$C$10)^AA6</f>
        <v>6.3411807372401148</v>
      </c>
      <c r="AB7" s="138">
        <f>(1+'Thông số'!$C$10)^AB6</f>
        <v>6.8484751962193249</v>
      </c>
      <c r="AC7" s="138">
        <f>(1+'Thông số'!$C$10)^AC6</f>
        <v>7.3963532119168702</v>
      </c>
      <c r="AD7" s="138">
        <f>(1+'Thông số'!$C$10)^AD6</f>
        <v>7.9880614688702201</v>
      </c>
      <c r="AE7" s="138">
        <f>(1+'Thông số'!$C$10)^AE6</f>
        <v>8.6271063863798378</v>
      </c>
      <c r="AF7" s="138">
        <f>(1+'Thông số'!$C$10)^AF6</f>
        <v>9.3172748972902255</v>
      </c>
      <c r="AG7" s="138">
        <f>(1+'Thông số'!$C$10)^AG6</f>
        <v>10.062656889073445</v>
      </c>
      <c r="AH7" s="138">
        <f>(1+'Thông số'!$C$10)^AH6</f>
        <v>10.867669440199322</v>
      </c>
      <c r="AI7" s="138">
        <f>(1+'Thông số'!$C$10)^AI6</f>
        <v>11.737082995415268</v>
      </c>
      <c r="AJ7" s="138">
        <f>(1+'Thông số'!$C$10)^AJ6</f>
        <v>12.676049635048489</v>
      </c>
      <c r="AK7" s="138">
        <f>(1+'Thông số'!$C$10)^AK6</f>
        <v>13.690133605852369</v>
      </c>
      <c r="AL7" s="138">
        <f>(1+'Thông số'!$C$10)^AL6</f>
        <v>14.785344294320559</v>
      </c>
      <c r="AM7" s="138">
        <f>(1+'Thông số'!$C$10)^AM6</f>
        <v>15.968171837866207</v>
      </c>
      <c r="AN7" s="138">
        <f>(1+'Thông số'!$C$10)^AN6</f>
        <v>17.245625584895503</v>
      </c>
      <c r="AO7" s="138">
        <f>(1+'Thông số'!$C$10)^AO6</f>
        <v>18.625275631687146</v>
      </c>
      <c r="AP7" s="138">
        <f>(1+'Thông số'!$C$10)^AP6</f>
        <v>20.115297682222117</v>
      </c>
      <c r="AQ7" s="138">
        <f>(1+'Thông số'!$C$10)^AQ6</f>
        <v>21.724521496799888</v>
      </c>
      <c r="AR7" s="138">
        <f>(1+'Thông số'!$C$10)^AR6</f>
        <v>23.46248321654388</v>
      </c>
      <c r="AS7" s="138">
        <f>(1+'Thông số'!$C$10)^AS6</f>
        <v>25.339481873867388</v>
      </c>
      <c r="AT7" s="138">
        <f>(1+'Thông số'!$C$10)^AT6</f>
        <v>27.366640423776779</v>
      </c>
      <c r="AU7" s="138">
        <f>(1+'Thông số'!$C$10)^AU6</f>
        <v>29.555971657678928</v>
      </c>
      <c r="AV7" s="138">
        <f>(1+'Thông số'!$C$10)^AV6</f>
        <v>31.920449390293239</v>
      </c>
    </row>
    <row r="8" spans="1:48" ht="16.5" customHeight="1" x14ac:dyDescent="0.5">
      <c r="B8" s="137" t="s">
        <v>205</v>
      </c>
      <c r="C8" s="138">
        <f>(1+'Thông số'!$C$11)^C6</f>
        <v>1</v>
      </c>
      <c r="D8" s="138">
        <f>(1+'Thông số'!$C$11)^D6</f>
        <v>1.02</v>
      </c>
      <c r="E8" s="138">
        <f>(1+'Thông số'!$C$11)^E6</f>
        <v>1.0404</v>
      </c>
      <c r="F8" s="138">
        <f>(1+'Thông số'!$C$11)^F6</f>
        <v>1.0612079999999999</v>
      </c>
      <c r="G8" s="138">
        <f>(1+'Thông số'!$C$11)^G6</f>
        <v>1.08243216</v>
      </c>
      <c r="H8" s="138">
        <f>(1+'Thông số'!$C$11)^H6</f>
        <v>1.1040808032</v>
      </c>
      <c r="I8" s="138">
        <f>(1+'Thông số'!$C$11)^I6</f>
        <v>1.1261624192640001</v>
      </c>
      <c r="J8" s="138">
        <f>(1+'Thông số'!$C$11)^J6</f>
        <v>1.1486856676492798</v>
      </c>
      <c r="K8" s="138">
        <f>(1+'Thông số'!$C$11)^K6</f>
        <v>1.1716593810022655</v>
      </c>
      <c r="L8" s="138">
        <f>(1+'Thông số'!$C$11)^L6</f>
        <v>1.1950925686223108</v>
      </c>
      <c r="M8" s="138">
        <f>(1+'Thông số'!$C$11)^M6</f>
        <v>1.2189944199947571</v>
      </c>
      <c r="N8" s="138">
        <f>(1+'Thông số'!$C$11)^N6</f>
        <v>1.243374308394652</v>
      </c>
      <c r="O8" s="138">
        <f>(1+'Thông số'!$C$11)^O6</f>
        <v>1.2682417945625453</v>
      </c>
      <c r="P8" s="138">
        <f>(1+'Thông số'!$C$11)^P6</f>
        <v>1.2936066304537961</v>
      </c>
      <c r="Q8" s="138">
        <f>(1+'Thông số'!$C$11)^Q6</f>
        <v>1.3194787630628722</v>
      </c>
      <c r="R8" s="138">
        <f>(1+'Thông số'!$C$11)^R6</f>
        <v>1.3458683383241292</v>
      </c>
      <c r="S8" s="138">
        <f>(1+'Thông số'!$C$11)^S6</f>
        <v>1.372785705090612</v>
      </c>
      <c r="T8" s="138">
        <f>(1+'Thông số'!$C$11)^T6</f>
        <v>1.4002414191924244</v>
      </c>
      <c r="U8" s="138">
        <f>(1+'Thông số'!$C$11)^U6</f>
        <v>1.4282462475762727</v>
      </c>
      <c r="V8" s="138">
        <f>(1+'Thông số'!$C$11)^V6</f>
        <v>1.4568111725277981</v>
      </c>
      <c r="W8" s="138">
        <f>(1+'Thông số'!$C$11)^W6</f>
        <v>1.4859473959783542</v>
      </c>
      <c r="X8" s="138">
        <f>(1+'Thông số'!$C$11)^X6</f>
        <v>1.5156663438979212</v>
      </c>
      <c r="Y8" s="138">
        <f>(1+'Thông số'!$C$11)^Y6</f>
        <v>1.5459796707758797</v>
      </c>
      <c r="Z8" s="138">
        <f>(1+'Thông số'!$C$11)^Z6</f>
        <v>1.576899264191397</v>
      </c>
      <c r="AA8" s="138">
        <f>(1+'Thông số'!$C$11)^AA6</f>
        <v>1.608437249475225</v>
      </c>
      <c r="AB8" s="138">
        <f>(1+'Thông số'!$C$11)^AB6</f>
        <v>1.6406059944647295</v>
      </c>
      <c r="AC8" s="138">
        <f>(1+'Thông số'!$C$11)^AC6</f>
        <v>1.6734181143540243</v>
      </c>
      <c r="AD8" s="138">
        <f>(1+'Thông số'!$C$11)^AD6</f>
        <v>1.7068864766411045</v>
      </c>
      <c r="AE8" s="138">
        <f>(1+'Thông số'!$C$11)^AE6</f>
        <v>1.7410242061739269</v>
      </c>
      <c r="AF8" s="138">
        <f>(1+'Thông số'!$C$11)^AF6</f>
        <v>1.7758446902974052</v>
      </c>
      <c r="AG8" s="138">
        <f>(1+'Thông số'!$C$11)^AG6</f>
        <v>1.8113615841033535</v>
      </c>
      <c r="AH8" s="138">
        <f>(1+'Thông số'!$C$11)^AH6</f>
        <v>1.8475888157854201</v>
      </c>
      <c r="AI8" s="138">
        <f>(1+'Thông số'!$C$11)^AI6</f>
        <v>1.8845405921011289</v>
      </c>
      <c r="AJ8" s="138">
        <f>(1+'Thông số'!$C$11)^AJ6</f>
        <v>1.9222314039431516</v>
      </c>
      <c r="AK8" s="138">
        <f>(1+'Thông số'!$C$11)^AK6</f>
        <v>1.9606760320220145</v>
      </c>
      <c r="AL8" s="138">
        <f>(1+'Thông số'!$C$11)^AL6</f>
        <v>1.9998895526624547</v>
      </c>
      <c r="AM8" s="138">
        <f>(1+'Thông số'!$C$11)^AM6</f>
        <v>2.0398873437157037</v>
      </c>
      <c r="AN8" s="138">
        <f>(1+'Thông số'!$C$11)^AN6</f>
        <v>2.080685090590018</v>
      </c>
      <c r="AO8" s="138">
        <f>(1+'Thông số'!$C$11)^AO6</f>
        <v>2.1222987924018186</v>
      </c>
      <c r="AP8" s="138">
        <f>(1+'Thông số'!$C$11)^AP6</f>
        <v>2.1647447682498542</v>
      </c>
      <c r="AQ8" s="138">
        <f>(1+'Thông số'!$C$11)^AQ6</f>
        <v>2.2080396636148518</v>
      </c>
      <c r="AR8" s="138">
        <f>(1+'Thông số'!$C$11)^AR6</f>
        <v>2.2522004568871488</v>
      </c>
      <c r="AS8" s="138">
        <f>(1+'Thông số'!$C$11)^AS6</f>
        <v>2.2972444660248916</v>
      </c>
      <c r="AT8" s="138">
        <f>(1+'Thông số'!$C$11)^AT6</f>
        <v>2.3431893553453893</v>
      </c>
      <c r="AU8" s="138">
        <f>(1+'Thông số'!$C$11)^AU6</f>
        <v>2.3900531424522975</v>
      </c>
      <c r="AV8" s="138">
        <f>(1+'Thông số'!$C$11)^AV6</f>
        <v>2.4378542053013432</v>
      </c>
    </row>
    <row r="9" spans="1:48" ht="16.5" customHeight="1" x14ac:dyDescent="0.5">
      <c r="B9" s="137" t="s">
        <v>77</v>
      </c>
      <c r="C9" s="138">
        <f>'Thông số'!$C$9*C7/C8</f>
        <v>80</v>
      </c>
      <c r="D9" s="138">
        <f>'Thông số'!$C$9*D7/D8</f>
        <v>84.705882352941174</v>
      </c>
      <c r="E9" s="138">
        <f>'Thông số'!$C$9*E7/E8</f>
        <v>89.688581314878903</v>
      </c>
      <c r="F9" s="138">
        <f>'Thông số'!$C$9*F7/F8</f>
        <v>94.964380215754147</v>
      </c>
      <c r="G9" s="138">
        <f>'Thông số'!$C$9*G7/G8</f>
        <v>100.55052022844556</v>
      </c>
      <c r="H9" s="138">
        <f>'Thông số'!$C$9*H7/H8</f>
        <v>106.46525671247177</v>
      </c>
      <c r="I9" s="138">
        <f>'Thông số'!$C$9*I7/I8</f>
        <v>112.72791887202894</v>
      </c>
      <c r="J9" s="138">
        <f>'Thông số'!$C$9*J7/J8</f>
        <v>119.35897292332479</v>
      </c>
      <c r="K9" s="138">
        <f>'Thông số'!$C$9*K7/K8</f>
        <v>126.380088977638</v>
      </c>
      <c r="L9" s="138">
        <f>'Thông số'!$C$9*L7/L8</f>
        <v>133.81421185867555</v>
      </c>
      <c r="M9" s="138">
        <f>'Thông số'!$C$9*M7/M8</f>
        <v>141.68563608565645</v>
      </c>
      <c r="N9" s="138">
        <f>'Thông số'!$C$9*N7/N8</f>
        <v>150.02008526716568</v>
      </c>
      <c r="O9" s="138">
        <f>'Thông số'!$C$9*O7/O8</f>
        <v>158.84479616523424</v>
      </c>
      <c r="P9" s="138">
        <f>'Thông số'!$C$9*P7/P8</f>
        <v>168.18860770436567</v>
      </c>
      <c r="Q9" s="138">
        <f>'Thông số'!$C$9*Q7/Q8</f>
        <v>178.0820552163872</v>
      </c>
      <c r="R9" s="138">
        <f>'Thông số'!$C$9*R7/R8</f>
        <v>188.55747022911595</v>
      </c>
      <c r="S9" s="138">
        <f>'Thông số'!$C$9*S7/S8</f>
        <v>199.64908612494625</v>
      </c>
      <c r="T9" s="138">
        <f>'Thông số'!$C$9*T7/T8</f>
        <v>211.39315001464894</v>
      </c>
      <c r="U9" s="138">
        <f>'Thông số'!$C$9*U7/U8</f>
        <v>223.8280411919813</v>
      </c>
      <c r="V9" s="138">
        <f>'Thông số'!$C$9*V7/V8</f>
        <v>236.99439655621552</v>
      </c>
      <c r="W9" s="138">
        <f>'Thông số'!$C$9*W7/W8</f>
        <v>250.93524341246342</v>
      </c>
      <c r="X9" s="138">
        <f>'Thông số'!$C$9*X7/X8</f>
        <v>265.69614008378483</v>
      </c>
      <c r="Y9" s="138">
        <f>'Thông số'!$C$9*Y7/Y8</f>
        <v>281.32532479459576</v>
      </c>
      <c r="Z9" s="138">
        <f>'Thông số'!$C$9*Z7/Z8</f>
        <v>297.87387331192497</v>
      </c>
      <c r="AA9" s="138">
        <f>'Thông số'!$C$9*AA7/AA8</f>
        <v>315.39586585968527</v>
      </c>
      <c r="AB9" s="138">
        <f>'Thông số'!$C$9*AB7/AB8</f>
        <v>333.94856385143146</v>
      </c>
      <c r="AC9" s="138">
        <f>'Thông số'!$C$9*AC7/AC8</f>
        <v>353.59259701916267</v>
      </c>
      <c r="AD9" s="138">
        <f>'Thông số'!$C$9*AD7/AD8</f>
        <v>374.39216154970171</v>
      </c>
      <c r="AE9" s="138">
        <f>'Thông số'!$C$9*AE7/AE8</f>
        <v>396.41522987615468</v>
      </c>
      <c r="AF9" s="138">
        <f>'Thông số'!$C$9*AF7/AF8</f>
        <v>419.73377281004628</v>
      </c>
      <c r="AG9" s="138">
        <f>'Thông số'!$C$9*AG7/AG8</f>
        <v>444.42399474004901</v>
      </c>
      <c r="AH9" s="138">
        <f>'Thông số'!$C$9*AH7/AH8</f>
        <v>470.56658266593439</v>
      </c>
      <c r="AI9" s="138">
        <f>'Thông số'!$C$9*AI7/AI8</f>
        <v>498.24696988157746</v>
      </c>
      <c r="AJ9" s="138">
        <f>'Thông số'!$C$9*AJ7/AJ8</f>
        <v>527.5556151687291</v>
      </c>
      <c r="AK9" s="138">
        <f>'Thông số'!$C$9*AK7/AK8</f>
        <v>558.58829841394856</v>
      </c>
      <c r="AL9" s="138">
        <f>'Thông số'!$C$9*AL7/AL8</f>
        <v>591.44643361476915</v>
      </c>
      <c r="AM9" s="138">
        <f>'Thông số'!$C$9*AM7/AM8</f>
        <v>626.23740029799092</v>
      </c>
      <c r="AN9" s="138">
        <f>'Thông số'!$C$9*AN7/AN8</f>
        <v>663.07489443316683</v>
      </c>
      <c r="AO9" s="138">
        <f>'Thông số'!$C$9*AO7/AO8</f>
        <v>702.07929998805889</v>
      </c>
      <c r="AP9" s="138">
        <f>'Thông số'!$C$9*AP7/AP8</f>
        <v>743.37808234029796</v>
      </c>
      <c r="AQ9" s="138">
        <f>'Thông số'!$C$9*AQ7/AQ8</f>
        <v>787.10620483090361</v>
      </c>
      <c r="AR9" s="138">
        <f>'Thông số'!$C$9*AR7/AR8</f>
        <v>833.40656982095686</v>
      </c>
      <c r="AS9" s="138">
        <f>'Thông số'!$C$9*AS7/AS8</f>
        <v>882.43048569277778</v>
      </c>
      <c r="AT9" s="138">
        <f>'Thông số'!$C$9*AT7/AT8</f>
        <v>934.33816132176469</v>
      </c>
      <c r="AU9" s="138">
        <f>'Thông số'!$C$9*AU7/AU8</f>
        <v>989.29922963480988</v>
      </c>
      <c r="AV9" s="138">
        <f>'Thông số'!$C$9*AV7/AV8</f>
        <v>1047.4933019662692</v>
      </c>
    </row>
    <row r="10" spans="1:48" ht="16.5" customHeight="1" x14ac:dyDescent="0.5">
      <c r="B10" s="171" t="s">
        <v>206</v>
      </c>
      <c r="C10" s="171"/>
      <c r="D10" s="171"/>
      <c r="E10" s="171"/>
      <c r="F10" s="171"/>
      <c r="G10" s="180">
        <f>(1+'Thông số'!$F$14)^C6</f>
        <v>1</v>
      </c>
      <c r="H10" s="180">
        <f>(1+'Thông số'!$F$14)^D6</f>
        <v>1.04</v>
      </c>
      <c r="I10" s="180">
        <f>(1+'Thông số'!$F$14)^E6</f>
        <v>1.0816000000000001</v>
      </c>
      <c r="J10" s="180">
        <f>(1+'Thông số'!$F$14)^F6</f>
        <v>1.1248640000000001</v>
      </c>
      <c r="K10" s="180">
        <f>(1+'Thông số'!$F$14)^G6</f>
        <v>1.1698585600000002</v>
      </c>
      <c r="L10" s="180">
        <f>(1+'Thông số'!$F$14)^H6</f>
        <v>1.2166529024000003</v>
      </c>
      <c r="M10" s="180">
        <f>(1+'Thông số'!$F$14)^I6</f>
        <v>1.2653190184960004</v>
      </c>
      <c r="N10" s="180">
        <f>(1+'Thông số'!$F$14)^J6</f>
        <v>1.3159317792358403</v>
      </c>
      <c r="O10" s="180">
        <f>(1+'Thông số'!$F$14)^K6</f>
        <v>1.3685690504052741</v>
      </c>
      <c r="P10" s="180">
        <f>(1+'Thông số'!$F$14)^L6</f>
        <v>1.4233118124214852</v>
      </c>
      <c r="Q10" s="180">
        <f>(1+'Thông số'!$F$14)^M6</f>
        <v>1.4802442849183446</v>
      </c>
      <c r="R10" s="180">
        <f>(1+'Thông số'!$F$14)^N6</f>
        <v>1.5394540563150783</v>
      </c>
      <c r="S10" s="180">
        <f>(1+'Thông số'!$F$14)^O6</f>
        <v>1.6010322185676817</v>
      </c>
      <c r="T10" s="180">
        <f>(1+'Thông số'!$F$14)^P6</f>
        <v>1.6650735073103891</v>
      </c>
      <c r="U10" s="180">
        <f>(1+'Thông số'!$F$14)^Q6</f>
        <v>1.7316764476028046</v>
      </c>
      <c r="V10" s="180">
        <f>(1+'Thông số'!$F$14)^R6</f>
        <v>1.8009435055069167</v>
      </c>
      <c r="W10" s="180">
        <f>(1+'Thông số'!$F$14)^S6</f>
        <v>1.8729812457271937</v>
      </c>
      <c r="X10" s="180">
        <f>(1+'Thông số'!$F$14)^T6</f>
        <v>1.9479004955562815</v>
      </c>
      <c r="Y10" s="180">
        <f>(1+'Thông số'!$F$14)^U6</f>
        <v>2.025816515378533</v>
      </c>
      <c r="Z10" s="180">
        <f>(1+'Thông số'!$F$14)^V6</f>
        <v>2.1068491759936743</v>
      </c>
      <c r="AA10" s="180">
        <f>(1+'Thông số'!$F$14)^W6</f>
        <v>2.1911231430334213</v>
      </c>
      <c r="AB10" s="180">
        <f>(1+'Thông số'!$F$14)^X6</f>
        <v>2.2787680687547587</v>
      </c>
      <c r="AC10" s="180">
        <f>(1+'Thông số'!$F$14)^Y6</f>
        <v>2.3699187915049489</v>
      </c>
      <c r="AD10" s="180">
        <f>(1+'Thông số'!$F$14)^Z6</f>
        <v>2.4647155431651466</v>
      </c>
      <c r="AE10" s="180">
        <f>(1+'Thông số'!$F$14)^AA6</f>
        <v>2.5633041648917527</v>
      </c>
      <c r="AF10" s="180">
        <f>(1+'Thông số'!$F$14)^AB6</f>
        <v>2.6658363314874234</v>
      </c>
      <c r="AG10" s="180">
        <f>(1+'Thông số'!$F$14)^AC6</f>
        <v>2.77246978474692</v>
      </c>
      <c r="AH10" s="180">
        <f>(1+'Thông số'!$F$14)^AD6</f>
        <v>2.8833685761367969</v>
      </c>
      <c r="AI10" s="180">
        <f>(1+'Thông số'!$F$14)^AE6</f>
        <v>2.9987033191822694</v>
      </c>
      <c r="AJ10" s="180">
        <f>(1+'Thông số'!$F$14)^AF6</f>
        <v>3.1186514519495603</v>
      </c>
      <c r="AK10" s="180">
        <f>(1+'Thông số'!$F$14)^AG6</f>
        <v>3.2433975100275423</v>
      </c>
      <c r="AL10" s="180">
        <f>(1+'Thông số'!$F$14)^AH6</f>
        <v>3.3731334104286441</v>
      </c>
      <c r="AM10" s="180">
        <f>(1+'Thông số'!$F$14)^AI6</f>
        <v>3.5080587468457902</v>
      </c>
      <c r="AN10" s="180">
        <f>(1+'Thông số'!$F$14)^AJ6</f>
        <v>3.6483810967196217</v>
      </c>
      <c r="AO10" s="180">
        <f>(1+'Thông số'!$F$14)^AK6</f>
        <v>3.7943163405884071</v>
      </c>
      <c r="AP10" s="180">
        <f>(1+'Thông số'!$F$14)^AL6</f>
        <v>3.9460889942119435</v>
      </c>
      <c r="AQ10" s="180">
        <f>(1+'Thông số'!$F$14)^AM6</f>
        <v>4.103932553980421</v>
      </c>
      <c r="AR10" s="180">
        <f>(1+'Thông số'!$F$14)^AN6</f>
        <v>4.268089856139639</v>
      </c>
      <c r="AS10" s="180">
        <f>(1+'Thông số'!$F$14)^AO6</f>
        <v>4.4388134503852239</v>
      </c>
      <c r="AT10" s="180">
        <f>(1+'Thông số'!$F$14)^AP6</f>
        <v>4.6163659884006325</v>
      </c>
      <c r="AU10" s="180">
        <f>(1+'Thông số'!$F$14)^AQ6</f>
        <v>4.8010206279366594</v>
      </c>
      <c r="AV10" s="180">
        <f>(1+'Thông số'!$F$14)^AR6</f>
        <v>4.9930614530541257</v>
      </c>
    </row>
    <row r="11" spans="1:48" ht="16.5" customHeight="1" x14ac:dyDescent="0.5"/>
    <row r="12" spans="1:48" ht="22.5" customHeight="1" x14ac:dyDescent="0.5">
      <c r="B12" s="164" t="s">
        <v>260</v>
      </c>
    </row>
    <row r="13" spans="1:48" ht="15" customHeight="1" x14ac:dyDescent="0.5">
      <c r="B13" s="166" t="str">
        <f>B6</f>
        <v>Năm dự án</v>
      </c>
      <c r="C13" s="166">
        <f t="shared" ref="C13:AV13" si="0">C6</f>
        <v>0</v>
      </c>
      <c r="D13" s="166">
        <f t="shared" si="0"/>
        <v>1</v>
      </c>
      <c r="E13" s="166">
        <f t="shared" si="0"/>
        <v>2</v>
      </c>
      <c r="F13" s="166">
        <f t="shared" si="0"/>
        <v>3</v>
      </c>
      <c r="G13" s="166">
        <f t="shared" si="0"/>
        <v>4</v>
      </c>
      <c r="H13" s="166">
        <f t="shared" si="0"/>
        <v>5</v>
      </c>
      <c r="I13" s="166">
        <f t="shared" si="0"/>
        <v>6</v>
      </c>
      <c r="J13" s="166">
        <f t="shared" si="0"/>
        <v>7</v>
      </c>
      <c r="K13" s="166">
        <f t="shared" si="0"/>
        <v>8</v>
      </c>
      <c r="L13" s="166">
        <f t="shared" si="0"/>
        <v>9</v>
      </c>
      <c r="M13" s="166">
        <f t="shared" si="0"/>
        <v>10</v>
      </c>
      <c r="N13" s="166">
        <f t="shared" si="0"/>
        <v>11</v>
      </c>
      <c r="O13" s="166">
        <f t="shared" si="0"/>
        <v>12</v>
      </c>
      <c r="P13" s="166">
        <f t="shared" si="0"/>
        <v>13</v>
      </c>
      <c r="Q13" s="166">
        <f t="shared" si="0"/>
        <v>14</v>
      </c>
      <c r="R13" s="166">
        <f t="shared" si="0"/>
        <v>15</v>
      </c>
      <c r="S13" s="166">
        <f t="shared" si="0"/>
        <v>16</v>
      </c>
      <c r="T13" s="166">
        <f t="shared" si="0"/>
        <v>17</v>
      </c>
      <c r="U13" s="166">
        <f t="shared" si="0"/>
        <v>18</v>
      </c>
      <c r="V13" s="166">
        <f t="shared" si="0"/>
        <v>19</v>
      </c>
      <c r="W13" s="166">
        <f t="shared" si="0"/>
        <v>20</v>
      </c>
      <c r="X13" s="166">
        <f t="shared" si="0"/>
        <v>21</v>
      </c>
      <c r="Y13" s="166">
        <f t="shared" si="0"/>
        <v>22</v>
      </c>
      <c r="Z13" s="166">
        <f t="shared" si="0"/>
        <v>23</v>
      </c>
      <c r="AA13" s="166">
        <f t="shared" si="0"/>
        <v>24</v>
      </c>
      <c r="AB13" s="166">
        <f t="shared" si="0"/>
        <v>25</v>
      </c>
      <c r="AC13" s="166">
        <f t="shared" si="0"/>
        <v>26</v>
      </c>
      <c r="AD13" s="166">
        <f t="shared" si="0"/>
        <v>27</v>
      </c>
      <c r="AE13" s="166">
        <f t="shared" si="0"/>
        <v>28</v>
      </c>
      <c r="AF13" s="166">
        <f t="shared" si="0"/>
        <v>29</v>
      </c>
      <c r="AG13" s="166">
        <f t="shared" si="0"/>
        <v>30</v>
      </c>
      <c r="AH13" s="166">
        <f t="shared" si="0"/>
        <v>31</v>
      </c>
      <c r="AI13" s="166">
        <f t="shared" si="0"/>
        <v>32</v>
      </c>
      <c r="AJ13" s="166">
        <f t="shared" si="0"/>
        <v>33</v>
      </c>
      <c r="AK13" s="166">
        <f t="shared" si="0"/>
        <v>34</v>
      </c>
      <c r="AL13" s="166">
        <f t="shared" si="0"/>
        <v>35</v>
      </c>
      <c r="AM13" s="166">
        <f t="shared" si="0"/>
        <v>36</v>
      </c>
      <c r="AN13" s="166">
        <f t="shared" si="0"/>
        <v>37</v>
      </c>
      <c r="AO13" s="166">
        <f t="shared" si="0"/>
        <v>38</v>
      </c>
      <c r="AP13" s="166">
        <f t="shared" si="0"/>
        <v>39</v>
      </c>
      <c r="AQ13" s="166">
        <f t="shared" si="0"/>
        <v>40</v>
      </c>
      <c r="AR13" s="166">
        <f t="shared" si="0"/>
        <v>41</v>
      </c>
      <c r="AS13" s="166">
        <f t="shared" si="0"/>
        <v>42</v>
      </c>
      <c r="AT13" s="166">
        <f t="shared" si="0"/>
        <v>43</v>
      </c>
      <c r="AU13" s="166">
        <f t="shared" si="0"/>
        <v>44</v>
      </c>
      <c r="AV13" s="166">
        <f t="shared" si="0"/>
        <v>45</v>
      </c>
    </row>
    <row r="14" spans="1:48" ht="19.5" customHeight="1" x14ac:dyDescent="0.5">
      <c r="A14" s="139"/>
      <c r="B14" s="286" t="s">
        <v>33</v>
      </c>
      <c r="C14" s="139"/>
      <c r="D14" s="139"/>
      <c r="E14" s="139"/>
      <c r="F14" s="140"/>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row>
    <row r="15" spans="1:48" ht="16.5" customHeight="1" x14ac:dyDescent="0.5">
      <c r="B15" s="137" t="s">
        <v>37</v>
      </c>
      <c r="F15" s="141"/>
      <c r="G15" s="141">
        <f t="shared" ref="G15:U15" si="1">F18</f>
        <v>212.24159999999998</v>
      </c>
      <c r="H15" s="141">
        <f t="shared" si="1"/>
        <v>202.45017153062796</v>
      </c>
      <c r="I15" s="141">
        <f t="shared" si="1"/>
        <v>192.16329678070571</v>
      </c>
      <c r="J15" s="141">
        <f t="shared" si="1"/>
        <v>181.3559061684374</v>
      </c>
      <c r="K15" s="141">
        <f t="shared" si="1"/>
        <v>170.00166159118831</v>
      </c>
      <c r="L15" s="141">
        <f t="shared" si="1"/>
        <v>158.07289223833041</v>
      </c>
      <c r="M15" s="141">
        <f t="shared" si="1"/>
        <v>145.54052715621791</v>
      </c>
      <c r="N15" s="141">
        <f t="shared" si="1"/>
        <v>132.3740244009505</v>
      </c>
      <c r="O15" s="141">
        <f t="shared" si="1"/>
        <v>118.54129660626657</v>
      </c>
      <c r="P15" s="141">
        <f t="shared" si="1"/>
        <v>104.00863278517163</v>
      </c>
      <c r="Q15" s="141">
        <f t="shared" si="1"/>
        <v>88.740616174729283</v>
      </c>
      <c r="R15" s="141">
        <f t="shared" si="1"/>
        <v>72.700037923798561</v>
      </c>
      <c r="S15" s="141">
        <f t="shared" si="1"/>
        <v>55.847806413370733</v>
      </c>
      <c r="T15" s="141">
        <f t="shared" si="1"/>
        <v>38.142851988515261</v>
      </c>
      <c r="U15" s="141">
        <f t="shared" si="1"/>
        <v>19.542026869762108</v>
      </c>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c r="AR15" s="141"/>
      <c r="AS15" s="141"/>
      <c r="AT15" s="141"/>
    </row>
    <row r="16" spans="1:48" ht="16.5" customHeight="1" x14ac:dyDescent="0.5">
      <c r="B16" s="137" t="s">
        <v>271</v>
      </c>
      <c r="F16" s="141"/>
      <c r="G16" s="141">
        <f>G15*'Thông số'!$I$9</f>
        <v>10.739424960000001</v>
      </c>
      <c r="H16" s="141">
        <f>H15*'Thông số'!$I$9</f>
        <v>10.243978679449775</v>
      </c>
      <c r="I16" s="141">
        <f>I15*'Thông số'!$I$9</f>
        <v>9.7234628171037105</v>
      </c>
      <c r="J16" s="141">
        <f>J15*'Thông số'!$I$9</f>
        <v>9.1766088521229339</v>
      </c>
      <c r="K16" s="141">
        <f>K15*'Thông số'!$I$9</f>
        <v>8.6020840765141298</v>
      </c>
      <c r="L16" s="141">
        <f>L15*'Thông số'!$I$9</f>
        <v>7.9984883472595198</v>
      </c>
      <c r="M16" s="141">
        <f>M15*'Thông số'!$I$9</f>
        <v>7.3643506741046272</v>
      </c>
      <c r="N16" s="141">
        <f>N15*'Thông số'!$I$9</f>
        <v>6.698125634688096</v>
      </c>
      <c r="O16" s="141">
        <f>O15*'Thông số'!$I$9</f>
        <v>5.9981896082770891</v>
      </c>
      <c r="P16" s="141">
        <f>P15*'Thông số'!$I$9</f>
        <v>5.262836818929685</v>
      </c>
      <c r="Q16" s="141">
        <f>Q15*'Thông số'!$I$9</f>
        <v>4.4902751784413022</v>
      </c>
      <c r="R16" s="141">
        <f>R15*'Thông số'!$I$9</f>
        <v>3.6786219189442075</v>
      </c>
      <c r="S16" s="141">
        <f>S15*'Thông số'!$I$9</f>
        <v>2.8258990045165593</v>
      </c>
      <c r="T16" s="141">
        <f>T15*'Thông số'!$I$9</f>
        <v>1.9300283106188725</v>
      </c>
      <c r="U16" s="141">
        <f>U15*'Thông số'!$I$9</f>
        <v>0.9888265596099628</v>
      </c>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c r="AR16" s="141"/>
      <c r="AS16" s="141"/>
      <c r="AT16" s="141"/>
    </row>
    <row r="17" spans="2:48" ht="16.5" customHeight="1" x14ac:dyDescent="0.5">
      <c r="B17" s="137" t="s">
        <v>272</v>
      </c>
      <c r="F17" s="141"/>
      <c r="G17" s="141">
        <f>-PMT('Thông số'!$I$9,15,$G$15)</f>
        <v>20.530853429372026</v>
      </c>
      <c r="H17" s="141">
        <f>-PMT('Thông số'!$I$9,15,$G$15)</f>
        <v>20.530853429372026</v>
      </c>
      <c r="I17" s="141">
        <f>-PMT('Thông số'!$I$9,15,$G$15)</f>
        <v>20.530853429372026</v>
      </c>
      <c r="J17" s="141">
        <f>-PMT('Thông số'!$I$9,15,$G$15)</f>
        <v>20.530853429372026</v>
      </c>
      <c r="K17" s="141">
        <f>-PMT('Thông số'!$I$9,15,$G$15)</f>
        <v>20.530853429372026</v>
      </c>
      <c r="L17" s="141">
        <f>-PMT('Thông số'!$I$9,15,$G$15)</f>
        <v>20.530853429372026</v>
      </c>
      <c r="M17" s="141">
        <f>-PMT('Thông số'!$I$9,15,$G$15)</f>
        <v>20.530853429372026</v>
      </c>
      <c r="N17" s="141">
        <f>-PMT('Thông số'!$I$9,15,$G$15)</f>
        <v>20.530853429372026</v>
      </c>
      <c r="O17" s="141">
        <f>-PMT('Thông số'!$I$9,15,$G$15)</f>
        <v>20.530853429372026</v>
      </c>
      <c r="P17" s="141">
        <f>-PMT('Thông số'!$I$9,15,$G$15)</f>
        <v>20.530853429372026</v>
      </c>
      <c r="Q17" s="141">
        <f>-PMT('Thông số'!$I$9,15,$G$15)</f>
        <v>20.530853429372026</v>
      </c>
      <c r="R17" s="141">
        <f>-PMT('Thông số'!$I$9,15,$G$15)</f>
        <v>20.530853429372026</v>
      </c>
      <c r="S17" s="141">
        <f>-PMT('Thông số'!$I$9,15,$G$15)</f>
        <v>20.530853429372026</v>
      </c>
      <c r="T17" s="141">
        <f>-PMT('Thông số'!$I$9,15,$G$15)</f>
        <v>20.530853429372026</v>
      </c>
      <c r="U17" s="141">
        <f>-PMT('Thông số'!$I$9,15,$G$15)</f>
        <v>20.530853429372026</v>
      </c>
      <c r="V17" s="141"/>
      <c r="W17" s="141"/>
      <c r="X17" s="141"/>
      <c r="Y17" s="141"/>
      <c r="Z17" s="141"/>
      <c r="AA17" s="141"/>
      <c r="AB17" s="141"/>
      <c r="AC17" s="141"/>
      <c r="AD17" s="141"/>
      <c r="AE17" s="141"/>
      <c r="AF17" s="141"/>
      <c r="AG17" s="141"/>
      <c r="AH17" s="141"/>
      <c r="AI17" s="141"/>
      <c r="AJ17" s="141"/>
      <c r="AK17" s="141"/>
      <c r="AL17" s="141"/>
      <c r="AM17" s="141"/>
      <c r="AN17" s="141"/>
      <c r="AO17" s="141"/>
      <c r="AP17" s="141"/>
      <c r="AQ17" s="141"/>
      <c r="AR17" s="141"/>
      <c r="AS17" s="141"/>
      <c r="AT17" s="141"/>
    </row>
    <row r="18" spans="2:48" ht="16.5" customHeight="1" x14ac:dyDescent="0.5">
      <c r="B18" s="137" t="s">
        <v>38</v>
      </c>
      <c r="C18" s="171"/>
      <c r="D18" s="171"/>
      <c r="E18" s="171"/>
      <c r="F18" s="170">
        <f>'Thông số'!F9*F8</f>
        <v>212.24159999999998</v>
      </c>
      <c r="G18" s="170">
        <f>G15+G16-G17</f>
        <v>202.45017153062796</v>
      </c>
      <c r="H18" s="170">
        <f t="shared" ref="H18:U18" si="2">H15+H16-H17</f>
        <v>192.16329678070571</v>
      </c>
      <c r="I18" s="170">
        <f t="shared" si="2"/>
        <v>181.3559061684374</v>
      </c>
      <c r="J18" s="170">
        <f t="shared" si="2"/>
        <v>170.00166159118831</v>
      </c>
      <c r="K18" s="170">
        <f t="shared" si="2"/>
        <v>158.07289223833041</v>
      </c>
      <c r="L18" s="170">
        <f t="shared" si="2"/>
        <v>145.54052715621791</v>
      </c>
      <c r="M18" s="170">
        <f t="shared" si="2"/>
        <v>132.3740244009505</v>
      </c>
      <c r="N18" s="170">
        <f t="shared" si="2"/>
        <v>118.54129660626657</v>
      </c>
      <c r="O18" s="170">
        <f t="shared" si="2"/>
        <v>104.00863278517163</v>
      </c>
      <c r="P18" s="170">
        <f t="shared" si="2"/>
        <v>88.740616174729283</v>
      </c>
      <c r="Q18" s="170">
        <f t="shared" si="2"/>
        <v>72.700037923798561</v>
      </c>
      <c r="R18" s="170">
        <f t="shared" si="2"/>
        <v>55.847806413370733</v>
      </c>
      <c r="S18" s="170">
        <f t="shared" si="2"/>
        <v>38.142851988515261</v>
      </c>
      <c r="T18" s="170">
        <f t="shared" si="2"/>
        <v>19.542026869762108</v>
      </c>
      <c r="U18" s="170">
        <f t="shared" si="2"/>
        <v>4.2632564145606011E-14</v>
      </c>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1"/>
      <c r="AV18" s="171"/>
    </row>
    <row r="19" spans="2:48" ht="19.5" customHeight="1" x14ac:dyDescent="0.5">
      <c r="B19" s="286" t="s">
        <v>34</v>
      </c>
      <c r="F19" s="141"/>
      <c r="G19" s="141"/>
      <c r="H19" s="141"/>
      <c r="I19" s="141"/>
      <c r="J19" s="141"/>
      <c r="K19" s="141"/>
      <c r="L19" s="141"/>
      <c r="M19" s="141"/>
      <c r="N19" s="141"/>
      <c r="O19" s="141"/>
      <c r="P19" s="141"/>
      <c r="Q19" s="141"/>
      <c r="R19" s="141"/>
      <c r="S19" s="141"/>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row>
    <row r="20" spans="2:48" ht="16.5" customHeight="1" x14ac:dyDescent="0.5">
      <c r="B20" s="137" t="s">
        <v>37</v>
      </c>
      <c r="F20" s="141"/>
      <c r="G20" s="141">
        <f t="shared" ref="G20:AT20" si="3">F23</f>
        <v>636.72479999999996</v>
      </c>
      <c r="H20" s="141">
        <f t="shared" si="3"/>
        <v>633.18169420580648</v>
      </c>
      <c r="I20" s="141">
        <f t="shared" si="3"/>
        <v>629.40509773977567</v>
      </c>
      <c r="J20" s="141">
        <f t="shared" si="3"/>
        <v>625.37962356663343</v>
      </c>
      <c r="K20" s="141">
        <f t="shared" si="3"/>
        <v>621.08887064548105</v>
      </c>
      <c r="L20" s="141">
        <f t="shared" si="3"/>
        <v>616.51535710682481</v>
      </c>
      <c r="M20" s="141">
        <f t="shared" si="3"/>
        <v>611.64044902597107</v>
      </c>
      <c r="N20" s="141">
        <f t="shared" si="3"/>
        <v>606.44428450258908</v>
      </c>
      <c r="O20" s="141">
        <f t="shared" si="3"/>
        <v>600.90569273711628</v>
      </c>
      <c r="P20" s="141">
        <f t="shared" si="3"/>
        <v>595.00210777429879</v>
      </c>
      <c r="Q20" s="141">
        <f t="shared" si="3"/>
        <v>588.70947656243163</v>
      </c>
      <c r="R20" s="141">
        <f t="shared" si="3"/>
        <v>582.0021609537024</v>
      </c>
      <c r="S20" s="141">
        <f t="shared" si="3"/>
        <v>574.85283324635793</v>
      </c>
      <c r="T20" s="141">
        <f t="shared" si="3"/>
        <v>567.23236484309939</v>
      </c>
      <c r="U20" s="141">
        <f t="shared" si="3"/>
        <v>559.10970757206621</v>
      </c>
      <c r="V20" s="141">
        <f t="shared" si="3"/>
        <v>550.45176718687196</v>
      </c>
      <c r="W20" s="141">
        <f t="shared" si="3"/>
        <v>541.22326853029335</v>
      </c>
      <c r="X20" s="141">
        <f t="shared" si="3"/>
        <v>531.3866118122462</v>
      </c>
      <c r="Y20" s="141">
        <f t="shared" si="3"/>
        <v>520.90171941647975</v>
      </c>
      <c r="Z20" s="141">
        <f t="shared" si="3"/>
        <v>509.7258726118323</v>
      </c>
      <c r="AA20" s="141">
        <f t="shared" si="3"/>
        <v>497.81353750275855</v>
      </c>
      <c r="AB20" s="141">
        <f t="shared" si="3"/>
        <v>485.11617950999687</v>
      </c>
      <c r="AC20" s="141">
        <f t="shared" si="3"/>
        <v>471.5820656255122</v>
      </c>
      <c r="AD20" s="141">
        <f t="shared" si="3"/>
        <v>457.15605363603999</v>
      </c>
      <c r="AE20" s="141">
        <f t="shared" si="3"/>
        <v>441.77936745646156</v>
      </c>
      <c r="AF20" s="141">
        <f t="shared" si="3"/>
        <v>425.38935765764893</v>
      </c>
      <c r="AG20" s="141">
        <f t="shared" si="3"/>
        <v>407.91924621309454</v>
      </c>
      <c r="AH20" s="141">
        <f t="shared" si="3"/>
        <v>389.297854424344</v>
      </c>
      <c r="AI20" s="141">
        <f t="shared" si="3"/>
        <v>369.4493129167148</v>
      </c>
      <c r="AJ20" s="141">
        <f t="shared" si="3"/>
        <v>348.29275252373282</v>
      </c>
      <c r="AK20" s="141">
        <f t="shared" si="3"/>
        <v>325.74197480085331</v>
      </c>
      <c r="AL20" s="141">
        <f t="shared" si="3"/>
        <v>301.70510082603607</v>
      </c>
      <c r="AM20" s="141">
        <f t="shared" si="3"/>
        <v>276.08419685627837</v>
      </c>
      <c r="AN20" s="141">
        <f t="shared" si="3"/>
        <v>248.77487531491363</v>
      </c>
      <c r="AO20" s="141">
        <f t="shared" si="3"/>
        <v>219.66586948397298</v>
      </c>
      <c r="AP20" s="141">
        <f t="shared" si="3"/>
        <v>188.63858016877333</v>
      </c>
      <c r="AQ20" s="141">
        <f t="shared" si="3"/>
        <v>155.56659248770202</v>
      </c>
      <c r="AR20" s="141">
        <f t="shared" si="3"/>
        <v>120.31516081844811</v>
      </c>
      <c r="AS20" s="141">
        <f t="shared" si="3"/>
        <v>82.740659802190379</v>
      </c>
      <c r="AT20" s="141">
        <f t="shared" si="3"/>
        <v>42.689999168961243</v>
      </c>
      <c r="AU20" s="141"/>
      <c r="AV20" s="141"/>
    </row>
    <row r="21" spans="2:48" ht="16.5" customHeight="1" x14ac:dyDescent="0.5">
      <c r="B21" s="137" t="s">
        <v>271</v>
      </c>
      <c r="F21" s="141"/>
      <c r="G21" s="141">
        <f>G20*'Thông số'!$I$10</f>
        <v>41.960164319999997</v>
      </c>
      <c r="H21" s="141">
        <f>H20*'Thông số'!$I$10</f>
        <v>41.726673648162645</v>
      </c>
      <c r="I21" s="141">
        <f>I20*'Thông số'!$I$10</f>
        <v>41.47779594105122</v>
      </c>
      <c r="J21" s="141">
        <f>J20*'Thông số'!$I$10</f>
        <v>41.212517193041144</v>
      </c>
      <c r="K21" s="141">
        <f>K20*'Thông số'!$I$10</f>
        <v>40.929756575537205</v>
      </c>
      <c r="L21" s="141">
        <f>L20*'Thông số'!$I$10</f>
        <v>40.628362033339755</v>
      </c>
      <c r="M21" s="141">
        <f>M20*'Thông số'!$I$10</f>
        <v>40.307105590811496</v>
      </c>
      <c r="N21" s="141">
        <f>N20*'Thông số'!$I$10</f>
        <v>39.964678348720618</v>
      </c>
      <c r="O21" s="141">
        <f>O20*'Thông số'!$I$10</f>
        <v>39.599685151375965</v>
      </c>
      <c r="P21" s="141">
        <f>P20*'Thông số'!$I$10</f>
        <v>39.210638902326288</v>
      </c>
      <c r="Q21" s="141">
        <f>Q20*'Thông số'!$I$10</f>
        <v>38.795954505464245</v>
      </c>
      <c r="R21" s="141">
        <f>R20*'Thông số'!$I$10</f>
        <v>38.353942406848986</v>
      </c>
      <c r="S21" s="141">
        <f>S20*'Thông số'!$I$10</f>
        <v>37.882801710934984</v>
      </c>
      <c r="T21" s="141">
        <f>T20*'Thông số'!$I$10</f>
        <v>37.38061284316025</v>
      </c>
      <c r="U21" s="141">
        <f>U20*'Thông số'!$I$10</f>
        <v>36.845329728999161</v>
      </c>
      <c r="V21" s="141">
        <f>V20*'Thông số'!$I$10</f>
        <v>36.274771457614861</v>
      </c>
      <c r="W21" s="141">
        <f>W20*'Thông số'!$I$10</f>
        <v>35.666613396146332</v>
      </c>
      <c r="X21" s="141">
        <f>X20*'Thông số'!$I$10</f>
        <v>35.018377718427026</v>
      </c>
      <c r="Y21" s="141">
        <f>Y20*'Thông số'!$I$10</f>
        <v>34.327423309546013</v>
      </c>
      <c r="Z21" s="141">
        <f>Z20*'Thông số'!$I$10</f>
        <v>33.590935005119746</v>
      </c>
      <c r="AA21" s="141">
        <f>AA20*'Thông số'!$I$10</f>
        <v>32.805912121431788</v>
      </c>
      <c r="AB21" s="141">
        <f>AB20*'Thông số'!$I$10</f>
        <v>31.969156229708794</v>
      </c>
      <c r="AC21" s="141">
        <f>AC20*'Thông số'!$I$10</f>
        <v>31.077258124721254</v>
      </c>
      <c r="AD21" s="141">
        <f>AD20*'Thông số'!$I$10</f>
        <v>30.126583934615034</v>
      </c>
      <c r="AE21" s="141">
        <f>AE20*'Thông số'!$I$10</f>
        <v>29.113260315380817</v>
      </c>
      <c r="AF21" s="141">
        <f>AF20*'Thông số'!$I$10</f>
        <v>28.033158669639064</v>
      </c>
      <c r="AG21" s="141">
        <f>AG20*'Thông số'!$I$10</f>
        <v>26.88187832544293</v>
      </c>
      <c r="AH21" s="141">
        <f>AH20*'Thông số'!$I$10</f>
        <v>25.654728606564269</v>
      </c>
      <c r="AI21" s="141">
        <f>AI20*'Thông số'!$I$10</f>
        <v>24.346709721211507</v>
      </c>
      <c r="AJ21" s="141">
        <f>AJ20*'Thông số'!$I$10</f>
        <v>22.952492391313992</v>
      </c>
      <c r="AK21" s="141">
        <f>AK20*'Thông số'!$I$10</f>
        <v>21.466396139376233</v>
      </c>
      <c r="AL21" s="141">
        <f>AL20*'Thông số'!$I$10</f>
        <v>19.882366144435778</v>
      </c>
      <c r="AM21" s="141">
        <f>AM20*'Thông số'!$I$10</f>
        <v>18.193948572828745</v>
      </c>
      <c r="AN21" s="141">
        <f>AN20*'Thông số'!$I$10</f>
        <v>16.394264283252809</v>
      </c>
      <c r="AO21" s="141">
        <f>AO20*'Thông số'!$I$10</f>
        <v>14.47598079899382</v>
      </c>
      <c r="AP21" s="141">
        <f>AP20*'Thông số'!$I$10</f>
        <v>12.431282433122163</v>
      </c>
      <c r="AQ21" s="141">
        <f>AQ20*'Thông số'!$I$10</f>
        <v>10.251838444939564</v>
      </c>
      <c r="AR21" s="141">
        <f>AR20*'Thông số'!$I$10</f>
        <v>7.9287690979357306</v>
      </c>
      <c r="AS21" s="141">
        <f>AS20*'Thông số'!$I$10</f>
        <v>5.4526094809643464</v>
      </c>
      <c r="AT21" s="141">
        <f>AT20*'Thông số'!$I$10</f>
        <v>2.8132709452345459</v>
      </c>
      <c r="AU21" s="141"/>
      <c r="AV21" s="141"/>
    </row>
    <row r="22" spans="2:48" ht="16.5" customHeight="1" x14ac:dyDescent="0.5">
      <c r="B22" s="137" t="s">
        <v>272</v>
      </c>
      <c r="F22" s="141"/>
      <c r="G22" s="141">
        <f>-PMT('Thông số'!$I$10,40,$G$20)</f>
        <v>45.503270114193477</v>
      </c>
      <c r="H22" s="141">
        <f>-PMT('Thông số'!$I$10,40,$G$20)</f>
        <v>45.503270114193477</v>
      </c>
      <c r="I22" s="141">
        <f>-PMT('Thông số'!$I$10,40,$G$20)</f>
        <v>45.503270114193477</v>
      </c>
      <c r="J22" s="141">
        <f>-PMT('Thông số'!$I$10,40,$G$20)</f>
        <v>45.503270114193477</v>
      </c>
      <c r="K22" s="141">
        <f>-PMT('Thông số'!$I$10,40,$G$20)</f>
        <v>45.503270114193477</v>
      </c>
      <c r="L22" s="141">
        <f>-PMT('Thông số'!$I$10,40,$G$20)</f>
        <v>45.503270114193477</v>
      </c>
      <c r="M22" s="141">
        <f>-PMT('Thông số'!$I$10,40,$G$20)</f>
        <v>45.503270114193477</v>
      </c>
      <c r="N22" s="141">
        <f>-PMT('Thông số'!$I$10,40,$G$20)</f>
        <v>45.503270114193477</v>
      </c>
      <c r="O22" s="141">
        <f>-PMT('Thông số'!$I$10,40,$G$20)</f>
        <v>45.503270114193477</v>
      </c>
      <c r="P22" s="141">
        <f>-PMT('Thông số'!$I$10,40,$G$20)</f>
        <v>45.503270114193477</v>
      </c>
      <c r="Q22" s="141">
        <f>-PMT('Thông số'!$I$10,40,$G$20)</f>
        <v>45.503270114193477</v>
      </c>
      <c r="R22" s="141">
        <f>-PMT('Thông số'!$I$10,40,$G$20)</f>
        <v>45.503270114193477</v>
      </c>
      <c r="S22" s="141">
        <f>-PMT('Thông số'!$I$10,40,$G$20)</f>
        <v>45.503270114193477</v>
      </c>
      <c r="T22" s="141">
        <f>-PMT('Thông số'!$I$10,40,$G$20)</f>
        <v>45.503270114193477</v>
      </c>
      <c r="U22" s="141">
        <f>-PMT('Thông số'!$I$10,40,$G$20)</f>
        <v>45.503270114193477</v>
      </c>
      <c r="V22" s="141">
        <f>-PMT('Thông số'!$I$10,40,$G$20)</f>
        <v>45.503270114193477</v>
      </c>
      <c r="W22" s="141">
        <f>-PMT('Thông số'!$I$10,40,$G$20)</f>
        <v>45.503270114193477</v>
      </c>
      <c r="X22" s="141">
        <f>-PMT('Thông số'!$I$10,40,$G$20)</f>
        <v>45.503270114193477</v>
      </c>
      <c r="Y22" s="141">
        <f>-PMT('Thông số'!$I$10,40,$G$20)</f>
        <v>45.503270114193477</v>
      </c>
      <c r="Z22" s="141">
        <f>-PMT('Thông số'!$I$10,40,$G$20)</f>
        <v>45.503270114193477</v>
      </c>
      <c r="AA22" s="141">
        <f>-PMT('Thông số'!$I$10,40,$G$20)</f>
        <v>45.503270114193477</v>
      </c>
      <c r="AB22" s="141">
        <f>-PMT('Thông số'!$I$10,40,$G$20)</f>
        <v>45.503270114193477</v>
      </c>
      <c r="AC22" s="141">
        <f>-PMT('Thông số'!$I$10,40,$G$20)</f>
        <v>45.503270114193477</v>
      </c>
      <c r="AD22" s="141">
        <f>-PMT('Thông số'!$I$10,40,$G$20)</f>
        <v>45.503270114193477</v>
      </c>
      <c r="AE22" s="141">
        <f>-PMT('Thông số'!$I$10,40,$G$20)</f>
        <v>45.503270114193477</v>
      </c>
      <c r="AF22" s="141">
        <f>-PMT('Thông số'!$I$10,40,$G$20)</f>
        <v>45.503270114193477</v>
      </c>
      <c r="AG22" s="141">
        <f>-PMT('Thông số'!$I$10,40,$G$20)</f>
        <v>45.503270114193477</v>
      </c>
      <c r="AH22" s="141">
        <f>-PMT('Thông số'!$I$10,40,$G$20)</f>
        <v>45.503270114193477</v>
      </c>
      <c r="AI22" s="141">
        <f>-PMT('Thông số'!$I$10,40,$G$20)</f>
        <v>45.503270114193477</v>
      </c>
      <c r="AJ22" s="141">
        <f>-PMT('Thông số'!$I$10,40,$G$20)</f>
        <v>45.503270114193477</v>
      </c>
      <c r="AK22" s="141">
        <f>-PMT('Thông số'!$I$10,40,$G$20)</f>
        <v>45.503270114193477</v>
      </c>
      <c r="AL22" s="141">
        <f>-PMT('Thông số'!$I$10,40,$G$20)</f>
        <v>45.503270114193477</v>
      </c>
      <c r="AM22" s="141">
        <f>-PMT('Thông số'!$I$10,40,$G$20)</f>
        <v>45.503270114193477</v>
      </c>
      <c r="AN22" s="141">
        <f>-PMT('Thông số'!$I$10,40,$G$20)</f>
        <v>45.503270114193477</v>
      </c>
      <c r="AO22" s="141">
        <f>-PMT('Thông số'!$I$10,40,$G$20)</f>
        <v>45.503270114193477</v>
      </c>
      <c r="AP22" s="141">
        <f>-PMT('Thông số'!$I$10,40,$G$20)</f>
        <v>45.503270114193477</v>
      </c>
      <c r="AQ22" s="141">
        <f>-PMT('Thông số'!$I$10,40,$G$20)</f>
        <v>45.503270114193477</v>
      </c>
      <c r="AR22" s="141">
        <f>-PMT('Thông số'!$I$10,40,$G$20)</f>
        <v>45.503270114193477</v>
      </c>
      <c r="AS22" s="141">
        <f>-PMT('Thông số'!$I$10,40,$G$20)</f>
        <v>45.503270114193477</v>
      </c>
      <c r="AT22" s="141">
        <f>-PMT('Thông số'!$I$10,40,$G$20)</f>
        <v>45.503270114193477</v>
      </c>
      <c r="AU22" s="141"/>
      <c r="AV22" s="141"/>
    </row>
    <row r="23" spans="2:48" ht="16.5" customHeight="1" x14ac:dyDescent="0.5">
      <c r="B23" s="171" t="s">
        <v>38</v>
      </c>
      <c r="C23" s="171"/>
      <c r="D23" s="171"/>
      <c r="E23" s="171"/>
      <c r="F23" s="170">
        <f>'Thông số'!F10*F8</f>
        <v>636.72479999999996</v>
      </c>
      <c r="G23" s="170">
        <f t="shared" ref="G23:AT23" si="4">G20+G21-G22</f>
        <v>633.18169420580648</v>
      </c>
      <c r="H23" s="170">
        <f t="shared" si="4"/>
        <v>629.40509773977567</v>
      </c>
      <c r="I23" s="170">
        <f t="shared" si="4"/>
        <v>625.37962356663343</v>
      </c>
      <c r="J23" s="170">
        <f t="shared" si="4"/>
        <v>621.08887064548105</v>
      </c>
      <c r="K23" s="170">
        <f t="shared" si="4"/>
        <v>616.51535710682481</v>
      </c>
      <c r="L23" s="170">
        <f t="shared" si="4"/>
        <v>611.64044902597107</v>
      </c>
      <c r="M23" s="170">
        <f t="shared" si="4"/>
        <v>606.44428450258908</v>
      </c>
      <c r="N23" s="170">
        <f t="shared" si="4"/>
        <v>600.90569273711628</v>
      </c>
      <c r="O23" s="170">
        <f t="shared" si="4"/>
        <v>595.00210777429879</v>
      </c>
      <c r="P23" s="170">
        <f t="shared" si="4"/>
        <v>588.70947656243163</v>
      </c>
      <c r="Q23" s="170">
        <f t="shared" si="4"/>
        <v>582.0021609537024</v>
      </c>
      <c r="R23" s="170">
        <f t="shared" si="4"/>
        <v>574.85283324635793</v>
      </c>
      <c r="S23" s="170">
        <f t="shared" si="4"/>
        <v>567.23236484309939</v>
      </c>
      <c r="T23" s="170">
        <f t="shared" si="4"/>
        <v>559.10970757206621</v>
      </c>
      <c r="U23" s="170">
        <f t="shared" si="4"/>
        <v>550.45176718687196</v>
      </c>
      <c r="V23" s="170">
        <f t="shared" si="4"/>
        <v>541.22326853029335</v>
      </c>
      <c r="W23" s="170">
        <f t="shared" si="4"/>
        <v>531.3866118122462</v>
      </c>
      <c r="X23" s="170">
        <f t="shared" si="4"/>
        <v>520.90171941647975</v>
      </c>
      <c r="Y23" s="170">
        <f t="shared" si="4"/>
        <v>509.7258726118323</v>
      </c>
      <c r="Z23" s="170">
        <f t="shared" si="4"/>
        <v>497.81353750275855</v>
      </c>
      <c r="AA23" s="170">
        <f t="shared" si="4"/>
        <v>485.11617950999687</v>
      </c>
      <c r="AB23" s="170">
        <f t="shared" si="4"/>
        <v>471.5820656255122</v>
      </c>
      <c r="AC23" s="170">
        <f t="shared" si="4"/>
        <v>457.15605363603999</v>
      </c>
      <c r="AD23" s="170">
        <f t="shared" si="4"/>
        <v>441.77936745646156</v>
      </c>
      <c r="AE23" s="170">
        <f t="shared" si="4"/>
        <v>425.38935765764893</v>
      </c>
      <c r="AF23" s="170">
        <f t="shared" si="4"/>
        <v>407.91924621309454</v>
      </c>
      <c r="AG23" s="170">
        <f t="shared" si="4"/>
        <v>389.297854424344</v>
      </c>
      <c r="AH23" s="170">
        <f t="shared" si="4"/>
        <v>369.4493129167148</v>
      </c>
      <c r="AI23" s="170">
        <f t="shared" si="4"/>
        <v>348.29275252373282</v>
      </c>
      <c r="AJ23" s="170">
        <f t="shared" si="4"/>
        <v>325.74197480085331</v>
      </c>
      <c r="AK23" s="170">
        <f t="shared" si="4"/>
        <v>301.70510082603607</v>
      </c>
      <c r="AL23" s="170">
        <f t="shared" si="4"/>
        <v>276.08419685627837</v>
      </c>
      <c r="AM23" s="170">
        <f t="shared" si="4"/>
        <v>248.77487531491363</v>
      </c>
      <c r="AN23" s="170">
        <f t="shared" si="4"/>
        <v>219.66586948397298</v>
      </c>
      <c r="AO23" s="170">
        <f t="shared" si="4"/>
        <v>188.63858016877333</v>
      </c>
      <c r="AP23" s="170">
        <f t="shared" si="4"/>
        <v>155.56659248770202</v>
      </c>
      <c r="AQ23" s="170">
        <f t="shared" si="4"/>
        <v>120.31516081844811</v>
      </c>
      <c r="AR23" s="170">
        <f t="shared" si="4"/>
        <v>82.740659802190379</v>
      </c>
      <c r="AS23" s="170">
        <f t="shared" si="4"/>
        <v>42.689999168961243</v>
      </c>
      <c r="AT23" s="170">
        <f t="shared" si="4"/>
        <v>2.3092638912203256E-12</v>
      </c>
      <c r="AU23" s="170"/>
      <c r="AV23" s="170"/>
    </row>
    <row r="24" spans="2:48" ht="17.25" customHeight="1" x14ac:dyDescent="0.5"/>
    <row r="25" spans="2:48" ht="22.5" customHeight="1" x14ac:dyDescent="0.5">
      <c r="B25" s="164" t="s">
        <v>273</v>
      </c>
    </row>
    <row r="26" spans="2:48" ht="15" customHeight="1" x14ac:dyDescent="0.5">
      <c r="B26" s="166" t="str">
        <f t="shared" ref="B26:AV26" si="5">B13</f>
        <v>Năm dự án</v>
      </c>
      <c r="C26" s="172">
        <f t="shared" si="5"/>
        <v>0</v>
      </c>
      <c r="D26" s="172">
        <f t="shared" si="5"/>
        <v>1</v>
      </c>
      <c r="E26" s="172">
        <f t="shared" si="5"/>
        <v>2</v>
      </c>
      <c r="F26" s="172">
        <f t="shared" si="5"/>
        <v>3</v>
      </c>
      <c r="G26" s="172">
        <f t="shared" si="5"/>
        <v>4</v>
      </c>
      <c r="H26" s="172">
        <f t="shared" si="5"/>
        <v>5</v>
      </c>
      <c r="I26" s="172">
        <f t="shared" si="5"/>
        <v>6</v>
      </c>
      <c r="J26" s="172">
        <f t="shared" si="5"/>
        <v>7</v>
      </c>
      <c r="K26" s="172">
        <f t="shared" si="5"/>
        <v>8</v>
      </c>
      <c r="L26" s="172">
        <f t="shared" si="5"/>
        <v>9</v>
      </c>
      <c r="M26" s="172">
        <f t="shared" si="5"/>
        <v>10</v>
      </c>
      <c r="N26" s="172">
        <f t="shared" si="5"/>
        <v>11</v>
      </c>
      <c r="O26" s="172">
        <f t="shared" si="5"/>
        <v>12</v>
      </c>
      <c r="P26" s="172">
        <f t="shared" si="5"/>
        <v>13</v>
      </c>
      <c r="Q26" s="172">
        <f t="shared" si="5"/>
        <v>14</v>
      </c>
      <c r="R26" s="172">
        <f t="shared" si="5"/>
        <v>15</v>
      </c>
      <c r="S26" s="172">
        <f t="shared" si="5"/>
        <v>16</v>
      </c>
      <c r="T26" s="172">
        <f t="shared" si="5"/>
        <v>17</v>
      </c>
      <c r="U26" s="172">
        <f t="shared" si="5"/>
        <v>18</v>
      </c>
      <c r="V26" s="172">
        <f t="shared" si="5"/>
        <v>19</v>
      </c>
      <c r="W26" s="172">
        <f t="shared" si="5"/>
        <v>20</v>
      </c>
      <c r="X26" s="172">
        <f t="shared" si="5"/>
        <v>21</v>
      </c>
      <c r="Y26" s="172">
        <f t="shared" si="5"/>
        <v>22</v>
      </c>
      <c r="Z26" s="172">
        <f t="shared" si="5"/>
        <v>23</v>
      </c>
      <c r="AA26" s="172">
        <f t="shared" si="5"/>
        <v>24</v>
      </c>
      <c r="AB26" s="172">
        <f t="shared" si="5"/>
        <v>25</v>
      </c>
      <c r="AC26" s="172">
        <f t="shared" si="5"/>
        <v>26</v>
      </c>
      <c r="AD26" s="172">
        <f t="shared" si="5"/>
        <v>27</v>
      </c>
      <c r="AE26" s="172">
        <f t="shared" si="5"/>
        <v>28</v>
      </c>
      <c r="AF26" s="172">
        <f t="shared" si="5"/>
        <v>29</v>
      </c>
      <c r="AG26" s="172">
        <f t="shared" si="5"/>
        <v>30</v>
      </c>
      <c r="AH26" s="172">
        <f t="shared" si="5"/>
        <v>31</v>
      </c>
      <c r="AI26" s="172">
        <f t="shared" si="5"/>
        <v>32</v>
      </c>
      <c r="AJ26" s="172">
        <f t="shared" si="5"/>
        <v>33</v>
      </c>
      <c r="AK26" s="172">
        <f t="shared" si="5"/>
        <v>34</v>
      </c>
      <c r="AL26" s="172">
        <f t="shared" si="5"/>
        <v>35</v>
      </c>
      <c r="AM26" s="172">
        <f t="shared" si="5"/>
        <v>36</v>
      </c>
      <c r="AN26" s="172">
        <f t="shared" si="5"/>
        <v>37</v>
      </c>
      <c r="AO26" s="172">
        <f t="shared" si="5"/>
        <v>38</v>
      </c>
      <c r="AP26" s="172">
        <f t="shared" si="5"/>
        <v>39</v>
      </c>
      <c r="AQ26" s="172">
        <f t="shared" si="5"/>
        <v>40</v>
      </c>
      <c r="AR26" s="172">
        <f t="shared" si="5"/>
        <v>41</v>
      </c>
      <c r="AS26" s="172">
        <f t="shared" si="5"/>
        <v>42</v>
      </c>
      <c r="AT26" s="172">
        <f t="shared" si="5"/>
        <v>43</v>
      </c>
      <c r="AU26" s="172">
        <f t="shared" si="5"/>
        <v>44</v>
      </c>
      <c r="AV26" s="172">
        <f t="shared" si="5"/>
        <v>45</v>
      </c>
    </row>
    <row r="27" spans="2:48" ht="17.25" customHeight="1" x14ac:dyDescent="0.5">
      <c r="B27" s="145" t="s">
        <v>284</v>
      </c>
      <c r="F27" s="141">
        <f>F18</f>
        <v>212.24159999999998</v>
      </c>
      <c r="G27" s="141">
        <f>-G17</f>
        <v>-20.530853429372026</v>
      </c>
      <c r="H27" s="141">
        <f t="shared" ref="H27:U27" si="6">-H17</f>
        <v>-20.530853429372026</v>
      </c>
      <c r="I27" s="141">
        <f t="shared" si="6"/>
        <v>-20.530853429372026</v>
      </c>
      <c r="J27" s="141">
        <f t="shared" si="6"/>
        <v>-20.530853429372026</v>
      </c>
      <c r="K27" s="141">
        <f t="shared" si="6"/>
        <v>-20.530853429372026</v>
      </c>
      <c r="L27" s="141">
        <f t="shared" si="6"/>
        <v>-20.530853429372026</v>
      </c>
      <c r="M27" s="141">
        <f t="shared" si="6"/>
        <v>-20.530853429372026</v>
      </c>
      <c r="N27" s="141">
        <f t="shared" si="6"/>
        <v>-20.530853429372026</v>
      </c>
      <c r="O27" s="141">
        <f t="shared" si="6"/>
        <v>-20.530853429372026</v>
      </c>
      <c r="P27" s="141">
        <f t="shared" si="6"/>
        <v>-20.530853429372026</v>
      </c>
      <c r="Q27" s="141">
        <f t="shared" si="6"/>
        <v>-20.530853429372026</v>
      </c>
      <c r="R27" s="141">
        <f t="shared" si="6"/>
        <v>-20.530853429372026</v>
      </c>
      <c r="S27" s="141">
        <f t="shared" si="6"/>
        <v>-20.530853429372026</v>
      </c>
      <c r="T27" s="141">
        <f t="shared" si="6"/>
        <v>-20.530853429372026</v>
      </c>
      <c r="U27" s="141">
        <f t="shared" si="6"/>
        <v>-20.530853429372026</v>
      </c>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41"/>
      <c r="AV27" s="141"/>
    </row>
    <row r="28" spans="2:48" ht="16.5" customHeight="1" x14ac:dyDescent="0.5">
      <c r="B28" s="145" t="s">
        <v>285</v>
      </c>
      <c r="F28" s="141">
        <f>-F27</f>
        <v>-212.24159999999998</v>
      </c>
      <c r="G28" s="141">
        <f t="shared" ref="G28:U28" si="7">-G27</f>
        <v>20.530853429372026</v>
      </c>
      <c r="H28" s="141">
        <f t="shared" si="7"/>
        <v>20.530853429372026</v>
      </c>
      <c r="I28" s="141">
        <f t="shared" si="7"/>
        <v>20.530853429372026</v>
      </c>
      <c r="J28" s="141">
        <f t="shared" si="7"/>
        <v>20.530853429372026</v>
      </c>
      <c r="K28" s="141">
        <f t="shared" si="7"/>
        <v>20.530853429372026</v>
      </c>
      <c r="L28" s="141">
        <f t="shared" si="7"/>
        <v>20.530853429372026</v>
      </c>
      <c r="M28" s="141">
        <f t="shared" si="7"/>
        <v>20.530853429372026</v>
      </c>
      <c r="N28" s="141">
        <f t="shared" si="7"/>
        <v>20.530853429372026</v>
      </c>
      <c r="O28" s="141">
        <f t="shared" si="7"/>
        <v>20.530853429372026</v>
      </c>
      <c r="P28" s="141">
        <f t="shared" si="7"/>
        <v>20.530853429372026</v>
      </c>
      <c r="Q28" s="141">
        <f t="shared" si="7"/>
        <v>20.530853429372026</v>
      </c>
      <c r="R28" s="141">
        <f t="shared" si="7"/>
        <v>20.530853429372026</v>
      </c>
      <c r="S28" s="141">
        <f t="shared" si="7"/>
        <v>20.530853429372026</v>
      </c>
      <c r="T28" s="141">
        <f t="shared" si="7"/>
        <v>20.530853429372026</v>
      </c>
      <c r="U28" s="141">
        <f t="shared" si="7"/>
        <v>20.530853429372026</v>
      </c>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row>
    <row r="29" spans="2:48" ht="17.25" customHeight="1" x14ac:dyDescent="0.5">
      <c r="B29" s="145" t="s">
        <v>278</v>
      </c>
      <c r="F29" s="141">
        <f>F23</f>
        <v>636.72479999999996</v>
      </c>
      <c r="G29" s="141">
        <f>-G22</f>
        <v>-45.503270114193477</v>
      </c>
      <c r="H29" s="141">
        <f t="shared" ref="H29:AT29" si="8">-H22</f>
        <v>-45.503270114193477</v>
      </c>
      <c r="I29" s="141">
        <f t="shared" si="8"/>
        <v>-45.503270114193477</v>
      </c>
      <c r="J29" s="141">
        <f t="shared" si="8"/>
        <v>-45.503270114193477</v>
      </c>
      <c r="K29" s="141">
        <f t="shared" si="8"/>
        <v>-45.503270114193477</v>
      </c>
      <c r="L29" s="141">
        <f t="shared" si="8"/>
        <v>-45.503270114193477</v>
      </c>
      <c r="M29" s="141">
        <f t="shared" si="8"/>
        <v>-45.503270114193477</v>
      </c>
      <c r="N29" s="141">
        <f t="shared" si="8"/>
        <v>-45.503270114193477</v>
      </c>
      <c r="O29" s="141">
        <f t="shared" si="8"/>
        <v>-45.503270114193477</v>
      </c>
      <c r="P29" s="141">
        <f t="shared" si="8"/>
        <v>-45.503270114193477</v>
      </c>
      <c r="Q29" s="141">
        <f t="shared" si="8"/>
        <v>-45.503270114193477</v>
      </c>
      <c r="R29" s="141">
        <f t="shared" si="8"/>
        <v>-45.503270114193477</v>
      </c>
      <c r="S29" s="141">
        <f t="shared" si="8"/>
        <v>-45.503270114193477</v>
      </c>
      <c r="T29" s="141">
        <f t="shared" si="8"/>
        <v>-45.503270114193477</v>
      </c>
      <c r="U29" s="141">
        <f t="shared" si="8"/>
        <v>-45.503270114193477</v>
      </c>
      <c r="V29" s="141">
        <f t="shared" si="8"/>
        <v>-45.503270114193477</v>
      </c>
      <c r="W29" s="141">
        <f t="shared" si="8"/>
        <v>-45.503270114193477</v>
      </c>
      <c r="X29" s="141">
        <f t="shared" si="8"/>
        <v>-45.503270114193477</v>
      </c>
      <c r="Y29" s="141">
        <f t="shared" si="8"/>
        <v>-45.503270114193477</v>
      </c>
      <c r="Z29" s="141">
        <f t="shared" si="8"/>
        <v>-45.503270114193477</v>
      </c>
      <c r="AA29" s="141">
        <f t="shared" si="8"/>
        <v>-45.503270114193477</v>
      </c>
      <c r="AB29" s="141">
        <f t="shared" si="8"/>
        <v>-45.503270114193477</v>
      </c>
      <c r="AC29" s="141">
        <f t="shared" si="8"/>
        <v>-45.503270114193477</v>
      </c>
      <c r="AD29" s="141">
        <f t="shared" si="8"/>
        <v>-45.503270114193477</v>
      </c>
      <c r="AE29" s="141">
        <f t="shared" si="8"/>
        <v>-45.503270114193477</v>
      </c>
      <c r="AF29" s="141">
        <f t="shared" si="8"/>
        <v>-45.503270114193477</v>
      </c>
      <c r="AG29" s="141">
        <f t="shared" si="8"/>
        <v>-45.503270114193477</v>
      </c>
      <c r="AH29" s="141">
        <f t="shared" si="8"/>
        <v>-45.503270114193477</v>
      </c>
      <c r="AI29" s="141">
        <f t="shared" si="8"/>
        <v>-45.503270114193477</v>
      </c>
      <c r="AJ29" s="141">
        <f t="shared" si="8"/>
        <v>-45.503270114193477</v>
      </c>
      <c r="AK29" s="141">
        <f t="shared" si="8"/>
        <v>-45.503270114193477</v>
      </c>
      <c r="AL29" s="141">
        <f t="shared" si="8"/>
        <v>-45.503270114193477</v>
      </c>
      <c r="AM29" s="141">
        <f t="shared" si="8"/>
        <v>-45.503270114193477</v>
      </c>
      <c r="AN29" s="141">
        <f t="shared" si="8"/>
        <v>-45.503270114193477</v>
      </c>
      <c r="AO29" s="141">
        <f t="shared" si="8"/>
        <v>-45.503270114193477</v>
      </c>
      <c r="AP29" s="141">
        <f t="shared" si="8"/>
        <v>-45.503270114193477</v>
      </c>
      <c r="AQ29" s="141">
        <f t="shared" si="8"/>
        <v>-45.503270114193477</v>
      </c>
      <c r="AR29" s="141">
        <f t="shared" si="8"/>
        <v>-45.503270114193477</v>
      </c>
      <c r="AS29" s="141">
        <f t="shared" si="8"/>
        <v>-45.503270114193477</v>
      </c>
      <c r="AT29" s="141">
        <f t="shared" si="8"/>
        <v>-45.503270114193477</v>
      </c>
      <c r="AU29" s="141"/>
      <c r="AV29" s="141"/>
    </row>
    <row r="30" spans="2:48" ht="16.5" customHeight="1" x14ac:dyDescent="0.5">
      <c r="B30" s="145" t="s">
        <v>286</v>
      </c>
      <c r="F30" s="141">
        <f>-F29</f>
        <v>-636.72479999999996</v>
      </c>
      <c r="G30" s="141">
        <f t="shared" ref="G30:AT30" si="9">-G29</f>
        <v>45.503270114193477</v>
      </c>
      <c r="H30" s="141">
        <f t="shared" si="9"/>
        <v>45.503270114193477</v>
      </c>
      <c r="I30" s="141">
        <f t="shared" si="9"/>
        <v>45.503270114193477</v>
      </c>
      <c r="J30" s="141">
        <f t="shared" si="9"/>
        <v>45.503270114193477</v>
      </c>
      <c r="K30" s="141">
        <f t="shared" si="9"/>
        <v>45.503270114193477</v>
      </c>
      <c r="L30" s="141">
        <f t="shared" si="9"/>
        <v>45.503270114193477</v>
      </c>
      <c r="M30" s="141">
        <f t="shared" si="9"/>
        <v>45.503270114193477</v>
      </c>
      <c r="N30" s="141">
        <f t="shared" si="9"/>
        <v>45.503270114193477</v>
      </c>
      <c r="O30" s="141">
        <f t="shared" si="9"/>
        <v>45.503270114193477</v>
      </c>
      <c r="P30" s="141">
        <f t="shared" si="9"/>
        <v>45.503270114193477</v>
      </c>
      <c r="Q30" s="141">
        <f t="shared" si="9"/>
        <v>45.503270114193477</v>
      </c>
      <c r="R30" s="141">
        <f t="shared" si="9"/>
        <v>45.503270114193477</v>
      </c>
      <c r="S30" s="141">
        <f t="shared" si="9"/>
        <v>45.503270114193477</v>
      </c>
      <c r="T30" s="141">
        <f t="shared" si="9"/>
        <v>45.503270114193477</v>
      </c>
      <c r="U30" s="141">
        <f t="shared" si="9"/>
        <v>45.503270114193477</v>
      </c>
      <c r="V30" s="141">
        <f t="shared" si="9"/>
        <v>45.503270114193477</v>
      </c>
      <c r="W30" s="141">
        <f t="shared" si="9"/>
        <v>45.503270114193477</v>
      </c>
      <c r="X30" s="141">
        <f t="shared" si="9"/>
        <v>45.503270114193477</v>
      </c>
      <c r="Y30" s="141">
        <f t="shared" si="9"/>
        <v>45.503270114193477</v>
      </c>
      <c r="Z30" s="141">
        <f t="shared" si="9"/>
        <v>45.503270114193477</v>
      </c>
      <c r="AA30" s="141">
        <f t="shared" si="9"/>
        <v>45.503270114193477</v>
      </c>
      <c r="AB30" s="141">
        <f t="shared" si="9"/>
        <v>45.503270114193477</v>
      </c>
      <c r="AC30" s="141">
        <f t="shared" si="9"/>
        <v>45.503270114193477</v>
      </c>
      <c r="AD30" s="141">
        <f t="shared" si="9"/>
        <v>45.503270114193477</v>
      </c>
      <c r="AE30" s="141">
        <f t="shared" si="9"/>
        <v>45.503270114193477</v>
      </c>
      <c r="AF30" s="141">
        <f t="shared" si="9"/>
        <v>45.503270114193477</v>
      </c>
      <c r="AG30" s="141">
        <f t="shared" si="9"/>
        <v>45.503270114193477</v>
      </c>
      <c r="AH30" s="141">
        <f t="shared" si="9"/>
        <v>45.503270114193477</v>
      </c>
      <c r="AI30" s="141">
        <f t="shared" si="9"/>
        <v>45.503270114193477</v>
      </c>
      <c r="AJ30" s="141">
        <f t="shared" si="9"/>
        <v>45.503270114193477</v>
      </c>
      <c r="AK30" s="141">
        <f t="shared" si="9"/>
        <v>45.503270114193477</v>
      </c>
      <c r="AL30" s="141">
        <f t="shared" si="9"/>
        <v>45.503270114193477</v>
      </c>
      <c r="AM30" s="141">
        <f t="shared" si="9"/>
        <v>45.503270114193477</v>
      </c>
      <c r="AN30" s="141">
        <f t="shared" si="9"/>
        <v>45.503270114193477</v>
      </c>
      <c r="AO30" s="141">
        <f t="shared" si="9"/>
        <v>45.503270114193477</v>
      </c>
      <c r="AP30" s="141">
        <f t="shared" si="9"/>
        <v>45.503270114193477</v>
      </c>
      <c r="AQ30" s="141">
        <f t="shared" si="9"/>
        <v>45.503270114193477</v>
      </c>
      <c r="AR30" s="141">
        <f t="shared" si="9"/>
        <v>45.503270114193477</v>
      </c>
      <c r="AS30" s="141">
        <f t="shared" si="9"/>
        <v>45.503270114193477</v>
      </c>
      <c r="AT30" s="141">
        <f t="shared" si="9"/>
        <v>45.503270114193477</v>
      </c>
      <c r="AU30" s="141"/>
      <c r="AV30" s="141"/>
    </row>
    <row r="31" spans="2:48" ht="17.25" customHeight="1" x14ac:dyDescent="0.5">
      <c r="B31" s="382" t="s">
        <v>263</v>
      </c>
      <c r="C31" s="171"/>
      <c r="D31" s="171"/>
      <c r="E31" s="171"/>
      <c r="F31" s="170">
        <f>F27+F29</f>
        <v>848.96639999999991</v>
      </c>
      <c r="G31" s="170">
        <f t="shared" ref="G31:AT31" si="10">G27+G29</f>
        <v>-66.034123543565499</v>
      </c>
      <c r="H31" s="170">
        <f t="shared" si="10"/>
        <v>-66.034123543565499</v>
      </c>
      <c r="I31" s="170">
        <f t="shared" si="10"/>
        <v>-66.034123543565499</v>
      </c>
      <c r="J31" s="170">
        <f t="shared" si="10"/>
        <v>-66.034123543565499</v>
      </c>
      <c r="K31" s="170">
        <f t="shared" si="10"/>
        <v>-66.034123543565499</v>
      </c>
      <c r="L31" s="170">
        <f t="shared" si="10"/>
        <v>-66.034123543565499</v>
      </c>
      <c r="M31" s="170">
        <f t="shared" si="10"/>
        <v>-66.034123543565499</v>
      </c>
      <c r="N31" s="170">
        <f t="shared" si="10"/>
        <v>-66.034123543565499</v>
      </c>
      <c r="O31" s="170">
        <f t="shared" si="10"/>
        <v>-66.034123543565499</v>
      </c>
      <c r="P31" s="170">
        <f t="shared" si="10"/>
        <v>-66.034123543565499</v>
      </c>
      <c r="Q31" s="170">
        <f t="shared" si="10"/>
        <v>-66.034123543565499</v>
      </c>
      <c r="R31" s="170">
        <f t="shared" si="10"/>
        <v>-66.034123543565499</v>
      </c>
      <c r="S31" s="170">
        <f t="shared" si="10"/>
        <v>-66.034123543565499</v>
      </c>
      <c r="T31" s="170">
        <f t="shared" si="10"/>
        <v>-66.034123543565499</v>
      </c>
      <c r="U31" s="170">
        <f t="shared" si="10"/>
        <v>-66.034123543565499</v>
      </c>
      <c r="V31" s="170">
        <f t="shared" si="10"/>
        <v>-45.503270114193477</v>
      </c>
      <c r="W31" s="170">
        <f t="shared" si="10"/>
        <v>-45.503270114193477</v>
      </c>
      <c r="X31" s="170">
        <f t="shared" si="10"/>
        <v>-45.503270114193477</v>
      </c>
      <c r="Y31" s="170">
        <f t="shared" si="10"/>
        <v>-45.503270114193477</v>
      </c>
      <c r="Z31" s="170">
        <f t="shared" si="10"/>
        <v>-45.503270114193477</v>
      </c>
      <c r="AA31" s="170">
        <f t="shared" si="10"/>
        <v>-45.503270114193477</v>
      </c>
      <c r="AB31" s="170">
        <f t="shared" si="10"/>
        <v>-45.503270114193477</v>
      </c>
      <c r="AC31" s="170">
        <f t="shared" si="10"/>
        <v>-45.503270114193477</v>
      </c>
      <c r="AD31" s="170">
        <f t="shared" si="10"/>
        <v>-45.503270114193477</v>
      </c>
      <c r="AE31" s="170">
        <f t="shared" si="10"/>
        <v>-45.503270114193477</v>
      </c>
      <c r="AF31" s="170">
        <f t="shared" si="10"/>
        <v>-45.503270114193477</v>
      </c>
      <c r="AG31" s="170">
        <f t="shared" si="10"/>
        <v>-45.503270114193477</v>
      </c>
      <c r="AH31" s="170">
        <f t="shared" si="10"/>
        <v>-45.503270114193477</v>
      </c>
      <c r="AI31" s="170">
        <f t="shared" si="10"/>
        <v>-45.503270114193477</v>
      </c>
      <c r="AJ31" s="170">
        <f t="shared" si="10"/>
        <v>-45.503270114193477</v>
      </c>
      <c r="AK31" s="170">
        <f t="shared" si="10"/>
        <v>-45.503270114193477</v>
      </c>
      <c r="AL31" s="170">
        <f t="shared" si="10"/>
        <v>-45.503270114193477</v>
      </c>
      <c r="AM31" s="170">
        <f t="shared" si="10"/>
        <v>-45.503270114193477</v>
      </c>
      <c r="AN31" s="170">
        <f t="shared" si="10"/>
        <v>-45.503270114193477</v>
      </c>
      <c r="AO31" s="170">
        <f t="shared" si="10"/>
        <v>-45.503270114193477</v>
      </c>
      <c r="AP31" s="170">
        <f t="shared" si="10"/>
        <v>-45.503270114193477</v>
      </c>
      <c r="AQ31" s="170">
        <f t="shared" si="10"/>
        <v>-45.503270114193477</v>
      </c>
      <c r="AR31" s="170">
        <f t="shared" si="10"/>
        <v>-45.503270114193477</v>
      </c>
      <c r="AS31" s="170">
        <f t="shared" si="10"/>
        <v>-45.503270114193477</v>
      </c>
      <c r="AT31" s="170">
        <f t="shared" si="10"/>
        <v>-45.503270114193477</v>
      </c>
      <c r="AU31" s="170"/>
      <c r="AV31" s="170"/>
    </row>
    <row r="32" spans="2:48" ht="17.25" customHeight="1" x14ac:dyDescent="0.5">
      <c r="B32" s="142"/>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row>
    <row r="33" spans="2:48" ht="22.5" customHeight="1" x14ac:dyDescent="0.5">
      <c r="B33" s="164" t="s">
        <v>259</v>
      </c>
    </row>
    <row r="34" spans="2:48" ht="15" customHeight="1" x14ac:dyDescent="0.5">
      <c r="B34" s="166" t="str">
        <f t="shared" ref="B34:AV34" si="11">B6</f>
        <v>Năm dự án</v>
      </c>
      <c r="C34" s="166">
        <f t="shared" si="11"/>
        <v>0</v>
      </c>
      <c r="D34" s="166">
        <f t="shared" si="11"/>
        <v>1</v>
      </c>
      <c r="E34" s="166">
        <f t="shared" si="11"/>
        <v>2</v>
      </c>
      <c r="F34" s="166">
        <f t="shared" si="11"/>
        <v>3</v>
      </c>
      <c r="G34" s="166">
        <f t="shared" si="11"/>
        <v>4</v>
      </c>
      <c r="H34" s="166">
        <f t="shared" si="11"/>
        <v>5</v>
      </c>
      <c r="I34" s="166">
        <f t="shared" si="11"/>
        <v>6</v>
      </c>
      <c r="J34" s="166">
        <f t="shared" si="11"/>
        <v>7</v>
      </c>
      <c r="K34" s="166">
        <f t="shared" si="11"/>
        <v>8</v>
      </c>
      <c r="L34" s="166">
        <f t="shared" si="11"/>
        <v>9</v>
      </c>
      <c r="M34" s="166">
        <f t="shared" si="11"/>
        <v>10</v>
      </c>
      <c r="N34" s="166">
        <f t="shared" si="11"/>
        <v>11</v>
      </c>
      <c r="O34" s="166">
        <f t="shared" si="11"/>
        <v>12</v>
      </c>
      <c r="P34" s="166">
        <f t="shared" si="11"/>
        <v>13</v>
      </c>
      <c r="Q34" s="166">
        <f t="shared" si="11"/>
        <v>14</v>
      </c>
      <c r="R34" s="166">
        <f t="shared" si="11"/>
        <v>15</v>
      </c>
      <c r="S34" s="166">
        <f t="shared" si="11"/>
        <v>16</v>
      </c>
      <c r="T34" s="166">
        <f t="shared" si="11"/>
        <v>17</v>
      </c>
      <c r="U34" s="166">
        <f t="shared" si="11"/>
        <v>18</v>
      </c>
      <c r="V34" s="166">
        <f t="shared" si="11"/>
        <v>19</v>
      </c>
      <c r="W34" s="166">
        <f t="shared" si="11"/>
        <v>20</v>
      </c>
      <c r="X34" s="166">
        <f t="shared" si="11"/>
        <v>21</v>
      </c>
      <c r="Y34" s="166">
        <f t="shared" si="11"/>
        <v>22</v>
      </c>
      <c r="Z34" s="166">
        <f t="shared" si="11"/>
        <v>23</v>
      </c>
      <c r="AA34" s="166">
        <f t="shared" si="11"/>
        <v>24</v>
      </c>
      <c r="AB34" s="166">
        <f t="shared" si="11"/>
        <v>25</v>
      </c>
      <c r="AC34" s="166">
        <f t="shared" si="11"/>
        <v>26</v>
      </c>
      <c r="AD34" s="166">
        <f t="shared" si="11"/>
        <v>27</v>
      </c>
      <c r="AE34" s="166">
        <f t="shared" si="11"/>
        <v>28</v>
      </c>
      <c r="AF34" s="166">
        <f t="shared" si="11"/>
        <v>29</v>
      </c>
      <c r="AG34" s="166">
        <f t="shared" si="11"/>
        <v>30</v>
      </c>
      <c r="AH34" s="166">
        <f t="shared" si="11"/>
        <v>31</v>
      </c>
      <c r="AI34" s="166">
        <f t="shared" si="11"/>
        <v>32</v>
      </c>
      <c r="AJ34" s="166">
        <f t="shared" si="11"/>
        <v>33</v>
      </c>
      <c r="AK34" s="166">
        <f t="shared" si="11"/>
        <v>34</v>
      </c>
      <c r="AL34" s="166">
        <f t="shared" si="11"/>
        <v>35</v>
      </c>
      <c r="AM34" s="166">
        <f t="shared" si="11"/>
        <v>36</v>
      </c>
      <c r="AN34" s="166">
        <f t="shared" si="11"/>
        <v>37</v>
      </c>
      <c r="AO34" s="166">
        <f t="shared" si="11"/>
        <v>38</v>
      </c>
      <c r="AP34" s="166">
        <f t="shared" si="11"/>
        <v>39</v>
      </c>
      <c r="AQ34" s="166">
        <f t="shared" si="11"/>
        <v>40</v>
      </c>
      <c r="AR34" s="166">
        <f t="shared" si="11"/>
        <v>41</v>
      </c>
      <c r="AS34" s="166">
        <f t="shared" si="11"/>
        <v>42</v>
      </c>
      <c r="AT34" s="166">
        <f t="shared" si="11"/>
        <v>43</v>
      </c>
      <c r="AU34" s="166">
        <f t="shared" si="11"/>
        <v>44</v>
      </c>
      <c r="AV34" s="166">
        <f t="shared" si="11"/>
        <v>45</v>
      </c>
    </row>
    <row r="35" spans="2:48" ht="16.5" customHeight="1" x14ac:dyDescent="0.5">
      <c r="B35" s="137" t="s">
        <v>270</v>
      </c>
      <c r="G35" s="141">
        <f>'Thông số'!$F$131*G7*G10</f>
        <v>1276.4053003161603</v>
      </c>
      <c r="H35" s="141">
        <f>'Thông số'!$F$131*H7*H10</f>
        <v>1433.6584333151111</v>
      </c>
      <c r="I35" s="141">
        <f>'Thông số'!$H$131*I7*I10</f>
        <v>6925.2786288437446</v>
      </c>
      <c r="J35" s="141">
        <f>'Thông số'!$H$131*J7*J10</f>
        <v>7778.4729559172938</v>
      </c>
      <c r="K35" s="141">
        <f>'Thông số'!$H$131*K7*K10</f>
        <v>8736.7808240863069</v>
      </c>
      <c r="L35" s="141">
        <f>'Thông số'!$H$131*L7*L10</f>
        <v>9813.15222161374</v>
      </c>
      <c r="M35" s="141">
        <f>'Thông số'!$H$131*M7*M10</f>
        <v>11022.132575316555</v>
      </c>
      <c r="N35" s="141">
        <f>'Thông số'!$H$131*N7*N10</f>
        <v>12380.059308595552</v>
      </c>
      <c r="O35" s="141">
        <f>'Thông số'!$H$131*O7*O10</f>
        <v>13905.282615414528</v>
      </c>
      <c r="P35" s="141">
        <f>'Thông số'!$H$131*P7*P10</f>
        <v>15618.413433633597</v>
      </c>
      <c r="Q35" s="141">
        <f>'Thông số'!$H$131*Q7*Q10</f>
        <v>17542.601968657262</v>
      </c>
      <c r="R35" s="141">
        <f>'Thông số'!$H$131*R7*R10</f>
        <v>19703.850531195836</v>
      </c>
      <c r="S35" s="141">
        <f>'Thông số'!$H$131*S7*S10</f>
        <v>22131.364916639166</v>
      </c>
      <c r="T35" s="141">
        <f>'Thông số'!$H$131*T7*T10</f>
        <v>24857.949074369113</v>
      </c>
      <c r="U35" s="141">
        <f>'Thông số'!$H$131*U7*U10</f>
        <v>27920.448400331388</v>
      </c>
      <c r="V35" s="141">
        <f>'Thông số'!$H$131*V7*V10</f>
        <v>31360.24764325222</v>
      </c>
      <c r="W35" s="141">
        <f>'Thông số'!$H$131*W7*W10</f>
        <v>35223.830152900897</v>
      </c>
      <c r="X35" s="141"/>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41"/>
      <c r="AV35" s="141"/>
    </row>
    <row r="36" spans="2:48" ht="16.5" customHeight="1" x14ac:dyDescent="0.5">
      <c r="B36" s="145" t="s">
        <v>298</v>
      </c>
      <c r="G36" s="141">
        <f>'Thông số'!$G$103*'Thông số'!$F$16*G7</f>
        <v>151.43201467744959</v>
      </c>
      <c r="H36" s="141">
        <f>'Thông số'!$G$103*'Thông số'!$F$16*H7</f>
        <v>163.54657585164557</v>
      </c>
      <c r="I36" s="141">
        <f>'Thông số'!$G$103*I7</f>
        <v>490.63972755493677</v>
      </c>
      <c r="J36" s="141">
        <f>'Thông số'!$G$103*J7</f>
        <v>529.89090575933164</v>
      </c>
      <c r="K36" s="141">
        <f>'Thông số'!$G$103*K7</f>
        <v>572.28217822007821</v>
      </c>
      <c r="L36" s="141">
        <f>'Thông số'!$G$103*L7</f>
        <v>618.06475247768458</v>
      </c>
      <c r="M36" s="141">
        <f>'Thông số'!$G$103*M7</f>
        <v>667.50993267589934</v>
      </c>
      <c r="N36" s="141">
        <f>'Thông số'!$G$103*N7</f>
        <v>720.91072728997131</v>
      </c>
      <c r="O36" s="141">
        <f>'Thông số'!$G$103*O7</f>
        <v>778.58358547316902</v>
      </c>
      <c r="P36" s="141">
        <f>'Thông số'!$G$103*P7</f>
        <v>840.87027231102252</v>
      </c>
      <c r="Q36" s="141">
        <f>'Thông số'!$G$103*Q7</f>
        <v>908.13989409590454</v>
      </c>
      <c r="R36" s="141">
        <f>'Thông số'!$G$103*R7</f>
        <v>980.79108562357692</v>
      </c>
      <c r="S36" s="141">
        <f>'Thông số'!$G$103*S7</f>
        <v>1059.254372473463</v>
      </c>
      <c r="T36" s="141">
        <f>'Thông số'!$G$103*T7</f>
        <v>1143.9947222713402</v>
      </c>
      <c r="U36" s="141">
        <f>'Thông số'!$G$103*U7</f>
        <v>1235.5143000530475</v>
      </c>
      <c r="V36" s="141">
        <f>'Thông số'!$G$103*V7</f>
        <v>1334.3554440572914</v>
      </c>
      <c r="W36" s="141">
        <f>'Thông số'!$G$103*W7</f>
        <v>1441.1038795818747</v>
      </c>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row>
    <row r="37" spans="2:48" ht="16.5" customHeight="1" x14ac:dyDescent="0.5">
      <c r="B37" s="137" t="s">
        <v>271</v>
      </c>
      <c r="G37" s="141">
        <f t="shared" ref="G37:W37" si="12">G16*G9</f>
        <v>1079.8547666823533</v>
      </c>
      <c r="H37" s="141">
        <f t="shared" si="12"/>
        <v>1090.6278198647078</v>
      </c>
      <c r="I37" s="141">
        <f t="shared" si="12"/>
        <v>1096.105727601657</v>
      </c>
      <c r="J37" s="141">
        <f t="shared" si="12"/>
        <v>1095.3106075084838</v>
      </c>
      <c r="K37" s="141">
        <f t="shared" si="12"/>
        <v>1087.1321509829786</v>
      </c>
      <c r="L37" s="141">
        <f t="shared" si="12"/>
        <v>1070.311414249333</v>
      </c>
      <c r="M37" s="141">
        <f t="shared" si="12"/>
        <v>1043.422709618347</v>
      </c>
      <c r="N37" s="141">
        <f t="shared" si="12"/>
        <v>1004.8533788460965</v>
      </c>
      <c r="O37" s="141">
        <f t="shared" si="12"/>
        <v>952.78120568720044</v>
      </c>
      <c r="P37" s="141">
        <f t="shared" si="12"/>
        <v>885.14919715105657</v>
      </c>
      <c r="Q37" s="141">
        <f t="shared" si="12"/>
        <v>799.63743226395684</v>
      </c>
      <c r="R37" s="141">
        <f t="shared" si="12"/>
        <v>693.63164296549576</v>
      </c>
      <c r="S37" s="141">
        <f t="shared" si="12"/>
        <v>564.18815373312646</v>
      </c>
      <c r="T37" s="141">
        <f t="shared" si="12"/>
        <v>407.99476419917477</v>
      </c>
      <c r="U37" s="141">
        <f t="shared" si="12"/>
        <v>221.32711191610392</v>
      </c>
      <c r="V37" s="141">
        <f t="shared" si="12"/>
        <v>0</v>
      </c>
      <c r="W37" s="141">
        <f t="shared" si="12"/>
        <v>0</v>
      </c>
      <c r="X37" s="141"/>
      <c r="Y37" s="141"/>
      <c r="Z37" s="141"/>
      <c r="AA37" s="141"/>
      <c r="AB37" s="141"/>
      <c r="AC37" s="141"/>
      <c r="AD37" s="141"/>
      <c r="AE37" s="141"/>
      <c r="AF37" s="141"/>
      <c r="AG37" s="141"/>
      <c r="AH37" s="141"/>
      <c r="AI37" s="141"/>
      <c r="AJ37" s="141"/>
      <c r="AK37" s="141"/>
      <c r="AL37" s="141"/>
      <c r="AM37" s="141"/>
      <c r="AN37" s="141"/>
      <c r="AO37" s="141"/>
      <c r="AP37" s="141"/>
      <c r="AQ37" s="141"/>
      <c r="AR37" s="141"/>
      <c r="AS37" s="141"/>
      <c r="AT37" s="141"/>
      <c r="AU37" s="141"/>
      <c r="AV37" s="141"/>
    </row>
    <row r="38" spans="2:48" ht="16.5" customHeight="1" x14ac:dyDescent="0.5">
      <c r="B38" s="142" t="s">
        <v>39</v>
      </c>
      <c r="G38" s="141">
        <f t="shared" ref="G38:W38" si="13">G35-G36-G37</f>
        <v>45.11851895635732</v>
      </c>
      <c r="H38" s="141">
        <f t="shared" si="13"/>
        <v>179.48403759875782</v>
      </c>
      <c r="I38" s="141">
        <f t="shared" si="13"/>
        <v>5338.5331736871503</v>
      </c>
      <c r="J38" s="141">
        <f t="shared" si="13"/>
        <v>6153.2714426494786</v>
      </c>
      <c r="K38" s="141">
        <f t="shared" si="13"/>
        <v>7077.3664948832502</v>
      </c>
      <c r="L38" s="141">
        <f t="shared" si="13"/>
        <v>8124.7760548867218</v>
      </c>
      <c r="M38" s="141">
        <f t="shared" si="13"/>
        <v>9311.199933022308</v>
      </c>
      <c r="N38" s="141">
        <f t="shared" si="13"/>
        <v>10654.295202459483</v>
      </c>
      <c r="O38" s="141">
        <f t="shared" si="13"/>
        <v>12173.917824254158</v>
      </c>
      <c r="P38" s="141">
        <f t="shared" si="13"/>
        <v>13892.393964171519</v>
      </c>
      <c r="Q38" s="141">
        <f t="shared" si="13"/>
        <v>15834.824642297401</v>
      </c>
      <c r="R38" s="141">
        <f t="shared" si="13"/>
        <v>18029.427802606766</v>
      </c>
      <c r="S38" s="141">
        <f t="shared" si="13"/>
        <v>20507.922390432577</v>
      </c>
      <c r="T38" s="141">
        <f t="shared" si="13"/>
        <v>23305.959587898597</v>
      </c>
      <c r="U38" s="141">
        <f t="shared" si="13"/>
        <v>26463.606988362237</v>
      </c>
      <c r="V38" s="141">
        <f t="shared" si="13"/>
        <v>30025.892199194928</v>
      </c>
      <c r="W38" s="141">
        <f t="shared" si="13"/>
        <v>33782.726273319022</v>
      </c>
      <c r="X38" s="141"/>
      <c r="Y38" s="141"/>
      <c r="Z38" s="141"/>
      <c r="AA38" s="141"/>
      <c r="AB38" s="141"/>
      <c r="AC38" s="141"/>
      <c r="AD38" s="141"/>
      <c r="AE38" s="141"/>
      <c r="AF38" s="141"/>
      <c r="AG38" s="141"/>
      <c r="AH38" s="141"/>
      <c r="AI38" s="141"/>
      <c r="AJ38" s="141"/>
      <c r="AK38" s="141"/>
      <c r="AL38" s="141"/>
      <c r="AM38" s="141"/>
      <c r="AN38" s="141"/>
      <c r="AO38" s="141"/>
      <c r="AP38" s="141"/>
      <c r="AQ38" s="141"/>
      <c r="AR38" s="141"/>
      <c r="AS38" s="141"/>
      <c r="AT38" s="141"/>
      <c r="AU38" s="141"/>
      <c r="AV38" s="141"/>
    </row>
    <row r="39" spans="2:48" ht="16.5" customHeight="1" x14ac:dyDescent="0.5">
      <c r="B39" s="167" t="s">
        <v>261</v>
      </c>
      <c r="C39" s="168"/>
      <c r="D39" s="168"/>
      <c r="E39" s="168"/>
      <c r="F39" s="168"/>
      <c r="G39" s="170">
        <f>G38*'Thông số'!$G$18</f>
        <v>11.27962973908933</v>
      </c>
      <c r="H39" s="170">
        <f>H38*'Thông số'!$G$18</f>
        <v>44.871009399689456</v>
      </c>
      <c r="I39" s="170">
        <f>I38*'Thông số'!$G$18</f>
        <v>1334.6332934217876</v>
      </c>
      <c r="J39" s="170">
        <f>J38*'Thông số'!$G$18</f>
        <v>1538.3178606623696</v>
      </c>
      <c r="K39" s="170">
        <f>K38*'Thông số'!$G$18</f>
        <v>1769.3416237208125</v>
      </c>
      <c r="L39" s="170">
        <f>L38*'Thông số'!$G$18</f>
        <v>2031.1940137216804</v>
      </c>
      <c r="M39" s="170">
        <f>M38*'Thông số'!$G$18</f>
        <v>2327.799983255577</v>
      </c>
      <c r="N39" s="170">
        <f>N38*'Thông số'!$G$18</f>
        <v>2663.5738006148708</v>
      </c>
      <c r="O39" s="170">
        <f>O38*'Thông số'!$G$18</f>
        <v>3043.4794560635396</v>
      </c>
      <c r="P39" s="170">
        <f>P38*'Thông số'!$G$18</f>
        <v>3473.0984910428797</v>
      </c>
      <c r="Q39" s="170">
        <f>Q38*'Thông số'!$G$18</f>
        <v>3958.7061605743502</v>
      </c>
      <c r="R39" s="170">
        <f>R38*'Thông số'!$G$18</f>
        <v>4507.3569506516915</v>
      </c>
      <c r="S39" s="170">
        <f>S38*'Thông số'!$G$18</f>
        <v>5126.9805976081443</v>
      </c>
      <c r="T39" s="170">
        <f>T38*'Thông số'!$G$18</f>
        <v>5826.4898969746491</v>
      </c>
      <c r="U39" s="170">
        <f>U38*'Thông số'!$G$18</f>
        <v>6615.9017470905592</v>
      </c>
      <c r="V39" s="170">
        <f>V38*'Thông số'!$G$18</f>
        <v>7506.4730497987321</v>
      </c>
      <c r="W39" s="170">
        <f>W38*'Thông số'!$G$18</f>
        <v>8445.6815683297555</v>
      </c>
      <c r="X39" s="169"/>
      <c r="Y39" s="169"/>
      <c r="Z39" s="169"/>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69"/>
    </row>
    <row r="40" spans="2:48" ht="16.5" customHeight="1" x14ac:dyDescent="0.5"/>
    <row r="41" spans="2:48" ht="22.5" customHeight="1" x14ac:dyDescent="0.5">
      <c r="B41" s="164" t="s">
        <v>274</v>
      </c>
    </row>
    <row r="42" spans="2:48" ht="15" customHeight="1" x14ac:dyDescent="0.5">
      <c r="B42" s="166" t="str">
        <f t="shared" ref="B42:AV42" si="14">B6</f>
        <v>Năm dự án</v>
      </c>
      <c r="C42" s="166">
        <f t="shared" si="14"/>
        <v>0</v>
      </c>
      <c r="D42" s="166">
        <f t="shared" si="14"/>
        <v>1</v>
      </c>
      <c r="E42" s="166">
        <f t="shared" si="14"/>
        <v>2</v>
      </c>
      <c r="F42" s="166">
        <f t="shared" si="14"/>
        <v>3</v>
      </c>
      <c r="G42" s="166">
        <f t="shared" si="14"/>
        <v>4</v>
      </c>
      <c r="H42" s="166">
        <f t="shared" si="14"/>
        <v>5</v>
      </c>
      <c r="I42" s="166">
        <f t="shared" si="14"/>
        <v>6</v>
      </c>
      <c r="J42" s="166">
        <f t="shared" si="14"/>
        <v>7</v>
      </c>
      <c r="K42" s="166">
        <f t="shared" si="14"/>
        <v>8</v>
      </c>
      <c r="L42" s="166">
        <f t="shared" si="14"/>
        <v>9</v>
      </c>
      <c r="M42" s="166">
        <f t="shared" si="14"/>
        <v>10</v>
      </c>
      <c r="N42" s="166">
        <f t="shared" si="14"/>
        <v>11</v>
      </c>
      <c r="O42" s="166">
        <f t="shared" si="14"/>
        <v>12</v>
      </c>
      <c r="P42" s="166">
        <f t="shared" si="14"/>
        <v>13</v>
      </c>
      <c r="Q42" s="166">
        <f t="shared" si="14"/>
        <v>14</v>
      </c>
      <c r="R42" s="166">
        <f t="shared" si="14"/>
        <v>15</v>
      </c>
      <c r="S42" s="166">
        <f t="shared" si="14"/>
        <v>16</v>
      </c>
      <c r="T42" s="166">
        <f t="shared" si="14"/>
        <v>17</v>
      </c>
      <c r="U42" s="166">
        <f t="shared" si="14"/>
        <v>18</v>
      </c>
      <c r="V42" s="166">
        <f t="shared" si="14"/>
        <v>19</v>
      </c>
      <c r="W42" s="166">
        <f t="shared" si="14"/>
        <v>20</v>
      </c>
      <c r="X42" s="166">
        <f t="shared" si="14"/>
        <v>21</v>
      </c>
      <c r="Y42" s="166">
        <f t="shared" si="14"/>
        <v>22</v>
      </c>
      <c r="Z42" s="166">
        <f t="shared" si="14"/>
        <v>23</v>
      </c>
      <c r="AA42" s="166">
        <f t="shared" si="14"/>
        <v>24</v>
      </c>
      <c r="AB42" s="166">
        <f t="shared" si="14"/>
        <v>25</v>
      </c>
      <c r="AC42" s="166">
        <f t="shared" si="14"/>
        <v>26</v>
      </c>
      <c r="AD42" s="166">
        <f t="shared" si="14"/>
        <v>27</v>
      </c>
      <c r="AE42" s="166">
        <f t="shared" si="14"/>
        <v>28</v>
      </c>
      <c r="AF42" s="166">
        <f t="shared" si="14"/>
        <v>29</v>
      </c>
      <c r="AG42" s="166">
        <f t="shared" si="14"/>
        <v>30</v>
      </c>
      <c r="AH42" s="166">
        <f t="shared" si="14"/>
        <v>31</v>
      </c>
      <c r="AI42" s="166">
        <f t="shared" si="14"/>
        <v>32</v>
      </c>
      <c r="AJ42" s="166">
        <f t="shared" si="14"/>
        <v>33</v>
      </c>
      <c r="AK42" s="166">
        <f t="shared" si="14"/>
        <v>34</v>
      </c>
      <c r="AL42" s="166">
        <f t="shared" si="14"/>
        <v>35</v>
      </c>
      <c r="AM42" s="166">
        <f t="shared" si="14"/>
        <v>36</v>
      </c>
      <c r="AN42" s="166">
        <f t="shared" si="14"/>
        <v>37</v>
      </c>
      <c r="AO42" s="166">
        <f t="shared" si="14"/>
        <v>38</v>
      </c>
      <c r="AP42" s="166">
        <f t="shared" si="14"/>
        <v>39</v>
      </c>
      <c r="AQ42" s="166">
        <f t="shared" si="14"/>
        <v>40</v>
      </c>
      <c r="AR42" s="166">
        <f t="shared" si="14"/>
        <v>41</v>
      </c>
      <c r="AS42" s="166">
        <f t="shared" si="14"/>
        <v>42</v>
      </c>
      <c r="AT42" s="166">
        <f t="shared" si="14"/>
        <v>43</v>
      </c>
      <c r="AU42" s="166">
        <f t="shared" si="14"/>
        <v>44</v>
      </c>
      <c r="AV42" s="166">
        <f t="shared" si="14"/>
        <v>45</v>
      </c>
    </row>
    <row r="43" spans="2:48" ht="16.5" customHeight="1" x14ac:dyDescent="0.5">
      <c r="B43" s="142" t="s">
        <v>40</v>
      </c>
    </row>
    <row r="44" spans="2:48" ht="16.5" customHeight="1" x14ac:dyDescent="0.5">
      <c r="B44" s="145" t="s">
        <v>270</v>
      </c>
      <c r="C44" s="141"/>
      <c r="D44" s="141"/>
      <c r="E44" s="141"/>
      <c r="F44" s="141"/>
      <c r="G44" s="399"/>
      <c r="H44" s="399"/>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row>
    <row r="45" spans="2:48" ht="16.5" customHeight="1" x14ac:dyDescent="0.5">
      <c r="B45" s="145" t="s">
        <v>268</v>
      </c>
      <c r="C45" s="141"/>
      <c r="D45" s="141"/>
      <c r="E45" s="141"/>
      <c r="F45" s="141"/>
      <c r="G45" s="399"/>
      <c r="H45" s="399"/>
      <c r="I45" s="399"/>
      <c r="J45" s="399"/>
      <c r="K45" s="399"/>
      <c r="L45" s="399"/>
      <c r="M45" s="399"/>
      <c r="N45" s="399"/>
      <c r="O45" s="399"/>
      <c r="P45" s="399"/>
      <c r="Q45" s="399"/>
      <c r="R45" s="399"/>
      <c r="S45" s="399"/>
      <c r="T45" s="399"/>
      <c r="U45" s="399"/>
      <c r="V45" s="399"/>
      <c r="W45" s="399"/>
      <c r="X45" s="399"/>
      <c r="Y45" s="399"/>
      <c r="Z45" s="399"/>
      <c r="AA45" s="399"/>
      <c r="AB45" s="399"/>
      <c r="AC45" s="399"/>
      <c r="AD45" s="399"/>
      <c r="AE45" s="399"/>
      <c r="AF45" s="399"/>
      <c r="AG45" s="399"/>
      <c r="AH45" s="399"/>
      <c r="AI45" s="399"/>
      <c r="AJ45" s="399"/>
      <c r="AK45" s="399"/>
      <c r="AL45" s="399"/>
      <c r="AM45" s="399"/>
      <c r="AN45" s="399"/>
      <c r="AO45" s="399"/>
      <c r="AP45" s="399"/>
      <c r="AQ45" s="399"/>
      <c r="AR45" s="399"/>
      <c r="AS45" s="399"/>
      <c r="AT45" s="399"/>
      <c r="AU45" s="399"/>
      <c r="AV45" s="399"/>
    </row>
    <row r="46" spans="2:48" ht="16.5" customHeight="1" x14ac:dyDescent="0.5">
      <c r="B46" s="145" t="s">
        <v>310</v>
      </c>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c r="AR46" s="141"/>
      <c r="AS46" s="141"/>
      <c r="AT46" s="141"/>
      <c r="AU46" s="141"/>
      <c r="AV46" s="399"/>
    </row>
    <row r="47" spans="2:48" ht="16.5" customHeight="1" x14ac:dyDescent="0.5">
      <c r="B47" s="145" t="s">
        <v>305</v>
      </c>
      <c r="C47" s="141"/>
      <c r="D47" s="141"/>
      <c r="E47" s="141"/>
      <c r="F47" s="141"/>
      <c r="G47" s="141"/>
      <c r="H47" s="141"/>
      <c r="I47" s="141"/>
      <c r="J47" s="141"/>
      <c r="K47" s="141"/>
      <c r="L47" s="141"/>
      <c r="M47" s="141"/>
      <c r="N47" s="141"/>
      <c r="O47" s="141"/>
      <c r="P47" s="141"/>
      <c r="Q47" s="141"/>
      <c r="R47" s="141"/>
      <c r="S47" s="141"/>
      <c r="T47" s="141"/>
      <c r="U47" s="141"/>
      <c r="V47" s="141"/>
      <c r="W47" s="399"/>
      <c r="X47" s="141"/>
      <c r="Y47" s="141"/>
      <c r="Z47" s="141"/>
      <c r="AA47" s="141"/>
      <c r="AB47" s="141"/>
      <c r="AC47" s="141"/>
      <c r="AD47" s="141"/>
      <c r="AE47" s="141"/>
      <c r="AF47" s="141"/>
      <c r="AG47" s="141"/>
      <c r="AH47" s="141"/>
      <c r="AI47" s="141"/>
      <c r="AJ47" s="141"/>
      <c r="AK47" s="141"/>
      <c r="AL47" s="141"/>
      <c r="AM47" s="141"/>
      <c r="AN47" s="141"/>
      <c r="AO47" s="141"/>
      <c r="AP47" s="141"/>
      <c r="AQ47" s="141"/>
      <c r="AR47" s="141"/>
      <c r="AS47" s="141"/>
      <c r="AT47" s="141"/>
      <c r="AU47" s="141"/>
      <c r="AV47" s="141"/>
    </row>
    <row r="48" spans="2:48" ht="16.5" customHeight="1" x14ac:dyDescent="0.5">
      <c r="B48" s="145" t="s">
        <v>207</v>
      </c>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c r="AR48" s="141"/>
      <c r="AS48" s="141"/>
      <c r="AT48" s="141"/>
      <c r="AU48" s="141"/>
      <c r="AV48" s="141">
        <f>('Thông số'!D110/C7+'Thông số'!G110/F7)*AV7</f>
        <v>306436.3141468151</v>
      </c>
    </row>
    <row r="49" spans="2:60" ht="16.5" customHeight="1" x14ac:dyDescent="0.5">
      <c r="B49" s="142" t="s">
        <v>41</v>
      </c>
      <c r="C49" s="141"/>
      <c r="D49" s="141"/>
      <c r="E49" s="141"/>
      <c r="F49" s="141"/>
      <c r="G49" s="141">
        <f>SUM(G44:G48)</f>
        <v>0</v>
      </c>
      <c r="H49" s="141">
        <f t="shared" ref="H49:AV49" si="15">SUM(H44:H48)</f>
        <v>0</v>
      </c>
      <c r="I49" s="141">
        <f t="shared" si="15"/>
        <v>0</v>
      </c>
      <c r="J49" s="141">
        <f t="shared" si="15"/>
        <v>0</v>
      </c>
      <c r="K49" s="141">
        <f t="shared" si="15"/>
        <v>0</v>
      </c>
      <c r="L49" s="141">
        <f t="shared" si="15"/>
        <v>0</v>
      </c>
      <c r="M49" s="141">
        <f t="shared" si="15"/>
        <v>0</v>
      </c>
      <c r="N49" s="141">
        <f t="shared" si="15"/>
        <v>0</v>
      </c>
      <c r="O49" s="141">
        <f t="shared" si="15"/>
        <v>0</v>
      </c>
      <c r="P49" s="141">
        <f t="shared" si="15"/>
        <v>0</v>
      </c>
      <c r="Q49" s="141">
        <f t="shared" si="15"/>
        <v>0</v>
      </c>
      <c r="R49" s="141">
        <f t="shared" si="15"/>
        <v>0</v>
      </c>
      <c r="S49" s="141">
        <f t="shared" si="15"/>
        <v>0</v>
      </c>
      <c r="T49" s="141">
        <f t="shared" si="15"/>
        <v>0</v>
      </c>
      <c r="U49" s="141">
        <f t="shared" si="15"/>
        <v>0</v>
      </c>
      <c r="V49" s="141">
        <f t="shared" si="15"/>
        <v>0</v>
      </c>
      <c r="W49" s="141">
        <f>SUM(W44:W48)</f>
        <v>0</v>
      </c>
      <c r="X49" s="141">
        <f t="shared" si="15"/>
        <v>0</v>
      </c>
      <c r="Y49" s="141">
        <f t="shared" si="15"/>
        <v>0</v>
      </c>
      <c r="Z49" s="141">
        <f t="shared" si="15"/>
        <v>0</v>
      </c>
      <c r="AA49" s="141">
        <f t="shared" si="15"/>
        <v>0</v>
      </c>
      <c r="AB49" s="141">
        <f t="shared" si="15"/>
        <v>0</v>
      </c>
      <c r="AC49" s="141">
        <f t="shared" si="15"/>
        <v>0</v>
      </c>
      <c r="AD49" s="141">
        <f t="shared" si="15"/>
        <v>0</v>
      </c>
      <c r="AE49" s="141">
        <f t="shared" si="15"/>
        <v>0</v>
      </c>
      <c r="AF49" s="141">
        <f t="shared" si="15"/>
        <v>0</v>
      </c>
      <c r="AG49" s="141">
        <f t="shared" si="15"/>
        <v>0</v>
      </c>
      <c r="AH49" s="141">
        <f t="shared" si="15"/>
        <v>0</v>
      </c>
      <c r="AI49" s="141">
        <f t="shared" si="15"/>
        <v>0</v>
      </c>
      <c r="AJ49" s="141">
        <f t="shared" si="15"/>
        <v>0</v>
      </c>
      <c r="AK49" s="141">
        <f t="shared" si="15"/>
        <v>0</v>
      </c>
      <c r="AL49" s="141">
        <f t="shared" si="15"/>
        <v>0</v>
      </c>
      <c r="AM49" s="141">
        <f t="shared" si="15"/>
        <v>0</v>
      </c>
      <c r="AN49" s="141">
        <f t="shared" si="15"/>
        <v>0</v>
      </c>
      <c r="AO49" s="141">
        <f t="shared" si="15"/>
        <v>0</v>
      </c>
      <c r="AP49" s="141">
        <f t="shared" si="15"/>
        <v>0</v>
      </c>
      <c r="AQ49" s="141">
        <f t="shared" si="15"/>
        <v>0</v>
      </c>
      <c r="AR49" s="141">
        <f t="shared" si="15"/>
        <v>0</v>
      </c>
      <c r="AS49" s="141">
        <f t="shared" si="15"/>
        <v>0</v>
      </c>
      <c r="AT49" s="141">
        <f t="shared" si="15"/>
        <v>0</v>
      </c>
      <c r="AU49" s="141">
        <f t="shared" si="15"/>
        <v>0</v>
      </c>
      <c r="AV49" s="141">
        <f t="shared" si="15"/>
        <v>306436.3141468151</v>
      </c>
    </row>
    <row r="50" spans="2:60" ht="16.5" customHeight="1" x14ac:dyDescent="0.5">
      <c r="B50" s="143" t="s">
        <v>42</v>
      </c>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c r="AR50" s="141"/>
      <c r="AS50" s="141"/>
      <c r="AT50" s="141"/>
      <c r="AU50" s="141"/>
      <c r="AV50" s="141"/>
    </row>
    <row r="51" spans="2:60" ht="16.5" customHeight="1" x14ac:dyDescent="0.5">
      <c r="B51" s="145" t="s">
        <v>208</v>
      </c>
      <c r="C51" s="141">
        <f>'Thông số'!C44*C7</f>
        <v>4727.272727272727</v>
      </c>
      <c r="D51" s="141">
        <f>'Thông số'!D44*D7</f>
        <v>8498.618181818174</v>
      </c>
      <c r="E51" s="141">
        <f>'Thông số'!E44*E7</f>
        <v>9178.507636363629</v>
      </c>
      <c r="F51" s="141">
        <f>'Thông số'!F44*F7</f>
        <v>11864.196654545456</v>
      </c>
      <c r="G51" s="141">
        <f>'Thông số'!G44*G7</f>
        <v>21470.989405090913</v>
      </c>
      <c r="H51" s="141">
        <f>'Thông số'!H44*H7</f>
        <v>17204.496026530913</v>
      </c>
      <c r="I51" s="141"/>
      <c r="J51" s="141"/>
      <c r="K51" s="141"/>
      <c r="L51" s="141"/>
      <c r="M51" s="141"/>
      <c r="N51" s="141"/>
      <c r="O51" s="141"/>
      <c r="P51" s="141"/>
      <c r="Q51" s="141"/>
      <c r="R51" s="141"/>
      <c r="S51" s="141"/>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c r="AR51" s="141"/>
      <c r="AS51" s="141"/>
      <c r="AT51" s="141"/>
      <c r="AU51" s="141"/>
      <c r="AV51" s="141"/>
    </row>
    <row r="52" spans="2:60" ht="16.5" customHeight="1" x14ac:dyDescent="0.5">
      <c r="B52" s="145" t="s">
        <v>211</v>
      </c>
      <c r="C52" s="399"/>
      <c r="D52" s="399"/>
      <c r="E52" s="399"/>
      <c r="F52" s="399"/>
      <c r="G52" s="399"/>
      <c r="H52" s="399"/>
      <c r="I52" s="141"/>
      <c r="J52" s="141"/>
      <c r="K52" s="141"/>
      <c r="L52" s="141"/>
      <c r="M52" s="141"/>
      <c r="N52" s="141"/>
      <c r="O52" s="141"/>
      <c r="P52" s="141"/>
      <c r="Q52" s="141"/>
      <c r="R52" s="141"/>
      <c r="S52" s="141"/>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c r="AR52" s="141"/>
      <c r="AS52" s="141"/>
      <c r="AT52" s="141"/>
      <c r="AU52" s="141"/>
      <c r="AV52" s="141"/>
    </row>
    <row r="53" spans="2:60" ht="16.5" customHeight="1" x14ac:dyDescent="0.5">
      <c r="B53" s="145" t="s">
        <v>209</v>
      </c>
      <c r="C53" s="141">
        <f>'Thông số'!C66*C7</f>
        <v>0</v>
      </c>
      <c r="D53" s="141">
        <f>'Thông số'!D66*D7</f>
        <v>0</v>
      </c>
      <c r="E53" s="141">
        <f>'Thông số'!E66*E7</f>
        <v>0</v>
      </c>
      <c r="F53" s="141">
        <f>'Thông số'!F66*F7</f>
        <v>364.17128727272717</v>
      </c>
      <c r="G53" s="141">
        <f>'Thông số'!G66*G7</f>
        <v>393.30499025454537</v>
      </c>
      <c r="H53" s="141">
        <f>'Thông số'!H66*H7</f>
        <v>424.76938947490896</v>
      </c>
      <c r="I53" s="141"/>
      <c r="J53" s="141"/>
      <c r="K53" s="141"/>
      <c r="L53" s="141"/>
      <c r="M53" s="141"/>
      <c r="N53" s="141"/>
      <c r="O53" s="141"/>
      <c r="P53" s="141"/>
      <c r="Q53" s="141"/>
      <c r="R53" s="141"/>
      <c r="S53" s="141"/>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row>
    <row r="54" spans="2:60" ht="16.5" customHeight="1" x14ac:dyDescent="0.5">
      <c r="B54" s="145" t="s">
        <v>211</v>
      </c>
      <c r="C54" s="399"/>
      <c r="D54" s="399"/>
      <c r="E54" s="399"/>
      <c r="F54" s="399"/>
      <c r="G54" s="399"/>
      <c r="H54" s="399"/>
      <c r="I54" s="141"/>
      <c r="J54" s="141"/>
      <c r="K54" s="141"/>
      <c r="L54" s="141"/>
      <c r="M54" s="141"/>
      <c r="N54" s="141"/>
      <c r="O54" s="141"/>
      <c r="P54" s="141"/>
      <c r="Q54" s="141"/>
      <c r="R54" s="141"/>
      <c r="S54" s="141"/>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c r="AR54" s="141"/>
      <c r="AS54" s="141"/>
      <c r="AT54" s="141"/>
      <c r="AU54" s="141"/>
      <c r="AV54" s="141"/>
    </row>
    <row r="55" spans="2:60" ht="16.5" customHeight="1" x14ac:dyDescent="0.5">
      <c r="B55" s="145" t="s">
        <v>210</v>
      </c>
      <c r="C55" s="141">
        <f>'Thông số'!C37*C7</f>
        <v>3200</v>
      </c>
      <c r="D55" s="141">
        <f>'Thông số'!D37*D7</f>
        <v>0</v>
      </c>
      <c r="E55" s="141">
        <f>'Thông số'!E37*E7</f>
        <v>0</v>
      </c>
      <c r="F55" s="141">
        <f>'Thông số'!F37*F7</f>
        <v>8062.1568000000007</v>
      </c>
      <c r="G55" s="141">
        <f>'Thông số'!G37*G7</f>
        <v>0</v>
      </c>
      <c r="H55" s="141">
        <f>'Thông số'!H37*H7</f>
        <v>0</v>
      </c>
      <c r="I55" s="141"/>
      <c r="J55" s="141"/>
      <c r="K55" s="141"/>
      <c r="L55" s="141"/>
      <c r="M55" s="141"/>
      <c r="N55" s="141"/>
      <c r="O55" s="141"/>
      <c r="P55" s="141"/>
      <c r="Q55" s="141"/>
      <c r="R55" s="141"/>
      <c r="S55" s="141"/>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c r="AR55" s="141"/>
      <c r="AS55" s="141"/>
      <c r="AT55" s="141"/>
      <c r="AU55" s="141"/>
      <c r="AV55" s="141"/>
    </row>
    <row r="56" spans="2:60" ht="16.5" customHeight="1" x14ac:dyDescent="0.5">
      <c r="B56" s="145" t="s">
        <v>306</v>
      </c>
      <c r="C56" s="141"/>
      <c r="D56" s="141"/>
      <c r="E56" s="141"/>
      <c r="F56" s="141"/>
      <c r="G56" s="141">
        <f>'Thông số'!$G$88*'Thông số'!$F$16*G7</f>
        <v>144.35279200342717</v>
      </c>
      <c r="H56" s="141">
        <f>'Thông số'!$G$88*'Thông số'!$F$16*H7</f>
        <v>155.90101536370133</v>
      </c>
      <c r="I56" s="141">
        <f>'Thông số'!$G$88*I7</f>
        <v>467.70304609110417</v>
      </c>
      <c r="J56" s="141">
        <f>'Thông số'!$G$88*J7</f>
        <v>505.1192897783925</v>
      </c>
      <c r="K56" s="141">
        <f>'Thông số'!$G$88*K7</f>
        <v>545.52883296066386</v>
      </c>
      <c r="L56" s="141">
        <f>'Thông số'!$G$88*L7</f>
        <v>589.17113959751703</v>
      </c>
      <c r="M56" s="141">
        <f>'Thông số'!$G$88*M7</f>
        <v>636.30483076531846</v>
      </c>
      <c r="N56" s="141">
        <f>'Thông số'!$G$88*N7</f>
        <v>687.20921722654396</v>
      </c>
      <c r="O56" s="141">
        <f>'Thông số'!$G$88*O7</f>
        <v>742.18595460466747</v>
      </c>
      <c r="P56" s="141">
        <f>'Thông số'!$G$88*P7</f>
        <v>801.56083097304088</v>
      </c>
      <c r="Q56" s="141">
        <f>'Thông số'!$G$88*Q7</f>
        <v>865.68569745088428</v>
      </c>
      <c r="R56" s="141">
        <f>'Thông số'!$G$88*R7</f>
        <v>934.94055324695512</v>
      </c>
      <c r="S56" s="141">
        <f>'Thông số'!$G$88*S7</f>
        <v>1009.7357975067115</v>
      </c>
      <c r="T56" s="141">
        <f>'Thông số'!$G$88*T7</f>
        <v>1090.5146613072484</v>
      </c>
      <c r="U56" s="141">
        <f>'Thông số'!$G$88*U7</f>
        <v>1177.7558342118284</v>
      </c>
      <c r="V56" s="141">
        <f>'Thông số'!$G$88*V7</f>
        <v>1271.9763009487749</v>
      </c>
      <c r="W56" s="141">
        <f>'Thông số'!$G$88*W7</f>
        <v>1373.7344050246768</v>
      </c>
      <c r="X56" s="141">
        <f>'Thông số'!$G$88*X7</f>
        <v>1483.633157426651</v>
      </c>
      <c r="Y56" s="141">
        <f>'Thông số'!$G$88*Y7</f>
        <v>1602.3238100207832</v>
      </c>
      <c r="Z56" s="141">
        <f>'Thông số'!$G$88*Z7</f>
        <v>1730.5097148224459</v>
      </c>
      <c r="AA56" s="141">
        <f>'Thông số'!$G$88*AA7</f>
        <v>1868.9504920082416</v>
      </c>
      <c r="AB56" s="141">
        <f>'Thông số'!$G$88*AB7</f>
        <v>2018.4665313689013</v>
      </c>
      <c r="AC56" s="141">
        <f>'Thông số'!$G$88*AC7</f>
        <v>2179.9438538784129</v>
      </c>
      <c r="AD56" s="141">
        <f>'Thông số'!$G$88*AD7</f>
        <v>2354.3393621886862</v>
      </c>
      <c r="AE56" s="141">
        <f>'Thông số'!$G$88*AE7</f>
        <v>2542.6865111637812</v>
      </c>
      <c r="AF56" s="141">
        <f>'Thông số'!$G$88*AF7</f>
        <v>2746.1014320568838</v>
      </c>
      <c r="AG56" s="141">
        <f>'Thông số'!$G$88*AG7</f>
        <v>2965.789546621435</v>
      </c>
      <c r="AH56" s="141">
        <f>'Thông số'!$G$88*AH7</f>
        <v>3203.0527103511504</v>
      </c>
      <c r="AI56" s="141">
        <f>'Thông số'!$G$88*AI7</f>
        <v>3459.2969271792422</v>
      </c>
      <c r="AJ56" s="141">
        <f>'Thông số'!$G$88*AJ7</f>
        <v>3736.0406813535815</v>
      </c>
      <c r="AK56" s="141">
        <f>'Thông số'!$G$88*AK7</f>
        <v>4034.9239358618684</v>
      </c>
      <c r="AL56" s="141">
        <f>'Thông số'!$G$88*AL7</f>
        <v>4357.7178507308181</v>
      </c>
      <c r="AM56" s="141">
        <f>'Thông số'!$G$88*AM7</f>
        <v>4706.3352787892845</v>
      </c>
      <c r="AN56" s="141">
        <f>'Thông số'!$G$88*AN7</f>
        <v>5082.8421010924267</v>
      </c>
      <c r="AO56" s="141">
        <f>'Thông số'!$G$88*AO7</f>
        <v>5489.4694691798222</v>
      </c>
      <c r="AP56" s="141">
        <f>'Thông số'!$G$88*AP7</f>
        <v>5928.6270267142072</v>
      </c>
      <c r="AQ56" s="141">
        <f>'Thông số'!$G$88*AQ7</f>
        <v>6402.9171888513447</v>
      </c>
      <c r="AR56" s="141">
        <f>'Thông số'!$G$88*AR7</f>
        <v>6915.1505639594525</v>
      </c>
      <c r="AS56" s="141">
        <f>'Thông số'!$G$88*AS7</f>
        <v>7468.3626090762082</v>
      </c>
      <c r="AT56" s="141">
        <f>'Thông số'!$G$88*AT7</f>
        <v>8065.8316178023051</v>
      </c>
      <c r="AU56" s="141">
        <f>'Thông số'!$G$88*AU7</f>
        <v>8711.0981472264903</v>
      </c>
      <c r="AV56" s="141">
        <f>'Thông số'!$G$88*AV7</f>
        <v>9407.9859990046098</v>
      </c>
    </row>
    <row r="57" spans="2:60" ht="16.5" customHeight="1" x14ac:dyDescent="0.5">
      <c r="B57" s="145" t="s">
        <v>211</v>
      </c>
      <c r="C57" s="141"/>
      <c r="D57" s="141"/>
      <c r="E57" s="141"/>
      <c r="F57" s="141"/>
      <c r="G57" s="399"/>
      <c r="H57" s="399"/>
      <c r="I57" s="399"/>
      <c r="J57" s="399"/>
      <c r="K57" s="399"/>
      <c r="L57" s="399"/>
      <c r="M57" s="399"/>
      <c r="N57" s="399"/>
      <c r="O57" s="399"/>
      <c r="P57" s="399"/>
      <c r="Q57" s="399"/>
      <c r="R57" s="399"/>
      <c r="S57" s="399"/>
      <c r="T57" s="399"/>
      <c r="U57" s="399"/>
      <c r="V57" s="399"/>
      <c r="W57" s="399"/>
      <c r="X57" s="399"/>
      <c r="Y57" s="399"/>
      <c r="Z57" s="399"/>
      <c r="AA57" s="399"/>
      <c r="AB57" s="399"/>
      <c r="AC57" s="399"/>
      <c r="AD57" s="399"/>
      <c r="AE57" s="399"/>
      <c r="AF57" s="399"/>
      <c r="AG57" s="399"/>
      <c r="AH57" s="399"/>
      <c r="AI57" s="399"/>
      <c r="AJ57" s="399"/>
      <c r="AK57" s="399"/>
      <c r="AL57" s="399"/>
      <c r="AM57" s="399"/>
      <c r="AN57" s="399"/>
      <c r="AO57" s="399"/>
      <c r="AP57" s="399"/>
      <c r="AQ57" s="399"/>
      <c r="AR57" s="399"/>
      <c r="AS57" s="399"/>
      <c r="AT57" s="399"/>
      <c r="AU57" s="399"/>
      <c r="AV57" s="399"/>
    </row>
    <row r="58" spans="2:60" s="143" customFormat="1" ht="16.5" customHeight="1" x14ac:dyDescent="0.5">
      <c r="B58" s="145" t="s">
        <v>307</v>
      </c>
      <c r="C58" s="141"/>
      <c r="D58" s="141"/>
      <c r="E58" s="141"/>
      <c r="F58" s="141"/>
      <c r="G58" s="141">
        <f>'Thông số'!$G$98*'Thông số'!$F$16*G7</f>
        <v>7.0792226740224011</v>
      </c>
      <c r="H58" s="141">
        <f>'Thông số'!$G$98*'Thông số'!$F$16*H7</f>
        <v>7.6455604879441932</v>
      </c>
      <c r="I58" s="141">
        <f>'Thông số'!$G$98*I7</f>
        <v>22.936681463832585</v>
      </c>
      <c r="J58" s="141">
        <f>'Thông số'!$G$98*J7</f>
        <v>24.771615980939192</v>
      </c>
      <c r="K58" s="141">
        <f>'Thông số'!$G$98*K7</f>
        <v>26.753345259414328</v>
      </c>
      <c r="L58" s="141">
        <f>'Thông số'!$G$98*L7</f>
        <v>28.893612880167478</v>
      </c>
      <c r="M58" s="141">
        <f>'Thông số'!$G$98*M7</f>
        <v>31.205101910580876</v>
      </c>
      <c r="N58" s="141">
        <f>'Thông số'!$G$98*N7</f>
        <v>33.701510063427342</v>
      </c>
      <c r="O58" s="141">
        <f>'Thông số'!$G$98*O7</f>
        <v>36.397630868501537</v>
      </c>
      <c r="P58" s="141">
        <f>'Thông số'!$G$98*P7</f>
        <v>39.30944133798166</v>
      </c>
      <c r="Q58" s="141">
        <f>'Thông số'!$G$98*Q7</f>
        <v>42.454196645020197</v>
      </c>
      <c r="R58" s="141">
        <f>'Thông số'!$G$98*R7</f>
        <v>45.850532376621821</v>
      </c>
      <c r="S58" s="141">
        <f>'Thông số'!$G$98*S7</f>
        <v>49.518574966751565</v>
      </c>
      <c r="T58" s="141">
        <f>'Thông số'!$G$98*T7</f>
        <v>53.480060964091692</v>
      </c>
      <c r="U58" s="141">
        <f>'Thông số'!$G$98*U7</f>
        <v>57.758465841219028</v>
      </c>
      <c r="V58" s="141">
        <f>'Thông số'!$G$98*V7</f>
        <v>62.379143108516558</v>
      </c>
      <c r="W58" s="141">
        <f>'Thông số'!$G$98*W7</f>
        <v>67.369474557197876</v>
      </c>
      <c r="X58" s="141"/>
      <c r="Y58" s="141"/>
      <c r="Z58" s="141"/>
      <c r="AA58" s="141"/>
      <c r="AB58" s="141"/>
      <c r="AC58" s="141"/>
      <c r="AD58" s="141"/>
      <c r="AE58" s="141"/>
      <c r="AF58" s="141"/>
      <c r="AG58" s="141"/>
      <c r="AH58" s="141"/>
      <c r="AI58" s="141"/>
      <c r="AJ58" s="141"/>
      <c r="AK58" s="141"/>
      <c r="AL58" s="141"/>
      <c r="AM58" s="141"/>
      <c r="AN58" s="141"/>
      <c r="AO58" s="141"/>
      <c r="AP58" s="141"/>
      <c r="AQ58" s="141"/>
      <c r="AR58" s="141"/>
      <c r="AS58" s="141"/>
      <c r="AT58" s="141"/>
      <c r="AU58" s="141"/>
      <c r="AV58" s="141"/>
      <c r="AW58" s="137"/>
      <c r="AX58" s="137"/>
      <c r="AY58" s="137"/>
      <c r="AZ58" s="137"/>
      <c r="BA58" s="137"/>
      <c r="BB58" s="137"/>
      <c r="BC58" s="137"/>
      <c r="BD58" s="137"/>
      <c r="BE58" s="137"/>
      <c r="BF58" s="137"/>
      <c r="BG58" s="137"/>
      <c r="BH58" s="137"/>
    </row>
    <row r="59" spans="2:60" s="143" customFormat="1" ht="16.5" customHeight="1" x14ac:dyDescent="0.5">
      <c r="B59" s="145" t="s">
        <v>211</v>
      </c>
      <c r="C59" s="141"/>
      <c r="D59" s="141"/>
      <c r="E59" s="141"/>
      <c r="F59" s="141"/>
      <c r="G59" s="399"/>
      <c r="H59" s="399"/>
      <c r="I59" s="399"/>
      <c r="J59" s="399"/>
      <c r="K59" s="399"/>
      <c r="L59" s="399"/>
      <c r="M59" s="399"/>
      <c r="N59" s="399"/>
      <c r="O59" s="399"/>
      <c r="P59" s="399"/>
      <c r="Q59" s="399"/>
      <c r="R59" s="399"/>
      <c r="S59" s="399"/>
      <c r="T59" s="399"/>
      <c r="U59" s="399"/>
      <c r="V59" s="399"/>
      <c r="W59" s="399"/>
      <c r="X59" s="141"/>
      <c r="Y59" s="141"/>
      <c r="Z59" s="141"/>
      <c r="AA59" s="141"/>
      <c r="AB59" s="141"/>
      <c r="AC59" s="141"/>
      <c r="AD59" s="141"/>
      <c r="AE59" s="141"/>
      <c r="AF59" s="141"/>
      <c r="AG59" s="141"/>
      <c r="AH59" s="141"/>
      <c r="AI59" s="141"/>
      <c r="AJ59" s="141"/>
      <c r="AK59" s="141"/>
      <c r="AL59" s="141"/>
      <c r="AM59" s="141"/>
      <c r="AN59" s="141"/>
      <c r="AO59" s="141"/>
      <c r="AP59" s="141"/>
      <c r="AQ59" s="141"/>
      <c r="AR59" s="141"/>
      <c r="AS59" s="141"/>
      <c r="AT59" s="141"/>
      <c r="AU59" s="141"/>
      <c r="AV59" s="141"/>
      <c r="AW59" s="137"/>
      <c r="AX59" s="137"/>
      <c r="AY59" s="137"/>
      <c r="AZ59" s="137"/>
      <c r="BA59" s="137"/>
      <c r="BB59" s="137"/>
      <c r="BC59" s="137"/>
      <c r="BD59" s="137"/>
      <c r="BE59" s="137"/>
      <c r="BF59" s="137"/>
      <c r="BG59" s="137"/>
      <c r="BH59" s="137"/>
    </row>
    <row r="60" spans="2:60" ht="16.5" customHeight="1" x14ac:dyDescent="0.5">
      <c r="B60" s="167" t="s">
        <v>43</v>
      </c>
      <c r="C60" s="170">
        <f>SUM(C51:C59)</f>
        <v>7927.272727272727</v>
      </c>
      <c r="D60" s="170">
        <f t="shared" ref="D60:AV60" si="16">SUM(D51:D59)</f>
        <v>8498.618181818174</v>
      </c>
      <c r="E60" s="170">
        <f t="shared" si="16"/>
        <v>9178.507636363629</v>
      </c>
      <c r="F60" s="170">
        <f t="shared" si="16"/>
        <v>20290.524741818183</v>
      </c>
      <c r="G60" s="170">
        <f t="shared" si="16"/>
        <v>22015.726410022911</v>
      </c>
      <c r="H60" s="170">
        <f t="shared" si="16"/>
        <v>17792.81199185747</v>
      </c>
      <c r="I60" s="170">
        <f t="shared" si="16"/>
        <v>490.63972755493677</v>
      </c>
      <c r="J60" s="170">
        <f t="shared" si="16"/>
        <v>529.89090575933164</v>
      </c>
      <c r="K60" s="170">
        <f t="shared" si="16"/>
        <v>572.28217822007821</v>
      </c>
      <c r="L60" s="170">
        <f t="shared" si="16"/>
        <v>618.06475247768446</v>
      </c>
      <c r="M60" s="170">
        <f t="shared" si="16"/>
        <v>667.50993267589934</v>
      </c>
      <c r="N60" s="170">
        <f t="shared" si="16"/>
        <v>720.91072728997131</v>
      </c>
      <c r="O60" s="170">
        <f t="shared" si="16"/>
        <v>778.58358547316902</v>
      </c>
      <c r="P60" s="170">
        <f t="shared" si="16"/>
        <v>840.87027231102252</v>
      </c>
      <c r="Q60" s="170">
        <f t="shared" si="16"/>
        <v>908.13989409590442</v>
      </c>
      <c r="R60" s="170">
        <f t="shared" si="16"/>
        <v>980.79108562357692</v>
      </c>
      <c r="S60" s="170">
        <f t="shared" si="16"/>
        <v>1059.254372473463</v>
      </c>
      <c r="T60" s="170">
        <f t="shared" si="16"/>
        <v>1143.9947222713402</v>
      </c>
      <c r="U60" s="170">
        <f t="shared" si="16"/>
        <v>1235.5143000530475</v>
      </c>
      <c r="V60" s="170">
        <f t="shared" si="16"/>
        <v>1334.3554440572914</v>
      </c>
      <c r="W60" s="170">
        <f>SUM(W51:W59)</f>
        <v>1441.1038795818747</v>
      </c>
      <c r="X60" s="170">
        <f t="shared" si="16"/>
        <v>1483.633157426651</v>
      </c>
      <c r="Y60" s="170">
        <f t="shared" si="16"/>
        <v>1602.3238100207832</v>
      </c>
      <c r="Z60" s="170">
        <f t="shared" si="16"/>
        <v>1730.5097148224459</v>
      </c>
      <c r="AA60" s="170">
        <f t="shared" si="16"/>
        <v>1868.9504920082416</v>
      </c>
      <c r="AB60" s="170">
        <f t="shared" si="16"/>
        <v>2018.4665313689013</v>
      </c>
      <c r="AC60" s="170">
        <f t="shared" si="16"/>
        <v>2179.9438538784129</v>
      </c>
      <c r="AD60" s="170">
        <f t="shared" si="16"/>
        <v>2354.3393621886862</v>
      </c>
      <c r="AE60" s="170">
        <f t="shared" si="16"/>
        <v>2542.6865111637812</v>
      </c>
      <c r="AF60" s="170">
        <f t="shared" si="16"/>
        <v>2746.1014320568838</v>
      </c>
      <c r="AG60" s="170">
        <f t="shared" si="16"/>
        <v>2965.789546621435</v>
      </c>
      <c r="AH60" s="170">
        <f t="shared" si="16"/>
        <v>3203.0527103511504</v>
      </c>
      <c r="AI60" s="170">
        <f t="shared" si="16"/>
        <v>3459.2969271792422</v>
      </c>
      <c r="AJ60" s="170">
        <f t="shared" si="16"/>
        <v>3736.0406813535815</v>
      </c>
      <c r="AK60" s="170">
        <f t="shared" si="16"/>
        <v>4034.9239358618684</v>
      </c>
      <c r="AL60" s="170">
        <f t="shared" si="16"/>
        <v>4357.7178507308181</v>
      </c>
      <c r="AM60" s="170">
        <f t="shared" si="16"/>
        <v>4706.3352787892845</v>
      </c>
      <c r="AN60" s="170">
        <f t="shared" si="16"/>
        <v>5082.8421010924267</v>
      </c>
      <c r="AO60" s="170">
        <f t="shared" si="16"/>
        <v>5489.4694691798222</v>
      </c>
      <c r="AP60" s="170">
        <f t="shared" si="16"/>
        <v>5928.6270267142072</v>
      </c>
      <c r="AQ60" s="170">
        <f t="shared" si="16"/>
        <v>6402.9171888513447</v>
      </c>
      <c r="AR60" s="170">
        <f t="shared" si="16"/>
        <v>6915.1505639594525</v>
      </c>
      <c r="AS60" s="170">
        <f t="shared" si="16"/>
        <v>7468.3626090762082</v>
      </c>
      <c r="AT60" s="170">
        <f t="shared" si="16"/>
        <v>8065.8316178023051</v>
      </c>
      <c r="AU60" s="170">
        <f t="shared" si="16"/>
        <v>8711.0981472264903</v>
      </c>
      <c r="AV60" s="170">
        <f t="shared" si="16"/>
        <v>9407.9859990046098</v>
      </c>
    </row>
    <row r="61" spans="2:60" s="394" customFormat="1" ht="16.5" customHeight="1" x14ac:dyDescent="0.5">
      <c r="B61" s="185" t="s">
        <v>214</v>
      </c>
      <c r="C61" s="395">
        <f>C49-C60</f>
        <v>-7927.272727272727</v>
      </c>
      <c r="D61" s="395">
        <f t="shared" ref="D61:AV61" si="17">D49-D60</f>
        <v>-8498.618181818174</v>
      </c>
      <c r="E61" s="395">
        <f t="shared" si="17"/>
        <v>-9178.507636363629</v>
      </c>
      <c r="F61" s="395">
        <f t="shared" si="17"/>
        <v>-20290.524741818183</v>
      </c>
      <c r="G61" s="395">
        <f t="shared" si="17"/>
        <v>-22015.726410022911</v>
      </c>
      <c r="H61" s="395">
        <f t="shared" si="17"/>
        <v>-17792.81199185747</v>
      </c>
      <c r="I61" s="395">
        <f t="shared" si="17"/>
        <v>-490.63972755493677</v>
      </c>
      <c r="J61" s="395">
        <f t="shared" si="17"/>
        <v>-529.89090575933164</v>
      </c>
      <c r="K61" s="395">
        <f t="shared" si="17"/>
        <v>-572.28217822007821</v>
      </c>
      <c r="L61" s="395">
        <f t="shared" si="17"/>
        <v>-618.06475247768446</v>
      </c>
      <c r="M61" s="395">
        <f t="shared" si="17"/>
        <v>-667.50993267589934</v>
      </c>
      <c r="N61" s="395">
        <f t="shared" si="17"/>
        <v>-720.91072728997131</v>
      </c>
      <c r="O61" s="395">
        <f t="shared" si="17"/>
        <v>-778.58358547316902</v>
      </c>
      <c r="P61" s="395">
        <f t="shared" si="17"/>
        <v>-840.87027231102252</v>
      </c>
      <c r="Q61" s="395">
        <f t="shared" si="17"/>
        <v>-908.13989409590442</v>
      </c>
      <c r="R61" s="395">
        <f t="shared" si="17"/>
        <v>-980.79108562357692</v>
      </c>
      <c r="S61" s="395">
        <f t="shared" si="17"/>
        <v>-1059.254372473463</v>
      </c>
      <c r="T61" s="395">
        <f t="shared" si="17"/>
        <v>-1143.9947222713402</v>
      </c>
      <c r="U61" s="395">
        <f t="shared" si="17"/>
        <v>-1235.5143000530475</v>
      </c>
      <c r="V61" s="395">
        <f t="shared" si="17"/>
        <v>-1334.3554440572914</v>
      </c>
      <c r="W61" s="395">
        <f>W49-W60</f>
        <v>-1441.1038795818747</v>
      </c>
      <c r="X61" s="395">
        <f t="shared" si="17"/>
        <v>-1483.633157426651</v>
      </c>
      <c r="Y61" s="395">
        <f t="shared" si="17"/>
        <v>-1602.3238100207832</v>
      </c>
      <c r="Z61" s="395">
        <f t="shared" si="17"/>
        <v>-1730.5097148224459</v>
      </c>
      <c r="AA61" s="395">
        <f t="shared" si="17"/>
        <v>-1868.9504920082416</v>
      </c>
      <c r="AB61" s="395">
        <f t="shared" si="17"/>
        <v>-2018.4665313689013</v>
      </c>
      <c r="AC61" s="395">
        <f t="shared" si="17"/>
        <v>-2179.9438538784129</v>
      </c>
      <c r="AD61" s="395">
        <f t="shared" si="17"/>
        <v>-2354.3393621886862</v>
      </c>
      <c r="AE61" s="395">
        <f t="shared" si="17"/>
        <v>-2542.6865111637812</v>
      </c>
      <c r="AF61" s="395">
        <f t="shared" si="17"/>
        <v>-2746.1014320568838</v>
      </c>
      <c r="AG61" s="395">
        <f t="shared" si="17"/>
        <v>-2965.789546621435</v>
      </c>
      <c r="AH61" s="395">
        <f t="shared" si="17"/>
        <v>-3203.0527103511504</v>
      </c>
      <c r="AI61" s="395">
        <f t="shared" si="17"/>
        <v>-3459.2969271792422</v>
      </c>
      <c r="AJ61" s="395">
        <f t="shared" si="17"/>
        <v>-3736.0406813535815</v>
      </c>
      <c r="AK61" s="395">
        <f t="shared" si="17"/>
        <v>-4034.9239358618684</v>
      </c>
      <c r="AL61" s="395">
        <f t="shared" si="17"/>
        <v>-4357.7178507308181</v>
      </c>
      <c r="AM61" s="395">
        <f t="shared" si="17"/>
        <v>-4706.3352787892845</v>
      </c>
      <c r="AN61" s="395">
        <f t="shared" si="17"/>
        <v>-5082.8421010924267</v>
      </c>
      <c r="AO61" s="395">
        <f t="shared" si="17"/>
        <v>-5489.4694691798222</v>
      </c>
      <c r="AP61" s="395">
        <f t="shared" si="17"/>
        <v>-5928.6270267142072</v>
      </c>
      <c r="AQ61" s="395">
        <f t="shared" si="17"/>
        <v>-6402.9171888513447</v>
      </c>
      <c r="AR61" s="395">
        <f t="shared" si="17"/>
        <v>-6915.1505639594525</v>
      </c>
      <c r="AS61" s="395">
        <f t="shared" si="17"/>
        <v>-7468.3626090762082</v>
      </c>
      <c r="AT61" s="395">
        <f t="shared" si="17"/>
        <v>-8065.8316178023051</v>
      </c>
      <c r="AU61" s="395">
        <f t="shared" si="17"/>
        <v>-8711.0981472264903</v>
      </c>
      <c r="AV61" s="395">
        <f t="shared" si="17"/>
        <v>297028.32814781048</v>
      </c>
    </row>
    <row r="62" spans="2:60" ht="16.5" customHeight="1" x14ac:dyDescent="0.5">
      <c r="B62" s="173" t="s">
        <v>262</v>
      </c>
      <c r="C62" s="174"/>
      <c r="D62" s="174"/>
      <c r="E62" s="174"/>
      <c r="F62" s="174"/>
      <c r="G62" s="174">
        <f t="shared" ref="G62:W62" si="18">G39</f>
        <v>11.27962973908933</v>
      </c>
      <c r="H62" s="174">
        <f t="shared" si="18"/>
        <v>44.871009399689456</v>
      </c>
      <c r="I62" s="174">
        <f t="shared" si="18"/>
        <v>1334.6332934217876</v>
      </c>
      <c r="J62" s="174">
        <f t="shared" si="18"/>
        <v>1538.3178606623696</v>
      </c>
      <c r="K62" s="174">
        <f t="shared" si="18"/>
        <v>1769.3416237208125</v>
      </c>
      <c r="L62" s="174">
        <f t="shared" si="18"/>
        <v>2031.1940137216804</v>
      </c>
      <c r="M62" s="174">
        <f t="shared" si="18"/>
        <v>2327.799983255577</v>
      </c>
      <c r="N62" s="174">
        <f t="shared" si="18"/>
        <v>2663.5738006148708</v>
      </c>
      <c r="O62" s="174">
        <f t="shared" si="18"/>
        <v>3043.4794560635396</v>
      </c>
      <c r="P62" s="174">
        <f t="shared" si="18"/>
        <v>3473.0984910428797</v>
      </c>
      <c r="Q62" s="174">
        <f t="shared" si="18"/>
        <v>3958.7061605743502</v>
      </c>
      <c r="R62" s="174">
        <f t="shared" si="18"/>
        <v>4507.3569506516915</v>
      </c>
      <c r="S62" s="174">
        <f t="shared" si="18"/>
        <v>5126.9805976081443</v>
      </c>
      <c r="T62" s="174">
        <f t="shared" si="18"/>
        <v>5826.4898969746491</v>
      </c>
      <c r="U62" s="174">
        <f t="shared" si="18"/>
        <v>6615.9017470905592</v>
      </c>
      <c r="V62" s="174">
        <f t="shared" si="18"/>
        <v>7506.4730497987321</v>
      </c>
      <c r="W62" s="174">
        <f t="shared" si="18"/>
        <v>8445.6815683297555</v>
      </c>
      <c r="X62" s="174"/>
      <c r="Y62" s="174"/>
      <c r="Z62" s="174"/>
      <c r="AA62" s="174"/>
      <c r="AB62" s="174"/>
      <c r="AC62" s="174"/>
      <c r="AD62" s="174"/>
      <c r="AE62" s="174"/>
      <c r="AF62" s="174"/>
      <c r="AG62" s="174"/>
      <c r="AH62" s="174"/>
      <c r="AI62" s="174"/>
      <c r="AJ62" s="174"/>
      <c r="AK62" s="174"/>
      <c r="AL62" s="174"/>
      <c r="AM62" s="174"/>
      <c r="AN62" s="174"/>
      <c r="AO62" s="174"/>
      <c r="AP62" s="174"/>
      <c r="AQ62" s="174"/>
      <c r="AR62" s="174"/>
      <c r="AS62" s="174"/>
      <c r="AT62" s="174"/>
      <c r="AU62" s="174"/>
      <c r="AV62" s="174"/>
    </row>
    <row r="63" spans="2:60" ht="16.5" customHeight="1" x14ac:dyDescent="0.5">
      <c r="B63" s="175" t="s">
        <v>215</v>
      </c>
      <c r="C63" s="176">
        <f>C61-C62</f>
        <v>-7927.272727272727</v>
      </c>
      <c r="D63" s="176">
        <f t="shared" ref="D63:AV63" si="19">D61-D62</f>
        <v>-8498.618181818174</v>
      </c>
      <c r="E63" s="176">
        <f t="shared" si="19"/>
        <v>-9178.507636363629</v>
      </c>
      <c r="F63" s="176">
        <f t="shared" si="19"/>
        <v>-20290.524741818183</v>
      </c>
      <c r="G63" s="176">
        <f t="shared" si="19"/>
        <v>-22027.006039762</v>
      </c>
      <c r="H63" s="176">
        <f t="shared" si="19"/>
        <v>-17837.683001257159</v>
      </c>
      <c r="I63" s="176">
        <f t="shared" si="19"/>
        <v>-1825.2730209767244</v>
      </c>
      <c r="J63" s="176">
        <f t="shared" si="19"/>
        <v>-2068.2087664217015</v>
      </c>
      <c r="K63" s="176">
        <f t="shared" si="19"/>
        <v>-2341.6238019408906</v>
      </c>
      <c r="L63" s="176">
        <f t="shared" si="19"/>
        <v>-2649.2587661993648</v>
      </c>
      <c r="M63" s="176">
        <f t="shared" si="19"/>
        <v>-2995.3099159314761</v>
      </c>
      <c r="N63" s="176">
        <f t="shared" si="19"/>
        <v>-3384.4845279048423</v>
      </c>
      <c r="O63" s="176">
        <f t="shared" si="19"/>
        <v>-3822.0630415367086</v>
      </c>
      <c r="P63" s="176">
        <f t="shared" si="19"/>
        <v>-4313.9687633539024</v>
      </c>
      <c r="Q63" s="176">
        <f t="shared" si="19"/>
        <v>-4866.8460546702545</v>
      </c>
      <c r="R63" s="176">
        <f t="shared" si="19"/>
        <v>-5488.1480362752682</v>
      </c>
      <c r="S63" s="176">
        <f t="shared" si="19"/>
        <v>-6186.2349700816076</v>
      </c>
      <c r="T63" s="176">
        <f t="shared" si="19"/>
        <v>-6970.4846192459891</v>
      </c>
      <c r="U63" s="176">
        <f t="shared" si="19"/>
        <v>-7851.4160471436062</v>
      </c>
      <c r="V63" s="176">
        <f t="shared" si="19"/>
        <v>-8840.8284938560228</v>
      </c>
      <c r="W63" s="176">
        <f t="shared" si="19"/>
        <v>-9886.7854479116304</v>
      </c>
      <c r="X63" s="176">
        <f t="shared" si="19"/>
        <v>-1483.633157426651</v>
      </c>
      <c r="Y63" s="176">
        <f t="shared" si="19"/>
        <v>-1602.3238100207832</v>
      </c>
      <c r="Z63" s="176">
        <f t="shared" si="19"/>
        <v>-1730.5097148224459</v>
      </c>
      <c r="AA63" s="176">
        <f t="shared" si="19"/>
        <v>-1868.9504920082416</v>
      </c>
      <c r="AB63" s="176">
        <f t="shared" si="19"/>
        <v>-2018.4665313689013</v>
      </c>
      <c r="AC63" s="176">
        <f t="shared" si="19"/>
        <v>-2179.9438538784129</v>
      </c>
      <c r="AD63" s="176">
        <f t="shared" si="19"/>
        <v>-2354.3393621886862</v>
      </c>
      <c r="AE63" s="176">
        <f t="shared" si="19"/>
        <v>-2542.6865111637812</v>
      </c>
      <c r="AF63" s="176">
        <f t="shared" si="19"/>
        <v>-2746.1014320568838</v>
      </c>
      <c r="AG63" s="176">
        <f t="shared" si="19"/>
        <v>-2965.789546621435</v>
      </c>
      <c r="AH63" s="176">
        <f t="shared" si="19"/>
        <v>-3203.0527103511504</v>
      </c>
      <c r="AI63" s="176">
        <f t="shared" si="19"/>
        <v>-3459.2969271792422</v>
      </c>
      <c r="AJ63" s="176">
        <f t="shared" si="19"/>
        <v>-3736.0406813535815</v>
      </c>
      <c r="AK63" s="176">
        <f t="shared" si="19"/>
        <v>-4034.9239358618684</v>
      </c>
      <c r="AL63" s="176">
        <f t="shared" si="19"/>
        <v>-4357.7178507308181</v>
      </c>
      <c r="AM63" s="176">
        <f t="shared" si="19"/>
        <v>-4706.3352787892845</v>
      </c>
      <c r="AN63" s="176">
        <f t="shared" si="19"/>
        <v>-5082.8421010924267</v>
      </c>
      <c r="AO63" s="176">
        <f t="shared" si="19"/>
        <v>-5489.4694691798222</v>
      </c>
      <c r="AP63" s="176">
        <f t="shared" si="19"/>
        <v>-5928.6270267142072</v>
      </c>
      <c r="AQ63" s="176">
        <f t="shared" si="19"/>
        <v>-6402.9171888513447</v>
      </c>
      <c r="AR63" s="176">
        <f t="shared" si="19"/>
        <v>-6915.1505639594525</v>
      </c>
      <c r="AS63" s="176">
        <f t="shared" si="19"/>
        <v>-7468.3626090762082</v>
      </c>
      <c r="AT63" s="176">
        <f t="shared" si="19"/>
        <v>-8065.8316178023051</v>
      </c>
      <c r="AU63" s="176">
        <f t="shared" si="19"/>
        <v>-8711.0981472264903</v>
      </c>
      <c r="AV63" s="176">
        <f t="shared" si="19"/>
        <v>297028.32814781048</v>
      </c>
    </row>
    <row r="64" spans="2:60" s="23" customFormat="1" ht="16.5" customHeight="1" x14ac:dyDescent="0.45">
      <c r="B64" s="192" t="s">
        <v>266</v>
      </c>
      <c r="C64" s="193">
        <f t="shared" ref="C64:AV64" si="20">C61/C9</f>
        <v>-99.090909090909093</v>
      </c>
      <c r="D64" s="193">
        <f t="shared" si="20"/>
        <v>-100.330909090909</v>
      </c>
      <c r="E64" s="193">
        <f t="shared" si="20"/>
        <v>-102.33752727272719</v>
      </c>
      <c r="F64" s="193">
        <f t="shared" si="20"/>
        <v>-213.66458345454541</v>
      </c>
      <c r="G64" s="193">
        <f t="shared" si="20"/>
        <v>-218.95188965710295</v>
      </c>
      <c r="H64" s="193">
        <f t="shared" si="20"/>
        <v>-167.12317746915411</v>
      </c>
      <c r="I64" s="193">
        <f t="shared" si="20"/>
        <v>-4.3524242482638318</v>
      </c>
      <c r="J64" s="193">
        <f t="shared" si="20"/>
        <v>-4.4394727332291071</v>
      </c>
      <c r="K64" s="193">
        <f t="shared" si="20"/>
        <v>-4.5282621878936897</v>
      </c>
      <c r="L64" s="193">
        <f t="shared" si="20"/>
        <v>-4.618827431651563</v>
      </c>
      <c r="M64" s="193">
        <f t="shared" si="20"/>
        <v>-4.7112039802845951</v>
      </c>
      <c r="N64" s="193">
        <f t="shared" si="20"/>
        <v>-4.8054280598902865</v>
      </c>
      <c r="O64" s="193">
        <f t="shared" si="20"/>
        <v>-4.9015366210880922</v>
      </c>
      <c r="P64" s="193">
        <f t="shared" si="20"/>
        <v>-4.9995673535098542</v>
      </c>
      <c r="Q64" s="193">
        <f t="shared" si="20"/>
        <v>-5.0995587005800509</v>
      </c>
      <c r="R64" s="193">
        <f t="shared" si="20"/>
        <v>-5.2015498745916506</v>
      </c>
      <c r="S64" s="193">
        <f t="shared" si="20"/>
        <v>-5.3055808720834845</v>
      </c>
      <c r="T64" s="193">
        <f t="shared" si="20"/>
        <v>-5.411692489525155</v>
      </c>
      <c r="U64" s="193">
        <f t="shared" si="20"/>
        <v>-5.5199263393156572</v>
      </c>
      <c r="V64" s="193">
        <f t="shared" si="20"/>
        <v>-5.6303248661019705</v>
      </c>
      <c r="W64" s="193">
        <f t="shared" si="20"/>
        <v>-5.7429313634240113</v>
      </c>
      <c r="X64" s="193">
        <f t="shared" si="20"/>
        <v>-5.5839469740087342</v>
      </c>
      <c r="Y64" s="193">
        <f t="shared" si="20"/>
        <v>-5.6956259134889082</v>
      </c>
      <c r="Z64" s="193">
        <f t="shared" si="20"/>
        <v>-5.8095384317586856</v>
      </c>
      <c r="AA64" s="193">
        <f t="shared" si="20"/>
        <v>-5.9257292003938584</v>
      </c>
      <c r="AB64" s="193">
        <f t="shared" si="20"/>
        <v>-6.0442437844017372</v>
      </c>
      <c r="AC64" s="193">
        <f t="shared" si="20"/>
        <v>-6.1651286600897715</v>
      </c>
      <c r="AD64" s="193">
        <f t="shared" si="20"/>
        <v>-6.2884312332915666</v>
      </c>
      <c r="AE64" s="193">
        <f t="shared" si="20"/>
        <v>-6.4141998579573993</v>
      </c>
      <c r="AF64" s="193">
        <f t="shared" si="20"/>
        <v>-6.5424838551165454</v>
      </c>
      <c r="AG64" s="193">
        <f t="shared" si="20"/>
        <v>-6.6733335322188774</v>
      </c>
      <c r="AH64" s="193">
        <f t="shared" si="20"/>
        <v>-6.8068002028632542</v>
      </c>
      <c r="AI64" s="193">
        <f t="shared" si="20"/>
        <v>-6.9429362069205203</v>
      </c>
      <c r="AJ64" s="193">
        <f t="shared" si="20"/>
        <v>-7.0817949310589299</v>
      </c>
      <c r="AK64" s="193">
        <f t="shared" si="20"/>
        <v>-7.2234308296801082</v>
      </c>
      <c r="AL64" s="193">
        <f t="shared" si="20"/>
        <v>-7.36789944627371</v>
      </c>
      <c r="AM64" s="193">
        <f t="shared" si="20"/>
        <v>-7.5152574351991852</v>
      </c>
      <c r="AN64" s="193">
        <f t="shared" si="20"/>
        <v>-7.665562583903168</v>
      </c>
      <c r="AO64" s="193">
        <f t="shared" si="20"/>
        <v>-7.8188738355812344</v>
      </c>
      <c r="AP64" s="193">
        <f t="shared" si="20"/>
        <v>-7.9752513122928548</v>
      </c>
      <c r="AQ64" s="193">
        <f t="shared" si="20"/>
        <v>-8.1347563385387147</v>
      </c>
      <c r="AR64" s="193">
        <f t="shared" si="20"/>
        <v>-8.2974514653094875</v>
      </c>
      <c r="AS64" s="193">
        <f t="shared" si="20"/>
        <v>-8.4634004946156782</v>
      </c>
      <c r="AT64" s="193">
        <f t="shared" si="20"/>
        <v>-8.6326685045079916</v>
      </c>
      <c r="AU64" s="193">
        <f t="shared" si="20"/>
        <v>-8.8053218745981496</v>
      </c>
      <c r="AV64" s="193">
        <f t="shared" si="20"/>
        <v>283.56107632407105</v>
      </c>
    </row>
    <row r="65" spans="2:48" s="23" customFormat="1" ht="16.5" customHeight="1" x14ac:dyDescent="0.45">
      <c r="B65" s="194" t="s">
        <v>267</v>
      </c>
      <c r="C65" s="195">
        <f t="shared" ref="C65:AV65" si="21">C63/C9</f>
        <v>-99.090909090909093</v>
      </c>
      <c r="D65" s="195">
        <f t="shared" si="21"/>
        <v>-100.330909090909</v>
      </c>
      <c r="E65" s="195">
        <f t="shared" si="21"/>
        <v>-102.33752727272719</v>
      </c>
      <c r="F65" s="195">
        <f t="shared" si="21"/>
        <v>-213.66458345454541</v>
      </c>
      <c r="G65" s="195">
        <f t="shared" si="21"/>
        <v>-219.06406838788885</v>
      </c>
      <c r="H65" s="195">
        <f t="shared" si="21"/>
        <v>-167.54463899364816</v>
      </c>
      <c r="I65" s="195">
        <f t="shared" si="21"/>
        <v>-16.191845278797455</v>
      </c>
      <c r="J65" s="195">
        <f t="shared" si="21"/>
        <v>-17.327635415816637</v>
      </c>
      <c r="K65" s="195">
        <f t="shared" si="21"/>
        <v>-18.52842343191595</v>
      </c>
      <c r="L65" s="195">
        <f t="shared" si="21"/>
        <v>-19.798037363903557</v>
      </c>
      <c r="M65" s="195">
        <f t="shared" si="21"/>
        <v>-21.140533357387426</v>
      </c>
      <c r="N65" s="195">
        <f t="shared" si="21"/>
        <v>-22.560209333820392</v>
      </c>
      <c r="O65" s="195">
        <f t="shared" si="21"/>
        <v>-24.061619478934048</v>
      </c>
      <c r="P65" s="195">
        <f t="shared" si="21"/>
        <v>-25.649589602030606</v>
      </c>
      <c r="Q65" s="195">
        <f t="shared" si="21"/>
        <v>-27.329233418586494</v>
      </c>
      <c r="R65" s="195">
        <f t="shared" si="21"/>
        <v>-29.105969811785375</v>
      </c>
      <c r="S65" s="195">
        <f t="shared" si="21"/>
        <v>-30.985541131954296</v>
      </c>
      <c r="T65" s="195">
        <f t="shared" si="21"/>
        <v>-32.974032596434441</v>
      </c>
      <c r="U65" s="195">
        <f t="shared" si="21"/>
        <v>-35.077892856191809</v>
      </c>
      <c r="V65" s="195">
        <f t="shared" si="21"/>
        <v>-37.303955799473769</v>
      </c>
      <c r="W65" s="195">
        <f t="shared" si="21"/>
        <v>-39.399748371179072</v>
      </c>
      <c r="X65" s="195">
        <f t="shared" si="21"/>
        <v>-5.5839469740087342</v>
      </c>
      <c r="Y65" s="195">
        <f t="shared" si="21"/>
        <v>-5.6956259134889082</v>
      </c>
      <c r="Z65" s="195">
        <f t="shared" si="21"/>
        <v>-5.8095384317586856</v>
      </c>
      <c r="AA65" s="195">
        <f t="shared" si="21"/>
        <v>-5.9257292003938584</v>
      </c>
      <c r="AB65" s="195">
        <f t="shared" si="21"/>
        <v>-6.0442437844017372</v>
      </c>
      <c r="AC65" s="195">
        <f t="shared" si="21"/>
        <v>-6.1651286600897715</v>
      </c>
      <c r="AD65" s="195">
        <f t="shared" si="21"/>
        <v>-6.2884312332915666</v>
      </c>
      <c r="AE65" s="195">
        <f t="shared" si="21"/>
        <v>-6.4141998579573993</v>
      </c>
      <c r="AF65" s="195">
        <f t="shared" si="21"/>
        <v>-6.5424838551165454</v>
      </c>
      <c r="AG65" s="195">
        <f t="shared" si="21"/>
        <v>-6.6733335322188774</v>
      </c>
      <c r="AH65" s="195">
        <f t="shared" si="21"/>
        <v>-6.8068002028632542</v>
      </c>
      <c r="AI65" s="195">
        <f t="shared" si="21"/>
        <v>-6.9429362069205203</v>
      </c>
      <c r="AJ65" s="195">
        <f t="shared" si="21"/>
        <v>-7.0817949310589299</v>
      </c>
      <c r="AK65" s="195">
        <f t="shared" si="21"/>
        <v>-7.2234308296801082</v>
      </c>
      <c r="AL65" s="195">
        <f t="shared" si="21"/>
        <v>-7.36789944627371</v>
      </c>
      <c r="AM65" s="195">
        <f t="shared" si="21"/>
        <v>-7.5152574351991852</v>
      </c>
      <c r="AN65" s="195">
        <f t="shared" si="21"/>
        <v>-7.665562583903168</v>
      </c>
      <c r="AO65" s="195">
        <f t="shared" si="21"/>
        <v>-7.8188738355812344</v>
      </c>
      <c r="AP65" s="195">
        <f t="shared" si="21"/>
        <v>-7.9752513122928548</v>
      </c>
      <c r="AQ65" s="195">
        <f t="shared" si="21"/>
        <v>-8.1347563385387147</v>
      </c>
      <c r="AR65" s="195">
        <f t="shared" si="21"/>
        <v>-8.2974514653094875</v>
      </c>
      <c r="AS65" s="195">
        <f t="shared" si="21"/>
        <v>-8.4634004946156782</v>
      </c>
      <c r="AT65" s="195">
        <f t="shared" si="21"/>
        <v>-8.6326685045079916</v>
      </c>
      <c r="AU65" s="195">
        <f t="shared" si="21"/>
        <v>-8.8053218745981496</v>
      </c>
      <c r="AV65" s="195">
        <f t="shared" si="21"/>
        <v>283.56107632407105</v>
      </c>
    </row>
    <row r="66" spans="2:48" ht="16.5" customHeight="1" x14ac:dyDescent="0.5"/>
    <row r="67" spans="2:48" ht="16.5" customHeight="1" x14ac:dyDescent="0.5">
      <c r="B67" s="271" t="s">
        <v>44</v>
      </c>
      <c r="C67" s="271" t="s">
        <v>45</v>
      </c>
      <c r="D67" s="271" t="s">
        <v>46</v>
      </c>
      <c r="E67" s="281"/>
      <c r="F67" s="281"/>
      <c r="G67" s="384"/>
      <c r="H67" s="281"/>
    </row>
    <row r="68" spans="2:48" ht="16.5" customHeight="1" x14ac:dyDescent="0.5">
      <c r="B68" s="274" t="s">
        <v>47</v>
      </c>
      <c r="C68" s="276">
        <f>'Thông số'!I12</f>
        <v>7.205780744205445E-2</v>
      </c>
      <c r="D68" s="276">
        <f>C68</f>
        <v>7.205780744205445E-2</v>
      </c>
      <c r="E68" s="282">
        <v>0.06</v>
      </c>
      <c r="F68" s="282">
        <f>E68+3%</f>
        <v>0.09</v>
      </c>
      <c r="G68" s="282">
        <f t="shared" ref="G68:H68" si="22">F68+3%</f>
        <v>0.12</v>
      </c>
      <c r="H68" s="282">
        <f t="shared" si="22"/>
        <v>0.15</v>
      </c>
    </row>
    <row r="69" spans="2:48" ht="16.5" customHeight="1" x14ac:dyDescent="0.5">
      <c r="B69" s="274" t="s">
        <v>276</v>
      </c>
      <c r="C69" s="275">
        <f>NPV(C68,D64:AV64)+C64</f>
        <v>-776.18095633678524</v>
      </c>
      <c r="D69" s="275">
        <f>NPV(D68,$D65:$AV65)+$C65</f>
        <v>-900.49493306308068</v>
      </c>
      <c r="E69" s="275">
        <f t="shared" ref="E69:H69" si="23">NPV(E68,$D65:$AV65)+$C65</f>
        <v>-948.10717015551802</v>
      </c>
      <c r="F69" s="275">
        <f t="shared" si="23"/>
        <v>-837.27250943421461</v>
      </c>
      <c r="G69" s="275">
        <f t="shared" si="23"/>
        <v>-749.82610972601071</v>
      </c>
      <c r="H69" s="275">
        <f t="shared" si="23"/>
        <v>-680.32325126676608</v>
      </c>
    </row>
    <row r="70" spans="2:48" ht="16.5" customHeight="1" x14ac:dyDescent="0.5">
      <c r="B70" s="274" t="s">
        <v>246</v>
      </c>
      <c r="C70" s="276">
        <f>IRR(C64:AV64)</f>
        <v>-4.1141757658463174E-2</v>
      </c>
      <c r="D70" s="276">
        <f>IRR(C65:AV65)</f>
        <v>-5.0552991017352444E-2</v>
      </c>
      <c r="E70" s="281"/>
      <c r="F70" s="281"/>
      <c r="G70" s="281"/>
      <c r="H70" s="281"/>
    </row>
    <row r="71" spans="2:48" ht="16.5" customHeight="1" x14ac:dyDescent="0.5">
      <c r="B71" s="274" t="s">
        <v>247</v>
      </c>
      <c r="C71" s="403"/>
      <c r="D71" s="403"/>
      <c r="E71" s="281"/>
      <c r="F71" s="281"/>
      <c r="G71" s="281"/>
      <c r="H71" s="281"/>
    </row>
    <row r="72" spans="2:48" ht="16.5" customHeight="1" x14ac:dyDescent="0.5">
      <c r="B72" s="277" t="s">
        <v>49</v>
      </c>
      <c r="C72" s="274"/>
      <c r="D72" s="278">
        <f t="array" ref="D72">(NPV(D68,D49:AV49)+C49)/(NPV(D68,D60:AV60)+C60)</f>
        <v>0.19614484411163141</v>
      </c>
      <c r="E72" s="281"/>
      <c r="F72" s="281"/>
      <c r="G72" s="281"/>
      <c r="H72" s="281"/>
    </row>
    <row r="73" spans="2:48" ht="16.5" customHeight="1" x14ac:dyDescent="0.5">
      <c r="B73" s="277" t="s">
        <v>50</v>
      </c>
      <c r="C73" s="274"/>
      <c r="D73" s="278">
        <f>AVERAGE(G73:AT73)</f>
        <v>-0.26532724587591061</v>
      </c>
      <c r="E73" s="281"/>
      <c r="F73" s="281"/>
      <c r="G73" s="385"/>
      <c r="H73" s="385"/>
      <c r="I73" s="147">
        <f t="shared" ref="I73:AV73" si="24">I65/(I17+I22)</f>
        <v>-0.24520421276001356</v>
      </c>
      <c r="J73" s="147">
        <f t="shared" si="24"/>
        <v>-0.26240426140258927</v>
      </c>
      <c r="K73" s="147">
        <f t="shared" si="24"/>
        <v>-0.28058861748489727</v>
      </c>
      <c r="L73" s="147">
        <f t="shared" si="24"/>
        <v>-0.29981525159248845</v>
      </c>
      <c r="M73" s="147">
        <f t="shared" si="24"/>
        <v>-0.32014558871884052</v>
      </c>
      <c r="N73" s="147">
        <f t="shared" si="24"/>
        <v>-0.34164471523479023</v>
      </c>
      <c r="O73" s="147">
        <f t="shared" si="24"/>
        <v>-0.36438159829681971</v>
      </c>
      <c r="P73" s="147">
        <f t="shared" si="24"/>
        <v>-0.38842931844334222</v>
      </c>
      <c r="Q73" s="147">
        <f t="shared" si="24"/>
        <v>-0.41386531617333039</v>
      </c>
      <c r="R73" s="147">
        <f t="shared" si="24"/>
        <v>-0.44077165334954338</v>
      </c>
      <c r="S73" s="147">
        <f t="shared" si="24"/>
        <v>-0.46923529031943351</v>
      </c>
      <c r="T73" s="147">
        <f t="shared" si="24"/>
        <v>-0.49934837970068729</v>
      </c>
      <c r="U73" s="147">
        <f t="shared" si="24"/>
        <v>-0.53120857783551023</v>
      </c>
      <c r="V73" s="147">
        <f t="shared" si="24"/>
        <v>-0.81980824028376453</v>
      </c>
      <c r="W73" s="147">
        <f t="shared" si="24"/>
        <v>-0.86586630526339725</v>
      </c>
      <c r="X73" s="147">
        <f t="shared" si="24"/>
        <v>-0.12271528969226714</v>
      </c>
      <c r="Y73" s="147">
        <f t="shared" si="24"/>
        <v>-0.12516959548611248</v>
      </c>
      <c r="Z73" s="147">
        <f t="shared" si="24"/>
        <v>-0.12767298739583471</v>
      </c>
      <c r="AA73" s="147">
        <f t="shared" si="24"/>
        <v>-0.13022644714375137</v>
      </c>
      <c r="AB73" s="147">
        <f t="shared" si="24"/>
        <v>-0.13283097608662645</v>
      </c>
      <c r="AC73" s="147">
        <f t="shared" si="24"/>
        <v>-0.13548759560835896</v>
      </c>
      <c r="AD73" s="147">
        <f t="shared" si="24"/>
        <v>-0.13819734752052612</v>
      </c>
      <c r="AE73" s="147">
        <f t="shared" si="24"/>
        <v>-0.14096129447093669</v>
      </c>
      <c r="AF73" s="147">
        <f t="shared" si="24"/>
        <v>-0.14378052036035538</v>
      </c>
      <c r="AG73" s="147">
        <f t="shared" si="24"/>
        <v>-0.14665613076756251</v>
      </c>
      <c r="AH73" s="147">
        <f t="shared" si="24"/>
        <v>-0.14958925338291373</v>
      </c>
      <c r="AI73" s="147">
        <f t="shared" si="24"/>
        <v>-0.15258103845057203</v>
      </c>
      <c r="AJ73" s="147">
        <f t="shared" si="24"/>
        <v>-0.15563265921958347</v>
      </c>
      <c r="AK73" s="147">
        <f t="shared" si="24"/>
        <v>-0.15874531240397513</v>
      </c>
      <c r="AL73" s="147">
        <f t="shared" si="24"/>
        <v>-0.16192021865205461</v>
      </c>
      <c r="AM73" s="147">
        <f t="shared" si="24"/>
        <v>-0.16515862302509574</v>
      </c>
      <c r="AN73" s="147">
        <f t="shared" si="24"/>
        <v>-0.16846179548559762</v>
      </c>
      <c r="AO73" s="147">
        <f t="shared" si="24"/>
        <v>-0.17183103139530964</v>
      </c>
      <c r="AP73" s="147">
        <f t="shared" si="24"/>
        <v>-0.17526765202321573</v>
      </c>
      <c r="AQ73" s="147">
        <f t="shared" si="24"/>
        <v>-0.17877300506368013</v>
      </c>
      <c r="AR73" s="147">
        <f t="shared" si="24"/>
        <v>-0.1823484651649537</v>
      </c>
      <c r="AS73" s="147">
        <f t="shared" si="24"/>
        <v>-0.18599543446825278</v>
      </c>
      <c r="AT73" s="147">
        <f t="shared" si="24"/>
        <v>-0.18971534315761784</v>
      </c>
      <c r="AU73" s="147" t="e">
        <f t="shared" si="24"/>
        <v>#DIV/0!</v>
      </c>
      <c r="AV73" s="147" t="e">
        <f t="shared" si="24"/>
        <v>#DIV/0!</v>
      </c>
    </row>
    <row r="74" spans="2:48" ht="16.5" customHeight="1" x14ac:dyDescent="0.5">
      <c r="B74" s="277" t="s">
        <v>51</v>
      </c>
      <c r="C74" s="274"/>
      <c r="D74" s="278">
        <f>SUM(D82:AV82)</f>
        <v>45</v>
      </c>
      <c r="E74" s="281" t="s">
        <v>52</v>
      </c>
      <c r="F74" s="281"/>
      <c r="G74" s="281"/>
      <c r="H74" s="281"/>
    </row>
    <row r="75" spans="2:48" ht="16.5" customHeight="1" x14ac:dyDescent="0.5">
      <c r="B75" s="148"/>
    </row>
    <row r="76" spans="2:48" ht="16.5" customHeight="1" x14ac:dyDescent="0.5">
      <c r="B76" s="177" t="s">
        <v>287</v>
      </c>
    </row>
    <row r="77" spans="2:48" ht="16.5" customHeight="1" x14ac:dyDescent="0.5">
      <c r="B77" s="166" t="str">
        <f t="shared" ref="B77:AV77" si="25">B42</f>
        <v>Năm dự án</v>
      </c>
      <c r="C77" s="166">
        <f t="shared" si="25"/>
        <v>0</v>
      </c>
      <c r="D77" s="166">
        <f t="shared" si="25"/>
        <v>1</v>
      </c>
      <c r="E77" s="166">
        <f t="shared" si="25"/>
        <v>2</v>
      </c>
      <c r="F77" s="166">
        <f t="shared" si="25"/>
        <v>3</v>
      </c>
      <c r="G77" s="166">
        <f t="shared" si="25"/>
        <v>4</v>
      </c>
      <c r="H77" s="166">
        <f t="shared" si="25"/>
        <v>5</v>
      </c>
      <c r="I77" s="166">
        <f t="shared" si="25"/>
        <v>6</v>
      </c>
      <c r="J77" s="166">
        <f t="shared" si="25"/>
        <v>7</v>
      </c>
      <c r="K77" s="166">
        <f t="shared" si="25"/>
        <v>8</v>
      </c>
      <c r="L77" s="166">
        <f t="shared" si="25"/>
        <v>9</v>
      </c>
      <c r="M77" s="166">
        <f t="shared" si="25"/>
        <v>10</v>
      </c>
      <c r="N77" s="166">
        <f t="shared" si="25"/>
        <v>11</v>
      </c>
      <c r="O77" s="166">
        <f t="shared" si="25"/>
        <v>12</v>
      </c>
      <c r="P77" s="166">
        <f t="shared" si="25"/>
        <v>13</v>
      </c>
      <c r="Q77" s="166">
        <f t="shared" si="25"/>
        <v>14</v>
      </c>
      <c r="R77" s="166">
        <f t="shared" si="25"/>
        <v>15</v>
      </c>
      <c r="S77" s="166">
        <f t="shared" si="25"/>
        <v>16</v>
      </c>
      <c r="T77" s="166">
        <f t="shared" si="25"/>
        <v>17</v>
      </c>
      <c r="U77" s="166">
        <f t="shared" si="25"/>
        <v>18</v>
      </c>
      <c r="V77" s="166">
        <f t="shared" si="25"/>
        <v>19</v>
      </c>
      <c r="W77" s="166">
        <f t="shared" si="25"/>
        <v>20</v>
      </c>
      <c r="X77" s="166">
        <f t="shared" si="25"/>
        <v>21</v>
      </c>
      <c r="Y77" s="166">
        <f t="shared" si="25"/>
        <v>22</v>
      </c>
      <c r="Z77" s="166">
        <f t="shared" si="25"/>
        <v>23</v>
      </c>
      <c r="AA77" s="166">
        <f t="shared" si="25"/>
        <v>24</v>
      </c>
      <c r="AB77" s="166">
        <f t="shared" si="25"/>
        <v>25</v>
      </c>
      <c r="AC77" s="166">
        <f t="shared" si="25"/>
        <v>26</v>
      </c>
      <c r="AD77" s="166">
        <f t="shared" si="25"/>
        <v>27</v>
      </c>
      <c r="AE77" s="166">
        <f t="shared" si="25"/>
        <v>28</v>
      </c>
      <c r="AF77" s="166">
        <f t="shared" si="25"/>
        <v>29</v>
      </c>
      <c r="AG77" s="166">
        <f t="shared" si="25"/>
        <v>30</v>
      </c>
      <c r="AH77" s="166">
        <f t="shared" si="25"/>
        <v>31</v>
      </c>
      <c r="AI77" s="166">
        <f t="shared" si="25"/>
        <v>32</v>
      </c>
      <c r="AJ77" s="166">
        <f t="shared" si="25"/>
        <v>33</v>
      </c>
      <c r="AK77" s="166">
        <f t="shared" si="25"/>
        <v>34</v>
      </c>
      <c r="AL77" s="166">
        <f t="shared" si="25"/>
        <v>35</v>
      </c>
      <c r="AM77" s="166">
        <f t="shared" si="25"/>
        <v>36</v>
      </c>
      <c r="AN77" s="166">
        <f t="shared" si="25"/>
        <v>37</v>
      </c>
      <c r="AO77" s="166">
        <f t="shared" si="25"/>
        <v>38</v>
      </c>
      <c r="AP77" s="166">
        <f t="shared" si="25"/>
        <v>39</v>
      </c>
      <c r="AQ77" s="166">
        <f t="shared" si="25"/>
        <v>40</v>
      </c>
      <c r="AR77" s="166">
        <f t="shared" si="25"/>
        <v>41</v>
      </c>
      <c r="AS77" s="166">
        <f t="shared" si="25"/>
        <v>42</v>
      </c>
      <c r="AT77" s="166">
        <f t="shared" si="25"/>
        <v>43</v>
      </c>
      <c r="AU77" s="166">
        <f t="shared" si="25"/>
        <v>44</v>
      </c>
      <c r="AV77" s="166">
        <f t="shared" si="25"/>
        <v>45</v>
      </c>
    </row>
    <row r="78" spans="2:48" ht="16.5" customHeight="1" x14ac:dyDescent="0.5">
      <c r="B78" s="148" t="s">
        <v>281</v>
      </c>
      <c r="C78" s="141">
        <f>C65</f>
        <v>-99.090909090909093</v>
      </c>
      <c r="D78" s="141">
        <f t="shared" ref="D78:AV78" si="26">D65</f>
        <v>-100.330909090909</v>
      </c>
      <c r="E78" s="141">
        <f t="shared" si="26"/>
        <v>-102.33752727272719</v>
      </c>
      <c r="F78" s="141">
        <f t="shared" si="26"/>
        <v>-213.66458345454541</v>
      </c>
      <c r="G78" s="141">
        <f t="shared" si="26"/>
        <v>-219.06406838788885</v>
      </c>
      <c r="H78" s="141">
        <f t="shared" si="26"/>
        <v>-167.54463899364816</v>
      </c>
      <c r="I78" s="141">
        <f t="shared" si="26"/>
        <v>-16.191845278797455</v>
      </c>
      <c r="J78" s="141">
        <f t="shared" si="26"/>
        <v>-17.327635415816637</v>
      </c>
      <c r="K78" s="141">
        <f t="shared" si="26"/>
        <v>-18.52842343191595</v>
      </c>
      <c r="L78" s="141">
        <f t="shared" si="26"/>
        <v>-19.798037363903557</v>
      </c>
      <c r="M78" s="141">
        <f t="shared" si="26"/>
        <v>-21.140533357387426</v>
      </c>
      <c r="N78" s="141">
        <f t="shared" si="26"/>
        <v>-22.560209333820392</v>
      </c>
      <c r="O78" s="141">
        <f t="shared" si="26"/>
        <v>-24.061619478934048</v>
      </c>
      <c r="P78" s="141">
        <f t="shared" si="26"/>
        <v>-25.649589602030606</v>
      </c>
      <c r="Q78" s="141">
        <f t="shared" si="26"/>
        <v>-27.329233418586494</v>
      </c>
      <c r="R78" s="141">
        <f t="shared" si="26"/>
        <v>-29.105969811785375</v>
      </c>
      <c r="S78" s="141">
        <f t="shared" si="26"/>
        <v>-30.985541131954296</v>
      </c>
      <c r="T78" s="141">
        <f t="shared" si="26"/>
        <v>-32.974032596434441</v>
      </c>
      <c r="U78" s="141">
        <f t="shared" si="26"/>
        <v>-35.077892856191809</v>
      </c>
      <c r="V78" s="141">
        <f t="shared" si="26"/>
        <v>-37.303955799473769</v>
      </c>
      <c r="W78" s="141">
        <f t="shared" si="26"/>
        <v>-39.399748371179072</v>
      </c>
      <c r="X78" s="141">
        <f t="shared" si="26"/>
        <v>-5.5839469740087342</v>
      </c>
      <c r="Y78" s="141">
        <f t="shared" si="26"/>
        <v>-5.6956259134889082</v>
      </c>
      <c r="Z78" s="141">
        <f t="shared" si="26"/>
        <v>-5.8095384317586856</v>
      </c>
      <c r="AA78" s="141">
        <f t="shared" si="26"/>
        <v>-5.9257292003938584</v>
      </c>
      <c r="AB78" s="141">
        <f t="shared" si="26"/>
        <v>-6.0442437844017372</v>
      </c>
      <c r="AC78" s="141">
        <f t="shared" si="26"/>
        <v>-6.1651286600897715</v>
      </c>
      <c r="AD78" s="141">
        <f t="shared" si="26"/>
        <v>-6.2884312332915666</v>
      </c>
      <c r="AE78" s="141">
        <f t="shared" si="26"/>
        <v>-6.4141998579573993</v>
      </c>
      <c r="AF78" s="141">
        <f t="shared" si="26"/>
        <v>-6.5424838551165454</v>
      </c>
      <c r="AG78" s="141">
        <f t="shared" si="26"/>
        <v>-6.6733335322188774</v>
      </c>
      <c r="AH78" s="141">
        <f t="shared" si="26"/>
        <v>-6.8068002028632542</v>
      </c>
      <c r="AI78" s="141">
        <f t="shared" si="26"/>
        <v>-6.9429362069205203</v>
      </c>
      <c r="AJ78" s="141">
        <f t="shared" si="26"/>
        <v>-7.0817949310589299</v>
      </c>
      <c r="AK78" s="141">
        <f t="shared" si="26"/>
        <v>-7.2234308296801082</v>
      </c>
      <c r="AL78" s="141">
        <f t="shared" si="26"/>
        <v>-7.36789944627371</v>
      </c>
      <c r="AM78" s="141">
        <f t="shared" si="26"/>
        <v>-7.5152574351991852</v>
      </c>
      <c r="AN78" s="141">
        <f t="shared" si="26"/>
        <v>-7.665562583903168</v>
      </c>
      <c r="AO78" s="141">
        <f t="shared" si="26"/>
        <v>-7.8188738355812344</v>
      </c>
      <c r="AP78" s="141">
        <f t="shared" si="26"/>
        <v>-7.9752513122928548</v>
      </c>
      <c r="AQ78" s="141">
        <f t="shared" si="26"/>
        <v>-8.1347563385387147</v>
      </c>
      <c r="AR78" s="141">
        <f t="shared" si="26"/>
        <v>-8.2974514653094875</v>
      </c>
      <c r="AS78" s="141">
        <f t="shared" si="26"/>
        <v>-8.4634004946156782</v>
      </c>
      <c r="AT78" s="141">
        <f t="shared" si="26"/>
        <v>-8.6326685045079916</v>
      </c>
      <c r="AU78" s="141">
        <f t="shared" si="26"/>
        <v>-8.8053218745981496</v>
      </c>
      <c r="AV78" s="141">
        <f t="shared" si="26"/>
        <v>283.56107632407105</v>
      </c>
    </row>
    <row r="79" spans="2:48" ht="16.5" customHeight="1" x14ac:dyDescent="0.5">
      <c r="B79" s="148" t="s">
        <v>53</v>
      </c>
      <c r="C79" s="149">
        <f>1/(1+$D$68)^C77</f>
        <v>1</v>
      </c>
      <c r="D79" s="149">
        <f t="shared" ref="D79:AV79" si="27">1/(1+$D$68)^D77</f>
        <v>0.93278552057375963</v>
      </c>
      <c r="E79" s="149">
        <f t="shared" si="27"/>
        <v>0.87008882739205973</v>
      </c>
      <c r="F79" s="149">
        <f t="shared" si="27"/>
        <v>0.81160625980431456</v>
      </c>
      <c r="G79" s="149">
        <f t="shared" si="27"/>
        <v>0.75705456755248957</v>
      </c>
      <c r="H79" s="149">
        <f t="shared" si="27"/>
        <v>0.70616953889719136</v>
      </c>
      <c r="I79" s="149">
        <f t="shared" si="27"/>
        <v>0.65870472095354859</v>
      </c>
      <c r="J79" s="149">
        <f t="shared" si="27"/>
        <v>0.61443022603904884</v>
      </c>
      <c r="K79" s="149">
        <f t="shared" si="27"/>
        <v>0.57313161825208703</v>
      </c>
      <c r="L79" s="149">
        <f t="shared" si="27"/>
        <v>0.53460887488855424</v>
      </c>
      <c r="M79" s="149">
        <f t="shared" si="27"/>
        <v>0.4986754176662721</v>
      </c>
      <c r="N79" s="149">
        <f t="shared" si="27"/>
        <v>0.46515720906517061</v>
      </c>
      <c r="O79" s="149">
        <f t="shared" si="27"/>
        <v>0.43389190940649225</v>
      </c>
      <c r="P79" s="149">
        <f t="shared" si="27"/>
        <v>0.40472809058847742</v>
      </c>
      <c r="Q79" s="149">
        <f t="shared" si="27"/>
        <v>0.37752450267039672</v>
      </c>
      <c r="R79" s="149">
        <f t="shared" si="27"/>
        <v>0.35214938975275573</v>
      </c>
      <c r="S79" s="149">
        <f t="shared" si="27"/>
        <v>0.32847985184025602</v>
      </c>
      <c r="T79" s="149">
        <f t="shared" si="27"/>
        <v>0.30640124959680465</v>
      </c>
      <c r="U79" s="149">
        <f t="shared" si="27"/>
        <v>0.2858066491096059</v>
      </c>
      <c r="V79" s="149">
        <f t="shared" si="27"/>
        <v>0.2665963039731456</v>
      </c>
      <c r="W79" s="149">
        <f t="shared" si="27"/>
        <v>0.2486771721846309</v>
      </c>
      <c r="X79" s="149">
        <f t="shared" si="27"/>
        <v>0.23196246551105137</v>
      </c>
      <c r="Y79" s="149">
        <f t="shared" si="27"/>
        <v>0.21637122914529885</v>
      </c>
      <c r="Z79" s="149">
        <f t="shared" si="27"/>
        <v>0.20182794961548181</v>
      </c>
      <c r="AA79" s="149">
        <f t="shared" si="27"/>
        <v>0.18826218904841174</v>
      </c>
      <c r="AB79" s="149">
        <f t="shared" si="27"/>
        <v>0.17560824401587827</v>
      </c>
      <c r="AC79" s="149">
        <f t="shared" si="27"/>
        <v>0.16380482731139487</v>
      </c>
      <c r="AD79" s="149">
        <f t="shared" si="27"/>
        <v>0.15279477111615422</v>
      </c>
      <c r="AE79" s="149">
        <f t="shared" si="27"/>
        <v>0.14252475011653037</v>
      </c>
      <c r="AF79" s="149">
        <f t="shared" si="27"/>
        <v>0.13294502323209281</v>
      </c>
      <c r="AG79" s="149">
        <f t="shared" si="27"/>
        <v>0.12400919270323826</v>
      </c>
      <c r="AH79" s="149">
        <f t="shared" si="27"/>
        <v>0.11567397937162179</v>
      </c>
      <c r="AI79" s="149">
        <f t="shared" si="27"/>
        <v>0.10789901306499657</v>
      </c>
      <c r="AJ79" s="149">
        <f t="shared" si="27"/>
        <v>0.10064663707122772</v>
      </c>
      <c r="AK79" s="149">
        <f t="shared" si="27"/>
        <v>9.3881725754483406E-2</v>
      </c>
      <c r="AL79" s="149">
        <f t="shared" si="27"/>
        <v>8.7571514430258734E-2</v>
      </c>
      <c r="AM79" s="149">
        <f t="shared" si="27"/>
        <v>8.1685440675261414E-2</v>
      </c>
      <c r="AN79" s="149">
        <f t="shared" si="27"/>
        <v>7.6194996303570656E-2</v>
      </c>
      <c r="AO79" s="149">
        <f t="shared" si="27"/>
        <v>7.1073589292141859E-2</v>
      </c>
      <c r="AP79" s="149">
        <f t="shared" si="27"/>
        <v>6.629641498691613E-2</v>
      </c>
      <c r="AQ79" s="149">
        <f t="shared" si="27"/>
        <v>6.1840335965744571E-2</v>
      </c>
      <c r="AR79" s="149">
        <f t="shared" si="27"/>
        <v>5.7683769976263233E-2</v>
      </c>
      <c r="AS79" s="149">
        <f t="shared" si="27"/>
        <v>5.3806585405965716E-2</v>
      </c>
      <c r="AT79" s="149">
        <f t="shared" si="27"/>
        <v>5.0190003778200182E-2</v>
      </c>
      <c r="AU79" s="149">
        <f t="shared" si="27"/>
        <v>4.6816508801847415E-2</v>
      </c>
      <c r="AV79" s="149">
        <f t="shared" si="27"/>
        <v>4.3669761534177239E-2</v>
      </c>
    </row>
    <row r="80" spans="2:48" ht="16.5" customHeight="1" x14ac:dyDescent="0.5">
      <c r="B80" s="148" t="s">
        <v>282</v>
      </c>
      <c r="C80" s="141">
        <f t="shared" ref="C80:AV80" si="28">C78*C79</f>
        <v>-99.090909090909093</v>
      </c>
      <c r="D80" s="141">
        <f t="shared" si="28"/>
        <v>-93.587219266002108</v>
      </c>
      <c r="E80" s="141">
        <f t="shared" si="28"/>
        <v>-89.042739102930128</v>
      </c>
      <c r="F80" s="141">
        <f t="shared" si="28"/>
        <v>-173.41151343019044</v>
      </c>
      <c r="G80" s="141">
        <f t="shared" si="28"/>
        <v>-165.84345355968219</v>
      </c>
      <c r="H80" s="141">
        <f t="shared" si="28"/>
        <v>-118.31492046284092</v>
      </c>
      <c r="I80" s="141">
        <f t="shared" si="28"/>
        <v>-10.665644926093311</v>
      </c>
      <c r="J80" s="141">
        <f t="shared" si="28"/>
        <v>-10.646622945262445</v>
      </c>
      <c r="K80" s="141">
        <f t="shared" si="28"/>
        <v>-10.619225305193877</v>
      </c>
      <c r="L80" s="141">
        <f t="shared" si="28"/>
        <v>-10.58420648011804</v>
      </c>
      <c r="M80" s="141">
        <f t="shared" si="28"/>
        <v>-10.542264301682932</v>
      </c>
      <c r="N80" s="141">
        <f t="shared" si="28"/>
        <v>-10.494044009645906</v>
      </c>
      <c r="O80" s="141">
        <f t="shared" si="28"/>
        <v>-10.440142019127141</v>
      </c>
      <c r="P80" s="141">
        <f t="shared" si="28"/>
        <v>-10.381109424007912</v>
      </c>
      <c r="Q80" s="141">
        <f t="shared" si="28"/>
        <v>-10.317455254715052</v>
      </c>
      <c r="R80" s="141">
        <f t="shared" si="28"/>
        <v>-10.249649507382351</v>
      </c>
      <c r="S80" s="141">
        <f t="shared" si="28"/>
        <v>-10.178125960214507</v>
      </c>
      <c r="T80" s="141">
        <f t="shared" si="28"/>
        <v>-10.103284791793282</v>
      </c>
      <c r="U80" s="141">
        <f t="shared" si="28"/>
        <v>-10.025495015053965</v>
      </c>
      <c r="V80" s="141">
        <f t="shared" si="28"/>
        <v>-9.9450967397172967</v>
      </c>
      <c r="W80" s="141">
        <f t="shared" si="28"/>
        <v>-9.7978180097308289</v>
      </c>
      <c r="X80" s="141">
        <f t="shared" si="28"/>
        <v>-1.2952661073740408</v>
      </c>
      <c r="Y80" s="141">
        <f t="shared" si="28"/>
        <v>-1.2323695796534107</v>
      </c>
      <c r="Z80" s="141">
        <f t="shared" si="28"/>
        <v>-1.1725272298941971</v>
      </c>
      <c r="AA80" s="141">
        <f t="shared" si="28"/>
        <v>-1.1155907509742424</v>
      </c>
      <c r="AB80" s="141">
        <f t="shared" si="28"/>
        <v>-1.0614190373826757</v>
      </c>
      <c r="AC80" s="141">
        <f t="shared" si="28"/>
        <v>-1.0098778355185363</v>
      </c>
      <c r="AD80" s="141">
        <f t="shared" si="28"/>
        <v>-0.96083941097046033</v>
      </c>
      <c r="AE80" s="141">
        <f t="shared" si="28"/>
        <v>-0.91418223195286297</v>
      </c>
      <c r="AF80" s="141">
        <f t="shared" si="28"/>
        <v>-0.86979066811406125</v>
      </c>
      <c r="AG80" s="141">
        <f t="shared" si="28"/>
        <v>-0.82755470396991249</v>
      </c>
      <c r="AH80" s="141">
        <f t="shared" si="28"/>
        <v>-0.78736966625275506</v>
      </c>
      <c r="AI80" s="141">
        <f t="shared" si="28"/>
        <v>-0.7491359644999549</v>
      </c>
      <c r="AJ80" s="141">
        <f t="shared" si="28"/>
        <v>-0.71275884423914826</v>
      </c>
      <c r="AK80" s="141">
        <f t="shared" si="28"/>
        <v>-0.67814815215850843</v>
      </c>
      <c r="AL80" s="141">
        <f t="shared" si="28"/>
        <v>-0.64521811268005358</v>
      </c>
      <c r="AM80" s="141">
        <f t="shared" si="28"/>
        <v>-0.61388711538228025</v>
      </c>
      <c r="AN80" s="141">
        <f t="shared" si="28"/>
        <v>-0.58407751274529141</v>
      </c>
      <c r="AO80" s="141">
        <f t="shared" si="28"/>
        <v>-0.55571542771717453</v>
      </c>
      <c r="AP80" s="141">
        <f t="shared" si="28"/>
        <v>-0.52873057062471451</v>
      </c>
      <c r="AQ80" s="141">
        <f t="shared" si="28"/>
        <v>-0.50305606497470434</v>
      </c>
      <c r="AR80" s="141">
        <f t="shared" si="28"/>
        <v>-0.47862828171412081</v>
      </c>
      <c r="AS80" s="141">
        <f t="shared" si="28"/>
        <v>-0.45538668153843098</v>
      </c>
      <c r="AT80" s="141">
        <f t="shared" si="28"/>
        <v>-0.43327366485720581</v>
      </c>
      <c r="AU80" s="141">
        <f t="shared" si="28"/>
        <v>-0.41223442904522384</v>
      </c>
      <c r="AV80" s="141">
        <f t="shared" si="28"/>
        <v>12.383044583446814</v>
      </c>
    </row>
    <row r="81" spans="2:48" ht="16.5" customHeight="1" x14ac:dyDescent="0.5">
      <c r="B81" s="148" t="s">
        <v>283</v>
      </c>
      <c r="C81" s="141">
        <f>C80</f>
        <v>-99.090909090909093</v>
      </c>
      <c r="D81" s="141">
        <f t="shared" ref="D81:AV81" si="29">C81+D80</f>
        <v>-192.6781283569112</v>
      </c>
      <c r="E81" s="141">
        <f t="shared" si="29"/>
        <v>-281.72086745984132</v>
      </c>
      <c r="F81" s="141">
        <f t="shared" si="29"/>
        <v>-455.13238089003175</v>
      </c>
      <c r="G81" s="141">
        <f t="shared" si="29"/>
        <v>-620.97583444971394</v>
      </c>
      <c r="H81" s="141">
        <f t="shared" si="29"/>
        <v>-739.2907549125548</v>
      </c>
      <c r="I81" s="141">
        <f t="shared" si="29"/>
        <v>-749.95639983864817</v>
      </c>
      <c r="J81" s="141">
        <f t="shared" si="29"/>
        <v>-760.60302278391066</v>
      </c>
      <c r="K81" s="141">
        <f t="shared" si="29"/>
        <v>-771.22224808910448</v>
      </c>
      <c r="L81" s="141">
        <f t="shared" si="29"/>
        <v>-781.80645456922252</v>
      </c>
      <c r="M81" s="141">
        <f t="shared" si="29"/>
        <v>-792.34871887090549</v>
      </c>
      <c r="N81" s="141">
        <f t="shared" si="29"/>
        <v>-802.84276288055139</v>
      </c>
      <c r="O81" s="141">
        <f t="shared" si="29"/>
        <v>-813.28290489967856</v>
      </c>
      <c r="P81" s="141">
        <f t="shared" si="29"/>
        <v>-823.6640143236865</v>
      </c>
      <c r="Q81" s="141">
        <f t="shared" si="29"/>
        <v>-833.98146957840152</v>
      </c>
      <c r="R81" s="141">
        <f t="shared" si="29"/>
        <v>-844.23111908578392</v>
      </c>
      <c r="S81" s="141">
        <f t="shared" si="29"/>
        <v>-854.40924504599843</v>
      </c>
      <c r="T81" s="141">
        <f t="shared" si="29"/>
        <v>-864.5125298377917</v>
      </c>
      <c r="U81" s="141">
        <f t="shared" si="29"/>
        <v>-874.53802485284564</v>
      </c>
      <c r="V81" s="141">
        <f t="shared" si="29"/>
        <v>-884.48312159256295</v>
      </c>
      <c r="W81" s="141">
        <f t="shared" si="29"/>
        <v>-894.28093960229376</v>
      </c>
      <c r="X81" s="141">
        <f t="shared" si="29"/>
        <v>-895.57620570966776</v>
      </c>
      <c r="Y81" s="141">
        <f t="shared" si="29"/>
        <v>-896.8085752893212</v>
      </c>
      <c r="Z81" s="141">
        <f t="shared" si="29"/>
        <v>-897.98110251921537</v>
      </c>
      <c r="AA81" s="141">
        <f t="shared" si="29"/>
        <v>-899.09669327018958</v>
      </c>
      <c r="AB81" s="141">
        <f t="shared" si="29"/>
        <v>-900.1581123075722</v>
      </c>
      <c r="AC81" s="141">
        <f t="shared" si="29"/>
        <v>-901.16799014309072</v>
      </c>
      <c r="AD81" s="141">
        <f t="shared" si="29"/>
        <v>-902.12882955406121</v>
      </c>
      <c r="AE81" s="141">
        <f t="shared" si="29"/>
        <v>-903.04301178601406</v>
      </c>
      <c r="AF81" s="141">
        <f t="shared" si="29"/>
        <v>-903.91280245412815</v>
      </c>
      <c r="AG81" s="141">
        <f t="shared" si="29"/>
        <v>-904.74035715809805</v>
      </c>
      <c r="AH81" s="141">
        <f t="shared" si="29"/>
        <v>-905.52772682435079</v>
      </c>
      <c r="AI81" s="141">
        <f t="shared" si="29"/>
        <v>-906.27686278885074</v>
      </c>
      <c r="AJ81" s="141">
        <f t="shared" si="29"/>
        <v>-906.98962163308988</v>
      </c>
      <c r="AK81" s="141">
        <f t="shared" si="29"/>
        <v>-907.66776978524842</v>
      </c>
      <c r="AL81" s="141">
        <f t="shared" si="29"/>
        <v>-908.31298789792845</v>
      </c>
      <c r="AM81" s="141">
        <f t="shared" si="29"/>
        <v>-908.92687501331068</v>
      </c>
      <c r="AN81" s="141">
        <f t="shared" si="29"/>
        <v>-909.51095252605592</v>
      </c>
      <c r="AO81" s="141">
        <f t="shared" si="29"/>
        <v>-910.06666795377305</v>
      </c>
      <c r="AP81" s="141">
        <f t="shared" si="29"/>
        <v>-910.59539852439775</v>
      </c>
      <c r="AQ81" s="141">
        <f t="shared" si="29"/>
        <v>-911.09845458937241</v>
      </c>
      <c r="AR81" s="141">
        <f t="shared" si="29"/>
        <v>-911.57708287108653</v>
      </c>
      <c r="AS81" s="141">
        <f t="shared" si="29"/>
        <v>-912.032469552625</v>
      </c>
      <c r="AT81" s="141">
        <f t="shared" si="29"/>
        <v>-912.46574321748221</v>
      </c>
      <c r="AU81" s="141">
        <f t="shared" si="29"/>
        <v>-912.87797764652748</v>
      </c>
      <c r="AV81" s="141">
        <f t="shared" si="29"/>
        <v>-900.49493306308068</v>
      </c>
    </row>
    <row r="82" spans="2:48" ht="16.5" customHeight="1" x14ac:dyDescent="0.5">
      <c r="B82" s="178" t="s">
        <v>245</v>
      </c>
      <c r="C82" s="171"/>
      <c r="D82" s="171">
        <f>IF(D81&lt;0,1,IF(C81&lt;0,-C81/D80,0))</f>
        <v>1</v>
      </c>
      <c r="E82" s="171">
        <f t="shared" ref="E82:AV82" si="30">IF(E81&lt;0,1,IF(D81&lt;0,-D81/E80,0))</f>
        <v>1</v>
      </c>
      <c r="F82" s="171">
        <f t="shared" si="30"/>
        <v>1</v>
      </c>
      <c r="G82" s="171">
        <f t="shared" si="30"/>
        <v>1</v>
      </c>
      <c r="H82" s="171">
        <f t="shared" si="30"/>
        <v>1</v>
      </c>
      <c r="I82" s="171">
        <f t="shared" si="30"/>
        <v>1</v>
      </c>
      <c r="J82" s="171">
        <f t="shared" si="30"/>
        <v>1</v>
      </c>
      <c r="K82" s="171">
        <f t="shared" si="30"/>
        <v>1</v>
      </c>
      <c r="L82" s="171">
        <f t="shared" si="30"/>
        <v>1</v>
      </c>
      <c r="M82" s="171">
        <f t="shared" si="30"/>
        <v>1</v>
      </c>
      <c r="N82" s="171">
        <f t="shared" si="30"/>
        <v>1</v>
      </c>
      <c r="O82" s="171">
        <f t="shared" si="30"/>
        <v>1</v>
      </c>
      <c r="P82" s="171">
        <f t="shared" si="30"/>
        <v>1</v>
      </c>
      <c r="Q82" s="171">
        <f t="shared" si="30"/>
        <v>1</v>
      </c>
      <c r="R82" s="171">
        <f t="shared" si="30"/>
        <v>1</v>
      </c>
      <c r="S82" s="171">
        <f t="shared" si="30"/>
        <v>1</v>
      </c>
      <c r="T82" s="171">
        <f t="shared" si="30"/>
        <v>1</v>
      </c>
      <c r="U82" s="171">
        <f t="shared" si="30"/>
        <v>1</v>
      </c>
      <c r="V82" s="184">
        <f t="shared" si="30"/>
        <v>1</v>
      </c>
      <c r="W82" s="184">
        <f t="shared" si="30"/>
        <v>1</v>
      </c>
      <c r="X82" s="171">
        <f t="shared" si="30"/>
        <v>1</v>
      </c>
      <c r="Y82" s="171">
        <f t="shared" si="30"/>
        <v>1</v>
      </c>
      <c r="Z82" s="171">
        <f t="shared" si="30"/>
        <v>1</v>
      </c>
      <c r="AA82" s="184">
        <f t="shared" si="30"/>
        <v>1</v>
      </c>
      <c r="AB82" s="184">
        <f t="shared" si="30"/>
        <v>1</v>
      </c>
      <c r="AC82" s="184">
        <f t="shared" si="30"/>
        <v>1</v>
      </c>
      <c r="AD82" s="184">
        <f t="shared" si="30"/>
        <v>1</v>
      </c>
      <c r="AE82" s="184">
        <f t="shared" si="30"/>
        <v>1</v>
      </c>
      <c r="AF82" s="184">
        <f t="shared" si="30"/>
        <v>1</v>
      </c>
      <c r="AG82" s="184">
        <f t="shared" si="30"/>
        <v>1</v>
      </c>
      <c r="AH82" s="184">
        <f t="shared" si="30"/>
        <v>1</v>
      </c>
      <c r="AI82" s="184">
        <f t="shared" si="30"/>
        <v>1</v>
      </c>
      <c r="AJ82" s="184">
        <f t="shared" si="30"/>
        <v>1</v>
      </c>
      <c r="AK82" s="184">
        <f t="shared" si="30"/>
        <v>1</v>
      </c>
      <c r="AL82" s="184">
        <f t="shared" si="30"/>
        <v>1</v>
      </c>
      <c r="AM82" s="184">
        <f t="shared" si="30"/>
        <v>1</v>
      </c>
      <c r="AN82" s="184">
        <f t="shared" si="30"/>
        <v>1</v>
      </c>
      <c r="AO82" s="184">
        <f t="shared" si="30"/>
        <v>1</v>
      </c>
      <c r="AP82" s="184">
        <f t="shared" si="30"/>
        <v>1</v>
      </c>
      <c r="AQ82" s="184">
        <f t="shared" si="30"/>
        <v>1</v>
      </c>
      <c r="AR82" s="184">
        <f t="shared" si="30"/>
        <v>1</v>
      </c>
      <c r="AS82" s="184">
        <f t="shared" si="30"/>
        <v>1</v>
      </c>
      <c r="AT82" s="184">
        <f t="shared" si="30"/>
        <v>1</v>
      </c>
      <c r="AU82" s="184">
        <f t="shared" si="30"/>
        <v>1</v>
      </c>
      <c r="AV82" s="184">
        <f t="shared" si="30"/>
        <v>1</v>
      </c>
    </row>
    <row r="83" spans="2:48" ht="16.5" customHeight="1" x14ac:dyDescent="0.5">
      <c r="B83" s="148"/>
      <c r="V83" s="147"/>
      <c r="W83" s="147"/>
      <c r="AA83" s="138"/>
    </row>
    <row r="84" spans="2:48" ht="16.5" customHeight="1" x14ac:dyDescent="0.5">
      <c r="B84" s="164" t="s">
        <v>213</v>
      </c>
      <c r="V84" s="147"/>
      <c r="W84" s="147"/>
      <c r="AA84" s="138"/>
    </row>
    <row r="85" spans="2:48" ht="16.5" customHeight="1" x14ac:dyDescent="0.5">
      <c r="B85" s="377" t="str">
        <f t="shared" ref="B85:AV85" si="31">B6</f>
        <v>Năm dự án</v>
      </c>
      <c r="C85" s="181">
        <f t="shared" si="31"/>
        <v>0</v>
      </c>
      <c r="D85" s="181">
        <f t="shared" si="31"/>
        <v>1</v>
      </c>
      <c r="E85" s="181">
        <f t="shared" si="31"/>
        <v>2</v>
      </c>
      <c r="F85" s="181">
        <f t="shared" si="31"/>
        <v>3</v>
      </c>
      <c r="G85" s="181">
        <f t="shared" si="31"/>
        <v>4</v>
      </c>
      <c r="H85" s="181">
        <f>H6</f>
        <v>5</v>
      </c>
      <c r="I85" s="181">
        <f t="shared" si="31"/>
        <v>6</v>
      </c>
      <c r="J85" s="181">
        <f t="shared" si="31"/>
        <v>7</v>
      </c>
      <c r="K85" s="181">
        <f t="shared" si="31"/>
        <v>8</v>
      </c>
      <c r="L85" s="181">
        <f t="shared" si="31"/>
        <v>9</v>
      </c>
      <c r="M85" s="181">
        <f t="shared" si="31"/>
        <v>10</v>
      </c>
      <c r="N85" s="181">
        <f t="shared" si="31"/>
        <v>11</v>
      </c>
      <c r="O85" s="181">
        <f t="shared" si="31"/>
        <v>12</v>
      </c>
      <c r="P85" s="181">
        <f t="shared" si="31"/>
        <v>13</v>
      </c>
      <c r="Q85" s="181">
        <f t="shared" si="31"/>
        <v>14</v>
      </c>
      <c r="R85" s="181">
        <f t="shared" si="31"/>
        <v>15</v>
      </c>
      <c r="S85" s="181">
        <f t="shared" si="31"/>
        <v>16</v>
      </c>
      <c r="T85" s="181">
        <f t="shared" si="31"/>
        <v>17</v>
      </c>
      <c r="U85" s="181">
        <f t="shared" si="31"/>
        <v>18</v>
      </c>
      <c r="V85" s="181">
        <f t="shared" si="31"/>
        <v>19</v>
      </c>
      <c r="W85" s="181">
        <f t="shared" si="31"/>
        <v>20</v>
      </c>
      <c r="X85" s="181">
        <f t="shared" si="31"/>
        <v>21</v>
      </c>
      <c r="Y85" s="181">
        <f t="shared" si="31"/>
        <v>22</v>
      </c>
      <c r="Z85" s="181">
        <f t="shared" si="31"/>
        <v>23</v>
      </c>
      <c r="AA85" s="181">
        <f t="shared" si="31"/>
        <v>24</v>
      </c>
      <c r="AB85" s="181">
        <f t="shared" si="31"/>
        <v>25</v>
      </c>
      <c r="AC85" s="181">
        <f t="shared" si="31"/>
        <v>26</v>
      </c>
      <c r="AD85" s="181">
        <f t="shared" si="31"/>
        <v>27</v>
      </c>
      <c r="AE85" s="181">
        <f t="shared" si="31"/>
        <v>28</v>
      </c>
      <c r="AF85" s="181">
        <f t="shared" si="31"/>
        <v>29</v>
      </c>
      <c r="AG85" s="181">
        <f t="shared" si="31"/>
        <v>30</v>
      </c>
      <c r="AH85" s="181">
        <f t="shared" si="31"/>
        <v>31</v>
      </c>
      <c r="AI85" s="181">
        <f t="shared" si="31"/>
        <v>32</v>
      </c>
      <c r="AJ85" s="181">
        <f t="shared" si="31"/>
        <v>33</v>
      </c>
      <c r="AK85" s="181">
        <f t="shared" si="31"/>
        <v>34</v>
      </c>
      <c r="AL85" s="181">
        <f t="shared" si="31"/>
        <v>35</v>
      </c>
      <c r="AM85" s="181">
        <f t="shared" si="31"/>
        <v>36</v>
      </c>
      <c r="AN85" s="181">
        <f t="shared" si="31"/>
        <v>37</v>
      </c>
      <c r="AO85" s="181">
        <f t="shared" si="31"/>
        <v>38</v>
      </c>
      <c r="AP85" s="181">
        <f t="shared" si="31"/>
        <v>39</v>
      </c>
      <c r="AQ85" s="181">
        <f t="shared" si="31"/>
        <v>40</v>
      </c>
      <c r="AR85" s="181">
        <f t="shared" si="31"/>
        <v>41</v>
      </c>
      <c r="AS85" s="181">
        <f t="shared" si="31"/>
        <v>42</v>
      </c>
      <c r="AT85" s="181">
        <f t="shared" si="31"/>
        <v>43</v>
      </c>
      <c r="AU85" s="181">
        <f t="shared" si="31"/>
        <v>44</v>
      </c>
      <c r="AV85" s="181">
        <f t="shared" si="31"/>
        <v>45</v>
      </c>
    </row>
    <row r="86" spans="2:48" ht="16.5" customHeight="1" x14ac:dyDescent="0.5">
      <c r="B86" s="148" t="str">
        <f>B63</f>
        <v>NCF_TIPV (Triệu J$)</v>
      </c>
      <c r="C86" s="141">
        <f>C63</f>
        <v>-7927.272727272727</v>
      </c>
      <c r="D86" s="141">
        <f t="shared" ref="D86:AV86" si="32">D63</f>
        <v>-8498.618181818174</v>
      </c>
      <c r="E86" s="141">
        <f t="shared" si="32"/>
        <v>-9178.507636363629</v>
      </c>
      <c r="F86" s="141">
        <f t="shared" si="32"/>
        <v>-20290.524741818183</v>
      </c>
      <c r="G86" s="141">
        <f t="shared" si="32"/>
        <v>-22027.006039762</v>
      </c>
      <c r="H86" s="141">
        <f t="shared" si="32"/>
        <v>-17837.683001257159</v>
      </c>
      <c r="I86" s="141">
        <f t="shared" si="32"/>
        <v>-1825.2730209767244</v>
      </c>
      <c r="J86" s="141">
        <f t="shared" si="32"/>
        <v>-2068.2087664217015</v>
      </c>
      <c r="K86" s="141">
        <f t="shared" si="32"/>
        <v>-2341.6238019408906</v>
      </c>
      <c r="L86" s="141">
        <f t="shared" si="32"/>
        <v>-2649.2587661993648</v>
      </c>
      <c r="M86" s="141">
        <f t="shared" si="32"/>
        <v>-2995.3099159314761</v>
      </c>
      <c r="N86" s="141">
        <f t="shared" si="32"/>
        <v>-3384.4845279048423</v>
      </c>
      <c r="O86" s="141">
        <f t="shared" si="32"/>
        <v>-3822.0630415367086</v>
      </c>
      <c r="P86" s="141">
        <f t="shared" si="32"/>
        <v>-4313.9687633539024</v>
      </c>
      <c r="Q86" s="141">
        <f t="shared" si="32"/>
        <v>-4866.8460546702545</v>
      </c>
      <c r="R86" s="141">
        <f t="shared" si="32"/>
        <v>-5488.1480362752682</v>
      </c>
      <c r="S86" s="141">
        <f t="shared" si="32"/>
        <v>-6186.2349700816076</v>
      </c>
      <c r="T86" s="141">
        <f t="shared" si="32"/>
        <v>-6970.4846192459891</v>
      </c>
      <c r="U86" s="141">
        <f t="shared" si="32"/>
        <v>-7851.4160471436062</v>
      </c>
      <c r="V86" s="141">
        <f t="shared" si="32"/>
        <v>-8840.8284938560228</v>
      </c>
      <c r="W86" s="141">
        <f t="shared" si="32"/>
        <v>-9886.7854479116304</v>
      </c>
      <c r="X86" s="141">
        <f t="shared" si="32"/>
        <v>-1483.633157426651</v>
      </c>
      <c r="Y86" s="141">
        <f t="shared" si="32"/>
        <v>-1602.3238100207832</v>
      </c>
      <c r="Z86" s="141">
        <f t="shared" si="32"/>
        <v>-1730.5097148224459</v>
      </c>
      <c r="AA86" s="141">
        <f t="shared" si="32"/>
        <v>-1868.9504920082416</v>
      </c>
      <c r="AB86" s="141">
        <f t="shared" si="32"/>
        <v>-2018.4665313689013</v>
      </c>
      <c r="AC86" s="141">
        <f t="shared" si="32"/>
        <v>-2179.9438538784129</v>
      </c>
      <c r="AD86" s="141">
        <f t="shared" si="32"/>
        <v>-2354.3393621886862</v>
      </c>
      <c r="AE86" s="141">
        <f t="shared" si="32"/>
        <v>-2542.6865111637812</v>
      </c>
      <c r="AF86" s="141">
        <f t="shared" si="32"/>
        <v>-2746.1014320568838</v>
      </c>
      <c r="AG86" s="141">
        <f t="shared" si="32"/>
        <v>-2965.789546621435</v>
      </c>
      <c r="AH86" s="141">
        <f t="shared" si="32"/>
        <v>-3203.0527103511504</v>
      </c>
      <c r="AI86" s="141">
        <f t="shared" si="32"/>
        <v>-3459.2969271792422</v>
      </c>
      <c r="AJ86" s="141">
        <f t="shared" si="32"/>
        <v>-3736.0406813535815</v>
      </c>
      <c r="AK86" s="141">
        <f t="shared" si="32"/>
        <v>-4034.9239358618684</v>
      </c>
      <c r="AL86" s="141">
        <f t="shared" si="32"/>
        <v>-4357.7178507308181</v>
      </c>
      <c r="AM86" s="141">
        <f t="shared" si="32"/>
        <v>-4706.3352787892845</v>
      </c>
      <c r="AN86" s="141">
        <f t="shared" si="32"/>
        <v>-5082.8421010924267</v>
      </c>
      <c r="AO86" s="141">
        <f t="shared" si="32"/>
        <v>-5489.4694691798222</v>
      </c>
      <c r="AP86" s="141">
        <f t="shared" si="32"/>
        <v>-5928.6270267142072</v>
      </c>
      <c r="AQ86" s="141">
        <f t="shared" si="32"/>
        <v>-6402.9171888513447</v>
      </c>
      <c r="AR86" s="141">
        <f t="shared" si="32"/>
        <v>-6915.1505639594525</v>
      </c>
      <c r="AS86" s="141">
        <f t="shared" si="32"/>
        <v>-7468.3626090762082</v>
      </c>
      <c r="AT86" s="141">
        <f t="shared" si="32"/>
        <v>-8065.8316178023051</v>
      </c>
      <c r="AU86" s="141">
        <f t="shared" si="32"/>
        <v>-8711.0981472264903</v>
      </c>
      <c r="AV86" s="141">
        <f t="shared" si="32"/>
        <v>297028.32814781048</v>
      </c>
    </row>
    <row r="87" spans="2:48" ht="16.5" customHeight="1" x14ac:dyDescent="0.5">
      <c r="B87" s="178" t="s">
        <v>264</v>
      </c>
      <c r="C87" s="170"/>
      <c r="D87" s="170"/>
      <c r="E87" s="170"/>
      <c r="F87" s="170">
        <f>F31*F9</f>
        <v>80621.568000000014</v>
      </c>
      <c r="G87" s="170">
        <f t="shared" ref="G87:AV87" si="33">G31*G9</f>
        <v>-6639.7654751349564</v>
      </c>
      <c r="H87" s="170">
        <f t="shared" si="33"/>
        <v>-7030.339914848777</v>
      </c>
      <c r="I87" s="170">
        <f t="shared" si="33"/>
        <v>-7443.8893216045872</v>
      </c>
      <c r="J87" s="170">
        <f t="shared" si="33"/>
        <v>-7881.765164051918</v>
      </c>
      <c r="K87" s="170">
        <f t="shared" si="33"/>
        <v>-8345.3984089961486</v>
      </c>
      <c r="L87" s="170">
        <f t="shared" si="33"/>
        <v>-8836.3041977606281</v>
      </c>
      <c r="M87" s="170">
        <f t="shared" si="33"/>
        <v>-9356.086797628901</v>
      </c>
      <c r="N87" s="170">
        <f t="shared" si="33"/>
        <v>-9906.4448445482485</v>
      </c>
      <c r="O87" s="170">
        <f t="shared" si="33"/>
        <v>-10489.176894227558</v>
      </c>
      <c r="P87" s="170">
        <f t="shared" si="33"/>
        <v>-11106.187299770354</v>
      </c>
      <c r="Q87" s="170">
        <f t="shared" si="33"/>
        <v>-11759.492435050966</v>
      </c>
      <c r="R87" s="170">
        <f t="shared" si="33"/>
        <v>-12451.227284171617</v>
      </c>
      <c r="S87" s="170">
        <f t="shared" si="33"/>
        <v>-13183.65241853465</v>
      </c>
      <c r="T87" s="170">
        <f t="shared" si="33"/>
        <v>-13959.161384330802</v>
      </c>
      <c r="U87" s="170">
        <f t="shared" si="33"/>
        <v>-14780.288524585561</v>
      </c>
      <c r="V87" s="170">
        <f t="shared" si="33"/>
        <v>-10784.020042047759</v>
      </c>
      <c r="W87" s="170">
        <f t="shared" si="33"/>
        <v>-11418.374162168213</v>
      </c>
      <c r="X87" s="170">
        <f t="shared" si="33"/>
        <v>-12090.04323053105</v>
      </c>
      <c r="Y87" s="170">
        <f t="shared" si="33"/>
        <v>-12801.222244091703</v>
      </c>
      <c r="Z87" s="170">
        <f t="shared" si="33"/>
        <v>-13554.235317273569</v>
      </c>
      <c r="AA87" s="170">
        <f t="shared" si="33"/>
        <v>-14351.543277113191</v>
      </c>
      <c r="AB87" s="170">
        <f t="shared" si="33"/>
        <v>-15195.751705178673</v>
      </c>
      <c r="AC87" s="170">
        <f t="shared" si="33"/>
        <v>-16089.619452542122</v>
      </c>
      <c r="AD87" s="170">
        <f t="shared" si="33"/>
        <v>-17036.067655632836</v>
      </c>
      <c r="AE87" s="170">
        <f t="shared" si="33"/>
        <v>-18038.189282434767</v>
      </c>
      <c r="AF87" s="170">
        <f t="shared" si="33"/>
        <v>-19099.259240225052</v>
      </c>
      <c r="AG87" s="170">
        <f t="shared" si="33"/>
        <v>-20222.745077885353</v>
      </c>
      <c r="AH87" s="170">
        <f t="shared" si="33"/>
        <v>-21412.318317760968</v>
      </c>
      <c r="AI87" s="170">
        <f t="shared" si="33"/>
        <v>-22671.86645409984</v>
      </c>
      <c r="AJ87" s="170">
        <f t="shared" si="33"/>
        <v>-24005.505657282185</v>
      </c>
      <c r="AK87" s="170">
        <f t="shared" si="33"/>
        <v>-25417.594225357614</v>
      </c>
      <c r="AL87" s="170">
        <f t="shared" si="33"/>
        <v>-26912.746826849241</v>
      </c>
      <c r="AM87" s="170">
        <f t="shared" si="33"/>
        <v>-28495.849581369788</v>
      </c>
      <c r="AN87" s="170">
        <f t="shared" si="33"/>
        <v>-30172.076027332714</v>
      </c>
      <c r="AO87" s="170">
        <f t="shared" si="33"/>
        <v>-31946.904028940517</v>
      </c>
      <c r="AP87" s="170">
        <f t="shared" si="33"/>
        <v>-33826.133677701735</v>
      </c>
      <c r="AQ87" s="170">
        <f t="shared" si="33"/>
        <v>-35815.906246978302</v>
      </c>
      <c r="AR87" s="170">
        <f t="shared" si="33"/>
        <v>-37922.724261506446</v>
      </c>
      <c r="AS87" s="170">
        <f t="shared" si="33"/>
        <v>-40153.472747477412</v>
      </c>
      <c r="AT87" s="170">
        <f t="shared" si="33"/>
        <v>-42515.441732623141</v>
      </c>
      <c r="AU87" s="170">
        <f t="shared" si="33"/>
        <v>0</v>
      </c>
      <c r="AV87" s="170">
        <f t="shared" si="33"/>
        <v>0</v>
      </c>
    </row>
    <row r="88" spans="2:48" ht="16.5" customHeight="1" x14ac:dyDescent="0.5">
      <c r="B88" s="189" t="s">
        <v>265</v>
      </c>
      <c r="C88" s="190">
        <f>C86+C87</f>
        <v>-7927.272727272727</v>
      </c>
      <c r="D88" s="190">
        <f t="shared" ref="D88:AV88" si="34">D86+D87</f>
        <v>-8498.618181818174</v>
      </c>
      <c r="E88" s="190">
        <f t="shared" si="34"/>
        <v>-9178.507636363629</v>
      </c>
      <c r="F88" s="190">
        <f t="shared" si="34"/>
        <v>60331.043258181831</v>
      </c>
      <c r="G88" s="190">
        <f t="shared" si="34"/>
        <v>-28666.771514896958</v>
      </c>
      <c r="H88" s="190">
        <f t="shared" si="34"/>
        <v>-24868.022916105936</v>
      </c>
      <c r="I88" s="190">
        <f t="shared" si="34"/>
        <v>-9269.1623425813123</v>
      </c>
      <c r="J88" s="190">
        <f t="shared" si="34"/>
        <v>-9949.9739304736195</v>
      </c>
      <c r="K88" s="190">
        <f t="shared" si="34"/>
        <v>-10687.022210937039</v>
      </c>
      <c r="L88" s="190">
        <f t="shared" si="34"/>
        <v>-11485.562963959994</v>
      </c>
      <c r="M88" s="190">
        <f t="shared" si="34"/>
        <v>-12351.396713560378</v>
      </c>
      <c r="N88" s="190">
        <f t="shared" si="34"/>
        <v>-13290.929372453091</v>
      </c>
      <c r="O88" s="190">
        <f t="shared" si="34"/>
        <v>-14311.239935764266</v>
      </c>
      <c r="P88" s="190">
        <f t="shared" si="34"/>
        <v>-15420.156063124257</v>
      </c>
      <c r="Q88" s="190">
        <f t="shared" si="34"/>
        <v>-16626.33848972122</v>
      </c>
      <c r="R88" s="190">
        <f t="shared" si="34"/>
        <v>-17939.375320446885</v>
      </c>
      <c r="S88" s="190">
        <f t="shared" si="34"/>
        <v>-19369.887388616258</v>
      </c>
      <c r="T88" s="190">
        <f t="shared" si="34"/>
        <v>-20929.646003576792</v>
      </c>
      <c r="U88" s="190">
        <f t="shared" si="34"/>
        <v>-22631.704571729169</v>
      </c>
      <c r="V88" s="190">
        <f t="shared" si="34"/>
        <v>-19624.84853590378</v>
      </c>
      <c r="W88" s="190">
        <f t="shared" si="34"/>
        <v>-21305.159610079842</v>
      </c>
      <c r="X88" s="190">
        <f t="shared" si="34"/>
        <v>-13573.676387957701</v>
      </c>
      <c r="Y88" s="190">
        <f t="shared" si="34"/>
        <v>-14403.546054112487</v>
      </c>
      <c r="Z88" s="190">
        <f t="shared" si="34"/>
        <v>-15284.745032096016</v>
      </c>
      <c r="AA88" s="190">
        <f t="shared" si="34"/>
        <v>-16220.493769121433</v>
      </c>
      <c r="AB88" s="190">
        <f t="shared" si="34"/>
        <v>-17214.218236547575</v>
      </c>
      <c r="AC88" s="190">
        <f t="shared" si="34"/>
        <v>-18269.563306420536</v>
      </c>
      <c r="AD88" s="190">
        <f t="shared" si="34"/>
        <v>-19390.407017821522</v>
      </c>
      <c r="AE88" s="190">
        <f t="shared" si="34"/>
        <v>-20580.875793598549</v>
      </c>
      <c r="AF88" s="190">
        <f t="shared" si="34"/>
        <v>-21845.360672281935</v>
      </c>
      <c r="AG88" s="190">
        <f t="shared" si="34"/>
        <v>-23188.534624506789</v>
      </c>
      <c r="AH88" s="190">
        <f t="shared" si="34"/>
        <v>-24615.371028112117</v>
      </c>
      <c r="AI88" s="190">
        <f t="shared" si="34"/>
        <v>-26131.163381279082</v>
      </c>
      <c r="AJ88" s="190">
        <f t="shared" si="34"/>
        <v>-27741.546338635766</v>
      </c>
      <c r="AK88" s="190">
        <f t="shared" si="34"/>
        <v>-29452.518161219483</v>
      </c>
      <c r="AL88" s="190">
        <f t="shared" si="34"/>
        <v>-31270.464677580057</v>
      </c>
      <c r="AM88" s="190">
        <f t="shared" si="34"/>
        <v>-33202.184860159075</v>
      </c>
      <c r="AN88" s="190">
        <f t="shared" si="34"/>
        <v>-35254.918128425139</v>
      </c>
      <c r="AO88" s="190">
        <f t="shared" si="34"/>
        <v>-37436.373498120338</v>
      </c>
      <c r="AP88" s="190">
        <f t="shared" si="34"/>
        <v>-39754.760704415945</v>
      </c>
      <c r="AQ88" s="190">
        <f t="shared" si="34"/>
        <v>-42218.823435829647</v>
      </c>
      <c r="AR88" s="190">
        <f t="shared" si="34"/>
        <v>-44837.8748254659</v>
      </c>
      <c r="AS88" s="190">
        <f t="shared" si="34"/>
        <v>-47621.835356553624</v>
      </c>
      <c r="AT88" s="190">
        <f t="shared" si="34"/>
        <v>-50581.273350425443</v>
      </c>
      <c r="AU88" s="190">
        <f t="shared" si="34"/>
        <v>-8711.0981472264903</v>
      </c>
      <c r="AV88" s="190">
        <f t="shared" si="34"/>
        <v>297028.32814781048</v>
      </c>
    </row>
    <row r="89" spans="2:48" ht="16.5" customHeight="1" x14ac:dyDescent="0.5">
      <c r="B89" s="197" t="s">
        <v>290</v>
      </c>
      <c r="C89" s="198">
        <f t="shared" ref="C89:AV89" si="35">C88/C9</f>
        <v>-99.090909090909093</v>
      </c>
      <c r="D89" s="198">
        <f t="shared" si="35"/>
        <v>-100.330909090909</v>
      </c>
      <c r="E89" s="198">
        <f t="shared" si="35"/>
        <v>-102.33752727272719</v>
      </c>
      <c r="F89" s="198">
        <f t="shared" si="35"/>
        <v>635.30181654545447</v>
      </c>
      <c r="G89" s="198">
        <f t="shared" si="35"/>
        <v>-285.09819193145438</v>
      </c>
      <c r="H89" s="198">
        <f t="shared" si="35"/>
        <v>-233.57876253721366</v>
      </c>
      <c r="I89" s="198">
        <f t="shared" si="35"/>
        <v>-82.225968822362958</v>
      </c>
      <c r="J89" s="198">
        <f t="shared" si="35"/>
        <v>-83.361758959382129</v>
      </c>
      <c r="K89" s="198">
        <f t="shared" si="35"/>
        <v>-84.562546975481453</v>
      </c>
      <c r="L89" s="198">
        <f t="shared" si="35"/>
        <v>-85.83216090746906</v>
      </c>
      <c r="M89" s="198">
        <f t="shared" si="35"/>
        <v>-87.17465690095294</v>
      </c>
      <c r="N89" s="198">
        <f t="shared" si="35"/>
        <v>-88.594332877385881</v>
      </c>
      <c r="O89" s="198">
        <f t="shared" si="35"/>
        <v>-90.095743022499548</v>
      </c>
      <c r="P89" s="198">
        <f t="shared" si="35"/>
        <v>-91.683713145596116</v>
      </c>
      <c r="Q89" s="198">
        <f t="shared" si="35"/>
        <v>-93.363356962151997</v>
      </c>
      <c r="R89" s="198">
        <f t="shared" si="35"/>
        <v>-95.140093355350871</v>
      </c>
      <c r="S89" s="198">
        <f t="shared" si="35"/>
        <v>-97.019664675519806</v>
      </c>
      <c r="T89" s="198">
        <f t="shared" si="35"/>
        <v>-99.00815613999994</v>
      </c>
      <c r="U89" s="198">
        <f t="shared" si="35"/>
        <v>-101.11201639975732</v>
      </c>
      <c r="V89" s="198">
        <f t="shared" si="35"/>
        <v>-82.807225913667239</v>
      </c>
      <c r="W89" s="198">
        <f t="shared" si="35"/>
        <v>-84.903018485372542</v>
      </c>
      <c r="X89" s="198">
        <f t="shared" si="35"/>
        <v>-51.087217088202216</v>
      </c>
      <c r="Y89" s="198">
        <f t="shared" si="35"/>
        <v>-51.198896027682387</v>
      </c>
      <c r="Z89" s="198">
        <f t="shared" si="35"/>
        <v>-51.312808545952166</v>
      </c>
      <c r="AA89" s="198">
        <f t="shared" si="35"/>
        <v>-51.428999314587337</v>
      </c>
      <c r="AB89" s="198">
        <f t="shared" si="35"/>
        <v>-51.547513898595213</v>
      </c>
      <c r="AC89" s="198">
        <f t="shared" si="35"/>
        <v>-51.668398774283254</v>
      </c>
      <c r="AD89" s="198">
        <f t="shared" si="35"/>
        <v>-51.791701347485038</v>
      </c>
      <c r="AE89" s="198">
        <f t="shared" si="35"/>
        <v>-51.917469972150876</v>
      </c>
      <c r="AF89" s="198">
        <f t="shared" si="35"/>
        <v>-52.04575396931002</v>
      </c>
      <c r="AG89" s="198">
        <f t="shared" si="35"/>
        <v>-52.17660364641236</v>
      </c>
      <c r="AH89" s="198">
        <f t="shared" si="35"/>
        <v>-52.310070317056727</v>
      </c>
      <c r="AI89" s="198">
        <f t="shared" si="35"/>
        <v>-52.446206321113998</v>
      </c>
      <c r="AJ89" s="198">
        <f t="shared" si="35"/>
        <v>-52.585065045252406</v>
      </c>
      <c r="AK89" s="198">
        <f t="shared" si="35"/>
        <v>-52.726700943873588</v>
      </c>
      <c r="AL89" s="198">
        <f t="shared" si="35"/>
        <v>-52.87116956046718</v>
      </c>
      <c r="AM89" s="198">
        <f t="shared" si="35"/>
        <v>-53.018527549392665</v>
      </c>
      <c r="AN89" s="198">
        <f t="shared" si="35"/>
        <v>-53.168832698096644</v>
      </c>
      <c r="AO89" s="198">
        <f t="shared" si="35"/>
        <v>-53.322143949774713</v>
      </c>
      <c r="AP89" s="198">
        <f t="shared" si="35"/>
        <v>-53.478521426486331</v>
      </c>
      <c r="AQ89" s="198">
        <f t="shared" si="35"/>
        <v>-53.638026452732184</v>
      </c>
      <c r="AR89" s="198">
        <f t="shared" si="35"/>
        <v>-53.800721579502969</v>
      </c>
      <c r="AS89" s="198">
        <f t="shared" si="35"/>
        <v>-53.96667060880916</v>
      </c>
      <c r="AT89" s="198">
        <f t="shared" si="35"/>
        <v>-54.135938618701466</v>
      </c>
      <c r="AU89" s="198">
        <f t="shared" si="35"/>
        <v>-8.8053218745981496</v>
      </c>
      <c r="AV89" s="198">
        <f t="shared" si="35"/>
        <v>283.56107632407105</v>
      </c>
    </row>
    <row r="90" spans="2:48" ht="16.5" customHeight="1" x14ac:dyDescent="0.5">
      <c r="B90" s="196"/>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c r="AR90" s="141"/>
      <c r="AS90" s="141"/>
      <c r="AT90" s="141"/>
      <c r="AU90" s="141"/>
      <c r="AV90" s="141"/>
    </row>
    <row r="91" spans="2:48" ht="16.5" customHeight="1" x14ac:dyDescent="0.5">
      <c r="B91" s="273" t="s">
        <v>44</v>
      </c>
      <c r="C91" s="272" t="s">
        <v>222</v>
      </c>
      <c r="D91" s="275"/>
      <c r="E91" s="275"/>
      <c r="F91" s="275"/>
      <c r="G91" s="287"/>
      <c r="H91" s="287"/>
      <c r="I91" s="287"/>
      <c r="J91" s="287"/>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c r="AR91" s="141"/>
      <c r="AS91" s="141"/>
      <c r="AT91" s="141"/>
      <c r="AU91" s="141"/>
      <c r="AV91" s="141"/>
    </row>
    <row r="92" spans="2:48" ht="16.5" customHeight="1" x14ac:dyDescent="0.5">
      <c r="B92" s="277" t="s">
        <v>47</v>
      </c>
      <c r="C92" s="283">
        <v>0.06</v>
      </c>
      <c r="D92" s="283">
        <f>C92+3%</f>
        <v>0.09</v>
      </c>
      <c r="E92" s="283">
        <f t="shared" ref="E92:F92" si="36">D92+3%</f>
        <v>0.12</v>
      </c>
      <c r="F92" s="283">
        <f t="shared" si="36"/>
        <v>0.15</v>
      </c>
      <c r="G92" s="383"/>
      <c r="H92" s="383"/>
      <c r="I92" s="383"/>
      <c r="J92" s="383"/>
      <c r="K92" s="161"/>
      <c r="L92" s="141"/>
      <c r="M92" s="141"/>
      <c r="N92" s="141"/>
      <c r="O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row>
    <row r="93" spans="2:48" ht="16.5" customHeight="1" x14ac:dyDescent="0.5">
      <c r="B93" s="274" t="s">
        <v>276</v>
      </c>
      <c r="C93" s="275">
        <f>NPV(C92,$D89:$AV89)+$C89</f>
        <v>-977.56947057819752</v>
      </c>
      <c r="D93" s="275">
        <f t="shared" ref="D93:F93" si="37">NPV(D92,$D89:$AV89)+$C$89</f>
        <v>-687.48550031921036</v>
      </c>
      <c r="E93" s="275">
        <f t="shared" si="37"/>
        <v>-512.08101366002165</v>
      </c>
      <c r="F93" s="275">
        <f t="shared" si="37"/>
        <v>-399.76615997156341</v>
      </c>
      <c r="G93" s="287"/>
      <c r="H93" s="287"/>
      <c r="I93" s="287"/>
      <c r="J93" s="287"/>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c r="AR93" s="141"/>
      <c r="AS93" s="141"/>
      <c r="AT93" s="141"/>
      <c r="AU93" s="141"/>
      <c r="AV93" s="141"/>
    </row>
    <row r="94" spans="2:48" ht="16.5" customHeight="1" x14ac:dyDescent="0.5">
      <c r="B94" s="277" t="s">
        <v>246</v>
      </c>
      <c r="C94" s="404"/>
      <c r="D94" s="275"/>
      <c r="E94" s="275"/>
      <c r="F94" s="275"/>
      <c r="G94" s="287"/>
      <c r="H94" s="287"/>
      <c r="I94" s="287"/>
      <c r="J94" s="287"/>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141"/>
      <c r="AH94" s="141"/>
      <c r="AI94" s="141"/>
      <c r="AJ94" s="141"/>
      <c r="AK94" s="141"/>
      <c r="AL94" s="141"/>
      <c r="AM94" s="141"/>
      <c r="AN94" s="141"/>
      <c r="AO94" s="141"/>
      <c r="AP94" s="141"/>
      <c r="AQ94" s="141"/>
      <c r="AR94" s="141"/>
      <c r="AS94" s="141"/>
      <c r="AT94" s="141"/>
      <c r="AU94" s="141"/>
      <c r="AV94" s="141"/>
    </row>
    <row r="95" spans="2:48" ht="16.5" customHeight="1" x14ac:dyDescent="0.5">
      <c r="B95" s="277" t="s">
        <v>247</v>
      </c>
      <c r="C95" s="284">
        <f>(1+C94)/(1+'Thông số'!$C$11)-1</f>
        <v>-1.9607843137254943E-2</v>
      </c>
      <c r="D95" s="275"/>
      <c r="E95" s="275"/>
      <c r="F95" s="275"/>
      <c r="G95" s="287"/>
      <c r="H95" s="287"/>
      <c r="I95" s="287"/>
      <c r="J95" s="287"/>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c r="AH95" s="141"/>
      <c r="AI95" s="141"/>
      <c r="AJ95" s="141"/>
      <c r="AK95" s="141"/>
      <c r="AL95" s="141"/>
      <c r="AM95" s="141"/>
      <c r="AN95" s="141"/>
      <c r="AO95" s="141"/>
      <c r="AP95" s="141"/>
      <c r="AQ95" s="141"/>
      <c r="AR95" s="141"/>
      <c r="AS95" s="141"/>
      <c r="AT95" s="141"/>
      <c r="AU95" s="141"/>
      <c r="AV95" s="141"/>
    </row>
    <row r="96" spans="2:48" ht="16.5" customHeight="1" x14ac:dyDescent="0.5"/>
    <row r="97" spans="2:23" ht="22.5" customHeight="1" x14ac:dyDescent="0.5">
      <c r="B97" s="164" t="s">
        <v>275</v>
      </c>
    </row>
    <row r="98" spans="2:23" ht="15" customHeight="1" x14ac:dyDescent="0.5">
      <c r="B98" s="166" t="str">
        <f t="shared" ref="B98:W98" si="38">B42</f>
        <v>Năm dự án</v>
      </c>
      <c r="C98" s="166">
        <f t="shared" si="38"/>
        <v>0</v>
      </c>
      <c r="D98" s="166">
        <f t="shared" si="38"/>
        <v>1</v>
      </c>
      <c r="E98" s="166">
        <f t="shared" si="38"/>
        <v>2</v>
      </c>
      <c r="F98" s="166">
        <f t="shared" si="38"/>
        <v>3</v>
      </c>
      <c r="G98" s="166">
        <f t="shared" si="38"/>
        <v>4</v>
      </c>
      <c r="H98" s="166">
        <f t="shared" si="38"/>
        <v>5</v>
      </c>
      <c r="I98" s="166">
        <f t="shared" si="38"/>
        <v>6</v>
      </c>
      <c r="J98" s="166">
        <f t="shared" si="38"/>
        <v>7</v>
      </c>
      <c r="K98" s="166">
        <f t="shared" si="38"/>
        <v>8</v>
      </c>
      <c r="L98" s="166">
        <f t="shared" si="38"/>
        <v>9</v>
      </c>
      <c r="M98" s="166">
        <f t="shared" si="38"/>
        <v>10</v>
      </c>
      <c r="N98" s="166">
        <f t="shared" si="38"/>
        <v>11</v>
      </c>
      <c r="O98" s="166">
        <f t="shared" si="38"/>
        <v>12</v>
      </c>
      <c r="P98" s="166">
        <f t="shared" si="38"/>
        <v>13</v>
      </c>
      <c r="Q98" s="166">
        <f t="shared" si="38"/>
        <v>14</v>
      </c>
      <c r="R98" s="166">
        <f t="shared" si="38"/>
        <v>15</v>
      </c>
      <c r="S98" s="166">
        <f t="shared" si="38"/>
        <v>16</v>
      </c>
      <c r="T98" s="166">
        <f t="shared" si="38"/>
        <v>17</v>
      </c>
      <c r="U98" s="166">
        <f t="shared" si="38"/>
        <v>18</v>
      </c>
      <c r="V98" s="166">
        <f t="shared" si="38"/>
        <v>19</v>
      </c>
      <c r="W98" s="166">
        <f t="shared" si="38"/>
        <v>20</v>
      </c>
    </row>
    <row r="99" spans="2:23" ht="16.5" customHeight="1" x14ac:dyDescent="0.5">
      <c r="B99" s="137" t="s">
        <v>281</v>
      </c>
      <c r="C99" s="141">
        <f t="shared" ref="C99:W99" si="39">C86</f>
        <v>-7927.272727272727</v>
      </c>
      <c r="D99" s="141">
        <f t="shared" si="39"/>
        <v>-8498.618181818174</v>
      </c>
      <c r="E99" s="141">
        <f t="shared" si="39"/>
        <v>-9178.507636363629</v>
      </c>
      <c r="F99" s="141">
        <f t="shared" si="39"/>
        <v>-20290.524741818183</v>
      </c>
      <c r="G99" s="141">
        <f t="shared" si="39"/>
        <v>-22027.006039762</v>
      </c>
      <c r="H99" s="141">
        <f t="shared" si="39"/>
        <v>-17837.683001257159</v>
      </c>
      <c r="I99" s="141">
        <f t="shared" si="39"/>
        <v>-1825.2730209767244</v>
      </c>
      <c r="J99" s="141">
        <f t="shared" si="39"/>
        <v>-2068.2087664217015</v>
      </c>
      <c r="K99" s="141">
        <f t="shared" si="39"/>
        <v>-2341.6238019408906</v>
      </c>
      <c r="L99" s="141">
        <f t="shared" si="39"/>
        <v>-2649.2587661993648</v>
      </c>
      <c r="M99" s="141">
        <f t="shared" si="39"/>
        <v>-2995.3099159314761</v>
      </c>
      <c r="N99" s="141">
        <f t="shared" si="39"/>
        <v>-3384.4845279048423</v>
      </c>
      <c r="O99" s="141">
        <f t="shared" si="39"/>
        <v>-3822.0630415367086</v>
      </c>
      <c r="P99" s="141">
        <f t="shared" si="39"/>
        <v>-4313.9687633539024</v>
      </c>
      <c r="Q99" s="141">
        <f t="shared" si="39"/>
        <v>-4866.8460546702545</v>
      </c>
      <c r="R99" s="141">
        <f t="shared" si="39"/>
        <v>-5488.1480362752682</v>
      </c>
      <c r="S99" s="141">
        <f t="shared" si="39"/>
        <v>-6186.2349700816076</v>
      </c>
      <c r="T99" s="141">
        <f t="shared" si="39"/>
        <v>-6970.4846192459891</v>
      </c>
      <c r="U99" s="141">
        <f t="shared" si="39"/>
        <v>-7851.4160471436062</v>
      </c>
      <c r="V99" s="141">
        <f t="shared" si="39"/>
        <v>-8840.8284938560228</v>
      </c>
      <c r="W99" s="141">
        <f t="shared" si="39"/>
        <v>-9886.7854479116304</v>
      </c>
    </row>
    <row r="100" spans="2:23" ht="16.5" customHeight="1" x14ac:dyDescent="0.5">
      <c r="B100" s="137" t="s">
        <v>212</v>
      </c>
      <c r="C100" s="399"/>
      <c r="D100" s="399"/>
      <c r="E100" s="399"/>
      <c r="F100" s="399"/>
      <c r="G100" s="399"/>
      <c r="H100" s="399"/>
      <c r="I100" s="141"/>
      <c r="J100" s="141"/>
      <c r="K100" s="141"/>
      <c r="L100" s="141"/>
      <c r="M100" s="141"/>
      <c r="N100" s="141"/>
      <c r="O100" s="141"/>
      <c r="P100" s="141"/>
      <c r="Q100" s="141"/>
      <c r="R100" s="141"/>
      <c r="S100" s="141"/>
      <c r="T100" s="141"/>
      <c r="U100" s="141"/>
      <c r="V100" s="141"/>
      <c r="W100" s="141"/>
    </row>
    <row r="101" spans="2:23" ht="16.5" customHeight="1" x14ac:dyDescent="0.5">
      <c r="B101" s="137" t="s">
        <v>317</v>
      </c>
      <c r="C101" s="141"/>
      <c r="D101" s="141"/>
      <c r="E101" s="141"/>
      <c r="F101" s="141"/>
      <c r="G101" s="141"/>
      <c r="H101" s="141"/>
      <c r="I101" s="141"/>
      <c r="J101" s="141"/>
      <c r="K101" s="141"/>
      <c r="L101" s="141"/>
      <c r="M101" s="141"/>
      <c r="N101" s="141"/>
      <c r="O101" s="141"/>
      <c r="P101" s="141"/>
      <c r="Q101" s="141"/>
      <c r="R101" s="141"/>
      <c r="S101" s="141"/>
      <c r="T101" s="141"/>
      <c r="U101" s="141"/>
      <c r="V101" s="141"/>
      <c r="W101" s="399"/>
    </row>
    <row r="102" spans="2:23" ht="16.5" customHeight="1" x14ac:dyDescent="0.5">
      <c r="B102" s="137" t="s">
        <v>268</v>
      </c>
      <c r="C102" s="141"/>
      <c r="D102" s="141"/>
      <c r="E102" s="141"/>
      <c r="F102" s="141"/>
      <c r="G102" s="399"/>
      <c r="H102" s="399"/>
      <c r="I102" s="399"/>
      <c r="J102" s="399"/>
      <c r="K102" s="399"/>
      <c r="L102" s="399"/>
      <c r="M102" s="399"/>
      <c r="N102" s="399"/>
      <c r="O102" s="399"/>
      <c r="P102" s="399"/>
      <c r="Q102" s="399"/>
      <c r="R102" s="399"/>
      <c r="S102" s="399"/>
      <c r="T102" s="399"/>
      <c r="U102" s="399"/>
      <c r="V102" s="399"/>
      <c r="W102" s="399"/>
    </row>
    <row r="103" spans="2:23" ht="16.5" customHeight="1" x14ac:dyDescent="0.5">
      <c r="B103" s="171" t="s">
        <v>284</v>
      </c>
      <c r="C103" s="170"/>
      <c r="D103" s="170"/>
      <c r="E103" s="170"/>
      <c r="F103" s="170">
        <f>F18*F9</f>
        <v>20155.392000000003</v>
      </c>
      <c r="G103" s="170">
        <f>-G17*G9</f>
        <v>-2064.387993057323</v>
      </c>
      <c r="H103" s="170">
        <f t="shared" ref="H103:W103" si="40">-H17*H9</f>
        <v>-2185.8225808842244</v>
      </c>
      <c r="I103" s="170">
        <f t="shared" si="40"/>
        <v>-2314.400379759767</v>
      </c>
      <c r="J103" s="170">
        <f t="shared" si="40"/>
        <v>-2450.5415785691657</v>
      </c>
      <c r="K103" s="170">
        <f t="shared" si="40"/>
        <v>-2594.6910831908808</v>
      </c>
      <c r="L103" s="170">
        <f t="shared" si="40"/>
        <v>-2747.3199704374038</v>
      </c>
      <c r="M103" s="170">
        <f t="shared" si="40"/>
        <v>-2908.9270275219569</v>
      </c>
      <c r="N103" s="170">
        <f t="shared" si="40"/>
        <v>-3080.0403820820725</v>
      </c>
      <c r="O103" s="170">
        <f t="shared" si="40"/>
        <v>-3261.2192280868999</v>
      </c>
      <c r="P103" s="170">
        <f t="shared" si="40"/>
        <v>-3453.0556532684823</v>
      </c>
      <c r="Q103" s="170">
        <f t="shared" si="40"/>
        <v>-3656.1765740489818</v>
      </c>
      <c r="R103" s="170">
        <f t="shared" si="40"/>
        <v>-3871.245784287159</v>
      </c>
      <c r="S103" s="170">
        <f t="shared" si="40"/>
        <v>-4098.9661245393436</v>
      </c>
      <c r="T103" s="170">
        <f t="shared" si="40"/>
        <v>-4340.08177892401</v>
      </c>
      <c r="U103" s="170">
        <f t="shared" si="40"/>
        <v>-4595.3807070960129</v>
      </c>
      <c r="V103" s="170">
        <f t="shared" si="40"/>
        <v>0</v>
      </c>
      <c r="W103" s="170">
        <f t="shared" si="40"/>
        <v>0</v>
      </c>
    </row>
    <row r="104" spans="2:23" ht="16.5" customHeight="1" x14ac:dyDescent="0.5">
      <c r="B104" s="187" t="s">
        <v>288</v>
      </c>
      <c r="C104" s="188">
        <f>C99+C100+C101+C102+C103</f>
        <v>-7927.272727272727</v>
      </c>
      <c r="D104" s="188">
        <f t="shared" ref="D104:W104" si="41">D99+D100+D101+D102+D103</f>
        <v>-8498.618181818174</v>
      </c>
      <c r="E104" s="188">
        <f t="shared" si="41"/>
        <v>-9178.507636363629</v>
      </c>
      <c r="F104" s="188">
        <f t="shared" si="41"/>
        <v>-135.13274181817906</v>
      </c>
      <c r="G104" s="188">
        <f t="shared" si="41"/>
        <v>-24091.394032819324</v>
      </c>
      <c r="H104" s="188">
        <f t="shared" si="41"/>
        <v>-20023.505582141384</v>
      </c>
      <c r="I104" s="188">
        <f t="shared" si="41"/>
        <v>-4139.6734007364912</v>
      </c>
      <c r="J104" s="188">
        <f t="shared" si="41"/>
        <v>-4518.7503449908672</v>
      </c>
      <c r="K104" s="188">
        <f t="shared" si="41"/>
        <v>-4936.314885131771</v>
      </c>
      <c r="L104" s="188">
        <f t="shared" si="41"/>
        <v>-5396.5787366367686</v>
      </c>
      <c r="M104" s="188">
        <f t="shared" si="41"/>
        <v>-5904.236943453433</v>
      </c>
      <c r="N104" s="188">
        <f t="shared" si="41"/>
        <v>-6464.5249099869143</v>
      </c>
      <c r="O104" s="188">
        <f t="shared" si="41"/>
        <v>-7083.282269623609</v>
      </c>
      <c r="P104" s="188">
        <f t="shared" si="41"/>
        <v>-7767.0244166223847</v>
      </c>
      <c r="Q104" s="188">
        <f t="shared" si="41"/>
        <v>-8523.0226287192363</v>
      </c>
      <c r="R104" s="188">
        <f t="shared" si="41"/>
        <v>-9359.3938205624272</v>
      </c>
      <c r="S104" s="188">
        <f t="shared" si="41"/>
        <v>-10285.201094620952</v>
      </c>
      <c r="T104" s="188">
        <f t="shared" si="41"/>
        <v>-11310.566398169998</v>
      </c>
      <c r="U104" s="188">
        <f t="shared" si="41"/>
        <v>-12446.796754239618</v>
      </c>
      <c r="V104" s="188">
        <f t="shared" si="41"/>
        <v>-8840.8284938560228</v>
      </c>
      <c r="W104" s="188">
        <f t="shared" si="41"/>
        <v>-9886.7854479116304</v>
      </c>
    </row>
    <row r="105" spans="2:23" ht="16.5" customHeight="1" x14ac:dyDescent="0.5">
      <c r="B105" s="199" t="s">
        <v>289</v>
      </c>
      <c r="C105" s="200">
        <f t="shared" ref="C105:W105" si="42">C104/C9</f>
        <v>-99.090909090909093</v>
      </c>
      <c r="D105" s="200">
        <f t="shared" si="42"/>
        <v>-100.330909090909</v>
      </c>
      <c r="E105" s="200">
        <f t="shared" si="42"/>
        <v>-102.33752727272719</v>
      </c>
      <c r="F105" s="200">
        <f t="shared" si="42"/>
        <v>-1.4229834545454252</v>
      </c>
      <c r="G105" s="200">
        <f t="shared" si="42"/>
        <v>-239.59492181726088</v>
      </c>
      <c r="H105" s="200">
        <f t="shared" si="42"/>
        <v>-188.07549242302019</v>
      </c>
      <c r="I105" s="200">
        <f t="shared" si="42"/>
        <v>-36.722698708169482</v>
      </c>
      <c r="J105" s="200">
        <f t="shared" si="42"/>
        <v>-37.858488845188667</v>
      </c>
      <c r="K105" s="200">
        <f t="shared" si="42"/>
        <v>-39.059276861287977</v>
      </c>
      <c r="L105" s="200">
        <f t="shared" si="42"/>
        <v>-40.328890793275583</v>
      </c>
      <c r="M105" s="200">
        <f t="shared" si="42"/>
        <v>-41.671386786759456</v>
      </c>
      <c r="N105" s="200">
        <f t="shared" si="42"/>
        <v>-43.091062763192419</v>
      </c>
      <c r="O105" s="200">
        <f t="shared" si="42"/>
        <v>-44.592472908306078</v>
      </c>
      <c r="P105" s="200">
        <f t="shared" si="42"/>
        <v>-46.180443031402632</v>
      </c>
      <c r="Q105" s="200">
        <f t="shared" si="42"/>
        <v>-47.86008684795852</v>
      </c>
      <c r="R105" s="200">
        <f t="shared" si="42"/>
        <v>-49.636823241157401</v>
      </c>
      <c r="S105" s="200">
        <f t="shared" si="42"/>
        <v>-51.516394561326322</v>
      </c>
      <c r="T105" s="200">
        <f t="shared" si="42"/>
        <v>-53.504886025806456</v>
      </c>
      <c r="U105" s="200">
        <f t="shared" si="42"/>
        <v>-55.608746285563832</v>
      </c>
      <c r="V105" s="200">
        <f t="shared" si="42"/>
        <v>-37.303955799473769</v>
      </c>
      <c r="W105" s="200">
        <f t="shared" si="42"/>
        <v>-39.399748371179072</v>
      </c>
    </row>
    <row r="106" spans="2:23" ht="16.5" customHeight="1" x14ac:dyDescent="0.5"/>
    <row r="107" spans="2:23" ht="16.5" customHeight="1" x14ac:dyDescent="0.5">
      <c r="B107" s="271" t="s">
        <v>44</v>
      </c>
      <c r="C107" s="279" t="s">
        <v>54</v>
      </c>
      <c r="D107" s="281"/>
      <c r="E107" s="281"/>
      <c r="F107" s="281"/>
      <c r="G107" s="288"/>
      <c r="H107" s="288"/>
      <c r="I107" s="288"/>
      <c r="J107" s="288"/>
    </row>
    <row r="108" spans="2:23" ht="16.5" customHeight="1" x14ac:dyDescent="0.5">
      <c r="B108" s="274" t="s">
        <v>47</v>
      </c>
      <c r="C108" s="282">
        <v>0.06</v>
      </c>
      <c r="D108" s="282">
        <f>C108+3%</f>
        <v>0.09</v>
      </c>
      <c r="E108" s="282">
        <f t="shared" ref="E108:F108" si="43">D108+3%</f>
        <v>0.12</v>
      </c>
      <c r="F108" s="282">
        <f t="shared" si="43"/>
        <v>0.15</v>
      </c>
      <c r="G108" s="289"/>
      <c r="H108" s="289"/>
      <c r="I108" s="289"/>
      <c r="J108" s="289"/>
    </row>
    <row r="109" spans="2:23" ht="16.5" customHeight="1" x14ac:dyDescent="0.5">
      <c r="B109" s="274" t="s">
        <v>276</v>
      </c>
      <c r="C109" s="275">
        <f>NPV(C108,$D105:$W105)+$C105</f>
        <v>-931.6902484138335</v>
      </c>
      <c r="D109" s="275">
        <f t="shared" ref="D109:F109" si="44">NPV(D108,$D105:$W105)+$C105</f>
        <v>-795.70171761570657</v>
      </c>
      <c r="E109" s="275">
        <f t="shared" si="44"/>
        <v>-694.84087588743273</v>
      </c>
      <c r="F109" s="275">
        <f t="shared" si="44"/>
        <v>-617.75607636259679</v>
      </c>
      <c r="G109" s="287"/>
      <c r="H109" s="287"/>
      <c r="I109" s="287"/>
      <c r="J109" s="287"/>
    </row>
    <row r="110" spans="2:23" ht="16.5" customHeight="1" x14ac:dyDescent="0.5">
      <c r="B110" s="274" t="s">
        <v>246</v>
      </c>
      <c r="C110" s="276" t="e">
        <f>IRR(C105:W105)</f>
        <v>#NUM!</v>
      </c>
      <c r="D110" s="281"/>
      <c r="E110" s="281"/>
      <c r="F110" s="281"/>
      <c r="G110" s="288"/>
      <c r="H110" s="288"/>
      <c r="I110" s="288"/>
      <c r="J110" s="288"/>
    </row>
    <row r="111" spans="2:23" ht="16.5" customHeight="1" x14ac:dyDescent="0.5">
      <c r="B111" s="274" t="s">
        <v>247</v>
      </c>
      <c r="C111" s="405"/>
      <c r="D111" s="281"/>
      <c r="E111" s="281"/>
      <c r="F111" s="281"/>
      <c r="G111" s="288"/>
      <c r="H111" s="288"/>
      <c r="I111" s="288"/>
      <c r="J111" s="288"/>
    </row>
    <row r="112" spans="2:23" ht="16.5" customHeight="1" x14ac:dyDescent="0.5">
      <c r="B112" s="280" t="s">
        <v>51</v>
      </c>
      <c r="C112" s="278">
        <f>SUM(D120:W120)</f>
        <v>20</v>
      </c>
      <c r="D112" s="281" t="s">
        <v>52</v>
      </c>
      <c r="E112" s="281"/>
      <c r="F112" s="281"/>
      <c r="G112" s="288"/>
      <c r="H112" s="288"/>
      <c r="I112" s="288"/>
      <c r="J112" s="288"/>
    </row>
    <row r="113" spans="2:48" ht="16.5" customHeight="1" x14ac:dyDescent="0.5">
      <c r="B113" s="150"/>
    </row>
    <row r="114" spans="2:48" ht="16.5" customHeight="1" x14ac:dyDescent="0.5">
      <c r="B114" s="182" t="str">
        <f>B76</f>
        <v>Thời gian hoàn vốn có chiết khấu</v>
      </c>
    </row>
    <row r="115" spans="2:48" ht="16.5" customHeight="1" x14ac:dyDescent="0.5">
      <c r="B115" s="166" t="str">
        <f>B77</f>
        <v>Năm dự án</v>
      </c>
      <c r="C115" s="166">
        <f t="shared" ref="C115:W115" si="45">C77</f>
        <v>0</v>
      </c>
      <c r="D115" s="166">
        <f t="shared" si="45"/>
        <v>1</v>
      </c>
      <c r="E115" s="166">
        <f t="shared" si="45"/>
        <v>2</v>
      </c>
      <c r="F115" s="166">
        <f t="shared" si="45"/>
        <v>3</v>
      </c>
      <c r="G115" s="166">
        <f t="shared" si="45"/>
        <v>4</v>
      </c>
      <c r="H115" s="166">
        <f t="shared" si="45"/>
        <v>5</v>
      </c>
      <c r="I115" s="166">
        <f t="shared" si="45"/>
        <v>6</v>
      </c>
      <c r="J115" s="166">
        <f t="shared" si="45"/>
        <v>7</v>
      </c>
      <c r="K115" s="166">
        <f t="shared" si="45"/>
        <v>8</v>
      </c>
      <c r="L115" s="166">
        <f t="shared" si="45"/>
        <v>9</v>
      </c>
      <c r="M115" s="166">
        <f t="shared" si="45"/>
        <v>10</v>
      </c>
      <c r="N115" s="166">
        <f t="shared" si="45"/>
        <v>11</v>
      </c>
      <c r="O115" s="166">
        <f t="shared" si="45"/>
        <v>12</v>
      </c>
      <c r="P115" s="166">
        <f t="shared" si="45"/>
        <v>13</v>
      </c>
      <c r="Q115" s="166">
        <f t="shared" si="45"/>
        <v>14</v>
      </c>
      <c r="R115" s="166">
        <f t="shared" si="45"/>
        <v>15</v>
      </c>
      <c r="S115" s="166">
        <f t="shared" si="45"/>
        <v>16</v>
      </c>
      <c r="T115" s="166">
        <f t="shared" si="45"/>
        <v>17</v>
      </c>
      <c r="U115" s="166">
        <f t="shared" si="45"/>
        <v>18</v>
      </c>
      <c r="V115" s="166">
        <f t="shared" si="45"/>
        <v>19</v>
      </c>
      <c r="W115" s="166">
        <f t="shared" si="45"/>
        <v>20</v>
      </c>
    </row>
    <row r="116" spans="2:48" ht="16.5" customHeight="1" x14ac:dyDescent="0.5">
      <c r="B116" s="150" t="s">
        <v>291</v>
      </c>
      <c r="C116" s="141">
        <f>C105</f>
        <v>-99.090909090909093</v>
      </c>
      <c r="D116" s="141">
        <f t="shared" ref="D116:W116" si="46">D105</f>
        <v>-100.330909090909</v>
      </c>
      <c r="E116" s="141">
        <f t="shared" si="46"/>
        <v>-102.33752727272719</v>
      </c>
      <c r="F116" s="141">
        <f t="shared" si="46"/>
        <v>-1.4229834545454252</v>
      </c>
      <c r="G116" s="141">
        <f t="shared" si="46"/>
        <v>-239.59492181726088</v>
      </c>
      <c r="H116" s="141">
        <f t="shared" si="46"/>
        <v>-188.07549242302019</v>
      </c>
      <c r="I116" s="141">
        <f t="shared" si="46"/>
        <v>-36.722698708169482</v>
      </c>
      <c r="J116" s="141">
        <f t="shared" si="46"/>
        <v>-37.858488845188667</v>
      </c>
      <c r="K116" s="141">
        <f t="shared" si="46"/>
        <v>-39.059276861287977</v>
      </c>
      <c r="L116" s="141">
        <f t="shared" si="46"/>
        <v>-40.328890793275583</v>
      </c>
      <c r="M116" s="141">
        <f t="shared" si="46"/>
        <v>-41.671386786759456</v>
      </c>
      <c r="N116" s="141">
        <f t="shared" si="46"/>
        <v>-43.091062763192419</v>
      </c>
      <c r="O116" s="141">
        <f t="shared" si="46"/>
        <v>-44.592472908306078</v>
      </c>
      <c r="P116" s="141">
        <f t="shared" si="46"/>
        <v>-46.180443031402632</v>
      </c>
      <c r="Q116" s="141">
        <f t="shared" si="46"/>
        <v>-47.86008684795852</v>
      </c>
      <c r="R116" s="141">
        <f t="shared" si="46"/>
        <v>-49.636823241157401</v>
      </c>
      <c r="S116" s="141">
        <f t="shared" si="46"/>
        <v>-51.516394561326322</v>
      </c>
      <c r="T116" s="141">
        <f t="shared" si="46"/>
        <v>-53.504886025806456</v>
      </c>
      <c r="U116" s="141">
        <f t="shared" si="46"/>
        <v>-55.608746285563832</v>
      </c>
      <c r="V116" s="141">
        <f t="shared" si="46"/>
        <v>-37.303955799473769</v>
      </c>
      <c r="W116" s="141">
        <f t="shared" si="46"/>
        <v>-39.399748371179072</v>
      </c>
    </row>
    <row r="117" spans="2:48" ht="16.5" customHeight="1" x14ac:dyDescent="0.5">
      <c r="B117" s="150" t="s">
        <v>53</v>
      </c>
      <c r="C117" s="138">
        <f t="shared" ref="C117:W117" si="47">1/(1+$C$108)^C115</f>
        <v>1</v>
      </c>
      <c r="D117" s="138">
        <f t="shared" si="47"/>
        <v>0.94339622641509424</v>
      </c>
      <c r="E117" s="138">
        <f t="shared" si="47"/>
        <v>0.88999644001423983</v>
      </c>
      <c r="F117" s="138">
        <f t="shared" si="47"/>
        <v>0.8396192830323016</v>
      </c>
      <c r="G117" s="138">
        <f t="shared" si="47"/>
        <v>0.79209366323802044</v>
      </c>
      <c r="H117" s="138">
        <f t="shared" si="47"/>
        <v>0.74725817286605689</v>
      </c>
      <c r="I117" s="138">
        <f t="shared" si="47"/>
        <v>0.70496054043967626</v>
      </c>
      <c r="J117" s="138">
        <f t="shared" si="47"/>
        <v>0.66505711362233599</v>
      </c>
      <c r="K117" s="138">
        <f t="shared" si="47"/>
        <v>0.62741237134182648</v>
      </c>
      <c r="L117" s="138">
        <f t="shared" si="47"/>
        <v>0.59189846353002495</v>
      </c>
      <c r="M117" s="138">
        <f t="shared" si="47"/>
        <v>0.55839477691511785</v>
      </c>
      <c r="N117" s="138">
        <f t="shared" si="47"/>
        <v>0.52678752539162055</v>
      </c>
      <c r="O117" s="138">
        <f t="shared" si="47"/>
        <v>0.4969693635770005</v>
      </c>
      <c r="P117" s="138">
        <f t="shared" si="47"/>
        <v>0.46883902224245327</v>
      </c>
      <c r="Q117" s="138">
        <f t="shared" si="47"/>
        <v>0.44230096437967292</v>
      </c>
      <c r="R117" s="138">
        <f t="shared" si="47"/>
        <v>0.41726506073554037</v>
      </c>
      <c r="S117" s="138">
        <f t="shared" si="47"/>
        <v>0.39364628371277405</v>
      </c>
      <c r="T117" s="138">
        <f t="shared" si="47"/>
        <v>0.37136441859695657</v>
      </c>
      <c r="U117" s="138">
        <f t="shared" si="47"/>
        <v>0.35034379112920433</v>
      </c>
      <c r="V117" s="138">
        <f t="shared" si="47"/>
        <v>0.3305130104992493</v>
      </c>
      <c r="W117" s="138">
        <f t="shared" si="47"/>
        <v>0.31180472688608429</v>
      </c>
    </row>
    <row r="118" spans="2:48" ht="16.5" customHeight="1" x14ac:dyDescent="0.5">
      <c r="B118" s="150" t="s">
        <v>292</v>
      </c>
      <c r="C118" s="147">
        <f t="shared" ref="C118:W118" si="48">C116*C117</f>
        <v>-99.090909090909093</v>
      </c>
      <c r="D118" s="147">
        <f t="shared" si="48"/>
        <v>-94.651801029159429</v>
      </c>
      <c r="E118" s="147">
        <f t="shared" si="48"/>
        <v>-91.080034952587368</v>
      </c>
      <c r="F118" s="147">
        <f t="shared" si="48"/>
        <v>-1.1947643478722576</v>
      </c>
      <c r="G118" s="147">
        <f t="shared" si="48"/>
        <v>-189.78161931546128</v>
      </c>
      <c r="H118" s="147">
        <f t="shared" si="48"/>
        <v>-140.54094882890999</v>
      </c>
      <c r="I118" s="147">
        <f t="shared" si="48"/>
        <v>-25.888053527714558</v>
      </c>
      <c r="J118" s="147">
        <f t="shared" si="48"/>
        <v>-25.17805731748458</v>
      </c>
      <c r="K118" s="147">
        <f t="shared" si="48"/>
        <v>-24.506273518437624</v>
      </c>
      <c r="L118" s="147">
        <f t="shared" si="48"/>
        <v>-23.870608496409986</v>
      </c>
      <c r="M118" s="147">
        <f t="shared" si="48"/>
        <v>-23.269084728536136</v>
      </c>
      <c r="N118" s="147">
        <f t="shared" si="48"/>
        <v>-22.699834319517141</v>
      </c>
      <c r="O118" s="147">
        <f t="shared" si="48"/>
        <v>-22.161092881565509</v>
      </c>
      <c r="P118" s="147">
        <f t="shared" si="48"/>
        <v>-21.651193757566126</v>
      </c>
      <c r="Q118" s="147">
        <f t="shared" si="48"/>
        <v>-21.168562568146953</v>
      </c>
      <c r="R118" s="147">
        <f t="shared" si="48"/>
        <v>-20.711712064440825</v>
      </c>
      <c r="S118" s="147">
        <f t="shared" si="48"/>
        <v>-20.279237269347071</v>
      </c>
      <c r="T118" s="147">
        <f t="shared" si="48"/>
        <v>-19.869810891070042</v>
      </c>
      <c r="U118" s="147">
        <f t="shared" si="48"/>
        <v>-19.482178993626491</v>
      </c>
      <c r="V118" s="147">
        <f t="shared" si="48"/>
        <v>-12.329442734815006</v>
      </c>
      <c r="W118" s="147">
        <f t="shared" si="48"/>
        <v>-12.285027780255936</v>
      </c>
    </row>
    <row r="119" spans="2:48" ht="16.5" customHeight="1" x14ac:dyDescent="0.5">
      <c r="B119" s="150" t="s">
        <v>293</v>
      </c>
      <c r="C119" s="147">
        <f>C118</f>
        <v>-99.090909090909093</v>
      </c>
      <c r="D119" s="147">
        <f t="shared" ref="D119:W119" si="49">C119+D118</f>
        <v>-193.74271012006852</v>
      </c>
      <c r="E119" s="147">
        <f t="shared" si="49"/>
        <v>-284.82274507265589</v>
      </c>
      <c r="F119" s="147">
        <f t="shared" si="49"/>
        <v>-286.01750942052814</v>
      </c>
      <c r="G119" s="147">
        <f t="shared" si="49"/>
        <v>-475.79912873598943</v>
      </c>
      <c r="H119" s="147">
        <f t="shared" si="49"/>
        <v>-616.34007756489939</v>
      </c>
      <c r="I119" s="147">
        <f t="shared" si="49"/>
        <v>-642.22813109261392</v>
      </c>
      <c r="J119" s="147">
        <f t="shared" si="49"/>
        <v>-667.40618841009848</v>
      </c>
      <c r="K119" s="147">
        <f t="shared" si="49"/>
        <v>-691.91246192853612</v>
      </c>
      <c r="L119" s="147">
        <f t="shared" si="49"/>
        <v>-715.78307042494612</v>
      </c>
      <c r="M119" s="147">
        <f t="shared" si="49"/>
        <v>-739.0521551534822</v>
      </c>
      <c r="N119" s="147">
        <f t="shared" si="49"/>
        <v>-761.7519894729993</v>
      </c>
      <c r="O119" s="147">
        <f t="shared" si="49"/>
        <v>-783.91308235456484</v>
      </c>
      <c r="P119" s="147">
        <f t="shared" si="49"/>
        <v>-805.56427611213098</v>
      </c>
      <c r="Q119" s="147">
        <f t="shared" si="49"/>
        <v>-826.73283868027795</v>
      </c>
      <c r="R119" s="147">
        <f t="shared" si="49"/>
        <v>-847.44455074471875</v>
      </c>
      <c r="S119" s="147">
        <f t="shared" si="49"/>
        <v>-867.7237880140658</v>
      </c>
      <c r="T119" s="147">
        <f t="shared" si="49"/>
        <v>-887.59359890513588</v>
      </c>
      <c r="U119" s="147">
        <f t="shared" si="49"/>
        <v>-907.07577789876234</v>
      </c>
      <c r="V119" s="147">
        <f t="shared" si="49"/>
        <v>-919.4052206335773</v>
      </c>
      <c r="W119" s="147">
        <f t="shared" si="49"/>
        <v>-931.69024841383327</v>
      </c>
    </row>
    <row r="120" spans="2:48" ht="16.5" customHeight="1" x14ac:dyDescent="0.5">
      <c r="B120" s="183" t="s">
        <v>245</v>
      </c>
      <c r="C120" s="171"/>
      <c r="D120" s="171">
        <f t="shared" ref="D120:W120" si="50">IF(D119&lt;0,1,IF(C119&lt;0,-C119/D118,0))</f>
        <v>1</v>
      </c>
      <c r="E120" s="171">
        <f t="shared" si="50"/>
        <v>1</v>
      </c>
      <c r="F120" s="179">
        <f t="shared" si="50"/>
        <v>1</v>
      </c>
      <c r="G120" s="171">
        <f t="shared" si="50"/>
        <v>1</v>
      </c>
      <c r="H120" s="171">
        <f t="shared" si="50"/>
        <v>1</v>
      </c>
      <c r="I120" s="171">
        <f t="shared" si="50"/>
        <v>1</v>
      </c>
      <c r="J120" s="171">
        <f t="shared" si="50"/>
        <v>1</v>
      </c>
      <c r="K120" s="171">
        <f t="shared" si="50"/>
        <v>1</v>
      </c>
      <c r="L120" s="171">
        <f t="shared" si="50"/>
        <v>1</v>
      </c>
      <c r="M120" s="184">
        <f t="shared" si="50"/>
        <v>1</v>
      </c>
      <c r="N120" s="184">
        <f t="shared" si="50"/>
        <v>1</v>
      </c>
      <c r="O120" s="184">
        <f t="shared" si="50"/>
        <v>1</v>
      </c>
      <c r="P120" s="184">
        <f t="shared" si="50"/>
        <v>1</v>
      </c>
      <c r="Q120" s="184">
        <f t="shared" si="50"/>
        <v>1</v>
      </c>
      <c r="R120" s="184">
        <f t="shared" si="50"/>
        <v>1</v>
      </c>
      <c r="S120" s="184">
        <f t="shared" si="50"/>
        <v>1</v>
      </c>
      <c r="T120" s="184">
        <f t="shared" si="50"/>
        <v>1</v>
      </c>
      <c r="U120" s="184">
        <f t="shared" si="50"/>
        <v>1</v>
      </c>
      <c r="V120" s="184">
        <f t="shared" si="50"/>
        <v>1</v>
      </c>
      <c r="W120" s="184">
        <f t="shared" si="50"/>
        <v>1</v>
      </c>
    </row>
    <row r="121" spans="2:48" ht="16.5" customHeight="1" x14ac:dyDescent="0.5">
      <c r="B121" s="150"/>
      <c r="F121" s="147"/>
      <c r="M121" s="138"/>
      <c r="N121" s="138"/>
      <c r="O121" s="138"/>
      <c r="P121" s="138"/>
      <c r="Q121" s="138"/>
      <c r="R121" s="138"/>
      <c r="S121" s="138"/>
      <c r="T121" s="138"/>
      <c r="U121" s="138"/>
      <c r="V121" s="138"/>
      <c r="W121" s="138"/>
    </row>
    <row r="122" spans="2:48" ht="16.5" customHeight="1" x14ac:dyDescent="0.5">
      <c r="B122" s="164" t="s">
        <v>258</v>
      </c>
      <c r="F122" s="147"/>
      <c r="M122" s="138"/>
      <c r="N122" s="138"/>
      <c r="O122" s="138"/>
      <c r="P122" s="138"/>
      <c r="Q122" s="138"/>
      <c r="R122" s="138"/>
      <c r="S122" s="138"/>
      <c r="T122" s="138"/>
      <c r="U122" s="138"/>
      <c r="V122" s="138"/>
      <c r="W122" s="138"/>
    </row>
    <row r="123" spans="2:48" ht="16.5" customHeight="1" x14ac:dyDescent="0.5">
      <c r="B123" s="381" t="str">
        <f>B115</f>
        <v>Năm dự án</v>
      </c>
      <c r="C123" s="380">
        <f t="shared" ref="C123:AV123" si="51">C115</f>
        <v>0</v>
      </c>
      <c r="D123" s="380">
        <f t="shared" si="51"/>
        <v>1</v>
      </c>
      <c r="E123" s="380">
        <f t="shared" si="51"/>
        <v>2</v>
      </c>
      <c r="F123" s="380">
        <f t="shared" si="51"/>
        <v>3</v>
      </c>
      <c r="G123" s="380">
        <f t="shared" si="51"/>
        <v>4</v>
      </c>
      <c r="H123" s="380">
        <f t="shared" si="51"/>
        <v>5</v>
      </c>
      <c r="I123" s="380">
        <f t="shared" si="51"/>
        <v>6</v>
      </c>
      <c r="J123" s="380">
        <f t="shared" si="51"/>
        <v>7</v>
      </c>
      <c r="K123" s="380">
        <f t="shared" si="51"/>
        <v>8</v>
      </c>
      <c r="L123" s="380">
        <f t="shared" si="51"/>
        <v>9</v>
      </c>
      <c r="M123" s="380">
        <f t="shared" si="51"/>
        <v>10</v>
      </c>
      <c r="N123" s="380">
        <f t="shared" si="51"/>
        <v>11</v>
      </c>
      <c r="O123" s="380">
        <f t="shared" si="51"/>
        <v>12</v>
      </c>
      <c r="P123" s="380">
        <f t="shared" si="51"/>
        <v>13</v>
      </c>
      <c r="Q123" s="380">
        <f t="shared" si="51"/>
        <v>14</v>
      </c>
      <c r="R123" s="380">
        <f t="shared" si="51"/>
        <v>15</v>
      </c>
      <c r="S123" s="380">
        <f t="shared" si="51"/>
        <v>16</v>
      </c>
      <c r="T123" s="380">
        <f t="shared" si="51"/>
        <v>17</v>
      </c>
      <c r="U123" s="380">
        <f t="shared" si="51"/>
        <v>18</v>
      </c>
      <c r="V123" s="380">
        <f t="shared" si="51"/>
        <v>19</v>
      </c>
      <c r="W123" s="380">
        <f t="shared" si="51"/>
        <v>20</v>
      </c>
      <c r="X123" s="380">
        <f t="shared" si="51"/>
        <v>0</v>
      </c>
      <c r="Y123" s="380">
        <f t="shared" si="51"/>
        <v>0</v>
      </c>
      <c r="Z123" s="380">
        <f t="shared" si="51"/>
        <v>0</v>
      </c>
      <c r="AA123" s="380">
        <f t="shared" si="51"/>
        <v>0</v>
      </c>
      <c r="AB123" s="380">
        <f t="shared" si="51"/>
        <v>0</v>
      </c>
      <c r="AC123" s="380">
        <f t="shared" si="51"/>
        <v>0</v>
      </c>
      <c r="AD123" s="380">
        <f t="shared" si="51"/>
        <v>0</v>
      </c>
      <c r="AE123" s="380">
        <f t="shared" si="51"/>
        <v>0</v>
      </c>
      <c r="AF123" s="380">
        <f t="shared" si="51"/>
        <v>0</v>
      </c>
      <c r="AG123" s="380">
        <f t="shared" si="51"/>
        <v>0</v>
      </c>
      <c r="AH123" s="380">
        <f t="shared" si="51"/>
        <v>0</v>
      </c>
      <c r="AI123" s="380">
        <f t="shared" si="51"/>
        <v>0</v>
      </c>
      <c r="AJ123" s="380">
        <f t="shared" si="51"/>
        <v>0</v>
      </c>
      <c r="AK123" s="380">
        <f t="shared" si="51"/>
        <v>0</v>
      </c>
      <c r="AL123" s="380">
        <f t="shared" si="51"/>
        <v>0</v>
      </c>
      <c r="AM123" s="380">
        <f t="shared" si="51"/>
        <v>0</v>
      </c>
      <c r="AN123" s="380">
        <f t="shared" si="51"/>
        <v>0</v>
      </c>
      <c r="AO123" s="380">
        <f t="shared" si="51"/>
        <v>0</v>
      </c>
      <c r="AP123" s="380">
        <f t="shared" si="51"/>
        <v>0</v>
      </c>
      <c r="AQ123" s="380">
        <f t="shared" si="51"/>
        <v>0</v>
      </c>
      <c r="AR123" s="380">
        <f t="shared" si="51"/>
        <v>0</v>
      </c>
      <c r="AS123" s="380">
        <f t="shared" si="51"/>
        <v>0</v>
      </c>
      <c r="AT123" s="380">
        <f t="shared" si="51"/>
        <v>0</v>
      </c>
      <c r="AU123" s="380">
        <f t="shared" si="51"/>
        <v>0</v>
      </c>
      <c r="AV123" s="380">
        <f t="shared" si="51"/>
        <v>0</v>
      </c>
    </row>
    <row r="124" spans="2:48" ht="16.5" customHeight="1" x14ac:dyDescent="0.5">
      <c r="B124" s="150" t="str">
        <f>B99</f>
        <v>NCF_TIPV</v>
      </c>
      <c r="C124" s="141">
        <f>C63</f>
        <v>-7927.272727272727</v>
      </c>
      <c r="D124" s="141">
        <f t="shared" ref="D124:AV124" si="52">D63</f>
        <v>-8498.618181818174</v>
      </c>
      <c r="E124" s="141">
        <f t="shared" si="52"/>
        <v>-9178.507636363629</v>
      </c>
      <c r="F124" s="141">
        <f t="shared" si="52"/>
        <v>-20290.524741818183</v>
      </c>
      <c r="G124" s="141">
        <f t="shared" si="52"/>
        <v>-22027.006039762</v>
      </c>
      <c r="H124" s="141">
        <f t="shared" si="52"/>
        <v>-17837.683001257159</v>
      </c>
      <c r="I124" s="141">
        <f t="shared" si="52"/>
        <v>-1825.2730209767244</v>
      </c>
      <c r="J124" s="141">
        <f t="shared" si="52"/>
        <v>-2068.2087664217015</v>
      </c>
      <c r="K124" s="141">
        <f t="shared" si="52"/>
        <v>-2341.6238019408906</v>
      </c>
      <c r="L124" s="141">
        <f t="shared" si="52"/>
        <v>-2649.2587661993648</v>
      </c>
      <c r="M124" s="141">
        <f t="shared" si="52"/>
        <v>-2995.3099159314761</v>
      </c>
      <c r="N124" s="141">
        <f t="shared" si="52"/>
        <v>-3384.4845279048423</v>
      </c>
      <c r="O124" s="141">
        <f t="shared" si="52"/>
        <v>-3822.0630415367086</v>
      </c>
      <c r="P124" s="141">
        <f t="shared" si="52"/>
        <v>-4313.9687633539024</v>
      </c>
      <c r="Q124" s="141">
        <f t="shared" si="52"/>
        <v>-4866.8460546702545</v>
      </c>
      <c r="R124" s="141">
        <f t="shared" si="52"/>
        <v>-5488.1480362752682</v>
      </c>
      <c r="S124" s="141">
        <f t="shared" si="52"/>
        <v>-6186.2349700816076</v>
      </c>
      <c r="T124" s="141">
        <f t="shared" si="52"/>
        <v>-6970.4846192459891</v>
      </c>
      <c r="U124" s="141">
        <f t="shared" si="52"/>
        <v>-7851.4160471436062</v>
      </c>
      <c r="V124" s="141">
        <f t="shared" si="52"/>
        <v>-8840.8284938560228</v>
      </c>
      <c r="W124" s="141">
        <f t="shared" si="52"/>
        <v>-9886.7854479116304</v>
      </c>
      <c r="X124" s="141">
        <f t="shared" si="52"/>
        <v>-1483.633157426651</v>
      </c>
      <c r="Y124" s="141">
        <f t="shared" si="52"/>
        <v>-1602.3238100207832</v>
      </c>
      <c r="Z124" s="141">
        <f t="shared" si="52"/>
        <v>-1730.5097148224459</v>
      </c>
      <c r="AA124" s="141">
        <f t="shared" si="52"/>
        <v>-1868.9504920082416</v>
      </c>
      <c r="AB124" s="141">
        <f t="shared" si="52"/>
        <v>-2018.4665313689013</v>
      </c>
      <c r="AC124" s="141">
        <f t="shared" si="52"/>
        <v>-2179.9438538784129</v>
      </c>
      <c r="AD124" s="141">
        <f t="shared" si="52"/>
        <v>-2354.3393621886862</v>
      </c>
      <c r="AE124" s="141">
        <f t="shared" si="52"/>
        <v>-2542.6865111637812</v>
      </c>
      <c r="AF124" s="141">
        <f t="shared" si="52"/>
        <v>-2746.1014320568838</v>
      </c>
      <c r="AG124" s="141">
        <f t="shared" si="52"/>
        <v>-2965.789546621435</v>
      </c>
      <c r="AH124" s="141">
        <f t="shared" si="52"/>
        <v>-3203.0527103511504</v>
      </c>
      <c r="AI124" s="141">
        <f t="shared" si="52"/>
        <v>-3459.2969271792422</v>
      </c>
      <c r="AJ124" s="141">
        <f t="shared" si="52"/>
        <v>-3736.0406813535815</v>
      </c>
      <c r="AK124" s="141">
        <f t="shared" si="52"/>
        <v>-4034.9239358618684</v>
      </c>
      <c r="AL124" s="141">
        <f t="shared" si="52"/>
        <v>-4357.7178507308181</v>
      </c>
      <c r="AM124" s="141">
        <f t="shared" si="52"/>
        <v>-4706.3352787892845</v>
      </c>
      <c r="AN124" s="141">
        <f t="shared" si="52"/>
        <v>-5082.8421010924267</v>
      </c>
      <c r="AO124" s="141">
        <f t="shared" si="52"/>
        <v>-5489.4694691798222</v>
      </c>
      <c r="AP124" s="141">
        <f t="shared" si="52"/>
        <v>-5928.6270267142072</v>
      </c>
      <c r="AQ124" s="141">
        <f t="shared" si="52"/>
        <v>-6402.9171888513447</v>
      </c>
      <c r="AR124" s="141">
        <f t="shared" si="52"/>
        <v>-6915.1505639594525</v>
      </c>
      <c r="AS124" s="141">
        <f t="shared" si="52"/>
        <v>-7468.3626090762082</v>
      </c>
      <c r="AT124" s="141">
        <f t="shared" si="52"/>
        <v>-8065.8316178023051</v>
      </c>
      <c r="AU124" s="141">
        <f t="shared" si="52"/>
        <v>-8711.0981472264903</v>
      </c>
      <c r="AV124" s="141">
        <f t="shared" si="52"/>
        <v>297028.32814781048</v>
      </c>
    </row>
    <row r="125" spans="2:48" ht="16.5" customHeight="1" x14ac:dyDescent="0.5">
      <c r="B125" s="150" t="s">
        <v>277</v>
      </c>
      <c r="C125" s="386">
        <f>'Thông số'!C40*C7</f>
        <v>4000</v>
      </c>
      <c r="D125" s="386">
        <f>'Thông số'!D40*D7</f>
        <v>4320</v>
      </c>
      <c r="E125" s="386">
        <f>'Thông số'!E40*E7</f>
        <v>4665.6000000000004</v>
      </c>
      <c r="F125" s="386">
        <f>'Thông số'!F40*F7</f>
        <v>10077.696000000002</v>
      </c>
      <c r="G125" s="386">
        <f>'Thông số'!G40*G7</f>
        <v>10883.911680000003</v>
      </c>
      <c r="M125" s="138"/>
      <c r="N125" s="138"/>
      <c r="O125" s="138"/>
      <c r="P125" s="138"/>
      <c r="Q125" s="138"/>
      <c r="R125" s="138"/>
      <c r="S125" s="138"/>
      <c r="T125" s="138"/>
      <c r="U125" s="138"/>
      <c r="V125" s="138"/>
      <c r="W125" s="138"/>
    </row>
    <row r="126" spans="2:48" ht="16.5" customHeight="1" x14ac:dyDescent="0.5">
      <c r="B126" s="150" t="s">
        <v>295</v>
      </c>
      <c r="C126" s="386"/>
      <c r="D126" s="386"/>
      <c r="E126" s="386"/>
      <c r="F126" s="386"/>
      <c r="G126" s="387">
        <f>-G44</f>
        <v>0</v>
      </c>
      <c r="H126" s="387">
        <f t="shared" ref="H126:W126" si="53">-H44</f>
        <v>0</v>
      </c>
      <c r="I126" s="387">
        <f t="shared" si="53"/>
        <v>0</v>
      </c>
      <c r="J126" s="387">
        <f t="shared" si="53"/>
        <v>0</v>
      </c>
      <c r="K126" s="387">
        <f t="shared" si="53"/>
        <v>0</v>
      </c>
      <c r="L126" s="387">
        <f t="shared" si="53"/>
        <v>0</v>
      </c>
      <c r="M126" s="387">
        <f t="shared" si="53"/>
        <v>0</v>
      </c>
      <c r="N126" s="387">
        <f t="shared" si="53"/>
        <v>0</v>
      </c>
      <c r="O126" s="387">
        <f t="shared" si="53"/>
        <v>0</v>
      </c>
      <c r="P126" s="387">
        <f t="shared" si="53"/>
        <v>0</v>
      </c>
      <c r="Q126" s="387">
        <f t="shared" si="53"/>
        <v>0</v>
      </c>
      <c r="R126" s="387">
        <f t="shared" si="53"/>
        <v>0</v>
      </c>
      <c r="S126" s="387">
        <f t="shared" si="53"/>
        <v>0</v>
      </c>
      <c r="T126" s="387">
        <f t="shared" si="53"/>
        <v>0</v>
      </c>
      <c r="U126" s="387">
        <f t="shared" si="53"/>
        <v>0</v>
      </c>
      <c r="V126" s="387">
        <f t="shared" si="53"/>
        <v>0</v>
      </c>
      <c r="W126" s="387">
        <f t="shared" si="53"/>
        <v>0</v>
      </c>
      <c r="X126" s="387"/>
    </row>
    <row r="127" spans="2:48" ht="16.5" customHeight="1" x14ac:dyDescent="0.5">
      <c r="B127" s="150" t="s">
        <v>278</v>
      </c>
      <c r="F127" s="387">
        <f t="shared" ref="F127:AV127" si="54">F29*F9</f>
        <v>60466.176000000014</v>
      </c>
      <c r="G127" s="387">
        <f t="shared" si="54"/>
        <v>-4575.3774820776334</v>
      </c>
      <c r="H127" s="387">
        <f t="shared" si="54"/>
        <v>-4844.5173339645535</v>
      </c>
      <c r="I127" s="387">
        <f t="shared" si="54"/>
        <v>-5129.4889418448211</v>
      </c>
      <c r="J127" s="387">
        <f t="shared" si="54"/>
        <v>-5431.2235854827532</v>
      </c>
      <c r="K127" s="387">
        <f t="shared" si="54"/>
        <v>-5750.7073258052678</v>
      </c>
      <c r="L127" s="387">
        <f t="shared" si="54"/>
        <v>-6088.9842273232252</v>
      </c>
      <c r="M127" s="387">
        <f t="shared" si="54"/>
        <v>-6447.1597701069441</v>
      </c>
      <c r="N127" s="387">
        <f t="shared" si="54"/>
        <v>-6826.4044624661774</v>
      </c>
      <c r="O127" s="387">
        <f t="shared" si="54"/>
        <v>-7227.9576661406581</v>
      </c>
      <c r="P127" s="387">
        <f t="shared" si="54"/>
        <v>-7653.1316465018726</v>
      </c>
      <c r="Q127" s="387">
        <f t="shared" si="54"/>
        <v>-8103.3158610019846</v>
      </c>
      <c r="R127" s="387">
        <f t="shared" si="54"/>
        <v>-8579.9814998844577</v>
      </c>
      <c r="S127" s="387">
        <f t="shared" si="54"/>
        <v>-9084.6862939953062</v>
      </c>
      <c r="T127" s="387">
        <f t="shared" si="54"/>
        <v>-9619.0796054067941</v>
      </c>
      <c r="U127" s="387">
        <f t="shared" si="54"/>
        <v>-10184.907817489549</v>
      </c>
      <c r="V127" s="387">
        <f t="shared" si="54"/>
        <v>-10784.020042047759</v>
      </c>
      <c r="W127" s="387">
        <f t="shared" si="54"/>
        <v>-11418.374162168213</v>
      </c>
      <c r="X127" s="387">
        <f t="shared" si="54"/>
        <v>-12090.04323053105</v>
      </c>
      <c r="Y127" s="387">
        <f t="shared" si="54"/>
        <v>-12801.222244091703</v>
      </c>
      <c r="Z127" s="387">
        <f t="shared" si="54"/>
        <v>-13554.235317273569</v>
      </c>
      <c r="AA127" s="387">
        <f t="shared" si="54"/>
        <v>-14351.543277113191</v>
      </c>
      <c r="AB127" s="387">
        <f t="shared" si="54"/>
        <v>-15195.751705178673</v>
      </c>
      <c r="AC127" s="387">
        <f t="shared" si="54"/>
        <v>-16089.619452542122</v>
      </c>
      <c r="AD127" s="387">
        <f t="shared" si="54"/>
        <v>-17036.067655632836</v>
      </c>
      <c r="AE127" s="387">
        <f t="shared" si="54"/>
        <v>-18038.189282434767</v>
      </c>
      <c r="AF127" s="387">
        <f t="shared" si="54"/>
        <v>-19099.259240225052</v>
      </c>
      <c r="AG127" s="387">
        <f t="shared" si="54"/>
        <v>-20222.745077885353</v>
      </c>
      <c r="AH127" s="387">
        <f t="shared" si="54"/>
        <v>-21412.318317760968</v>
      </c>
      <c r="AI127" s="387">
        <f t="shared" si="54"/>
        <v>-22671.86645409984</v>
      </c>
      <c r="AJ127" s="387">
        <f t="shared" si="54"/>
        <v>-24005.505657282185</v>
      </c>
      <c r="AK127" s="387">
        <f t="shared" si="54"/>
        <v>-25417.594225357614</v>
      </c>
      <c r="AL127" s="387">
        <f t="shared" si="54"/>
        <v>-26912.746826849241</v>
      </c>
      <c r="AM127" s="387">
        <f t="shared" si="54"/>
        <v>-28495.849581369788</v>
      </c>
      <c r="AN127" s="387">
        <f t="shared" si="54"/>
        <v>-30172.076027332714</v>
      </c>
      <c r="AO127" s="387">
        <f t="shared" si="54"/>
        <v>-31946.904028940517</v>
      </c>
      <c r="AP127" s="387">
        <f t="shared" si="54"/>
        <v>-33826.133677701735</v>
      </c>
      <c r="AQ127" s="387">
        <f t="shared" si="54"/>
        <v>-35815.906246978302</v>
      </c>
      <c r="AR127" s="387">
        <f t="shared" si="54"/>
        <v>-37922.724261506446</v>
      </c>
      <c r="AS127" s="387">
        <f t="shared" si="54"/>
        <v>-40153.472747477412</v>
      </c>
      <c r="AT127" s="387">
        <f t="shared" si="54"/>
        <v>-42515.441732623141</v>
      </c>
      <c r="AU127" s="387">
        <f t="shared" si="54"/>
        <v>0</v>
      </c>
      <c r="AV127" s="387">
        <f t="shared" si="54"/>
        <v>0</v>
      </c>
    </row>
    <row r="128" spans="2:48" ht="16.5" customHeight="1" x14ac:dyDescent="0.5">
      <c r="B128" s="150" t="s">
        <v>279</v>
      </c>
      <c r="C128" s="387">
        <f>C124+C125+C126+C127</f>
        <v>-3927.272727272727</v>
      </c>
      <c r="D128" s="387">
        <f t="shared" ref="D128:AV128" si="55">D124+D125+D126+D127</f>
        <v>-4178.618181818174</v>
      </c>
      <c r="E128" s="387">
        <f t="shared" si="55"/>
        <v>-4512.9076363636286</v>
      </c>
      <c r="F128" s="387">
        <f t="shared" si="55"/>
        <v>50253.347258181835</v>
      </c>
      <c r="G128" s="387">
        <f t="shared" si="55"/>
        <v>-15718.47184183963</v>
      </c>
      <c r="H128" s="387">
        <f t="shared" si="55"/>
        <v>-22682.200335221714</v>
      </c>
      <c r="I128" s="387">
        <f t="shared" si="55"/>
        <v>-6954.7619628215452</v>
      </c>
      <c r="J128" s="387">
        <f t="shared" si="55"/>
        <v>-7499.4323519044547</v>
      </c>
      <c r="K128" s="387">
        <f t="shared" si="55"/>
        <v>-8092.331127746158</v>
      </c>
      <c r="L128" s="387">
        <f t="shared" si="55"/>
        <v>-8738.24299352259</v>
      </c>
      <c r="M128" s="387">
        <f t="shared" si="55"/>
        <v>-9442.4696860384211</v>
      </c>
      <c r="N128" s="387">
        <f t="shared" si="55"/>
        <v>-10210.888990371019</v>
      </c>
      <c r="O128" s="387">
        <f t="shared" si="55"/>
        <v>-11050.020707677366</v>
      </c>
      <c r="P128" s="387">
        <f t="shared" si="55"/>
        <v>-11967.100409855775</v>
      </c>
      <c r="Q128" s="387">
        <f t="shared" si="55"/>
        <v>-12970.161915672239</v>
      </c>
      <c r="R128" s="387">
        <f t="shared" si="55"/>
        <v>-14068.129536159726</v>
      </c>
      <c r="S128" s="387">
        <f t="shared" si="55"/>
        <v>-15270.921264076915</v>
      </c>
      <c r="T128" s="387">
        <f t="shared" si="55"/>
        <v>-16589.564224652782</v>
      </c>
      <c r="U128" s="387">
        <f t="shared" si="55"/>
        <v>-18036.323864633156</v>
      </c>
      <c r="V128" s="387">
        <f t="shared" si="55"/>
        <v>-19624.84853590378</v>
      </c>
      <c r="W128" s="387">
        <f t="shared" si="55"/>
        <v>-21305.159610079842</v>
      </c>
      <c r="X128" s="387">
        <f t="shared" si="55"/>
        <v>-13573.676387957701</v>
      </c>
      <c r="Y128" s="387">
        <f t="shared" si="55"/>
        <v>-14403.546054112487</v>
      </c>
      <c r="Z128" s="387">
        <f t="shared" si="55"/>
        <v>-15284.745032096016</v>
      </c>
      <c r="AA128" s="387">
        <f t="shared" si="55"/>
        <v>-16220.493769121433</v>
      </c>
      <c r="AB128" s="387">
        <f t="shared" si="55"/>
        <v>-17214.218236547575</v>
      </c>
      <c r="AC128" s="387">
        <f t="shared" si="55"/>
        <v>-18269.563306420536</v>
      </c>
      <c r="AD128" s="387">
        <f t="shared" si="55"/>
        <v>-19390.407017821522</v>
      </c>
      <c r="AE128" s="387">
        <f t="shared" si="55"/>
        <v>-20580.875793598549</v>
      </c>
      <c r="AF128" s="387">
        <f t="shared" si="55"/>
        <v>-21845.360672281935</v>
      </c>
      <c r="AG128" s="387">
        <f t="shared" si="55"/>
        <v>-23188.534624506789</v>
      </c>
      <c r="AH128" s="387">
        <f t="shared" si="55"/>
        <v>-24615.371028112117</v>
      </c>
      <c r="AI128" s="387">
        <f t="shared" si="55"/>
        <v>-26131.163381279082</v>
      </c>
      <c r="AJ128" s="387">
        <f t="shared" si="55"/>
        <v>-27741.546338635766</v>
      </c>
      <c r="AK128" s="387">
        <f t="shared" si="55"/>
        <v>-29452.518161219483</v>
      </c>
      <c r="AL128" s="387">
        <f t="shared" si="55"/>
        <v>-31270.464677580057</v>
      </c>
      <c r="AM128" s="387">
        <f t="shared" si="55"/>
        <v>-33202.184860159075</v>
      </c>
      <c r="AN128" s="387">
        <f t="shared" si="55"/>
        <v>-35254.918128425139</v>
      </c>
      <c r="AO128" s="387">
        <f t="shared" si="55"/>
        <v>-37436.373498120338</v>
      </c>
      <c r="AP128" s="387">
        <f t="shared" si="55"/>
        <v>-39754.760704415945</v>
      </c>
      <c r="AQ128" s="387">
        <f t="shared" si="55"/>
        <v>-42218.823435829647</v>
      </c>
      <c r="AR128" s="387">
        <f t="shared" si="55"/>
        <v>-44837.8748254659</v>
      </c>
      <c r="AS128" s="387">
        <f t="shared" si="55"/>
        <v>-47621.835356553624</v>
      </c>
      <c r="AT128" s="387">
        <f t="shared" si="55"/>
        <v>-50581.273350425443</v>
      </c>
      <c r="AU128" s="387">
        <f t="shared" si="55"/>
        <v>-8711.0981472264903</v>
      </c>
      <c r="AV128" s="387">
        <f t="shared" si="55"/>
        <v>297028.32814781048</v>
      </c>
    </row>
    <row r="129" spans="2:48" ht="16.5" customHeight="1" x14ac:dyDescent="0.5">
      <c r="B129" s="183" t="s">
        <v>280</v>
      </c>
      <c r="C129" s="171">
        <f>C128/C9</f>
        <v>-49.090909090909086</v>
      </c>
      <c r="D129" s="171">
        <f t="shared" ref="D129:AV129" si="56">D128/D9</f>
        <v>-49.330909090909003</v>
      </c>
      <c r="E129" s="171">
        <f t="shared" si="56"/>
        <v>-50.317527272727183</v>
      </c>
      <c r="F129" s="179">
        <f t="shared" si="56"/>
        <v>529.18101654545455</v>
      </c>
      <c r="G129" s="179">
        <f t="shared" si="56"/>
        <v>-156.3241225020823</v>
      </c>
      <c r="H129" s="179">
        <f t="shared" si="56"/>
        <v>-213.04790910784166</v>
      </c>
      <c r="I129" s="179">
        <f t="shared" si="56"/>
        <v>-61.695115392990928</v>
      </c>
      <c r="J129" s="179">
        <f t="shared" si="56"/>
        <v>-62.830905530010114</v>
      </c>
      <c r="K129" s="179">
        <f t="shared" si="56"/>
        <v>-64.031693546109423</v>
      </c>
      <c r="L129" s="179">
        <f t="shared" si="56"/>
        <v>-65.30130747809703</v>
      </c>
      <c r="M129" s="179">
        <f t="shared" si="56"/>
        <v>-66.64380347158091</v>
      </c>
      <c r="N129" s="179">
        <f t="shared" si="56"/>
        <v>-68.063479448013865</v>
      </c>
      <c r="O129" s="179">
        <f t="shared" si="56"/>
        <v>-69.564889593127518</v>
      </c>
      <c r="P129" s="179">
        <f t="shared" si="56"/>
        <v>-71.152859716224086</v>
      </c>
      <c r="Q129" s="179">
        <f t="shared" si="56"/>
        <v>-72.832503532779967</v>
      </c>
      <c r="R129" s="179">
        <f t="shared" si="56"/>
        <v>-74.609239925978855</v>
      </c>
      <c r="S129" s="179">
        <f t="shared" si="56"/>
        <v>-76.488811246147776</v>
      </c>
      <c r="T129" s="179">
        <f t="shared" si="56"/>
        <v>-78.47730271062791</v>
      </c>
      <c r="U129" s="179">
        <f t="shared" si="56"/>
        <v>-80.581162970385279</v>
      </c>
      <c r="V129" s="179">
        <f t="shared" si="56"/>
        <v>-82.807225913667239</v>
      </c>
      <c r="W129" s="179">
        <f t="shared" si="56"/>
        <v>-84.903018485372542</v>
      </c>
      <c r="X129" s="179">
        <f t="shared" si="56"/>
        <v>-51.087217088202216</v>
      </c>
      <c r="Y129" s="179">
        <f t="shared" si="56"/>
        <v>-51.198896027682387</v>
      </c>
      <c r="Z129" s="179">
        <f t="shared" si="56"/>
        <v>-51.312808545952166</v>
      </c>
      <c r="AA129" s="179">
        <f t="shared" si="56"/>
        <v>-51.428999314587337</v>
      </c>
      <c r="AB129" s="179">
        <f t="shared" si="56"/>
        <v>-51.547513898595213</v>
      </c>
      <c r="AC129" s="179">
        <f t="shared" si="56"/>
        <v>-51.668398774283254</v>
      </c>
      <c r="AD129" s="179">
        <f t="shared" si="56"/>
        <v>-51.791701347485038</v>
      </c>
      <c r="AE129" s="179">
        <f t="shared" si="56"/>
        <v>-51.917469972150876</v>
      </c>
      <c r="AF129" s="179">
        <f t="shared" si="56"/>
        <v>-52.04575396931002</v>
      </c>
      <c r="AG129" s="179">
        <f t="shared" si="56"/>
        <v>-52.17660364641236</v>
      </c>
      <c r="AH129" s="179">
        <f t="shared" si="56"/>
        <v>-52.310070317056727</v>
      </c>
      <c r="AI129" s="179">
        <f t="shared" si="56"/>
        <v>-52.446206321113998</v>
      </c>
      <c r="AJ129" s="179">
        <f t="shared" si="56"/>
        <v>-52.585065045252406</v>
      </c>
      <c r="AK129" s="179">
        <f t="shared" si="56"/>
        <v>-52.726700943873588</v>
      </c>
      <c r="AL129" s="179">
        <f t="shared" si="56"/>
        <v>-52.87116956046718</v>
      </c>
      <c r="AM129" s="179">
        <f t="shared" si="56"/>
        <v>-53.018527549392665</v>
      </c>
      <c r="AN129" s="179">
        <f t="shared" si="56"/>
        <v>-53.168832698096644</v>
      </c>
      <c r="AO129" s="179">
        <f t="shared" si="56"/>
        <v>-53.322143949774713</v>
      </c>
      <c r="AP129" s="179">
        <f t="shared" si="56"/>
        <v>-53.478521426486331</v>
      </c>
      <c r="AQ129" s="179">
        <f t="shared" si="56"/>
        <v>-53.638026452732184</v>
      </c>
      <c r="AR129" s="179">
        <f t="shared" si="56"/>
        <v>-53.800721579502969</v>
      </c>
      <c r="AS129" s="179">
        <f t="shared" si="56"/>
        <v>-53.96667060880916</v>
      </c>
      <c r="AT129" s="179">
        <f t="shared" si="56"/>
        <v>-54.135938618701466</v>
      </c>
      <c r="AU129" s="179">
        <f t="shared" si="56"/>
        <v>-8.8053218745981496</v>
      </c>
      <c r="AV129" s="179">
        <f t="shared" si="56"/>
        <v>283.56107632407105</v>
      </c>
    </row>
    <row r="130" spans="2:48" ht="16.5" customHeight="1" x14ac:dyDescent="0.5">
      <c r="B130" s="150"/>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1"/>
      <c r="AE130" s="141"/>
      <c r="AF130" s="141"/>
      <c r="AG130" s="141"/>
      <c r="AH130" s="141"/>
      <c r="AI130" s="141"/>
      <c r="AJ130" s="141"/>
      <c r="AK130" s="141"/>
      <c r="AL130" s="141"/>
      <c r="AM130" s="141"/>
      <c r="AN130" s="141"/>
      <c r="AO130" s="141"/>
      <c r="AP130" s="141"/>
      <c r="AQ130" s="141"/>
      <c r="AR130" s="141"/>
      <c r="AS130" s="141"/>
      <c r="AT130" s="141"/>
      <c r="AU130" s="141"/>
      <c r="AV130" s="141"/>
    </row>
    <row r="131" spans="2:48" ht="16.5" customHeight="1" x14ac:dyDescent="0.5">
      <c r="B131" s="388" t="s">
        <v>44</v>
      </c>
      <c r="C131" s="271" t="s">
        <v>294</v>
      </c>
      <c r="D131" s="274"/>
      <c r="E131" s="274"/>
      <c r="F131" s="278"/>
      <c r="G131" s="141"/>
      <c r="H131" s="141"/>
      <c r="I131" s="141"/>
      <c r="J131" s="141"/>
      <c r="M131" s="138"/>
      <c r="N131" s="138"/>
      <c r="O131" s="138"/>
      <c r="P131" s="138"/>
      <c r="Q131" s="138"/>
      <c r="R131" s="138"/>
      <c r="S131" s="138"/>
      <c r="T131" s="138"/>
      <c r="U131" s="138"/>
      <c r="V131" s="138"/>
      <c r="W131" s="138"/>
    </row>
    <row r="132" spans="2:48" ht="16.5" customHeight="1" x14ac:dyDescent="0.5">
      <c r="B132" s="280" t="s">
        <v>47</v>
      </c>
      <c r="C132" s="282">
        <v>0.06</v>
      </c>
      <c r="D132" s="282">
        <f>C132+3%</f>
        <v>0.09</v>
      </c>
      <c r="E132" s="282">
        <f t="shared" ref="E132:F132" si="57">D132+3%</f>
        <v>0.12</v>
      </c>
      <c r="F132" s="282">
        <f t="shared" si="57"/>
        <v>0.15</v>
      </c>
      <c r="M132" s="138"/>
      <c r="N132" s="138"/>
      <c r="O132" s="138"/>
      <c r="P132" s="138"/>
      <c r="Q132" s="138"/>
      <c r="R132" s="138"/>
      <c r="S132" s="138"/>
      <c r="T132" s="138"/>
      <c r="U132" s="138"/>
      <c r="V132" s="138"/>
      <c r="W132" s="138"/>
    </row>
    <row r="133" spans="2:48" ht="16.5" customHeight="1" x14ac:dyDescent="0.5">
      <c r="B133" s="280" t="s">
        <v>276</v>
      </c>
      <c r="C133" s="278">
        <f>NPV(C132,$D129:$AV129)+$C129</f>
        <v>-669.10022923609063</v>
      </c>
      <c r="D133" s="278">
        <f t="shared" ref="D133:F133" si="58">NPV(D132,$D129:$AV129)+$C129</f>
        <v>-424.38400572297627</v>
      </c>
      <c r="E133" s="278">
        <f t="shared" si="58"/>
        <v>-282.28917441135604</v>
      </c>
      <c r="F133" s="278">
        <f t="shared" si="58"/>
        <v>-195.03566989548108</v>
      </c>
      <c r="M133" s="138"/>
      <c r="N133" s="138"/>
      <c r="O133" s="138"/>
      <c r="P133" s="138"/>
      <c r="Q133" s="138"/>
      <c r="R133" s="138"/>
      <c r="S133" s="138"/>
      <c r="T133" s="138"/>
      <c r="U133" s="138"/>
      <c r="V133" s="138"/>
      <c r="W133" s="138"/>
    </row>
    <row r="134" spans="2:48" ht="16.5" customHeight="1" x14ac:dyDescent="0.5">
      <c r="B134" s="274" t="s">
        <v>246</v>
      </c>
      <c r="C134" s="282" t="e">
        <f>IRR(C129:AV129)</f>
        <v>#NUM!</v>
      </c>
      <c r="D134" s="274"/>
      <c r="E134" s="274"/>
      <c r="F134" s="278"/>
      <c r="M134" s="138"/>
      <c r="N134" s="138"/>
      <c r="O134" s="138"/>
      <c r="P134" s="138"/>
      <c r="Q134" s="138"/>
      <c r="R134" s="138"/>
      <c r="S134" s="138"/>
      <c r="T134" s="138"/>
      <c r="U134" s="138"/>
      <c r="V134" s="138"/>
      <c r="W134" s="138"/>
    </row>
    <row r="135" spans="2:48" ht="16.5" customHeight="1" x14ac:dyDescent="0.5">
      <c r="B135" s="274" t="s">
        <v>247</v>
      </c>
      <c r="C135" s="406"/>
      <c r="D135" s="274"/>
      <c r="E135" s="274"/>
      <c r="F135" s="278"/>
      <c r="M135" s="138"/>
      <c r="N135" s="138"/>
      <c r="O135" s="138"/>
      <c r="P135" s="138"/>
      <c r="Q135" s="138"/>
      <c r="R135" s="138"/>
      <c r="S135" s="138"/>
      <c r="T135" s="138"/>
      <c r="U135" s="138"/>
      <c r="V135" s="138"/>
      <c r="W135" s="138"/>
    </row>
    <row r="136" spans="2:48" ht="16.5" customHeight="1" x14ac:dyDescent="0.5">
      <c r="B136" s="150"/>
    </row>
    <row r="137" spans="2:48" ht="22.5" customHeight="1" x14ac:dyDescent="0.5">
      <c r="B137" s="164" t="s">
        <v>55</v>
      </c>
    </row>
    <row r="138" spans="2:48" ht="15" customHeight="1" x14ac:dyDescent="0.5">
      <c r="B138" s="166" t="str">
        <f t="shared" ref="B138:AV138" si="59">B42</f>
        <v>Năm dự án</v>
      </c>
      <c r="C138" s="166">
        <f t="shared" si="59"/>
        <v>0</v>
      </c>
      <c r="D138" s="166">
        <f t="shared" si="59"/>
        <v>1</v>
      </c>
      <c r="E138" s="166">
        <f t="shared" si="59"/>
        <v>2</v>
      </c>
      <c r="F138" s="166">
        <f t="shared" si="59"/>
        <v>3</v>
      </c>
      <c r="G138" s="166">
        <f t="shared" si="59"/>
        <v>4</v>
      </c>
      <c r="H138" s="166">
        <f t="shared" si="59"/>
        <v>5</v>
      </c>
      <c r="I138" s="166">
        <f t="shared" si="59"/>
        <v>6</v>
      </c>
      <c r="J138" s="166">
        <f t="shared" si="59"/>
        <v>7</v>
      </c>
      <c r="K138" s="166">
        <f t="shared" si="59"/>
        <v>8</v>
      </c>
      <c r="L138" s="166">
        <f t="shared" si="59"/>
        <v>9</v>
      </c>
      <c r="M138" s="166">
        <f t="shared" si="59"/>
        <v>10</v>
      </c>
      <c r="N138" s="166">
        <f t="shared" si="59"/>
        <v>11</v>
      </c>
      <c r="O138" s="166">
        <f t="shared" si="59"/>
        <v>12</v>
      </c>
      <c r="P138" s="166">
        <f t="shared" si="59"/>
        <v>13</v>
      </c>
      <c r="Q138" s="166">
        <f t="shared" si="59"/>
        <v>14</v>
      </c>
      <c r="R138" s="166">
        <f t="shared" si="59"/>
        <v>15</v>
      </c>
      <c r="S138" s="166">
        <f t="shared" si="59"/>
        <v>16</v>
      </c>
      <c r="T138" s="166">
        <f t="shared" si="59"/>
        <v>17</v>
      </c>
      <c r="U138" s="166">
        <f t="shared" si="59"/>
        <v>18</v>
      </c>
      <c r="V138" s="166">
        <f t="shared" si="59"/>
        <v>19</v>
      </c>
      <c r="W138" s="166">
        <f t="shared" si="59"/>
        <v>20</v>
      </c>
      <c r="X138" s="166">
        <f t="shared" si="59"/>
        <v>21</v>
      </c>
      <c r="Y138" s="166">
        <f t="shared" si="59"/>
        <v>22</v>
      </c>
      <c r="Z138" s="166">
        <f t="shared" si="59"/>
        <v>23</v>
      </c>
      <c r="AA138" s="166">
        <f t="shared" si="59"/>
        <v>24</v>
      </c>
      <c r="AB138" s="166">
        <f t="shared" si="59"/>
        <v>25</v>
      </c>
      <c r="AC138" s="166">
        <f t="shared" si="59"/>
        <v>26</v>
      </c>
      <c r="AD138" s="166">
        <f t="shared" si="59"/>
        <v>27</v>
      </c>
      <c r="AE138" s="166">
        <f t="shared" si="59"/>
        <v>28</v>
      </c>
      <c r="AF138" s="166">
        <f t="shared" si="59"/>
        <v>29</v>
      </c>
      <c r="AG138" s="166">
        <f t="shared" si="59"/>
        <v>30</v>
      </c>
      <c r="AH138" s="166">
        <f t="shared" si="59"/>
        <v>31</v>
      </c>
      <c r="AI138" s="166">
        <f t="shared" si="59"/>
        <v>32</v>
      </c>
      <c r="AJ138" s="166">
        <f t="shared" si="59"/>
        <v>33</v>
      </c>
      <c r="AK138" s="166">
        <f t="shared" si="59"/>
        <v>34</v>
      </c>
      <c r="AL138" s="166">
        <f t="shared" si="59"/>
        <v>35</v>
      </c>
      <c r="AM138" s="166">
        <f t="shared" si="59"/>
        <v>36</v>
      </c>
      <c r="AN138" s="166">
        <f t="shared" si="59"/>
        <v>37</v>
      </c>
      <c r="AO138" s="166">
        <f t="shared" si="59"/>
        <v>38</v>
      </c>
      <c r="AP138" s="166">
        <f t="shared" si="59"/>
        <v>39</v>
      </c>
      <c r="AQ138" s="166">
        <f t="shared" si="59"/>
        <v>40</v>
      </c>
      <c r="AR138" s="166">
        <f t="shared" si="59"/>
        <v>41</v>
      </c>
      <c r="AS138" s="166">
        <f t="shared" si="59"/>
        <v>42</v>
      </c>
      <c r="AT138" s="166">
        <f t="shared" si="59"/>
        <v>43</v>
      </c>
      <c r="AU138" s="166">
        <f t="shared" si="59"/>
        <v>44</v>
      </c>
      <c r="AV138" s="166">
        <f t="shared" si="59"/>
        <v>45</v>
      </c>
    </row>
    <row r="139" spans="2:48" ht="16.5" customHeight="1" x14ac:dyDescent="0.5">
      <c r="B139" s="143" t="s">
        <v>56</v>
      </c>
    </row>
    <row r="140" spans="2:48" ht="16.5" customHeight="1" x14ac:dyDescent="0.5">
      <c r="B140" s="145" t="s">
        <v>252</v>
      </c>
      <c r="G140" s="399"/>
      <c r="H140" s="399"/>
      <c r="I140" s="399"/>
      <c r="J140" s="399"/>
      <c r="K140" s="399"/>
      <c r="L140" s="399"/>
      <c r="M140" s="399"/>
      <c r="N140" s="399"/>
      <c r="O140" s="399"/>
      <c r="P140" s="399"/>
      <c r="Q140" s="399"/>
      <c r="R140" s="399"/>
      <c r="S140" s="399"/>
      <c r="T140" s="399"/>
      <c r="U140" s="399"/>
      <c r="V140" s="399"/>
      <c r="W140" s="399"/>
      <c r="X140" s="141"/>
      <c r="Y140" s="141"/>
      <c r="Z140" s="141"/>
      <c r="AA140" s="141"/>
      <c r="AB140" s="141"/>
      <c r="AC140" s="141"/>
      <c r="AD140" s="141"/>
      <c r="AE140" s="141"/>
      <c r="AF140" s="141"/>
      <c r="AG140" s="141"/>
      <c r="AH140" s="141"/>
      <c r="AI140" s="141"/>
      <c r="AJ140" s="141"/>
      <c r="AK140" s="141"/>
      <c r="AL140" s="141"/>
      <c r="AM140" s="141"/>
      <c r="AN140" s="141"/>
      <c r="AO140" s="141"/>
      <c r="AP140" s="141"/>
      <c r="AQ140" s="141"/>
      <c r="AR140" s="141"/>
      <c r="AS140" s="141"/>
      <c r="AT140" s="141"/>
      <c r="AU140" s="141"/>
      <c r="AV140" s="141"/>
    </row>
    <row r="141" spans="2:48" ht="16.5" customHeight="1" x14ac:dyDescent="0.5">
      <c r="B141" s="379" t="s">
        <v>299</v>
      </c>
      <c r="G141" s="147">
        <f>'Thông số'!$I$141*G7</f>
        <v>161.67614940736217</v>
      </c>
      <c r="H141" s="147">
        <f>'Thông số'!$I$141*H7</f>
        <v>174.61024135995115</v>
      </c>
      <c r="I141" s="147">
        <f>'Thông số'!$I$140*I7</f>
        <v>523.83072407985355</v>
      </c>
      <c r="J141" s="147">
        <f>'Thông số'!$I$140*J7</f>
        <v>565.73718200624182</v>
      </c>
      <c r="K141" s="147">
        <f>'Thông số'!$I$140*K7</f>
        <v>610.99615656674121</v>
      </c>
      <c r="L141" s="147">
        <f>'Thông số'!$I$140*L7</f>
        <v>659.87584909208056</v>
      </c>
      <c r="M141" s="147">
        <f>'Thông số'!$I$140*M7</f>
        <v>712.66591701944697</v>
      </c>
      <c r="N141" s="147">
        <f>'Thông số'!$I$140*N7</f>
        <v>769.67919038100274</v>
      </c>
      <c r="O141" s="147">
        <f>'Thông số'!$I$140*O7</f>
        <v>831.25352561148304</v>
      </c>
      <c r="P141" s="147">
        <f>'Thông số'!$I$140*P7</f>
        <v>897.75380766040166</v>
      </c>
      <c r="Q141" s="147">
        <f>'Thông số'!$I$140*Q7</f>
        <v>969.57411227323394</v>
      </c>
      <c r="R141" s="147">
        <f>'Thông số'!$I$140*R7</f>
        <v>1047.1400412550927</v>
      </c>
      <c r="S141" s="147">
        <f>'Thông số'!$I$140*S7</f>
        <v>1130.9112445555002</v>
      </c>
      <c r="T141" s="147">
        <f>'Thông số'!$I$140*T7</f>
        <v>1221.3841441199402</v>
      </c>
      <c r="U141" s="147">
        <f>'Thông số'!$I$140*U7</f>
        <v>1319.0948756495357</v>
      </c>
      <c r="V141" s="147">
        <f>'Thông số'!$I$140*V7</f>
        <v>1424.6224657014984</v>
      </c>
      <c r="W141" s="147">
        <f>'Thông số'!$I$140*W7</f>
        <v>1538.5922629576182</v>
      </c>
      <c r="X141" s="402"/>
      <c r="Y141" s="402"/>
      <c r="Z141" s="402"/>
      <c r="AA141" s="402"/>
      <c r="AB141" s="402"/>
      <c r="AC141" s="402"/>
      <c r="AD141" s="402"/>
      <c r="AE141" s="402"/>
      <c r="AF141" s="402"/>
      <c r="AG141" s="402"/>
      <c r="AH141" s="402"/>
      <c r="AI141" s="402"/>
      <c r="AJ141" s="402"/>
      <c r="AK141" s="402"/>
      <c r="AL141" s="402"/>
      <c r="AM141" s="402"/>
      <c r="AN141" s="402"/>
      <c r="AO141" s="402"/>
      <c r="AP141" s="402"/>
      <c r="AQ141" s="402"/>
      <c r="AR141" s="402"/>
      <c r="AS141" s="402"/>
      <c r="AT141" s="402"/>
      <c r="AU141" s="402"/>
      <c r="AV141" s="402"/>
    </row>
    <row r="142" spans="2:48" ht="16.5" customHeight="1" x14ac:dyDescent="0.5">
      <c r="B142" s="145" t="s">
        <v>253</v>
      </c>
      <c r="G142" s="141">
        <f>'Thông số'!$F$149*G7*G10</f>
        <v>920.8352523709442</v>
      </c>
      <c r="H142" s="141">
        <f>'Thông số'!$F$149*H7*H10</f>
        <v>1034.2821554630445</v>
      </c>
      <c r="I142" s="141">
        <f>'Thông số'!$H$149*I7*I10</f>
        <v>4996.0938679515584</v>
      </c>
      <c r="J142" s="141">
        <f>'Thông số'!$H$149*J7*J10</f>
        <v>5611.6126324831912</v>
      </c>
      <c r="K142" s="141">
        <f>'Thông số'!$H$149*K7*K10</f>
        <v>6302.9633088051205</v>
      </c>
      <c r="L142" s="141">
        <f>'Thông số'!$H$149*L7*L10</f>
        <v>7079.4883884499131</v>
      </c>
      <c r="M142" s="141">
        <f>'Thông số'!$H$149*M7*M10</f>
        <v>7951.6813579069421</v>
      </c>
      <c r="N142" s="141">
        <f>'Thông số'!$H$149*N7*N10</f>
        <v>8931.3285012010765</v>
      </c>
      <c r="O142" s="141">
        <f>'Thông số'!$H$149*O7*O10</f>
        <v>10031.668172549051</v>
      </c>
      <c r="P142" s="141">
        <f>'Thông số'!$H$149*P7*P10</f>
        <v>11267.569691407096</v>
      </c>
      <c r="Q142" s="141">
        <f>'Thông số'!$H$149*Q7*Q10</f>
        <v>12655.73427738845</v>
      </c>
      <c r="R142" s="141">
        <f>'Thông số'!$H$149*R7*R10</f>
        <v>14214.92074036271</v>
      </c>
      <c r="S142" s="141">
        <f>'Thông số'!$H$149*S7*S10</f>
        <v>15966.198975575397</v>
      </c>
      <c r="T142" s="141">
        <f>'Thông số'!$H$149*T7*T10</f>
        <v>17933.234689366287</v>
      </c>
      <c r="U142" s="141">
        <f>'Thông số'!$H$149*U7*U10</f>
        <v>20142.609203096217</v>
      </c>
      <c r="V142" s="141">
        <f>'Thông số'!$H$149*V7*V10</f>
        <v>22624.178656917673</v>
      </c>
      <c r="W142" s="141">
        <f>'Thông số'!$H$149*W7*W10</f>
        <v>25411.477467449931</v>
      </c>
      <c r="X142" s="399"/>
      <c r="Y142" s="399"/>
      <c r="Z142" s="399"/>
      <c r="AA142" s="399"/>
      <c r="AB142" s="399"/>
      <c r="AC142" s="399"/>
      <c r="AD142" s="399"/>
      <c r="AE142" s="399"/>
      <c r="AF142" s="399"/>
      <c r="AG142" s="399"/>
      <c r="AH142" s="399"/>
      <c r="AI142" s="399"/>
      <c r="AJ142" s="399"/>
      <c r="AK142" s="399"/>
      <c r="AL142" s="399"/>
      <c r="AM142" s="399"/>
      <c r="AN142" s="399"/>
      <c r="AO142" s="399"/>
      <c r="AP142" s="399"/>
      <c r="AQ142" s="399"/>
      <c r="AR142" s="399"/>
      <c r="AS142" s="399"/>
      <c r="AT142" s="399"/>
      <c r="AU142" s="399"/>
      <c r="AV142" s="399"/>
    </row>
    <row r="143" spans="2:48" ht="16.5" customHeight="1" x14ac:dyDescent="0.5">
      <c r="B143" s="145" t="s">
        <v>254</v>
      </c>
      <c r="G143" s="141">
        <f>'Thông số'!G183*G7*G10</f>
        <v>156.72832819200005</v>
      </c>
      <c r="H143" s="141">
        <f>'Thông số'!H183*H7*H10</f>
        <v>176.03725822525445</v>
      </c>
      <c r="I143" s="141">
        <f>'Thông số'!$I$183*I7*I10</f>
        <v>549.23624566279398</v>
      </c>
      <c r="J143" s="141">
        <f>'Thông số'!$I$183*J7*J10</f>
        <v>616.90215112845021</v>
      </c>
      <c r="K143" s="141">
        <f>'Thông số'!$I$183*K7*K10</f>
        <v>692.90449614747524</v>
      </c>
      <c r="L143" s="141">
        <f>'Thông số'!$I$183*L7*L10</f>
        <v>778.27033007284444</v>
      </c>
      <c r="M143" s="141">
        <f>'Thông số'!$I$183*M7*M10</f>
        <v>874.15323473781893</v>
      </c>
      <c r="N143" s="141">
        <f>'Thông số'!$I$183*N7*N10</f>
        <v>981.84891325751812</v>
      </c>
      <c r="O143" s="141">
        <f>'Thông số'!$I$183*O7*O10</f>
        <v>1102.8126993708445</v>
      </c>
      <c r="P143" s="141">
        <f>'Thông số'!$I$183*P7*P10</f>
        <v>1238.6792239333327</v>
      </c>
      <c r="Q143" s="141">
        <f>'Thông số'!$I$183*Q7*Q10</f>
        <v>1391.2845043219197</v>
      </c>
      <c r="R143" s="141">
        <f>'Thông số'!$I$183*R7*R10</f>
        <v>1562.6907552543803</v>
      </c>
      <c r="S143" s="141">
        <f>'Thông số'!$I$183*S7*S10</f>
        <v>1755.2142563017201</v>
      </c>
      <c r="T143" s="141">
        <f>'Thông số'!$I$183*T7*T10</f>
        <v>1971.4566526780918</v>
      </c>
      <c r="U143" s="141">
        <f>'Thông số'!$I$183*U7*U10</f>
        <v>2214.3401122880332</v>
      </c>
      <c r="V143" s="141">
        <f>'Thông số'!$I$183*V7*V10</f>
        <v>2487.1468141219189</v>
      </c>
      <c r="W143" s="141">
        <f>'Thông số'!$I$183*W7*W10</f>
        <v>2793.5633016217398</v>
      </c>
      <c r="X143" s="399"/>
      <c r="Y143" s="399"/>
      <c r="Z143" s="399"/>
      <c r="AA143" s="399"/>
      <c r="AB143" s="399"/>
      <c r="AC143" s="399"/>
      <c r="AD143" s="399"/>
      <c r="AE143" s="399"/>
      <c r="AF143" s="399"/>
      <c r="AG143" s="399"/>
      <c r="AH143" s="399"/>
      <c r="AI143" s="399"/>
      <c r="AJ143" s="399"/>
      <c r="AK143" s="399"/>
      <c r="AL143" s="399"/>
      <c r="AM143" s="399"/>
      <c r="AN143" s="399"/>
      <c r="AO143" s="399"/>
      <c r="AP143" s="399"/>
      <c r="AQ143" s="399"/>
      <c r="AR143" s="399"/>
      <c r="AS143" s="399"/>
      <c r="AT143" s="399"/>
      <c r="AU143" s="399"/>
      <c r="AV143" s="399"/>
    </row>
    <row r="144" spans="2:48" ht="16.5" customHeight="1" x14ac:dyDescent="0.5">
      <c r="B144" s="145" t="s">
        <v>255</v>
      </c>
      <c r="G144" s="147">
        <f>'Thông số'!$F$157*G7*G10</f>
        <v>25.528106006323203</v>
      </c>
      <c r="H144" s="147">
        <f>'Thông số'!$F$157*H7*H10</f>
        <v>28.673168666302224</v>
      </c>
      <c r="I144" s="147">
        <f>'Thông số'!$H$157*I7*I10</f>
        <v>138.50557257687487</v>
      </c>
      <c r="J144" s="147">
        <f>'Thông số'!$H$157*J7*J10</f>
        <v>155.56945911834589</v>
      </c>
      <c r="K144" s="147">
        <f>'Thông số'!$H$157*K7*K10</f>
        <v>174.73561648172611</v>
      </c>
      <c r="L144" s="147">
        <f>'Thông số'!$H$157*L7*L10</f>
        <v>196.2630444322748</v>
      </c>
      <c r="M144" s="147">
        <f>'Thông số'!$H$157*M7*M10</f>
        <v>220.44265150633103</v>
      </c>
      <c r="N144" s="147">
        <f>'Thông số'!$H$157*N7*N10</f>
        <v>247.60118617191102</v>
      </c>
      <c r="O144" s="147">
        <f>'Thông số'!$H$157*O7*O10</f>
        <v>278.10565230829053</v>
      </c>
      <c r="P144" s="147">
        <f>'Thông số'!$H$157*P7*P10</f>
        <v>312.36826867267195</v>
      </c>
      <c r="Q144" s="147">
        <f>'Thông số'!$H$157*Q7*Q10</f>
        <v>350.8520393731452</v>
      </c>
      <c r="R144" s="147">
        <f>'Thông số'!$H$157*R7*R10</f>
        <v>394.07701062391669</v>
      </c>
      <c r="S144" s="147">
        <f>'Thông số'!$H$157*S7*S10</f>
        <v>442.62729833278325</v>
      </c>
      <c r="T144" s="147">
        <f>'Thông số'!$H$157*T7*T10</f>
        <v>497.15898148738222</v>
      </c>
      <c r="U144" s="147">
        <f>'Thông số'!$H$157*U7*U10</f>
        <v>558.40896800662779</v>
      </c>
      <c r="V144" s="147">
        <f>'Thông số'!$H$157*V7*V10</f>
        <v>627.20495286504433</v>
      </c>
      <c r="W144" s="147">
        <f>'Thông số'!$H$157*W7*W10</f>
        <v>704.47660305801787</v>
      </c>
      <c r="X144" s="402"/>
      <c r="Y144" s="402"/>
      <c r="Z144" s="402"/>
      <c r="AA144" s="402"/>
      <c r="AB144" s="402"/>
      <c r="AC144" s="402"/>
      <c r="AD144" s="402"/>
      <c r="AE144" s="402"/>
      <c r="AF144" s="402"/>
      <c r="AG144" s="402"/>
      <c r="AH144" s="402"/>
      <c r="AI144" s="402"/>
      <c r="AJ144" s="402"/>
      <c r="AK144" s="402"/>
      <c r="AL144" s="402"/>
      <c r="AM144" s="402"/>
      <c r="AN144" s="402"/>
      <c r="AO144" s="402"/>
      <c r="AP144" s="402"/>
      <c r="AQ144" s="402"/>
      <c r="AR144" s="402"/>
      <c r="AS144" s="402"/>
      <c r="AT144" s="402"/>
      <c r="AU144" s="402"/>
      <c r="AV144" s="402"/>
    </row>
    <row r="145" spans="2:48" ht="16.5" customHeight="1" x14ac:dyDescent="0.5">
      <c r="B145" s="145" t="s">
        <v>256</v>
      </c>
      <c r="G145" s="147">
        <f>'Thông số'!$H$177*G7*G10</f>
        <v>3100.7896304194815</v>
      </c>
      <c r="H145" s="147">
        <f>'Thông số'!$H$177*H7*H10</f>
        <v>3482.8069128871621</v>
      </c>
      <c r="I145" s="147">
        <f>'Thông số'!$I$177*I7*I10</f>
        <v>16823.678305601949</v>
      </c>
      <c r="J145" s="147">
        <f>'Thông số'!$I$177*J7*J10</f>
        <v>18896.355472852109</v>
      </c>
      <c r="K145" s="147">
        <f>'Thông số'!$I$177*K7*K10</f>
        <v>21224.386467107492</v>
      </c>
      <c r="L145" s="147">
        <f>'Thông số'!$I$177*L7*L10</f>
        <v>23839.230879855135</v>
      </c>
      <c r="M145" s="147">
        <f>'Thông số'!$I$177*M7*M10</f>
        <v>26776.224124253291</v>
      </c>
      <c r="N145" s="147">
        <f>'Thông số'!$I$177*N7*N10</f>
        <v>30075.054936361295</v>
      </c>
      <c r="O145" s="147">
        <f>'Thông số'!$I$177*O7*O10</f>
        <v>33780.301704521014</v>
      </c>
      <c r="P145" s="147">
        <f>'Thông số'!$I$177*P7*P10</f>
        <v>37942.034874518009</v>
      </c>
      <c r="Q145" s="147">
        <f>'Thông số'!$I$177*Q7*Q10</f>
        <v>42616.493571058636</v>
      </c>
      <c r="R145" s="147">
        <f>'Thông số'!$I$177*R7*R10</f>
        <v>47866.845579013054</v>
      </c>
      <c r="S145" s="147">
        <f>'Thông số'!$I$177*S7*S10</f>
        <v>53764.040954347474</v>
      </c>
      <c r="T145" s="147">
        <f>'Thông số'!$I$177*T7*T10</f>
        <v>60387.770799923092</v>
      </c>
      <c r="U145" s="147">
        <f>'Thông số'!$I$177*U7*U10</f>
        <v>67827.544162473612</v>
      </c>
      <c r="V145" s="147">
        <f>'Thông số'!$I$177*V7*V10</f>
        <v>76183.897603290374</v>
      </c>
      <c r="W145" s="147">
        <f>'Thông số'!$I$177*W7*W10</f>
        <v>85569.753788015747</v>
      </c>
      <c r="X145" s="402"/>
      <c r="Y145" s="402"/>
      <c r="Z145" s="402"/>
      <c r="AA145" s="402"/>
      <c r="AB145" s="402"/>
      <c r="AC145" s="402"/>
      <c r="AD145" s="402"/>
      <c r="AE145" s="402"/>
      <c r="AF145" s="402"/>
      <c r="AG145" s="402"/>
      <c r="AH145" s="402"/>
      <c r="AI145" s="402"/>
      <c r="AJ145" s="402"/>
      <c r="AK145" s="402"/>
      <c r="AL145" s="402"/>
      <c r="AM145" s="402"/>
      <c r="AN145" s="402"/>
      <c r="AO145" s="402"/>
      <c r="AP145" s="402"/>
      <c r="AQ145" s="402"/>
      <c r="AR145" s="402"/>
      <c r="AS145" s="402"/>
      <c r="AT145" s="402"/>
      <c r="AU145" s="402"/>
      <c r="AV145" s="402"/>
    </row>
    <row r="146" spans="2:48" ht="16.5" customHeight="1" x14ac:dyDescent="0.5">
      <c r="B146" s="145" t="s">
        <v>309</v>
      </c>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7"/>
      <c r="AL146" s="147"/>
      <c r="AM146" s="147"/>
      <c r="AN146" s="147"/>
      <c r="AO146" s="147"/>
      <c r="AP146" s="147"/>
      <c r="AQ146" s="147"/>
      <c r="AR146" s="147"/>
      <c r="AS146" s="147"/>
      <c r="AT146" s="147"/>
      <c r="AU146" s="147"/>
      <c r="AV146" s="147">
        <f>('Thông số'!D112/C7+'Thông số'!E112/D7+'Thông số'!F112/E7+'Thông số'!G112/F7+'Thông số'!H112/G7+'Thông số'!I112/H7)*AV7</f>
        <v>809686.10457588965</v>
      </c>
    </row>
    <row r="147" spans="2:48" ht="16.5" customHeight="1" x14ac:dyDescent="0.5">
      <c r="B147" s="145" t="s">
        <v>308</v>
      </c>
      <c r="G147" s="147"/>
      <c r="H147" s="147"/>
      <c r="I147" s="147"/>
      <c r="J147" s="147"/>
      <c r="K147" s="147"/>
      <c r="L147" s="147"/>
      <c r="M147" s="147"/>
      <c r="N147" s="147"/>
      <c r="O147" s="147"/>
      <c r="P147" s="147"/>
      <c r="Q147" s="147"/>
      <c r="R147" s="147"/>
      <c r="S147" s="147"/>
      <c r="T147" s="147"/>
      <c r="U147" s="147"/>
      <c r="V147" s="147"/>
      <c r="W147" s="147">
        <f>('Thông số'!G113/F7+'Thông số'!H113/G7+'Thông số'!I113/H7)*W7</f>
        <v>1813.4149885121747</v>
      </c>
      <c r="X147" s="147"/>
      <c r="Y147" s="147"/>
      <c r="Z147" s="147"/>
      <c r="AA147" s="147"/>
      <c r="AB147" s="147"/>
      <c r="AC147" s="147"/>
      <c r="AD147" s="147"/>
      <c r="AE147" s="147"/>
      <c r="AF147" s="147"/>
      <c r="AG147" s="147"/>
      <c r="AH147" s="147"/>
      <c r="AI147" s="147"/>
      <c r="AJ147" s="147"/>
      <c r="AK147" s="147"/>
      <c r="AL147" s="147"/>
      <c r="AM147" s="147"/>
      <c r="AN147" s="147"/>
      <c r="AO147" s="147"/>
      <c r="AP147" s="147"/>
      <c r="AQ147" s="147"/>
      <c r="AR147" s="147"/>
      <c r="AS147" s="147"/>
      <c r="AT147" s="147"/>
      <c r="AU147" s="147"/>
      <c r="AV147" s="147"/>
    </row>
    <row r="148" spans="2:48" ht="16.5" customHeight="1" x14ac:dyDescent="0.5">
      <c r="B148" s="137" t="s">
        <v>311</v>
      </c>
      <c r="AV148" s="399"/>
    </row>
    <row r="149" spans="2:48" s="151" customFormat="1" ht="16.5" customHeight="1" x14ac:dyDescent="0.5">
      <c r="B149" s="374" t="s">
        <v>57</v>
      </c>
      <c r="G149" s="285">
        <f>SUM(G140:G148)</f>
        <v>4365.5574663961115</v>
      </c>
      <c r="H149" s="285">
        <f t="shared" ref="H149:AV149" si="60">SUM(H140:H148)</f>
        <v>4896.409736601714</v>
      </c>
      <c r="I149" s="285">
        <f t="shared" si="60"/>
        <v>23031.344715873031</v>
      </c>
      <c r="J149" s="285">
        <f t="shared" si="60"/>
        <v>25846.176897588339</v>
      </c>
      <c r="K149" s="285">
        <f t="shared" si="60"/>
        <v>29005.986045108555</v>
      </c>
      <c r="L149" s="285">
        <f t="shared" si="60"/>
        <v>32553.128491902247</v>
      </c>
      <c r="M149" s="285">
        <f t="shared" si="60"/>
        <v>36535.167285423828</v>
      </c>
      <c r="N149" s="285">
        <f t="shared" si="60"/>
        <v>41005.512727372799</v>
      </c>
      <c r="O149" s="285">
        <f t="shared" si="60"/>
        <v>46024.14175436068</v>
      </c>
      <c r="P149" s="285">
        <f t="shared" si="60"/>
        <v>51658.405866191511</v>
      </c>
      <c r="Q149" s="285">
        <f t="shared" si="60"/>
        <v>57983.93850441539</v>
      </c>
      <c r="R149" s="285">
        <f t="shared" si="60"/>
        <v>65085.674126509155</v>
      </c>
      <c r="S149" s="285">
        <f t="shared" si="60"/>
        <v>73058.99272911287</v>
      </c>
      <c r="T149" s="285">
        <f t="shared" si="60"/>
        <v>82011.005267574787</v>
      </c>
      <c r="U149" s="285">
        <f t="shared" si="60"/>
        <v>92061.99732151402</v>
      </c>
      <c r="V149" s="285">
        <f t="shared" si="60"/>
        <v>103347.05049289651</v>
      </c>
      <c r="W149" s="285">
        <f>SUM(W140:W148)</f>
        <v>117831.27841161523</v>
      </c>
      <c r="X149" s="285">
        <f t="shared" si="60"/>
        <v>0</v>
      </c>
      <c r="Y149" s="285">
        <f t="shared" si="60"/>
        <v>0</v>
      </c>
      <c r="Z149" s="285">
        <f t="shared" si="60"/>
        <v>0</v>
      </c>
      <c r="AA149" s="285">
        <f t="shared" si="60"/>
        <v>0</v>
      </c>
      <c r="AB149" s="285">
        <f t="shared" si="60"/>
        <v>0</v>
      </c>
      <c r="AC149" s="285">
        <f t="shared" si="60"/>
        <v>0</v>
      </c>
      <c r="AD149" s="285">
        <f t="shared" si="60"/>
        <v>0</v>
      </c>
      <c r="AE149" s="285">
        <f t="shared" si="60"/>
        <v>0</v>
      </c>
      <c r="AF149" s="285">
        <f t="shared" si="60"/>
        <v>0</v>
      </c>
      <c r="AG149" s="285">
        <f t="shared" si="60"/>
        <v>0</v>
      </c>
      <c r="AH149" s="285">
        <f t="shared" si="60"/>
        <v>0</v>
      </c>
      <c r="AI149" s="285">
        <f t="shared" si="60"/>
        <v>0</v>
      </c>
      <c r="AJ149" s="285">
        <f t="shared" si="60"/>
        <v>0</v>
      </c>
      <c r="AK149" s="285">
        <f t="shared" si="60"/>
        <v>0</v>
      </c>
      <c r="AL149" s="285">
        <f t="shared" si="60"/>
        <v>0</v>
      </c>
      <c r="AM149" s="285">
        <f t="shared" si="60"/>
        <v>0</v>
      </c>
      <c r="AN149" s="285">
        <f t="shared" si="60"/>
        <v>0</v>
      </c>
      <c r="AO149" s="285">
        <f t="shared" si="60"/>
        <v>0</v>
      </c>
      <c r="AP149" s="285">
        <f t="shared" si="60"/>
        <v>0</v>
      </c>
      <c r="AQ149" s="285">
        <f t="shared" si="60"/>
        <v>0</v>
      </c>
      <c r="AR149" s="285">
        <f t="shared" si="60"/>
        <v>0</v>
      </c>
      <c r="AS149" s="285">
        <f t="shared" si="60"/>
        <v>0</v>
      </c>
      <c r="AT149" s="285">
        <f t="shared" si="60"/>
        <v>0</v>
      </c>
      <c r="AU149" s="285">
        <f t="shared" si="60"/>
        <v>0</v>
      </c>
      <c r="AV149" s="285">
        <f t="shared" si="60"/>
        <v>809686.10457588965</v>
      </c>
    </row>
    <row r="150" spans="2:48" ht="16.5" customHeight="1" x14ac:dyDescent="0.5">
      <c r="B150" s="143" t="s">
        <v>58</v>
      </c>
    </row>
    <row r="151" spans="2:48" ht="16.5" customHeight="1" x14ac:dyDescent="0.5">
      <c r="B151" s="145" t="s">
        <v>249</v>
      </c>
      <c r="C151" s="147">
        <f>'Thông số'!C57*C7</f>
        <v>4341.7489177489178</v>
      </c>
      <c r="D151" s="147">
        <f>'Thông số'!D57*D7</f>
        <v>7853.498181818175</v>
      </c>
      <c r="E151" s="147">
        <f>'Thông số'!E57*E7</f>
        <v>8481.7780363636284</v>
      </c>
      <c r="F151" s="147">
        <f>'Thông số'!F57*F7</f>
        <v>10568.492883116884</v>
      </c>
      <c r="G151" s="147">
        <f>'Thông số'!G57*G7</f>
        <v>18801.839635948054</v>
      </c>
      <c r="H151" s="147">
        <f>'Thông số'!H57*H7</f>
        <v>14159.488507372056</v>
      </c>
    </row>
    <row r="152" spans="2:48" ht="16.5" customHeight="1" x14ac:dyDescent="0.5">
      <c r="B152" s="145" t="s">
        <v>250</v>
      </c>
      <c r="C152" s="147"/>
      <c r="D152" s="147"/>
      <c r="E152" s="147"/>
      <c r="F152" s="402"/>
      <c r="G152" s="402"/>
      <c r="H152" s="402"/>
    </row>
    <row r="153" spans="2:48" ht="16.5" customHeight="1" x14ac:dyDescent="0.5">
      <c r="B153" s="145" t="s">
        <v>251</v>
      </c>
      <c r="C153" s="147">
        <f>'Thông số'!C56*C7</f>
        <v>1600</v>
      </c>
      <c r="D153" s="147"/>
      <c r="E153" s="147"/>
      <c r="F153" s="147">
        <f>'Thông số'!F56*F7</f>
        <v>4031.0784000000003</v>
      </c>
      <c r="G153" s="147"/>
      <c r="H153" s="147"/>
    </row>
    <row r="154" spans="2:48" ht="16.5" customHeight="1" x14ac:dyDescent="0.5">
      <c r="B154" s="145" t="s">
        <v>314</v>
      </c>
      <c r="G154" s="141">
        <f>'Thông số'!$I$88*'Thông số'!$F$16*G7</f>
        <v>127.63906532160173</v>
      </c>
      <c r="H154" s="141">
        <f>'Thông số'!$I$88*'Thông số'!$F$16*H7</f>
        <v>137.85019054732987</v>
      </c>
      <c r="I154" s="141">
        <f>'Thông số'!$I$88*I7</f>
        <v>413.55057164198973</v>
      </c>
      <c r="J154" s="141">
        <f>'Thông số'!$I$88*J7</f>
        <v>446.63461737334887</v>
      </c>
      <c r="K154" s="141">
        <f>'Thông số'!$I$88*K7</f>
        <v>482.3653867632168</v>
      </c>
      <c r="L154" s="141">
        <f>'Thông số'!$I$88*L7</f>
        <v>520.95461770427414</v>
      </c>
      <c r="M154" s="141">
        <f>'Thông số'!$I$88*M7</f>
        <v>562.63098712061617</v>
      </c>
      <c r="N154" s="141">
        <f>'Thông số'!$I$88*N7</f>
        <v>607.64146609026545</v>
      </c>
      <c r="O154" s="141">
        <f>'Thông số'!$I$88*O7</f>
        <v>656.25278337748671</v>
      </c>
      <c r="P154" s="141">
        <f>'Thông số'!$I$88*P7</f>
        <v>708.75300604768563</v>
      </c>
      <c r="Q154" s="141">
        <f>'Thông số'!$I$88*Q7</f>
        <v>765.45324653150067</v>
      </c>
      <c r="R154" s="141">
        <f>'Thông số'!$I$88*R7</f>
        <v>826.68950625402078</v>
      </c>
      <c r="S154" s="141">
        <f>'Thông số'!$I$88*S7</f>
        <v>892.82466675434239</v>
      </c>
      <c r="T154" s="141">
        <f>'Thông số'!$I$88*T7</f>
        <v>964.25064009468986</v>
      </c>
      <c r="U154" s="141">
        <f>'Thông số'!$I$88*U7</f>
        <v>1041.3906913022652</v>
      </c>
      <c r="V154" s="141">
        <f>'Thông số'!$I$88*V7</f>
        <v>1124.7019466064464</v>
      </c>
      <c r="W154" s="141">
        <f>'Thông số'!$I$88*W7</f>
        <v>1214.678102334962</v>
      </c>
      <c r="X154" s="141">
        <f>'Thông số'!$I$88*X7</f>
        <v>1311.852350521759</v>
      </c>
      <c r="Y154" s="141">
        <f>'Thông số'!$I$88*Y7</f>
        <v>1416.8005385634999</v>
      </c>
      <c r="Z154" s="141">
        <f>'Thông số'!$I$88*Z7</f>
        <v>1530.14458164858</v>
      </c>
      <c r="AA154" s="141">
        <f>'Thông số'!$I$88*AA7</f>
        <v>1652.5561481804664</v>
      </c>
      <c r="AB154" s="141">
        <f>'Thông số'!$I$88*AB7</f>
        <v>1784.7606400349041</v>
      </c>
      <c r="AC154" s="141">
        <f>'Thông số'!$I$88*AC7</f>
        <v>1927.5414912376962</v>
      </c>
      <c r="AD154" s="141">
        <f>'Thông số'!$I$88*AD7</f>
        <v>2081.7448105367121</v>
      </c>
      <c r="AE154" s="141">
        <f>'Thông số'!$I$88*AE7</f>
        <v>2248.2843953796491</v>
      </c>
      <c r="AF154" s="141">
        <f>'Thông số'!$I$88*AF7</f>
        <v>2428.1471470100209</v>
      </c>
      <c r="AG154" s="141">
        <f>'Thông số'!$I$88*AG7</f>
        <v>2622.398918770823</v>
      </c>
      <c r="AH154" s="141">
        <f>'Thông số'!$I$88*AH7</f>
        <v>2832.1908322724894</v>
      </c>
      <c r="AI154" s="141">
        <f>'Thông số'!$I$88*AI7</f>
        <v>3058.7660988542884</v>
      </c>
      <c r="AJ154" s="141">
        <f>'Thông số'!$I$88*AJ7</f>
        <v>3303.4673867626316</v>
      </c>
      <c r="AK154" s="141">
        <f>'Thông số'!$I$88*AK7</f>
        <v>3567.7447777036423</v>
      </c>
      <c r="AL154" s="141">
        <f>'Thông số'!$I$88*AL7</f>
        <v>3853.1643599199338</v>
      </c>
      <c r="AM154" s="141">
        <f>'Thông số'!$I$88*AM7</f>
        <v>4161.4175087135291</v>
      </c>
      <c r="AN154" s="141">
        <f>'Thông số'!$I$88*AN7</f>
        <v>4494.3309094106116</v>
      </c>
      <c r="AO154" s="141">
        <f>'Thông số'!$I$88*AO7</f>
        <v>4853.8773821634613</v>
      </c>
      <c r="AP154" s="141">
        <f>'Thông số'!$I$88*AP7</f>
        <v>5242.1875727365377</v>
      </c>
      <c r="AQ154" s="141">
        <f>'Thông số'!$I$88*AQ7</f>
        <v>5661.5625785554612</v>
      </c>
      <c r="AR154" s="141">
        <f>'Thông số'!$I$88*AR7</f>
        <v>6114.4875848398988</v>
      </c>
      <c r="AS154" s="141">
        <f>'Thông số'!$I$88*AS7</f>
        <v>6603.6465916270899</v>
      </c>
      <c r="AT154" s="141">
        <f>'Thông số'!$I$88*AT7</f>
        <v>7131.9383189572573</v>
      </c>
      <c r="AU154" s="141">
        <f>'Thông số'!$I$88*AU7</f>
        <v>7702.4933844738389</v>
      </c>
      <c r="AV154" s="141">
        <f>'Thông số'!$I$88*AV7</f>
        <v>8318.6928552317459</v>
      </c>
    </row>
    <row r="155" spans="2:48" ht="16.5" customHeight="1" x14ac:dyDescent="0.5">
      <c r="B155" s="145" t="s">
        <v>313</v>
      </c>
      <c r="G155" s="399"/>
      <c r="H155" s="399"/>
      <c r="I155" s="399"/>
      <c r="J155" s="399"/>
      <c r="K155" s="399"/>
      <c r="L155" s="399"/>
      <c r="M155" s="399"/>
      <c r="N155" s="399"/>
      <c r="O155" s="399"/>
      <c r="P155" s="399"/>
      <c r="Q155" s="399"/>
      <c r="R155" s="399"/>
      <c r="S155" s="399"/>
      <c r="T155" s="399"/>
      <c r="U155" s="399"/>
      <c r="V155" s="399"/>
      <c r="W155" s="399"/>
      <c r="X155" s="141"/>
      <c r="Y155" s="141"/>
      <c r="Z155" s="141"/>
      <c r="AA155" s="141"/>
      <c r="AB155" s="141"/>
      <c r="AC155" s="141"/>
      <c r="AD155" s="141"/>
      <c r="AE155" s="141"/>
      <c r="AF155" s="141"/>
      <c r="AG155" s="141"/>
      <c r="AH155" s="141"/>
      <c r="AI155" s="141"/>
      <c r="AJ155" s="141"/>
      <c r="AK155" s="141"/>
      <c r="AL155" s="141"/>
      <c r="AM155" s="141"/>
      <c r="AN155" s="141"/>
      <c r="AO155" s="141"/>
      <c r="AP155" s="141"/>
      <c r="AQ155" s="141"/>
      <c r="AR155" s="141"/>
      <c r="AS155" s="141"/>
      <c r="AT155" s="141"/>
      <c r="AU155" s="141"/>
      <c r="AV155" s="141"/>
    </row>
    <row r="156" spans="2:48" s="151" customFormat="1" ht="16.5" customHeight="1" x14ac:dyDescent="0.5">
      <c r="B156" s="375" t="s">
        <v>59</v>
      </c>
      <c r="C156" s="376">
        <f>SUM(C151:C155)</f>
        <v>5941.7489177489178</v>
      </c>
      <c r="D156" s="376">
        <f t="shared" ref="D156:AV156" si="61">SUM(D151:D155)</f>
        <v>7853.498181818175</v>
      </c>
      <c r="E156" s="376">
        <f t="shared" si="61"/>
        <v>8481.7780363636284</v>
      </c>
      <c r="F156" s="376">
        <f t="shared" si="61"/>
        <v>14599.571283116884</v>
      </c>
      <c r="G156" s="376">
        <f t="shared" si="61"/>
        <v>18929.478701269654</v>
      </c>
      <c r="H156" s="376">
        <f t="shared" si="61"/>
        <v>14297.338697919386</v>
      </c>
      <c r="I156" s="376">
        <f t="shared" si="61"/>
        <v>413.55057164198973</v>
      </c>
      <c r="J156" s="376">
        <f t="shared" si="61"/>
        <v>446.63461737334887</v>
      </c>
      <c r="K156" s="376">
        <f t="shared" si="61"/>
        <v>482.3653867632168</v>
      </c>
      <c r="L156" s="376">
        <f t="shared" si="61"/>
        <v>520.95461770427414</v>
      </c>
      <c r="M156" s="376">
        <f t="shared" si="61"/>
        <v>562.63098712061617</v>
      </c>
      <c r="N156" s="376">
        <f t="shared" si="61"/>
        <v>607.64146609026545</v>
      </c>
      <c r="O156" s="376">
        <f t="shared" si="61"/>
        <v>656.25278337748671</v>
      </c>
      <c r="P156" s="376">
        <f t="shared" si="61"/>
        <v>708.75300604768563</v>
      </c>
      <c r="Q156" s="376">
        <f t="shared" si="61"/>
        <v>765.45324653150067</v>
      </c>
      <c r="R156" s="376">
        <f t="shared" si="61"/>
        <v>826.68950625402078</v>
      </c>
      <c r="S156" s="376">
        <f t="shared" si="61"/>
        <v>892.82466675434239</v>
      </c>
      <c r="T156" s="376">
        <f t="shared" si="61"/>
        <v>964.25064009468986</v>
      </c>
      <c r="U156" s="376">
        <f t="shared" si="61"/>
        <v>1041.3906913022652</v>
      </c>
      <c r="V156" s="376">
        <f t="shared" si="61"/>
        <v>1124.7019466064464</v>
      </c>
      <c r="W156" s="376">
        <f t="shared" si="61"/>
        <v>1214.678102334962</v>
      </c>
      <c r="X156" s="376">
        <f t="shared" si="61"/>
        <v>1311.852350521759</v>
      </c>
      <c r="Y156" s="376">
        <f t="shared" si="61"/>
        <v>1416.8005385634999</v>
      </c>
      <c r="Z156" s="376">
        <f t="shared" si="61"/>
        <v>1530.14458164858</v>
      </c>
      <c r="AA156" s="376">
        <f t="shared" si="61"/>
        <v>1652.5561481804664</v>
      </c>
      <c r="AB156" s="376">
        <f t="shared" si="61"/>
        <v>1784.7606400349041</v>
      </c>
      <c r="AC156" s="376">
        <f t="shared" si="61"/>
        <v>1927.5414912376962</v>
      </c>
      <c r="AD156" s="376">
        <f t="shared" si="61"/>
        <v>2081.7448105367121</v>
      </c>
      <c r="AE156" s="376">
        <f t="shared" si="61"/>
        <v>2248.2843953796491</v>
      </c>
      <c r="AF156" s="376">
        <f t="shared" si="61"/>
        <v>2428.1471470100209</v>
      </c>
      <c r="AG156" s="376">
        <f t="shared" si="61"/>
        <v>2622.398918770823</v>
      </c>
      <c r="AH156" s="376">
        <f t="shared" si="61"/>
        <v>2832.1908322724894</v>
      </c>
      <c r="AI156" s="376">
        <f t="shared" si="61"/>
        <v>3058.7660988542884</v>
      </c>
      <c r="AJ156" s="376">
        <f t="shared" si="61"/>
        <v>3303.4673867626316</v>
      </c>
      <c r="AK156" s="376">
        <f t="shared" si="61"/>
        <v>3567.7447777036423</v>
      </c>
      <c r="AL156" s="376">
        <f t="shared" si="61"/>
        <v>3853.1643599199338</v>
      </c>
      <c r="AM156" s="376">
        <f t="shared" si="61"/>
        <v>4161.4175087135291</v>
      </c>
      <c r="AN156" s="376">
        <f t="shared" si="61"/>
        <v>4494.3309094106116</v>
      </c>
      <c r="AO156" s="376">
        <f t="shared" si="61"/>
        <v>4853.8773821634613</v>
      </c>
      <c r="AP156" s="376">
        <f t="shared" si="61"/>
        <v>5242.1875727365377</v>
      </c>
      <c r="AQ156" s="376">
        <f t="shared" si="61"/>
        <v>5661.5625785554612</v>
      </c>
      <c r="AR156" s="376">
        <f t="shared" si="61"/>
        <v>6114.4875848398988</v>
      </c>
      <c r="AS156" s="376">
        <f t="shared" si="61"/>
        <v>6603.6465916270899</v>
      </c>
      <c r="AT156" s="376">
        <f t="shared" si="61"/>
        <v>7131.9383189572573</v>
      </c>
      <c r="AU156" s="376">
        <f t="shared" si="61"/>
        <v>7702.4933844738389</v>
      </c>
      <c r="AV156" s="376">
        <f t="shared" si="61"/>
        <v>8318.6928552317459</v>
      </c>
    </row>
    <row r="157" spans="2:48" ht="16.5" customHeight="1" x14ac:dyDescent="0.5">
      <c r="B157" s="185" t="s">
        <v>216</v>
      </c>
      <c r="C157" s="186">
        <f>C149-C156</f>
        <v>-5941.7489177489178</v>
      </c>
      <c r="D157" s="186">
        <f t="shared" ref="D157:AV157" si="62">D149-D156</f>
        <v>-7853.498181818175</v>
      </c>
      <c r="E157" s="186">
        <f t="shared" si="62"/>
        <v>-8481.7780363636284</v>
      </c>
      <c r="F157" s="186">
        <f t="shared" si="62"/>
        <v>-14599.571283116884</v>
      </c>
      <c r="G157" s="186">
        <f t="shared" si="62"/>
        <v>-14563.921234873542</v>
      </c>
      <c r="H157" s="186">
        <f t="shared" si="62"/>
        <v>-9400.9289613176716</v>
      </c>
      <c r="I157" s="186">
        <f t="shared" si="62"/>
        <v>22617.79414423104</v>
      </c>
      <c r="J157" s="186">
        <f t="shared" si="62"/>
        <v>25399.542280214991</v>
      </c>
      <c r="K157" s="186">
        <f t="shared" si="62"/>
        <v>28523.620658345339</v>
      </c>
      <c r="L157" s="186">
        <f t="shared" si="62"/>
        <v>32032.173874197972</v>
      </c>
      <c r="M157" s="186">
        <f t="shared" si="62"/>
        <v>35972.53629830321</v>
      </c>
      <c r="N157" s="186">
        <f t="shared" si="62"/>
        <v>40397.871261282533</v>
      </c>
      <c r="O157" s="186">
        <f t="shared" si="62"/>
        <v>45367.888970983193</v>
      </c>
      <c r="P157" s="186">
        <f t="shared" si="62"/>
        <v>50949.652860143826</v>
      </c>
      <c r="Q157" s="186">
        <f t="shared" si="62"/>
        <v>57218.485257883891</v>
      </c>
      <c r="R157" s="186">
        <f t="shared" si="62"/>
        <v>64258.984620255134</v>
      </c>
      <c r="S157" s="186">
        <f t="shared" si="62"/>
        <v>72166.168062358527</v>
      </c>
      <c r="T157" s="186">
        <f t="shared" si="62"/>
        <v>81046.754627480099</v>
      </c>
      <c r="U157" s="186">
        <f t="shared" si="62"/>
        <v>91020.606630211754</v>
      </c>
      <c r="V157" s="186">
        <f t="shared" si="62"/>
        <v>102222.34854629006</v>
      </c>
      <c r="W157" s="186">
        <f t="shared" si="62"/>
        <v>116616.60030928027</v>
      </c>
      <c r="X157" s="186">
        <f t="shared" si="62"/>
        <v>-1311.852350521759</v>
      </c>
      <c r="Y157" s="186">
        <f t="shared" si="62"/>
        <v>-1416.8005385634999</v>
      </c>
      <c r="Z157" s="186">
        <f t="shared" si="62"/>
        <v>-1530.14458164858</v>
      </c>
      <c r="AA157" s="186">
        <f t="shared" si="62"/>
        <v>-1652.5561481804664</v>
      </c>
      <c r="AB157" s="186">
        <f t="shared" si="62"/>
        <v>-1784.7606400349041</v>
      </c>
      <c r="AC157" s="186">
        <f t="shared" si="62"/>
        <v>-1927.5414912376962</v>
      </c>
      <c r="AD157" s="186">
        <f t="shared" si="62"/>
        <v>-2081.7448105367121</v>
      </c>
      <c r="AE157" s="186">
        <f t="shared" si="62"/>
        <v>-2248.2843953796491</v>
      </c>
      <c r="AF157" s="186">
        <f t="shared" si="62"/>
        <v>-2428.1471470100209</v>
      </c>
      <c r="AG157" s="186">
        <f t="shared" si="62"/>
        <v>-2622.398918770823</v>
      </c>
      <c r="AH157" s="186">
        <f t="shared" si="62"/>
        <v>-2832.1908322724894</v>
      </c>
      <c r="AI157" s="186">
        <f t="shared" si="62"/>
        <v>-3058.7660988542884</v>
      </c>
      <c r="AJ157" s="186">
        <f t="shared" si="62"/>
        <v>-3303.4673867626316</v>
      </c>
      <c r="AK157" s="186">
        <f t="shared" si="62"/>
        <v>-3567.7447777036423</v>
      </c>
      <c r="AL157" s="186">
        <f t="shared" si="62"/>
        <v>-3853.1643599199338</v>
      </c>
      <c r="AM157" s="186">
        <f t="shared" si="62"/>
        <v>-4161.4175087135291</v>
      </c>
      <c r="AN157" s="186">
        <f t="shared" si="62"/>
        <v>-4494.3309094106116</v>
      </c>
      <c r="AO157" s="186">
        <f t="shared" si="62"/>
        <v>-4853.8773821634613</v>
      </c>
      <c r="AP157" s="186">
        <f t="shared" si="62"/>
        <v>-5242.1875727365377</v>
      </c>
      <c r="AQ157" s="186">
        <f t="shared" si="62"/>
        <v>-5661.5625785554612</v>
      </c>
      <c r="AR157" s="186">
        <f t="shared" si="62"/>
        <v>-6114.4875848398988</v>
      </c>
      <c r="AS157" s="186">
        <f t="shared" si="62"/>
        <v>-6603.6465916270899</v>
      </c>
      <c r="AT157" s="186">
        <f t="shared" si="62"/>
        <v>-7131.9383189572573</v>
      </c>
      <c r="AU157" s="186">
        <f t="shared" si="62"/>
        <v>-7702.4933844738389</v>
      </c>
      <c r="AV157" s="186">
        <f t="shared" si="62"/>
        <v>801367.41172065795</v>
      </c>
    </row>
    <row r="158" spans="2:48" ht="16.5" customHeight="1" x14ac:dyDescent="0.5">
      <c r="B158" s="201" t="s">
        <v>217</v>
      </c>
      <c r="C158" s="202">
        <f t="shared" ref="C158:AV158" si="63">C157/C9</f>
        <v>-74.27186147186147</v>
      </c>
      <c r="D158" s="202">
        <f t="shared" si="63"/>
        <v>-92.714909090909018</v>
      </c>
      <c r="E158" s="202">
        <f t="shared" si="63"/>
        <v>-94.569207272727169</v>
      </c>
      <c r="F158" s="202">
        <f t="shared" si="63"/>
        <v>-153.73734077922074</v>
      </c>
      <c r="G158" s="202">
        <f t="shared" si="63"/>
        <v>-144.84182878203981</v>
      </c>
      <c r="H158" s="202">
        <f t="shared" si="63"/>
        <v>-88.3004395199698</v>
      </c>
      <c r="I158" s="202">
        <f t="shared" si="63"/>
        <v>200.64057218963856</v>
      </c>
      <c r="J158" s="202">
        <f t="shared" si="63"/>
        <v>212.79960490721922</v>
      </c>
      <c r="K158" s="202">
        <f t="shared" si="63"/>
        <v>225.69710853259787</v>
      </c>
      <c r="L158" s="202">
        <f t="shared" si="63"/>
        <v>239.37796613133986</v>
      </c>
      <c r="M158" s="202">
        <f t="shared" si="63"/>
        <v>253.88978934008463</v>
      </c>
      <c r="N158" s="202">
        <f t="shared" si="63"/>
        <v>269.28308425728017</v>
      </c>
      <c r="O158" s="202">
        <f t="shared" si="63"/>
        <v>285.61142741994774</v>
      </c>
      <c r="P158" s="202">
        <f t="shared" si="63"/>
        <v>302.931652479702</v>
      </c>
      <c r="Q158" s="202">
        <f t="shared" si="63"/>
        <v>321.30404822854166</v>
      </c>
      <c r="R158" s="202">
        <f t="shared" si="63"/>
        <v>340.79256866447201</v>
      </c>
      <c r="S158" s="202">
        <f t="shared" si="63"/>
        <v>361.46505582897998</v>
      </c>
      <c r="T158" s="202">
        <f t="shared" si="63"/>
        <v>383.39347619288418</v>
      </c>
      <c r="U158" s="202">
        <f t="shared" si="63"/>
        <v>406.65417141430351</v>
      </c>
      <c r="V158" s="202">
        <f t="shared" si="63"/>
        <v>431.32812434256317</v>
      </c>
      <c r="W158" s="202">
        <f t="shared" si="63"/>
        <v>464.72786653406445</v>
      </c>
      <c r="X158" s="202">
        <f t="shared" si="63"/>
        <v>-4.9374159146914156</v>
      </c>
      <c r="Y158" s="202">
        <f t="shared" si="63"/>
        <v>-5.0361642329852438</v>
      </c>
      <c r="Z158" s="202">
        <f t="shared" si="63"/>
        <v>-5.136887517644948</v>
      </c>
      <c r="AA158" s="202">
        <f t="shared" si="63"/>
        <v>-5.2396252679978463</v>
      </c>
      <c r="AB158" s="202">
        <f t="shared" si="63"/>
        <v>-5.3444177733578053</v>
      </c>
      <c r="AC158" s="202">
        <f t="shared" si="63"/>
        <v>-5.4513061288249611</v>
      </c>
      <c r="AD158" s="202">
        <f t="shared" si="63"/>
        <v>-5.5603322514014604</v>
      </c>
      <c r="AE158" s="202">
        <f t="shared" si="63"/>
        <v>-5.6715388964294906</v>
      </c>
      <c r="AF158" s="202">
        <f t="shared" si="63"/>
        <v>-5.7849696743580781</v>
      </c>
      <c r="AG158" s="202">
        <f t="shared" si="63"/>
        <v>-5.9006690678452403</v>
      </c>
      <c r="AH158" s="202">
        <f t="shared" si="63"/>
        <v>-6.0186824492021449</v>
      </c>
      <c r="AI158" s="202">
        <f t="shared" si="63"/>
        <v>-6.139056098186189</v>
      </c>
      <c r="AJ158" s="202">
        <f t="shared" si="63"/>
        <v>-6.2618372201499124</v>
      </c>
      <c r="AK158" s="202">
        <f t="shared" si="63"/>
        <v>-6.3870739645529095</v>
      </c>
      <c r="AL158" s="202">
        <f t="shared" si="63"/>
        <v>-6.5148154438439674</v>
      </c>
      <c r="AM158" s="202">
        <f t="shared" si="63"/>
        <v>-6.6451117527208465</v>
      </c>
      <c r="AN158" s="202">
        <f t="shared" si="63"/>
        <v>-6.7780139877752648</v>
      </c>
      <c r="AO158" s="202">
        <f t="shared" si="63"/>
        <v>-6.9135742675307723</v>
      </c>
      <c r="AP158" s="202">
        <f t="shared" si="63"/>
        <v>-7.051845752881384</v>
      </c>
      <c r="AQ158" s="202">
        <f t="shared" si="63"/>
        <v>-7.1928826679390134</v>
      </c>
      <c r="AR158" s="202">
        <f t="shared" si="63"/>
        <v>-7.3367403212977935</v>
      </c>
      <c r="AS158" s="202">
        <f t="shared" si="63"/>
        <v>-7.4834751277237492</v>
      </c>
      <c r="AT158" s="202">
        <f t="shared" si="63"/>
        <v>-7.633144630278224</v>
      </c>
      <c r="AU158" s="202">
        <f t="shared" si="63"/>
        <v>-7.785807522883788</v>
      </c>
      <c r="AV158" s="202">
        <f t="shared" si="63"/>
        <v>765.03344719856079</v>
      </c>
    </row>
    <row r="159" spans="2:48" ht="16.5" customHeight="1" x14ac:dyDescent="0.5"/>
    <row r="160" spans="2:48" ht="16.5" customHeight="1" x14ac:dyDescent="0.5">
      <c r="B160" s="271" t="s">
        <v>44</v>
      </c>
      <c r="C160" s="279" t="s">
        <v>60</v>
      </c>
      <c r="D160" s="281"/>
      <c r="E160" s="281"/>
      <c r="F160" s="281"/>
      <c r="G160" s="288"/>
      <c r="H160" s="288"/>
      <c r="I160" s="288"/>
      <c r="J160" s="288"/>
      <c r="K160" s="288"/>
      <c r="L160" s="288"/>
      <c r="M160" s="288"/>
    </row>
    <row r="161" spans="2:48" ht="16.5" customHeight="1" x14ac:dyDescent="0.5">
      <c r="B161" s="274" t="s">
        <v>4</v>
      </c>
      <c r="C161" s="282">
        <v>0.06</v>
      </c>
      <c r="D161" s="282">
        <f>C161+3%</f>
        <v>0.09</v>
      </c>
      <c r="E161" s="282">
        <f t="shared" ref="E161:F161" si="64">D161+3%</f>
        <v>0.12</v>
      </c>
      <c r="F161" s="282">
        <f t="shared" si="64"/>
        <v>0.15</v>
      </c>
      <c r="G161" s="289"/>
      <c r="H161" s="396"/>
      <c r="I161" s="396"/>
      <c r="J161" s="396"/>
      <c r="K161" s="396"/>
      <c r="L161" s="289"/>
      <c r="M161" s="289"/>
    </row>
    <row r="162" spans="2:48" ht="16.5" customHeight="1" x14ac:dyDescent="0.5">
      <c r="B162" s="274" t="s">
        <v>48</v>
      </c>
      <c r="C162" s="275">
        <f>NPV(C161,$D158:$AV158)+$C$158</f>
        <v>1609.4507181411161</v>
      </c>
      <c r="D162" s="275">
        <f>NPV(D161,$D158:$AV158)+$C$158</f>
        <v>982.01193038789415</v>
      </c>
      <c r="E162" s="275">
        <f>NPV(E161,$D158:$AV158)+$C$158</f>
        <v>587.29140910312151</v>
      </c>
      <c r="F162" s="275">
        <f>NPV(F161,$D158:$AV158)+$C$158</f>
        <v>329.96161262123223</v>
      </c>
      <c r="G162" s="287"/>
      <c r="H162" s="287"/>
      <c r="I162" s="287"/>
      <c r="J162" s="287"/>
      <c r="K162" s="287"/>
      <c r="L162" s="287"/>
      <c r="M162" s="287"/>
    </row>
    <row r="163" spans="2:48" ht="16.5" customHeight="1" x14ac:dyDescent="0.5">
      <c r="B163" s="274" t="s">
        <v>246</v>
      </c>
      <c r="C163" s="276">
        <f>IRR(C158:AV158)</f>
        <v>0.22438876243272987</v>
      </c>
      <c r="D163" s="274"/>
      <c r="E163" s="274"/>
      <c r="F163" s="274"/>
      <c r="G163" s="290"/>
      <c r="H163" s="290"/>
      <c r="I163" s="290"/>
      <c r="J163" s="290"/>
      <c r="K163" s="290"/>
      <c r="L163" s="290"/>
      <c r="M163" s="290"/>
    </row>
    <row r="164" spans="2:48" ht="16.5" customHeight="1" x14ac:dyDescent="0.5">
      <c r="B164" s="274" t="s">
        <v>247</v>
      </c>
      <c r="C164" s="405"/>
      <c r="D164" s="274"/>
      <c r="E164" s="274"/>
      <c r="F164" s="274"/>
      <c r="G164" s="290"/>
      <c r="H164" s="290"/>
      <c r="I164" s="290"/>
      <c r="J164" s="290"/>
      <c r="K164" s="290"/>
      <c r="L164" s="290"/>
      <c r="M164" s="290"/>
    </row>
    <row r="165" spans="2:48" ht="16.5" customHeight="1" x14ac:dyDescent="0.5"/>
    <row r="166" spans="2:48" ht="22.5" customHeight="1" x14ac:dyDescent="0.5">
      <c r="B166" s="164" t="s">
        <v>61</v>
      </c>
      <c r="C166" s="152" t="s">
        <v>3</v>
      </c>
      <c r="D166" s="153">
        <f>'Thông số'!I12</f>
        <v>7.205780744205445E-2</v>
      </c>
      <c r="E166" s="152" t="s">
        <v>0</v>
      </c>
      <c r="F166" s="153">
        <f>'Thông số'!I9</f>
        <v>5.0600000000000006E-2</v>
      </c>
      <c r="G166" s="152" t="s">
        <v>1</v>
      </c>
      <c r="H166" s="153">
        <f>'Thông số'!I10</f>
        <v>6.59E-2</v>
      </c>
      <c r="P166" s="154"/>
    </row>
    <row r="167" spans="2:48" ht="15" customHeight="1" x14ac:dyDescent="0.5">
      <c r="B167" s="166" t="str">
        <f t="shared" ref="B167:AV167" si="65">B13</f>
        <v>Năm dự án</v>
      </c>
      <c r="C167" s="166">
        <f t="shared" si="65"/>
        <v>0</v>
      </c>
      <c r="D167" s="166">
        <f t="shared" si="65"/>
        <v>1</v>
      </c>
      <c r="E167" s="166">
        <f t="shared" si="65"/>
        <v>2</v>
      </c>
      <c r="F167" s="166">
        <f t="shared" si="65"/>
        <v>3</v>
      </c>
      <c r="G167" s="166">
        <f t="shared" si="65"/>
        <v>4</v>
      </c>
      <c r="H167" s="166">
        <f t="shared" si="65"/>
        <v>5</v>
      </c>
      <c r="I167" s="166">
        <f t="shared" si="65"/>
        <v>6</v>
      </c>
      <c r="J167" s="166">
        <f t="shared" si="65"/>
        <v>7</v>
      </c>
      <c r="K167" s="166">
        <f t="shared" si="65"/>
        <v>8</v>
      </c>
      <c r="L167" s="166">
        <f t="shared" si="65"/>
        <v>9</v>
      </c>
      <c r="M167" s="166">
        <f t="shared" si="65"/>
        <v>10</v>
      </c>
      <c r="N167" s="166">
        <f t="shared" si="65"/>
        <v>11</v>
      </c>
      <c r="O167" s="166">
        <f t="shared" si="65"/>
        <v>12</v>
      </c>
      <c r="P167" s="166">
        <f t="shared" si="65"/>
        <v>13</v>
      </c>
      <c r="Q167" s="166">
        <f t="shared" si="65"/>
        <v>14</v>
      </c>
      <c r="R167" s="166">
        <f t="shared" si="65"/>
        <v>15</v>
      </c>
      <c r="S167" s="166">
        <f t="shared" si="65"/>
        <v>16</v>
      </c>
      <c r="T167" s="166">
        <f t="shared" si="65"/>
        <v>17</v>
      </c>
      <c r="U167" s="166">
        <f t="shared" si="65"/>
        <v>18</v>
      </c>
      <c r="V167" s="166">
        <f t="shared" si="65"/>
        <v>19</v>
      </c>
      <c r="W167" s="166">
        <f t="shared" si="65"/>
        <v>20</v>
      </c>
      <c r="X167" s="166">
        <f t="shared" si="65"/>
        <v>21</v>
      </c>
      <c r="Y167" s="166">
        <f t="shared" si="65"/>
        <v>22</v>
      </c>
      <c r="Z167" s="166">
        <f t="shared" si="65"/>
        <v>23</v>
      </c>
      <c r="AA167" s="166">
        <f t="shared" si="65"/>
        <v>24</v>
      </c>
      <c r="AB167" s="166">
        <f t="shared" si="65"/>
        <v>25</v>
      </c>
      <c r="AC167" s="166">
        <f t="shared" si="65"/>
        <v>26</v>
      </c>
      <c r="AD167" s="166">
        <f t="shared" si="65"/>
        <v>27</v>
      </c>
      <c r="AE167" s="166">
        <f t="shared" si="65"/>
        <v>28</v>
      </c>
      <c r="AF167" s="166">
        <f t="shared" si="65"/>
        <v>29</v>
      </c>
      <c r="AG167" s="166">
        <f t="shared" si="65"/>
        <v>30</v>
      </c>
      <c r="AH167" s="166">
        <f t="shared" si="65"/>
        <v>31</v>
      </c>
      <c r="AI167" s="166">
        <f t="shared" si="65"/>
        <v>32</v>
      </c>
      <c r="AJ167" s="166">
        <f t="shared" si="65"/>
        <v>33</v>
      </c>
      <c r="AK167" s="166">
        <f t="shared" si="65"/>
        <v>34</v>
      </c>
      <c r="AL167" s="166">
        <f t="shared" si="65"/>
        <v>35</v>
      </c>
      <c r="AM167" s="166">
        <f t="shared" si="65"/>
        <v>36</v>
      </c>
      <c r="AN167" s="166">
        <f t="shared" si="65"/>
        <v>37</v>
      </c>
      <c r="AO167" s="166">
        <f t="shared" si="65"/>
        <v>38</v>
      </c>
      <c r="AP167" s="166">
        <f t="shared" si="65"/>
        <v>39</v>
      </c>
      <c r="AQ167" s="166">
        <f t="shared" si="65"/>
        <v>40</v>
      </c>
      <c r="AR167" s="166">
        <f t="shared" si="65"/>
        <v>41</v>
      </c>
      <c r="AS167" s="166">
        <f t="shared" si="65"/>
        <v>42</v>
      </c>
      <c r="AT167" s="166">
        <f t="shared" si="65"/>
        <v>43</v>
      </c>
      <c r="AU167" s="166">
        <f t="shared" si="65"/>
        <v>44</v>
      </c>
      <c r="AV167" s="166">
        <f t="shared" si="65"/>
        <v>45</v>
      </c>
    </row>
    <row r="168" spans="2:48" ht="16.5" customHeight="1" x14ac:dyDescent="0.5">
      <c r="B168" s="155" t="str">
        <f>B63</f>
        <v>NCF_TIPV (Triệu J$)</v>
      </c>
      <c r="C168" s="141">
        <f t="shared" ref="C168:AV168" si="66">C65</f>
        <v>-99.090909090909093</v>
      </c>
      <c r="D168" s="141">
        <f t="shared" si="66"/>
        <v>-100.330909090909</v>
      </c>
      <c r="E168" s="141">
        <f t="shared" si="66"/>
        <v>-102.33752727272719</v>
      </c>
      <c r="F168" s="141">
        <f t="shared" si="66"/>
        <v>-213.66458345454541</v>
      </c>
      <c r="G168" s="141">
        <f t="shared" si="66"/>
        <v>-219.06406838788885</v>
      </c>
      <c r="H168" s="141">
        <f t="shared" si="66"/>
        <v>-167.54463899364816</v>
      </c>
      <c r="I168" s="141">
        <f t="shared" si="66"/>
        <v>-16.191845278797455</v>
      </c>
      <c r="J168" s="141">
        <f t="shared" si="66"/>
        <v>-17.327635415816637</v>
      </c>
      <c r="K168" s="141">
        <f t="shared" si="66"/>
        <v>-18.52842343191595</v>
      </c>
      <c r="L168" s="141">
        <f t="shared" si="66"/>
        <v>-19.798037363903557</v>
      </c>
      <c r="M168" s="141">
        <f t="shared" si="66"/>
        <v>-21.140533357387426</v>
      </c>
      <c r="N168" s="141">
        <f t="shared" si="66"/>
        <v>-22.560209333820392</v>
      </c>
      <c r="O168" s="141">
        <f t="shared" si="66"/>
        <v>-24.061619478934048</v>
      </c>
      <c r="P168" s="141">
        <f t="shared" si="66"/>
        <v>-25.649589602030606</v>
      </c>
      <c r="Q168" s="141">
        <f t="shared" si="66"/>
        <v>-27.329233418586494</v>
      </c>
      <c r="R168" s="141">
        <f t="shared" si="66"/>
        <v>-29.105969811785375</v>
      </c>
      <c r="S168" s="141">
        <f t="shared" si="66"/>
        <v>-30.985541131954296</v>
      </c>
      <c r="T168" s="141">
        <f t="shared" si="66"/>
        <v>-32.974032596434441</v>
      </c>
      <c r="U168" s="141">
        <f t="shared" si="66"/>
        <v>-35.077892856191809</v>
      </c>
      <c r="V168" s="141">
        <f t="shared" si="66"/>
        <v>-37.303955799473769</v>
      </c>
      <c r="W168" s="141">
        <f t="shared" si="66"/>
        <v>-39.399748371179072</v>
      </c>
      <c r="X168" s="141">
        <f t="shared" si="66"/>
        <v>-5.5839469740087342</v>
      </c>
      <c r="Y168" s="141">
        <f t="shared" si="66"/>
        <v>-5.6956259134889082</v>
      </c>
      <c r="Z168" s="141">
        <f t="shared" si="66"/>
        <v>-5.8095384317586856</v>
      </c>
      <c r="AA168" s="141">
        <f t="shared" si="66"/>
        <v>-5.9257292003938584</v>
      </c>
      <c r="AB168" s="141">
        <f t="shared" si="66"/>
        <v>-6.0442437844017372</v>
      </c>
      <c r="AC168" s="141">
        <f t="shared" si="66"/>
        <v>-6.1651286600897715</v>
      </c>
      <c r="AD168" s="141">
        <f t="shared" si="66"/>
        <v>-6.2884312332915666</v>
      </c>
      <c r="AE168" s="141">
        <f t="shared" si="66"/>
        <v>-6.4141998579573993</v>
      </c>
      <c r="AF168" s="141">
        <f t="shared" si="66"/>
        <v>-6.5424838551165454</v>
      </c>
      <c r="AG168" s="141">
        <f t="shared" si="66"/>
        <v>-6.6733335322188774</v>
      </c>
      <c r="AH168" s="141">
        <f t="shared" si="66"/>
        <v>-6.8068002028632542</v>
      </c>
      <c r="AI168" s="141">
        <f t="shared" si="66"/>
        <v>-6.9429362069205203</v>
      </c>
      <c r="AJ168" s="141">
        <f t="shared" si="66"/>
        <v>-7.0817949310589299</v>
      </c>
      <c r="AK168" s="141">
        <f t="shared" si="66"/>
        <v>-7.2234308296801082</v>
      </c>
      <c r="AL168" s="141">
        <f t="shared" si="66"/>
        <v>-7.36789944627371</v>
      </c>
      <c r="AM168" s="141">
        <f t="shared" si="66"/>
        <v>-7.5152574351991852</v>
      </c>
      <c r="AN168" s="141">
        <f t="shared" si="66"/>
        <v>-7.665562583903168</v>
      </c>
      <c r="AO168" s="141">
        <f t="shared" si="66"/>
        <v>-7.8188738355812344</v>
      </c>
      <c r="AP168" s="141">
        <f t="shared" si="66"/>
        <v>-7.9752513122928548</v>
      </c>
      <c r="AQ168" s="141">
        <f t="shared" si="66"/>
        <v>-8.1347563385387147</v>
      </c>
      <c r="AR168" s="141">
        <f t="shared" si="66"/>
        <v>-8.2974514653094875</v>
      </c>
      <c r="AS168" s="141">
        <f t="shared" si="66"/>
        <v>-8.4634004946156782</v>
      </c>
      <c r="AT168" s="141">
        <f t="shared" si="66"/>
        <v>-8.6326685045079916</v>
      </c>
      <c r="AU168" s="141">
        <f t="shared" si="66"/>
        <v>-8.8053218745981496</v>
      </c>
      <c r="AV168" s="141">
        <f t="shared" si="66"/>
        <v>283.56107632407105</v>
      </c>
    </row>
    <row r="169" spans="2:48" ht="16.5" customHeight="1" x14ac:dyDescent="0.5">
      <c r="B169" s="137" t="s">
        <v>62</v>
      </c>
      <c r="C169" s="141">
        <f t="shared" ref="C169:AU169" si="67">NPV($D$68,D168:$AV168)</f>
        <v>-801.40402397217156</v>
      </c>
      <c r="D169" s="141">
        <f t="shared" si="67"/>
        <v>-758.82053172393682</v>
      </c>
      <c r="E169" s="141">
        <f t="shared" si="67"/>
        <v>-711.16194820925045</v>
      </c>
      <c r="F169" s="141">
        <f t="shared" si="67"/>
        <v>-548.74213547888326</v>
      </c>
      <c r="G169" s="141">
        <f t="shared" si="67"/>
        <v>-369.21922222467362</v>
      </c>
      <c r="H169" s="141">
        <f t="shared" si="67"/>
        <v>-228.27971084999601</v>
      </c>
      <c r="I169" s="141">
        <f t="shared" si="67"/>
        <v>-228.53720101855532</v>
      </c>
      <c r="J169" s="141">
        <f t="shared" si="67"/>
        <v>-227.67745522708</v>
      </c>
      <c r="K169" s="141">
        <f t="shared" si="67"/>
        <v>-225.55497002281393</v>
      </c>
      <c r="L169" s="141">
        <f t="shared" si="67"/>
        <v>-222.00992925641256</v>
      </c>
      <c r="M169" s="141">
        <f t="shared" si="67"/>
        <v>-216.86694463160788</v>
      </c>
      <c r="N169" s="141">
        <f t="shared" si="67"/>
        <v>-209.93369183459853</v>
      </c>
      <c r="O169" s="141">
        <f t="shared" si="67"/>
        <v>-200.99943389748165</v>
      </c>
      <c r="P169" s="141">
        <f t="shared" si="67"/>
        <v>-189.83342279919768</v>
      </c>
      <c r="Q169" s="141">
        <f t="shared" si="67"/>
        <v>-176.18316960674187</v>
      </c>
      <c r="R169" s="141">
        <f t="shared" si="67"/>
        <v>-159.77257270500982</v>
      </c>
      <c r="S169" s="141">
        <f t="shared" si="67"/>
        <v>-140.2998928515548</v>
      </c>
      <c r="T169" s="141">
        <f t="shared" si="67"/>
        <v>-117.43556291835854</v>
      </c>
      <c r="U169" s="141">
        <f t="shared" si="67"/>
        <v>-90.819819241787087</v>
      </c>
      <c r="V169" s="141">
        <f t="shared" si="67"/>
        <v>-60.060140489160204</v>
      </c>
      <c r="W169" s="141">
        <f t="shared" si="67"/>
        <v>-24.988194156291755</v>
      </c>
      <c r="X169" s="141">
        <f t="shared" si="67"/>
        <v>-21.204841665121769</v>
      </c>
      <c r="Y169" s="141">
        <f t="shared" si="67"/>
        <v>-17.037190149177452</v>
      </c>
      <c r="Z169" s="141">
        <f t="shared" si="67"/>
        <v>-12.455314284541855</v>
      </c>
      <c r="AA169" s="141">
        <f t="shared" si="67"/>
        <v>-7.4270877224937886</v>
      </c>
      <c r="AB169" s="141">
        <f t="shared" si="67"/>
        <v>-1.9180235950547759</v>
      </c>
      <c r="AC169" s="141">
        <f t="shared" si="67"/>
        <v>4.1088964901532332</v>
      </c>
      <c r="AD169" s="141">
        <f t="shared" si="67"/>
        <v>10.69340579553158</v>
      </c>
      <c r="AE169" s="141">
        <f t="shared" si="67"/>
        <v>17.878149029203151</v>
      </c>
      <c r="AF169" s="141">
        <f t="shared" si="67"/>
        <v>25.708893104486357</v>
      </c>
      <c r="AG169" s="141">
        <f t="shared" si="67"/>
        <v>34.234753105576679</v>
      </c>
      <c r="AH169" s="141">
        <f t="shared" si="67"/>
        <v>43.508434555547844</v>
      </c>
      <c r="AI169" s="141">
        <f t="shared" si="67"/>
        <v>53.586493161777256</v>
      </c>
      <c r="AJ169" s="141">
        <f t="shared" si="67"/>
        <v>64.52961329858249</v>
      </c>
      <c r="AK169" s="141">
        <f t="shared" si="67"/>
        <v>76.402906577642085</v>
      </c>
      <c r="AL169" s="141">
        <f t="shared" si="67"/>
        <v>89.27623195410078</v>
      </c>
      <c r="AM169" s="141">
        <f t="shared" si="67"/>
        <v>103.22453892060076</v>
      </c>
      <c r="AN169" s="141">
        <f t="shared" si="67"/>
        <v>118.32823545333942</v>
      </c>
      <c r="AO169" s="141">
        <f t="shared" si="67"/>
        <v>134.67358249417546</v>
      </c>
      <c r="AP169" s="141">
        <f t="shared" si="67"/>
        <v>152.35311688136522</v>
      </c>
      <c r="AQ169" s="141">
        <f t="shared" si="67"/>
        <v>171.46610477933817</v>
      </c>
      <c r="AR169" s="141">
        <f t="shared" si="67"/>
        <v>192.11902780567632</v>
      </c>
      <c r="AS169" s="141">
        <f t="shared" si="67"/>
        <v>214.42610421186811</v>
      </c>
      <c r="AT169" s="141">
        <f t="shared" si="67"/>
        <v>238.50984764422481</v>
      </c>
      <c r="AU169" s="141">
        <f t="shared" si="67"/>
        <v>264.50166619340422</v>
      </c>
      <c r="AV169" s="141"/>
    </row>
    <row r="170" spans="2:48" ht="16.5" customHeight="1" x14ac:dyDescent="0.5">
      <c r="B170" s="137" t="s">
        <v>63</v>
      </c>
      <c r="C170" s="141">
        <f t="shared" ref="C170:U170" si="68">C18</f>
        <v>0</v>
      </c>
      <c r="D170" s="141">
        <f t="shared" si="68"/>
        <v>0</v>
      </c>
      <c r="E170" s="141">
        <f t="shared" si="68"/>
        <v>0</v>
      </c>
      <c r="F170" s="141">
        <f t="shared" si="68"/>
        <v>212.24159999999998</v>
      </c>
      <c r="G170" s="141">
        <f t="shared" si="68"/>
        <v>202.45017153062796</v>
      </c>
      <c r="H170" s="141">
        <f t="shared" si="68"/>
        <v>192.16329678070571</v>
      </c>
      <c r="I170" s="141">
        <f t="shared" si="68"/>
        <v>181.3559061684374</v>
      </c>
      <c r="J170" s="141">
        <f t="shared" si="68"/>
        <v>170.00166159118831</v>
      </c>
      <c r="K170" s="141">
        <f t="shared" si="68"/>
        <v>158.07289223833041</v>
      </c>
      <c r="L170" s="141">
        <f t="shared" si="68"/>
        <v>145.54052715621791</v>
      </c>
      <c r="M170" s="141">
        <f t="shared" si="68"/>
        <v>132.3740244009505</v>
      </c>
      <c r="N170" s="141">
        <f t="shared" si="68"/>
        <v>118.54129660626657</v>
      </c>
      <c r="O170" s="141">
        <f t="shared" si="68"/>
        <v>104.00863278517163</v>
      </c>
      <c r="P170" s="141">
        <f t="shared" si="68"/>
        <v>88.740616174729283</v>
      </c>
      <c r="Q170" s="141">
        <f t="shared" si="68"/>
        <v>72.700037923798561</v>
      </c>
      <c r="R170" s="141">
        <f t="shared" si="68"/>
        <v>55.847806413370733</v>
      </c>
      <c r="S170" s="141">
        <f t="shared" si="68"/>
        <v>38.142851988515261</v>
      </c>
      <c r="T170" s="141">
        <f t="shared" si="68"/>
        <v>19.542026869762108</v>
      </c>
      <c r="U170" s="141">
        <f t="shared" si="68"/>
        <v>4.2632564145606011E-14</v>
      </c>
      <c r="V170" s="141"/>
      <c r="W170" s="141"/>
      <c r="X170" s="141"/>
      <c r="Y170" s="141"/>
      <c r="Z170" s="141"/>
      <c r="AA170" s="141"/>
      <c r="AB170" s="141"/>
      <c r="AC170" s="141"/>
      <c r="AD170" s="141"/>
      <c r="AE170" s="141"/>
      <c r="AF170" s="141"/>
      <c r="AG170" s="141"/>
      <c r="AH170" s="141"/>
      <c r="AI170" s="141"/>
      <c r="AJ170" s="141"/>
      <c r="AK170" s="141"/>
      <c r="AL170" s="141"/>
      <c r="AM170" s="141"/>
      <c r="AN170" s="141"/>
      <c r="AO170" s="141"/>
      <c r="AP170" s="141"/>
      <c r="AQ170" s="141"/>
      <c r="AR170" s="141"/>
      <c r="AS170" s="141"/>
      <c r="AT170" s="141"/>
      <c r="AU170" s="141"/>
      <c r="AV170" s="141"/>
    </row>
    <row r="171" spans="2:48" ht="16.5" customHeight="1" x14ac:dyDescent="0.5">
      <c r="B171" s="137" t="s">
        <v>64</v>
      </c>
      <c r="C171" s="141">
        <f t="shared" ref="C171:AT171" si="69">C23</f>
        <v>0</v>
      </c>
      <c r="D171" s="141">
        <f t="shared" si="69"/>
        <v>0</v>
      </c>
      <c r="E171" s="141">
        <f t="shared" si="69"/>
        <v>0</v>
      </c>
      <c r="F171" s="141">
        <f t="shared" si="69"/>
        <v>636.72479999999996</v>
      </c>
      <c r="G171" s="141">
        <f t="shared" si="69"/>
        <v>633.18169420580648</v>
      </c>
      <c r="H171" s="141">
        <f t="shared" si="69"/>
        <v>629.40509773977567</v>
      </c>
      <c r="I171" s="141">
        <f t="shared" si="69"/>
        <v>625.37962356663343</v>
      </c>
      <c r="J171" s="141">
        <f t="shared" si="69"/>
        <v>621.08887064548105</v>
      </c>
      <c r="K171" s="141">
        <f t="shared" si="69"/>
        <v>616.51535710682481</v>
      </c>
      <c r="L171" s="141">
        <f t="shared" si="69"/>
        <v>611.64044902597107</v>
      </c>
      <c r="M171" s="141">
        <f t="shared" si="69"/>
        <v>606.44428450258908</v>
      </c>
      <c r="N171" s="141">
        <f t="shared" si="69"/>
        <v>600.90569273711628</v>
      </c>
      <c r="O171" s="141">
        <f t="shared" si="69"/>
        <v>595.00210777429879</v>
      </c>
      <c r="P171" s="141">
        <f t="shared" si="69"/>
        <v>588.70947656243163</v>
      </c>
      <c r="Q171" s="141">
        <f t="shared" si="69"/>
        <v>582.0021609537024</v>
      </c>
      <c r="R171" s="141">
        <f t="shared" si="69"/>
        <v>574.85283324635793</v>
      </c>
      <c r="S171" s="141">
        <f t="shared" si="69"/>
        <v>567.23236484309939</v>
      </c>
      <c r="T171" s="141">
        <f t="shared" si="69"/>
        <v>559.10970757206621</v>
      </c>
      <c r="U171" s="141">
        <f t="shared" si="69"/>
        <v>550.45176718687196</v>
      </c>
      <c r="V171" s="141">
        <f t="shared" si="69"/>
        <v>541.22326853029335</v>
      </c>
      <c r="W171" s="141">
        <f t="shared" si="69"/>
        <v>531.3866118122462</v>
      </c>
      <c r="X171" s="141">
        <f t="shared" si="69"/>
        <v>520.90171941647975</v>
      </c>
      <c r="Y171" s="141">
        <f t="shared" si="69"/>
        <v>509.7258726118323</v>
      </c>
      <c r="Z171" s="141">
        <f t="shared" si="69"/>
        <v>497.81353750275855</v>
      </c>
      <c r="AA171" s="141">
        <f t="shared" si="69"/>
        <v>485.11617950999687</v>
      </c>
      <c r="AB171" s="141">
        <f t="shared" si="69"/>
        <v>471.5820656255122</v>
      </c>
      <c r="AC171" s="141">
        <f t="shared" si="69"/>
        <v>457.15605363603999</v>
      </c>
      <c r="AD171" s="141">
        <f t="shared" si="69"/>
        <v>441.77936745646156</v>
      </c>
      <c r="AE171" s="141">
        <f t="shared" si="69"/>
        <v>425.38935765764893</v>
      </c>
      <c r="AF171" s="141">
        <f t="shared" si="69"/>
        <v>407.91924621309454</v>
      </c>
      <c r="AG171" s="141">
        <f t="shared" si="69"/>
        <v>389.297854424344</v>
      </c>
      <c r="AH171" s="141">
        <f t="shared" si="69"/>
        <v>369.4493129167148</v>
      </c>
      <c r="AI171" s="141">
        <f t="shared" si="69"/>
        <v>348.29275252373282</v>
      </c>
      <c r="AJ171" s="141">
        <f t="shared" si="69"/>
        <v>325.74197480085331</v>
      </c>
      <c r="AK171" s="141">
        <f t="shared" si="69"/>
        <v>301.70510082603607</v>
      </c>
      <c r="AL171" s="141">
        <f t="shared" si="69"/>
        <v>276.08419685627837</v>
      </c>
      <c r="AM171" s="141">
        <f t="shared" si="69"/>
        <v>248.77487531491363</v>
      </c>
      <c r="AN171" s="141">
        <f t="shared" si="69"/>
        <v>219.66586948397298</v>
      </c>
      <c r="AO171" s="141">
        <f t="shared" si="69"/>
        <v>188.63858016877333</v>
      </c>
      <c r="AP171" s="141">
        <f t="shared" si="69"/>
        <v>155.56659248770202</v>
      </c>
      <c r="AQ171" s="141">
        <f t="shared" si="69"/>
        <v>120.31516081844811</v>
      </c>
      <c r="AR171" s="141">
        <f t="shared" si="69"/>
        <v>82.740659802190379</v>
      </c>
      <c r="AS171" s="141">
        <f t="shared" si="69"/>
        <v>42.689999168961243</v>
      </c>
      <c r="AT171" s="141">
        <f t="shared" si="69"/>
        <v>2.3092638912203256E-12</v>
      </c>
      <c r="AU171" s="141"/>
      <c r="AV171" s="141"/>
    </row>
    <row r="172" spans="2:48" ht="16.5" customHeight="1" x14ac:dyDescent="0.5">
      <c r="B172" s="137" t="s">
        <v>65</v>
      </c>
      <c r="C172" s="141">
        <f t="shared" ref="C172:AU172" si="70">C169-C170-C171</f>
        <v>-801.40402397217156</v>
      </c>
      <c r="D172" s="141">
        <f t="shared" si="70"/>
        <v>-758.82053172393682</v>
      </c>
      <c r="E172" s="141">
        <f t="shared" si="70"/>
        <v>-711.16194820925045</v>
      </c>
      <c r="F172" s="141">
        <f t="shared" si="70"/>
        <v>-1397.7085354788833</v>
      </c>
      <c r="G172" s="141">
        <f t="shared" si="70"/>
        <v>-1204.8510879611081</v>
      </c>
      <c r="H172" s="141">
        <f t="shared" si="70"/>
        <v>-1049.8481053704772</v>
      </c>
      <c r="I172" s="141">
        <f t="shared" si="70"/>
        <v>-1035.2727307536261</v>
      </c>
      <c r="J172" s="141">
        <f t="shared" si="70"/>
        <v>-1018.7679874637494</v>
      </c>
      <c r="K172" s="141">
        <f t="shared" si="70"/>
        <v>-1000.1432193679691</v>
      </c>
      <c r="L172" s="141">
        <f t="shared" si="70"/>
        <v>-979.19090543860148</v>
      </c>
      <c r="M172" s="141">
        <f t="shared" si="70"/>
        <v>-955.68525353514747</v>
      </c>
      <c r="N172" s="141">
        <f t="shared" si="70"/>
        <v>-929.38068117798139</v>
      </c>
      <c r="O172" s="141">
        <f t="shared" si="70"/>
        <v>-900.01017445695209</v>
      </c>
      <c r="P172" s="141">
        <f t="shared" si="70"/>
        <v>-867.28351553635866</v>
      </c>
      <c r="Q172" s="141">
        <f t="shared" si="70"/>
        <v>-830.8853684842428</v>
      </c>
      <c r="R172" s="141">
        <f t="shared" si="70"/>
        <v>-790.47321236473852</v>
      </c>
      <c r="S172" s="141">
        <f t="shared" si="70"/>
        <v>-745.67510968316947</v>
      </c>
      <c r="T172" s="141">
        <f t="shared" si="70"/>
        <v>-696.08729736018688</v>
      </c>
      <c r="U172" s="141">
        <f t="shared" si="70"/>
        <v>-641.27158642865913</v>
      </c>
      <c r="V172" s="141">
        <f t="shared" si="70"/>
        <v>-601.28340901945353</v>
      </c>
      <c r="W172" s="141">
        <f t="shared" si="70"/>
        <v>-556.374805968538</v>
      </c>
      <c r="X172" s="141">
        <f t="shared" si="70"/>
        <v>-542.10656108160151</v>
      </c>
      <c r="Y172" s="141">
        <f t="shared" si="70"/>
        <v>-526.76306276100979</v>
      </c>
      <c r="Z172" s="141">
        <f t="shared" si="70"/>
        <v>-510.26885178730038</v>
      </c>
      <c r="AA172" s="141">
        <f t="shared" si="70"/>
        <v>-492.54326723249068</v>
      </c>
      <c r="AB172" s="141">
        <f t="shared" si="70"/>
        <v>-473.50008922056696</v>
      </c>
      <c r="AC172" s="141">
        <f t="shared" si="70"/>
        <v>-453.04715714588673</v>
      </c>
      <c r="AD172" s="141">
        <f t="shared" si="70"/>
        <v>-431.08596166092997</v>
      </c>
      <c r="AE172" s="141">
        <f t="shared" si="70"/>
        <v>-407.51120862844579</v>
      </c>
      <c r="AF172" s="141">
        <f t="shared" si="70"/>
        <v>-382.21035310860816</v>
      </c>
      <c r="AG172" s="141">
        <f t="shared" si="70"/>
        <v>-355.06310131876734</v>
      </c>
      <c r="AH172" s="141">
        <f t="shared" si="70"/>
        <v>-325.94087836116694</v>
      </c>
      <c r="AI172" s="141">
        <f t="shared" si="70"/>
        <v>-294.70625936195557</v>
      </c>
      <c r="AJ172" s="141">
        <f t="shared" si="70"/>
        <v>-261.21236150227082</v>
      </c>
      <c r="AK172" s="141">
        <f t="shared" si="70"/>
        <v>-225.30219424839399</v>
      </c>
      <c r="AL172" s="141">
        <f t="shared" si="70"/>
        <v>-186.80796490217759</v>
      </c>
      <c r="AM172" s="141">
        <f t="shared" si="70"/>
        <v>-145.55033639431286</v>
      </c>
      <c r="AN172" s="141">
        <f t="shared" si="70"/>
        <v>-101.33763403063357</v>
      </c>
      <c r="AO172" s="141">
        <f t="shared" si="70"/>
        <v>-53.964997674597868</v>
      </c>
      <c r="AP172" s="141">
        <f t="shared" si="70"/>
        <v>-3.2134756063368002</v>
      </c>
      <c r="AQ172" s="141">
        <f t="shared" si="70"/>
        <v>51.150943960890061</v>
      </c>
      <c r="AR172" s="141">
        <f t="shared" si="70"/>
        <v>109.37836800348595</v>
      </c>
      <c r="AS172" s="141">
        <f t="shared" si="70"/>
        <v>171.73610504290687</v>
      </c>
      <c r="AT172" s="141">
        <f t="shared" si="70"/>
        <v>238.5098476442225</v>
      </c>
      <c r="AU172" s="141">
        <f t="shared" si="70"/>
        <v>264.50166619340422</v>
      </c>
    </row>
    <row r="173" spans="2:48" ht="16.5" customHeight="1" x14ac:dyDescent="0.5">
      <c r="B173" s="146" t="s">
        <v>66</v>
      </c>
      <c r="C173" s="156">
        <f t="shared" ref="C173:AU173" si="71">C170/C169</f>
        <v>0</v>
      </c>
      <c r="D173" s="156">
        <f t="shared" si="71"/>
        <v>0</v>
      </c>
      <c r="E173" s="156">
        <f t="shared" si="71"/>
        <v>0</v>
      </c>
      <c r="F173" s="156">
        <f t="shared" si="71"/>
        <v>-0.38677839057279295</v>
      </c>
      <c r="G173" s="156">
        <f t="shared" si="71"/>
        <v>-0.54831969557488258</v>
      </c>
      <c r="H173" s="156">
        <f t="shared" si="71"/>
        <v>-0.84178876898515687</v>
      </c>
      <c r="I173" s="156">
        <f t="shared" si="71"/>
        <v>-0.79355092020100837</v>
      </c>
      <c r="J173" s="156">
        <f t="shared" si="71"/>
        <v>-0.74667762524678938</v>
      </c>
      <c r="K173" s="156">
        <f t="shared" si="71"/>
        <v>-0.70081759768956542</v>
      </c>
      <c r="L173" s="156">
        <f t="shared" si="71"/>
        <v>-0.6555586393981705</v>
      </c>
      <c r="M173" s="156">
        <f t="shared" si="71"/>
        <v>-0.61039281309474991</v>
      </c>
      <c r="N173" s="156">
        <f t="shared" si="71"/>
        <v>-0.56466065818373867</v>
      </c>
      <c r="O173" s="156">
        <f t="shared" si="71"/>
        <v>-0.51745734188595027</v>
      </c>
      <c r="P173" s="156">
        <f t="shared" si="71"/>
        <v>-0.4674657121290885</v>
      </c>
      <c r="Q173" s="156">
        <f t="shared" si="71"/>
        <v>-0.41263894891931041</v>
      </c>
      <c r="R173" s="156">
        <f t="shared" si="71"/>
        <v>-0.34954564145676781</v>
      </c>
      <c r="S173" s="156">
        <f t="shared" si="71"/>
        <v>-0.27186657960510741</v>
      </c>
      <c r="T173" s="156">
        <f t="shared" si="71"/>
        <v>-0.16640637967008143</v>
      </c>
      <c r="U173" s="156">
        <f t="shared" si="71"/>
        <v>-4.6941916975309669E-16</v>
      </c>
      <c r="V173" s="156">
        <f t="shared" si="71"/>
        <v>0</v>
      </c>
      <c r="W173" s="156">
        <f t="shared" si="71"/>
        <v>0</v>
      </c>
      <c r="X173" s="156">
        <f t="shared" si="71"/>
        <v>0</v>
      </c>
      <c r="Y173" s="156">
        <f t="shared" si="71"/>
        <v>0</v>
      </c>
      <c r="Z173" s="156">
        <f t="shared" si="71"/>
        <v>0</v>
      </c>
      <c r="AA173" s="156">
        <f t="shared" si="71"/>
        <v>0</v>
      </c>
      <c r="AB173" s="156">
        <f t="shared" si="71"/>
        <v>0</v>
      </c>
      <c r="AC173" s="156">
        <f t="shared" si="71"/>
        <v>0</v>
      </c>
      <c r="AD173" s="156">
        <f t="shared" si="71"/>
        <v>0</v>
      </c>
      <c r="AE173" s="156">
        <f t="shared" si="71"/>
        <v>0</v>
      </c>
      <c r="AF173" s="156">
        <f t="shared" si="71"/>
        <v>0</v>
      </c>
      <c r="AG173" s="156">
        <f t="shared" si="71"/>
        <v>0</v>
      </c>
      <c r="AH173" s="156">
        <f t="shared" si="71"/>
        <v>0</v>
      </c>
      <c r="AI173" s="156">
        <f t="shared" si="71"/>
        <v>0</v>
      </c>
      <c r="AJ173" s="156">
        <f t="shared" si="71"/>
        <v>0</v>
      </c>
      <c r="AK173" s="156">
        <f t="shared" si="71"/>
        <v>0</v>
      </c>
      <c r="AL173" s="156">
        <f t="shared" si="71"/>
        <v>0</v>
      </c>
      <c r="AM173" s="156">
        <f t="shared" si="71"/>
        <v>0</v>
      </c>
      <c r="AN173" s="156">
        <f t="shared" si="71"/>
        <v>0</v>
      </c>
      <c r="AO173" s="156">
        <f t="shared" si="71"/>
        <v>0</v>
      </c>
      <c r="AP173" s="156">
        <f t="shared" si="71"/>
        <v>0</v>
      </c>
      <c r="AQ173" s="156">
        <f t="shared" si="71"/>
        <v>0</v>
      </c>
      <c r="AR173" s="156">
        <f t="shared" si="71"/>
        <v>0</v>
      </c>
      <c r="AS173" s="156">
        <f t="shared" si="71"/>
        <v>0</v>
      </c>
      <c r="AT173" s="156">
        <f t="shared" si="71"/>
        <v>0</v>
      </c>
      <c r="AU173" s="156">
        <f t="shared" si="71"/>
        <v>0</v>
      </c>
    </row>
    <row r="174" spans="2:48" ht="16.5" customHeight="1" x14ac:dyDescent="0.5">
      <c r="B174" s="146" t="s">
        <v>67</v>
      </c>
      <c r="C174" s="156">
        <f t="shared" ref="C174:AU174" si="72">C171/C169</f>
        <v>0</v>
      </c>
      <c r="D174" s="156">
        <f t="shared" si="72"/>
        <v>0</v>
      </c>
      <c r="E174" s="156">
        <f t="shared" si="72"/>
        <v>0</v>
      </c>
      <c r="F174" s="156">
        <f t="shared" si="72"/>
        <v>-1.160335171718379</v>
      </c>
      <c r="G174" s="156">
        <f t="shared" si="72"/>
        <v>-1.7149207194323948</v>
      </c>
      <c r="H174" s="156">
        <f t="shared" si="72"/>
        <v>-2.7571661773891138</v>
      </c>
      <c r="I174" s="156">
        <f t="shared" si="72"/>
        <v>-2.7364456236420684</v>
      </c>
      <c r="J174" s="156">
        <f t="shared" si="72"/>
        <v>-2.7279331193596748</v>
      </c>
      <c r="K174" s="156">
        <f t="shared" si="72"/>
        <v>-2.7333264128228558</v>
      </c>
      <c r="L174" s="156">
        <f t="shared" si="72"/>
        <v>-2.7550139359737864</v>
      </c>
      <c r="M174" s="156">
        <f t="shared" si="72"/>
        <v>-2.7963887513274863</v>
      </c>
      <c r="N174" s="156">
        <f t="shared" si="72"/>
        <v>-2.8623594787755877</v>
      </c>
      <c r="O174" s="156">
        <f t="shared" si="72"/>
        <v>-2.9602178286620222</v>
      </c>
      <c r="P174" s="156">
        <f t="shared" si="72"/>
        <v>-3.1011898109489273</v>
      </c>
      <c r="Q174" s="156">
        <f t="shared" si="72"/>
        <v>-3.3033924991404593</v>
      </c>
      <c r="R174" s="156">
        <f t="shared" si="72"/>
        <v>-3.5979444000549217</v>
      </c>
      <c r="S174" s="156">
        <f t="shared" si="72"/>
        <v>-4.0429992733013931</v>
      </c>
      <c r="T174" s="156">
        <f t="shared" si="72"/>
        <v>-4.7609914209783328</v>
      </c>
      <c r="U174" s="156">
        <f t="shared" si="72"/>
        <v>-6.0609211929988485</v>
      </c>
      <c r="V174" s="156">
        <f t="shared" si="72"/>
        <v>-9.0113553535222675</v>
      </c>
      <c r="W174" s="156">
        <f t="shared" si="72"/>
        <v>-21.265506762458418</v>
      </c>
      <c r="X174" s="156">
        <f t="shared" si="72"/>
        <v>-24.565225604738721</v>
      </c>
      <c r="Y174" s="156">
        <f t="shared" si="72"/>
        <v>-29.918423645488375</v>
      </c>
      <c r="Z174" s="156">
        <f t="shared" si="72"/>
        <v>-39.967962761131538</v>
      </c>
      <c r="AA174" s="156">
        <f t="shared" si="72"/>
        <v>-65.317146859699363</v>
      </c>
      <c r="AB174" s="156">
        <f t="shared" si="72"/>
        <v>-245.8687509587412</v>
      </c>
      <c r="AC174" s="156">
        <f t="shared" si="72"/>
        <v>111.26005601055948</v>
      </c>
      <c r="AD174" s="156">
        <f t="shared" si="72"/>
        <v>41.313251914658146</v>
      </c>
      <c r="AE174" s="156">
        <f t="shared" si="72"/>
        <v>23.793814279251986</v>
      </c>
      <c r="AF174" s="156">
        <f t="shared" si="72"/>
        <v>15.866853720820449</v>
      </c>
      <c r="AG174" s="156">
        <f t="shared" si="72"/>
        <v>11.371422870315055</v>
      </c>
      <c r="AH174" s="156">
        <f t="shared" si="72"/>
        <v>8.4914411812503516</v>
      </c>
      <c r="AI174" s="156">
        <f t="shared" si="72"/>
        <v>6.4996369788976374</v>
      </c>
      <c r="AJ174" s="156">
        <f t="shared" si="72"/>
        <v>5.0479455578576795</v>
      </c>
      <c r="AK174" s="156">
        <f t="shared" si="72"/>
        <v>3.9488694127027433</v>
      </c>
      <c r="AL174" s="156">
        <f t="shared" si="72"/>
        <v>3.0924714317940794</v>
      </c>
      <c r="AM174" s="156">
        <f t="shared" si="72"/>
        <v>2.4100361979458067</v>
      </c>
      <c r="AN174" s="156">
        <f t="shared" si="72"/>
        <v>1.8564112668661759</v>
      </c>
      <c r="AO174" s="156">
        <f t="shared" si="72"/>
        <v>1.4007096022483239</v>
      </c>
      <c r="AP174" s="156">
        <f t="shared" si="72"/>
        <v>1.0210922866044092</v>
      </c>
      <c r="AQ174" s="156">
        <f t="shared" si="72"/>
        <v>0.70168480804578348</v>
      </c>
      <c r="AR174" s="156">
        <f t="shared" si="72"/>
        <v>0.43067394597624409</v>
      </c>
      <c r="AS174" s="156">
        <f t="shared" si="72"/>
        <v>0.19908956200025216</v>
      </c>
      <c r="AT174" s="156">
        <f t="shared" si="72"/>
        <v>9.6820484102818189E-15</v>
      </c>
      <c r="AU174" s="156">
        <f t="shared" si="72"/>
        <v>0</v>
      </c>
    </row>
    <row r="175" spans="2:48" ht="16.5" customHeight="1" x14ac:dyDescent="0.5">
      <c r="B175" s="146" t="s">
        <v>68</v>
      </c>
      <c r="C175" s="156">
        <f t="shared" ref="C175:AU175" si="73">C172/C169</f>
        <v>1</v>
      </c>
      <c r="D175" s="156">
        <f t="shared" si="73"/>
        <v>1</v>
      </c>
      <c r="E175" s="156">
        <f t="shared" si="73"/>
        <v>1</v>
      </c>
      <c r="F175" s="156">
        <f t="shared" si="73"/>
        <v>2.5471135622911723</v>
      </c>
      <c r="G175" s="156">
        <f t="shared" si="73"/>
        <v>3.2632404150072771</v>
      </c>
      <c r="H175" s="156">
        <f t="shared" si="73"/>
        <v>4.5989549463742696</v>
      </c>
      <c r="I175" s="156">
        <f t="shared" si="73"/>
        <v>4.5299965438430769</v>
      </c>
      <c r="J175" s="156">
        <f t="shared" si="73"/>
        <v>4.4746107446064638</v>
      </c>
      <c r="K175" s="156">
        <f t="shared" si="73"/>
        <v>4.434144010512421</v>
      </c>
      <c r="L175" s="156">
        <f t="shared" si="73"/>
        <v>4.4105725753719565</v>
      </c>
      <c r="M175" s="156">
        <f t="shared" si="73"/>
        <v>4.4067815644222366</v>
      </c>
      <c r="N175" s="156">
        <f t="shared" si="73"/>
        <v>4.4270201369593263</v>
      </c>
      <c r="O175" s="156">
        <f t="shared" si="73"/>
        <v>4.4776751705479727</v>
      </c>
      <c r="P175" s="156">
        <f t="shared" si="73"/>
        <v>4.5686555230780161</v>
      </c>
      <c r="Q175" s="156">
        <f t="shared" si="73"/>
        <v>4.7160314480597689</v>
      </c>
      <c r="R175" s="156">
        <f t="shared" si="73"/>
        <v>4.9474900415116894</v>
      </c>
      <c r="S175" s="156">
        <f t="shared" si="73"/>
        <v>5.3148658529065003</v>
      </c>
      <c r="T175" s="156">
        <f t="shared" si="73"/>
        <v>5.9273978006484143</v>
      </c>
      <c r="U175" s="156">
        <f t="shared" si="73"/>
        <v>7.0609211929988493</v>
      </c>
      <c r="V175" s="156">
        <f t="shared" si="73"/>
        <v>10.011355353522267</v>
      </c>
      <c r="W175" s="156">
        <f t="shared" si="73"/>
        <v>22.265506762458418</v>
      </c>
      <c r="X175" s="156">
        <f t="shared" si="73"/>
        <v>25.565225604738721</v>
      </c>
      <c r="Y175" s="156">
        <f t="shared" si="73"/>
        <v>30.918423645488378</v>
      </c>
      <c r="Z175" s="156">
        <f t="shared" si="73"/>
        <v>40.967962761131538</v>
      </c>
      <c r="AA175" s="156">
        <f t="shared" si="73"/>
        <v>66.317146859699363</v>
      </c>
      <c r="AB175" s="156">
        <f t="shared" si="73"/>
        <v>246.8687509587412</v>
      </c>
      <c r="AC175" s="156">
        <f t="shared" si="73"/>
        <v>-110.26005601055948</v>
      </c>
      <c r="AD175" s="156">
        <f t="shared" si="73"/>
        <v>-40.313251914658146</v>
      </c>
      <c r="AE175" s="156">
        <f t="shared" si="73"/>
        <v>-22.793814279251986</v>
      </c>
      <c r="AF175" s="156">
        <f t="shared" si="73"/>
        <v>-14.866853720820448</v>
      </c>
      <c r="AG175" s="156">
        <f t="shared" si="73"/>
        <v>-10.371422870315055</v>
      </c>
      <c r="AH175" s="156">
        <f t="shared" si="73"/>
        <v>-7.4914411812503516</v>
      </c>
      <c r="AI175" s="156">
        <f t="shared" si="73"/>
        <v>-5.4996369788976374</v>
      </c>
      <c r="AJ175" s="156">
        <f t="shared" si="73"/>
        <v>-4.0479455578576795</v>
      </c>
      <c r="AK175" s="156">
        <f t="shared" si="73"/>
        <v>-2.9488694127027433</v>
      </c>
      <c r="AL175" s="156">
        <f t="shared" si="73"/>
        <v>-2.0924714317940794</v>
      </c>
      <c r="AM175" s="156">
        <f t="shared" si="73"/>
        <v>-1.4100361979458069</v>
      </c>
      <c r="AN175" s="156">
        <f t="shared" si="73"/>
        <v>-0.85641126686617597</v>
      </c>
      <c r="AO175" s="156">
        <f t="shared" si="73"/>
        <v>-0.40070960224832375</v>
      </c>
      <c r="AP175" s="156">
        <f t="shared" si="73"/>
        <v>-2.1092286604409143E-2</v>
      </c>
      <c r="AQ175" s="156">
        <f t="shared" si="73"/>
        <v>0.29831519195421646</v>
      </c>
      <c r="AR175" s="156">
        <f t="shared" si="73"/>
        <v>0.56932605402375591</v>
      </c>
      <c r="AS175" s="156">
        <f t="shared" si="73"/>
        <v>0.80091043799974793</v>
      </c>
      <c r="AT175" s="156">
        <f t="shared" si="73"/>
        <v>0.99999999999999034</v>
      </c>
      <c r="AU175" s="156">
        <f t="shared" si="73"/>
        <v>1</v>
      </c>
    </row>
    <row r="176" spans="2:48" ht="16.5" customHeight="1" x14ac:dyDescent="0.5">
      <c r="B176" s="146" t="s">
        <v>69</v>
      </c>
      <c r="C176" s="149">
        <f t="shared" ref="C176:AU176" si="74">C170/C172</f>
        <v>0</v>
      </c>
      <c r="D176" s="149">
        <f t="shared" si="74"/>
        <v>0</v>
      </c>
      <c r="E176" s="149">
        <f t="shared" si="74"/>
        <v>0</v>
      </c>
      <c r="F176" s="149">
        <f t="shared" si="74"/>
        <v>-0.15184968440310892</v>
      </c>
      <c r="G176" s="149">
        <f t="shared" si="74"/>
        <v>-0.16802920589400086</v>
      </c>
      <c r="H176" s="149">
        <f t="shared" si="74"/>
        <v>-0.18303914232706442</v>
      </c>
      <c r="I176" s="149">
        <f t="shared" si="74"/>
        <v>-0.17517693722737146</v>
      </c>
      <c r="J176" s="149">
        <f t="shared" si="74"/>
        <v>-0.16686985033207813</v>
      </c>
      <c r="K176" s="149">
        <f t="shared" si="74"/>
        <v>-0.15805025638050424</v>
      </c>
      <c r="L176" s="149">
        <f t="shared" si="74"/>
        <v>-0.14863345477154635</v>
      </c>
      <c r="M176" s="149">
        <f t="shared" si="74"/>
        <v>-0.13851215545211104</v>
      </c>
      <c r="N176" s="149">
        <f t="shared" si="74"/>
        <v>-0.12754869883460088</v>
      </c>
      <c r="O176" s="149">
        <f t="shared" si="74"/>
        <v>-0.11556384109538353</v>
      </c>
      <c r="P176" s="149">
        <f t="shared" si="74"/>
        <v>-0.10232019239965487</v>
      </c>
      <c r="Q176" s="149">
        <f t="shared" si="74"/>
        <v>-8.7497073220127675E-2</v>
      </c>
      <c r="R176" s="149">
        <f t="shared" si="74"/>
        <v>-7.065110561596305E-2</v>
      </c>
      <c r="S176" s="149">
        <f t="shared" si="74"/>
        <v>-5.1152105646548686E-2</v>
      </c>
      <c r="T176" s="149">
        <f t="shared" si="74"/>
        <v>-2.8074103555505887E-2</v>
      </c>
      <c r="U176" s="149">
        <f t="shared" si="74"/>
        <v>-6.6481292868491756E-17</v>
      </c>
      <c r="V176" s="149">
        <f t="shared" si="74"/>
        <v>0</v>
      </c>
      <c r="W176" s="149">
        <f t="shared" si="74"/>
        <v>0</v>
      </c>
      <c r="X176" s="149">
        <f t="shared" si="74"/>
        <v>0</v>
      </c>
      <c r="Y176" s="149">
        <f t="shared" si="74"/>
        <v>0</v>
      </c>
      <c r="Z176" s="149">
        <f t="shared" si="74"/>
        <v>0</v>
      </c>
      <c r="AA176" s="149">
        <f t="shared" si="74"/>
        <v>0</v>
      </c>
      <c r="AB176" s="149">
        <f t="shared" si="74"/>
        <v>0</v>
      </c>
      <c r="AC176" s="149">
        <f t="shared" si="74"/>
        <v>0</v>
      </c>
      <c r="AD176" s="149">
        <f t="shared" si="74"/>
        <v>0</v>
      </c>
      <c r="AE176" s="149">
        <f t="shared" si="74"/>
        <v>0</v>
      </c>
      <c r="AF176" s="149">
        <f t="shared" si="74"/>
        <v>0</v>
      </c>
      <c r="AG176" s="149">
        <f t="shared" si="74"/>
        <v>0</v>
      </c>
      <c r="AH176" s="149">
        <f t="shared" si="74"/>
        <v>0</v>
      </c>
      <c r="AI176" s="149">
        <f t="shared" si="74"/>
        <v>0</v>
      </c>
      <c r="AJ176" s="149">
        <f t="shared" si="74"/>
        <v>0</v>
      </c>
      <c r="AK176" s="149">
        <f t="shared" si="74"/>
        <v>0</v>
      </c>
      <c r="AL176" s="149">
        <f t="shared" si="74"/>
        <v>0</v>
      </c>
      <c r="AM176" s="149">
        <f t="shared" si="74"/>
        <v>0</v>
      </c>
      <c r="AN176" s="149">
        <f t="shared" si="74"/>
        <v>0</v>
      </c>
      <c r="AO176" s="149">
        <f t="shared" si="74"/>
        <v>0</v>
      </c>
      <c r="AP176" s="149">
        <f t="shared" si="74"/>
        <v>0</v>
      </c>
      <c r="AQ176" s="149">
        <f t="shared" si="74"/>
        <v>0</v>
      </c>
      <c r="AR176" s="149">
        <f t="shared" si="74"/>
        <v>0</v>
      </c>
      <c r="AS176" s="149">
        <f t="shared" si="74"/>
        <v>0</v>
      </c>
      <c r="AT176" s="149">
        <f t="shared" si="74"/>
        <v>0</v>
      </c>
      <c r="AU176" s="149">
        <f t="shared" si="74"/>
        <v>0</v>
      </c>
    </row>
    <row r="177" spans="2:48" ht="16.5" customHeight="1" x14ac:dyDescent="0.5">
      <c r="B177" s="146" t="s">
        <v>70</v>
      </c>
      <c r="C177" s="138">
        <f t="shared" ref="C177:AU177" si="75">C171/C172</f>
        <v>0</v>
      </c>
      <c r="D177" s="138">
        <f t="shared" si="75"/>
        <v>0</v>
      </c>
      <c r="E177" s="138">
        <f t="shared" si="75"/>
        <v>0</v>
      </c>
      <c r="F177" s="138">
        <f t="shared" si="75"/>
        <v>-0.45554905320932676</v>
      </c>
      <c r="G177" s="138">
        <f t="shared" si="75"/>
        <v>-0.52552693069921119</v>
      </c>
      <c r="H177" s="138">
        <f t="shared" si="75"/>
        <v>-0.59952015393471336</v>
      </c>
      <c r="I177" s="138">
        <f t="shared" si="75"/>
        <v>-0.60407234247480734</v>
      </c>
      <c r="J177" s="138">
        <f t="shared" si="75"/>
        <v>-0.60964702296123252</v>
      </c>
      <c r="K177" s="138">
        <f t="shared" si="75"/>
        <v>-0.6164270728110578</v>
      </c>
      <c r="L177" s="138">
        <f t="shared" si="75"/>
        <v>-0.62463861299038892</v>
      </c>
      <c r="M177" s="138">
        <f t="shared" si="75"/>
        <v>-0.63456486563887926</v>
      </c>
      <c r="N177" s="138">
        <f t="shared" si="75"/>
        <v>-0.64656572371987964</v>
      </c>
      <c r="O177" s="138">
        <f t="shared" si="75"/>
        <v>-0.66110597931107951</v>
      </c>
      <c r="P177" s="138">
        <f t="shared" si="75"/>
        <v>-0.67879703236184874</v>
      </c>
      <c r="Q177" s="138">
        <f t="shared" si="75"/>
        <v>-0.70046023558632409</v>
      </c>
      <c r="R177" s="138">
        <f t="shared" si="75"/>
        <v>-0.72722620356312662</v>
      </c>
      <c r="S177" s="138">
        <f t="shared" si="75"/>
        <v>-0.7606963910651533</v>
      </c>
      <c r="T177" s="138">
        <f t="shared" si="75"/>
        <v>-0.8032177999690715</v>
      </c>
      <c r="U177" s="138">
        <f t="shared" si="75"/>
        <v>-0.85837541976937293</v>
      </c>
      <c r="V177" s="138">
        <f t="shared" si="75"/>
        <v>-0.90011342473742362</v>
      </c>
      <c r="W177" s="138">
        <f t="shared" si="75"/>
        <v>-0.95508748079850181</v>
      </c>
      <c r="X177" s="138">
        <f t="shared" si="75"/>
        <v>-0.96088436630832463</v>
      </c>
      <c r="Y177" s="138">
        <f t="shared" si="75"/>
        <v>-0.96765682456951774</v>
      </c>
      <c r="Z177" s="138">
        <f t="shared" si="75"/>
        <v>-0.97559068275299377</v>
      </c>
      <c r="AA177" s="138">
        <f t="shared" si="75"/>
        <v>-0.9849209435665921</v>
      </c>
      <c r="AB177" s="138">
        <f t="shared" si="75"/>
        <v>-0.99594926455407429</v>
      </c>
      <c r="AC177" s="138">
        <f t="shared" si="75"/>
        <v>-1.0090694675495562</v>
      </c>
      <c r="AD177" s="138">
        <f t="shared" si="75"/>
        <v>-1.0248057388701106</v>
      </c>
      <c r="AE177" s="138">
        <f t="shared" si="75"/>
        <v>-1.0438715516301389</v>
      </c>
      <c r="AF177" s="138">
        <f t="shared" si="75"/>
        <v>-1.067263727670875</v>
      </c>
      <c r="AG177" s="138">
        <f t="shared" si="75"/>
        <v>-1.0964187857832106</v>
      </c>
      <c r="AH177" s="138">
        <f t="shared" si="75"/>
        <v>-1.13348566394712</v>
      </c>
      <c r="AI177" s="138">
        <f t="shared" si="75"/>
        <v>-1.181830183307925</v>
      </c>
      <c r="AJ177" s="138">
        <f t="shared" si="75"/>
        <v>-1.2470388955846621</v>
      </c>
      <c r="AK177" s="138">
        <f t="shared" si="75"/>
        <v>-1.3391130158874904</v>
      </c>
      <c r="AL177" s="138">
        <f t="shared" si="75"/>
        <v>-1.4779037767519736</v>
      </c>
      <c r="AM177" s="138">
        <f t="shared" si="75"/>
        <v>-1.7092016513170634</v>
      </c>
      <c r="AN177" s="138">
        <f t="shared" si="75"/>
        <v>-2.167663292963498</v>
      </c>
      <c r="AO177" s="138">
        <f t="shared" si="75"/>
        <v>-3.4955728397551349</v>
      </c>
      <c r="AP177" s="138">
        <f t="shared" si="75"/>
        <v>-48.410696561982022</v>
      </c>
      <c r="AQ177" s="138">
        <f t="shared" si="75"/>
        <v>2.3521591490167006</v>
      </c>
      <c r="AR177" s="138">
        <f t="shared" si="75"/>
        <v>0.75646273858788415</v>
      </c>
      <c r="AS177" s="138">
        <f t="shared" si="75"/>
        <v>0.24857905772519701</v>
      </c>
      <c r="AT177" s="138">
        <f t="shared" si="75"/>
        <v>9.682048410281912E-15</v>
      </c>
      <c r="AU177" s="138">
        <f t="shared" si="75"/>
        <v>0</v>
      </c>
    </row>
    <row r="178" spans="2:48" ht="16.5" customHeight="1" x14ac:dyDescent="0.5">
      <c r="B178" s="137" t="s">
        <v>71</v>
      </c>
      <c r="C178" s="156">
        <f t="shared" ref="C178:AU178" si="76">$D$166+($D$166-$F$166)*C176+($D$166-$H$166)*C177</f>
        <v>7.205780744205445E-2</v>
      </c>
      <c r="D178" s="156">
        <f t="shared" si="76"/>
        <v>7.205780744205445E-2</v>
      </c>
      <c r="E178" s="156">
        <f t="shared" si="76"/>
        <v>7.205780744205445E-2</v>
      </c>
      <c r="F178" s="156">
        <f t="shared" si="76"/>
        <v>6.5994262803922552E-2</v>
      </c>
      <c r="G178" s="156">
        <f t="shared" si="76"/>
        <v>6.5216175452480027E-2</v>
      </c>
      <c r="H178" s="156">
        <f t="shared" si="76"/>
        <v>6.4438459106080703E-2</v>
      </c>
      <c r="I178" s="156">
        <f t="shared" si="76"/>
        <v>6.4579133288710025E-2</v>
      </c>
      <c r="J178" s="156">
        <f t="shared" si="76"/>
        <v>6.4723057350727253E-2</v>
      </c>
      <c r="K178" s="156">
        <f t="shared" si="76"/>
        <v>6.4870556258034479E-2</v>
      </c>
      <c r="L178" s="156">
        <f t="shared" si="76"/>
        <v>6.5022055090452516E-2</v>
      </c>
      <c r="M178" s="156">
        <f t="shared" si="76"/>
        <v>6.517811202988176E-2</v>
      </c>
      <c r="N178" s="156">
        <f t="shared" si="76"/>
        <v>6.5339464797677396E-2</v>
      </c>
      <c r="O178" s="156">
        <f t="shared" si="76"/>
        <v>6.5507097473177081E-2</v>
      </c>
      <c r="P178" s="156">
        <f t="shared" si="76"/>
        <v>6.5682339038586432E-2</v>
      </c>
      <c r="Q178" s="156">
        <f t="shared" si="76"/>
        <v>6.5867012841596934E-2</v>
      </c>
      <c r="R178" s="156">
        <f t="shared" si="76"/>
        <v>6.6063670693820825E-2</v>
      </c>
      <c r="S178" s="156">
        <f t="shared" si="76"/>
        <v>6.6275973510790218E-2</v>
      </c>
      <c r="T178" s="156">
        <f t="shared" si="76"/>
        <v>6.6509338187611955E-2</v>
      </c>
      <c r="U178" s="156">
        <f t="shared" si="76"/>
        <v>6.6772096894121988E-2</v>
      </c>
      <c r="V178" s="156">
        <f t="shared" si="76"/>
        <v>6.651508229651322E-2</v>
      </c>
      <c r="W178" s="156">
        <f t="shared" si="76"/>
        <v>6.6176562644980397E-2</v>
      </c>
      <c r="X178" s="156">
        <f t="shared" si="76"/>
        <v>6.614086654024727E-2</v>
      </c>
      <c r="Y178" s="156">
        <f t="shared" si="76"/>
        <v>6.6099163046365497E-2</v>
      </c>
      <c r="Z178" s="156">
        <f t="shared" si="76"/>
        <v>6.6050307875399089E-2</v>
      </c>
      <c r="AA178" s="156">
        <f t="shared" si="76"/>
        <v>6.5992853925924799E-2</v>
      </c>
      <c r="AB178" s="156">
        <f t="shared" si="76"/>
        <v>6.5924943648874718E-2</v>
      </c>
      <c r="AC178" s="156">
        <f t="shared" si="76"/>
        <v>6.5844151965227873E-2</v>
      </c>
      <c r="AD178" s="156">
        <f t="shared" si="76"/>
        <v>6.5747251036579968E-2</v>
      </c>
      <c r="AE178" s="156">
        <f t="shared" si="76"/>
        <v>6.5629847432877461E-2</v>
      </c>
      <c r="AF178" s="156">
        <f t="shared" si="76"/>
        <v>6.5485802917167962E-2</v>
      </c>
      <c r="AG178" s="156">
        <f t="shared" si="76"/>
        <v>6.5306271683350292E-2</v>
      </c>
      <c r="AH178" s="156">
        <f t="shared" si="76"/>
        <v>6.5078020985138846E-2</v>
      </c>
      <c r="AI178" s="156">
        <f t="shared" si="76"/>
        <v>6.4780324744036333E-2</v>
      </c>
      <c r="AJ178" s="156">
        <f t="shared" si="76"/>
        <v>6.437878205029185E-2</v>
      </c>
      <c r="AK178" s="156">
        <f t="shared" si="76"/>
        <v>6.3811807347070482E-2</v>
      </c>
      <c r="AL178" s="156">
        <f t="shared" si="76"/>
        <v>6.2957160566930764E-2</v>
      </c>
      <c r="AM178" s="156">
        <f t="shared" si="76"/>
        <v>6.1532872793602485E-2</v>
      </c>
      <c r="AN178" s="156">
        <f t="shared" si="76"/>
        <v>5.8709754284775567E-2</v>
      </c>
      <c r="AO178" s="156">
        <f t="shared" si="76"/>
        <v>5.0532742995166871E-2</v>
      </c>
      <c r="AP178" s="156">
        <f t="shared" si="76"/>
        <v>-0.22604594012235821</v>
      </c>
      <c r="AQ178" s="156">
        <f t="shared" si="76"/>
        <v>8.6541950554765948E-2</v>
      </c>
      <c r="AR178" s="156">
        <f t="shared" si="76"/>
        <v>7.6715959323367819E-2</v>
      </c>
      <c r="AS178" s="156">
        <f t="shared" si="76"/>
        <v>7.3588509413653552E-2</v>
      </c>
      <c r="AT178" s="156">
        <f t="shared" si="76"/>
        <v>7.2057807442054506E-2</v>
      </c>
      <c r="AU178" s="156">
        <f t="shared" si="76"/>
        <v>7.205780744205445E-2</v>
      </c>
    </row>
    <row r="179" spans="2:48" ht="16.5" customHeight="1" x14ac:dyDescent="0.5">
      <c r="B179" s="146" t="s">
        <v>292</v>
      </c>
      <c r="C179" s="141">
        <v>1</v>
      </c>
      <c r="D179" s="149">
        <f t="shared" ref="D179:AV179" si="77">C179/(1+C178)</f>
        <v>0.93278552057375963</v>
      </c>
      <c r="E179" s="149">
        <f t="shared" si="77"/>
        <v>0.87008882739205973</v>
      </c>
      <c r="F179" s="149">
        <f t="shared" si="77"/>
        <v>0.81160625980431444</v>
      </c>
      <c r="G179" s="149">
        <f t="shared" si="77"/>
        <v>0.76136081414689583</v>
      </c>
      <c r="H179" s="149">
        <f t="shared" si="77"/>
        <v>0.71474770257172138</v>
      </c>
      <c r="I179" s="149">
        <f t="shared" si="77"/>
        <v>0.67147865285886899</v>
      </c>
      <c r="J179" s="149">
        <f t="shared" si="77"/>
        <v>0.63074564573187664</v>
      </c>
      <c r="K179" s="149">
        <f t="shared" si="77"/>
        <v>0.59240348124076048</v>
      </c>
      <c r="L179" s="149">
        <f t="shared" si="77"/>
        <v>0.55631501665561311</v>
      </c>
      <c r="M179" s="149">
        <f t="shared" si="77"/>
        <v>0.52235070062315769</v>
      </c>
      <c r="N179" s="149">
        <f t="shared" si="77"/>
        <v>0.49038812826122363</v>
      </c>
      <c r="O179" s="149">
        <f t="shared" si="77"/>
        <v>0.46031161377688662</v>
      </c>
      <c r="P179" s="149">
        <f t="shared" si="77"/>
        <v>0.43201177624110049</v>
      </c>
      <c r="Q179" s="149">
        <f t="shared" si="77"/>
        <v>0.40538513252536706</v>
      </c>
      <c r="R179" s="149">
        <f t="shared" si="77"/>
        <v>0.38033368857584959</v>
      </c>
      <c r="S179" s="149">
        <f t="shared" si="77"/>
        <v>0.35676451513287094</v>
      </c>
      <c r="T179" s="149">
        <f t="shared" si="77"/>
        <v>0.33458928457160875</v>
      </c>
      <c r="U179" s="149">
        <f t="shared" si="77"/>
        <v>0.31372372710791058</v>
      </c>
      <c r="V179" s="149">
        <f t="shared" si="77"/>
        <v>0.294086926365349</v>
      </c>
      <c r="W179" s="149">
        <f t="shared" si="77"/>
        <v>0.2757456797817574</v>
      </c>
      <c r="X179" s="149">
        <f t="shared" si="77"/>
        <v>0.25863040836096141</v>
      </c>
      <c r="Y179" s="149">
        <f t="shared" si="77"/>
        <v>0.24258558740014119</v>
      </c>
      <c r="Z179" s="149">
        <f t="shared" si="77"/>
        <v>0.2275450500373303</v>
      </c>
      <c r="AA179" s="149">
        <f t="shared" si="77"/>
        <v>0.2134468217459827</v>
      </c>
      <c r="AB179" s="149">
        <f t="shared" si="77"/>
        <v>0.20023288238742265</v>
      </c>
      <c r="AC179" s="149">
        <f t="shared" si="77"/>
        <v>0.18784895088577755</v>
      </c>
      <c r="AD179" s="149">
        <f t="shared" si="77"/>
        <v>0.17624429475868242</v>
      </c>
      <c r="AE179" s="149">
        <f t="shared" si="77"/>
        <v>0.16537156871599862</v>
      </c>
      <c r="AF179" s="149">
        <f t="shared" si="77"/>
        <v>0.15518668993213908</v>
      </c>
      <c r="AG179" s="149">
        <f t="shared" si="77"/>
        <v>0.14564876369751448</v>
      </c>
      <c r="AH179" s="149">
        <f t="shared" si="77"/>
        <v>0.13672008470143207</v>
      </c>
      <c r="AI179" s="149">
        <f t="shared" si="77"/>
        <v>0.1283662623842087</v>
      </c>
      <c r="AJ179" s="149">
        <f t="shared" si="77"/>
        <v>0.12055656871295663</v>
      </c>
      <c r="AK179" s="149">
        <f t="shared" si="77"/>
        <v>0.11326472374874937</v>
      </c>
      <c r="AL179" s="149">
        <f t="shared" si="77"/>
        <v>0.10647063979408959</v>
      </c>
      <c r="AM179" s="149">
        <f t="shared" si="77"/>
        <v>0.10016456329933675</v>
      </c>
      <c r="AN179" s="149">
        <f t="shared" si="77"/>
        <v>9.4358418723046081E-2</v>
      </c>
      <c r="AO179" s="149">
        <f t="shared" si="77"/>
        <v>8.9125861305387771E-2</v>
      </c>
      <c r="AP179" s="149">
        <f t="shared" si="77"/>
        <v>8.4838727683329146E-2</v>
      </c>
      <c r="AQ179" s="149">
        <f t="shared" si="77"/>
        <v>0.1096172655218602</v>
      </c>
      <c r="AR179" s="149">
        <f t="shared" si="77"/>
        <v>0.100886362892746</v>
      </c>
      <c r="AS179" s="149">
        <f t="shared" si="77"/>
        <v>9.3698214481881772E-2</v>
      </c>
      <c r="AT179" s="149">
        <f t="shared" si="77"/>
        <v>8.7275724041658745E-2</v>
      </c>
      <c r="AU179" s="149">
        <f t="shared" si="77"/>
        <v>8.1409531683650421E-2</v>
      </c>
      <c r="AV179" s="149">
        <f t="shared" si="77"/>
        <v>7.5937632391199827E-2</v>
      </c>
    </row>
    <row r="180" spans="2:48" ht="16.5" customHeight="1" x14ac:dyDescent="0.5">
      <c r="B180" s="204" t="s">
        <v>296</v>
      </c>
      <c r="C180" s="179">
        <f t="shared" ref="C180:AV180" si="78">C179*C89</f>
        <v>-99.090909090909093</v>
      </c>
      <c r="D180" s="179">
        <f t="shared" si="78"/>
        <v>-93.587219266002108</v>
      </c>
      <c r="E180" s="179">
        <f t="shared" si="78"/>
        <v>-89.042739102930128</v>
      </c>
      <c r="F180" s="179">
        <f t="shared" si="78"/>
        <v>515.61493117334305</v>
      </c>
      <c r="G180" s="179">
        <f t="shared" si="78"/>
        <v>-217.06259152074009</v>
      </c>
      <c r="H180" s="179">
        <f t="shared" si="78"/>
        <v>-166.94988389301912</v>
      </c>
      <c r="I180" s="179">
        <f t="shared" si="78"/>
        <v>-55.212982774855639</v>
      </c>
      <c r="J180" s="179">
        <f t="shared" si="78"/>
        <v>-52.580066484180534</v>
      </c>
      <c r="K180" s="179">
        <f t="shared" si="78"/>
        <v>-50.095147210860553</v>
      </c>
      <c r="L180" s="179">
        <f t="shared" si="78"/>
        <v>-47.749720024825912</v>
      </c>
      <c r="M180" s="179">
        <f t="shared" si="78"/>
        <v>-45.535743108796154</v>
      </c>
      <c r="N180" s="179">
        <f t="shared" si="78"/>
        <v>-43.445609074293046</v>
      </c>
      <c r="O180" s="179">
        <f t="shared" si="78"/>
        <v>-41.472116865114437</v>
      </c>
      <c r="P180" s="179">
        <f t="shared" si="78"/>
        <v>-39.608443768408513</v>
      </c>
      <c r="Q180" s="179">
        <f t="shared" si="78"/>
        <v>-37.848116835115142</v>
      </c>
      <c r="R180" s="179">
        <f t="shared" si="78"/>
        <v>-36.184982637291277</v>
      </c>
      <c r="S180" s="179">
        <f t="shared" si="78"/>
        <v>-34.61317362631555</v>
      </c>
      <c r="T180" s="179">
        <f t="shared" si="78"/>
        <v>-33.127068129636712</v>
      </c>
      <c r="U180" s="179">
        <f t="shared" si="78"/>
        <v>-31.721238640328046</v>
      </c>
      <c r="V180" s="179">
        <f t="shared" si="78"/>
        <v>-24.352522549791477</v>
      </c>
      <c r="W180" s="179">
        <f t="shared" si="78"/>
        <v>-23.411640547772166</v>
      </c>
      <c r="X180" s="179">
        <f t="shared" si="78"/>
        <v>-13.212707817546825</v>
      </c>
      <c r="Y180" s="179">
        <f t="shared" si="78"/>
        <v>-12.420114267114087</v>
      </c>
      <c r="Z180" s="179">
        <f t="shared" si="78"/>
        <v>-11.675975588144636</v>
      </c>
      <c r="AA180" s="179">
        <f t="shared" si="78"/>
        <v>-10.977356449274989</v>
      </c>
      <c r="AB180" s="179">
        <f t="shared" si="78"/>
        <v>-10.321507287821449</v>
      </c>
      <c r="AC180" s="179">
        <f t="shared" si="78"/>
        <v>-9.705854503697104</v>
      </c>
      <c r="AD180" s="179">
        <f t="shared" si="78"/>
        <v>-9.1279918783398024</v>
      </c>
      <c r="AE180" s="179">
        <f t="shared" si="78"/>
        <v>-8.5856734530603429</v>
      </c>
      <c r="AF180" s="179">
        <f t="shared" si="78"/>
        <v>-8.0768082835197106</v>
      </c>
      <c r="AG180" s="179">
        <f t="shared" si="78"/>
        <v>-7.5994578150351861</v>
      </c>
      <c r="AH180" s="179">
        <f t="shared" si="78"/>
        <v>-7.1518372444858631</v>
      </c>
      <c r="AI180" s="179">
        <f t="shared" si="78"/>
        <v>-6.7323234816724646</v>
      </c>
      <c r="AJ180" s="179">
        <f t="shared" si="78"/>
        <v>-6.3394750074032657</v>
      </c>
      <c r="AK180" s="179">
        <f t="shared" si="78"/>
        <v>-5.9720752165907642</v>
      </c>
      <c r="AL180" s="179">
        <f t="shared" si="78"/>
        <v>-5.6292272497647353</v>
      </c>
      <c r="AM180" s="179">
        <f t="shared" si="78"/>
        <v>-5.3105776587587705</v>
      </c>
      <c r="AN180" s="179">
        <f t="shared" si="78"/>
        <v>-5.0169269787425872</v>
      </c>
      <c r="AO180" s="179">
        <f t="shared" si="78"/>
        <v>-4.7523820061735425</v>
      </c>
      <c r="AP180" s="179">
        <f t="shared" si="78"/>
        <v>-4.5370497162087569</v>
      </c>
      <c r="AQ180" s="179">
        <f t="shared" si="78"/>
        <v>-5.8796537877377046</v>
      </c>
      <c r="AR180" s="179">
        <f t="shared" si="78"/>
        <v>-5.4277591211613272</v>
      </c>
      <c r="AS180" s="179">
        <f t="shared" si="78"/>
        <v>-5.0565806775772657</v>
      </c>
      <c r="AT180" s="179">
        <f t="shared" si="78"/>
        <v>-4.7247532396219656</v>
      </c>
      <c r="AU180" s="179">
        <f t="shared" si="78"/>
        <v>-0.71683713013483819</v>
      </c>
      <c r="AV180" s="179">
        <f t="shared" si="78"/>
        <v>21.532956774350264</v>
      </c>
    </row>
    <row r="181" spans="2:48" ht="16.5" customHeight="1" x14ac:dyDescent="0.5"/>
    <row r="182" spans="2:48" ht="16.5" customHeight="1" x14ac:dyDescent="0.5">
      <c r="B182" s="271" t="s">
        <v>44</v>
      </c>
      <c r="C182" s="271" t="s">
        <v>46</v>
      </c>
      <c r="D182" s="271" t="s">
        <v>222</v>
      </c>
    </row>
    <row r="183" spans="2:48" ht="16.5" customHeight="1" x14ac:dyDescent="0.5">
      <c r="B183" s="274" t="s">
        <v>48</v>
      </c>
      <c r="C183" s="275">
        <f>D69</f>
        <v>-900.49493306308068</v>
      </c>
      <c r="D183" s="275">
        <f>SUM(C180:AV180)</f>
        <v>-900.49493306308034</v>
      </c>
      <c r="E183" s="141"/>
      <c r="G183" s="147"/>
      <c r="J183" s="147"/>
    </row>
    <row r="184" spans="2:48" ht="16.5" customHeight="1" x14ac:dyDescent="0.5">
      <c r="C184" s="141"/>
    </row>
    <row r="185" spans="2:48" ht="16.5" customHeight="1" x14ac:dyDescent="0.5"/>
    <row r="186" spans="2:48" ht="16.5" customHeight="1" x14ac:dyDescent="0.5">
      <c r="C186" s="141"/>
    </row>
  </sheetData>
  <pageMargins left="0.75" right="0.75" top="1" bottom="1" header="0" footer="0"/>
  <pageSetup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F5DB3-1F89-4A0E-811E-45F7EF5A5248}">
  <dimension ref="B45:B51"/>
  <sheetViews>
    <sheetView topLeftCell="A4" zoomScale="76" workbookViewId="0">
      <selection activeCell="AC27" sqref="AC27"/>
    </sheetView>
  </sheetViews>
  <sheetFormatPr defaultRowHeight="14.25" x14ac:dyDescent="0.45"/>
  <sheetData>
    <row r="45" spans="2:2" ht="25.5" x14ac:dyDescent="0.75">
      <c r="B45" s="1" t="s">
        <v>73</v>
      </c>
    </row>
    <row r="47" spans="2:2" ht="25.5" x14ac:dyDescent="0.75">
      <c r="B47" s="2" t="s">
        <v>76</v>
      </c>
    </row>
    <row r="49" spans="2:2" ht="25.5" x14ac:dyDescent="0.75">
      <c r="B49" s="3" t="s">
        <v>74</v>
      </c>
    </row>
    <row r="51" spans="2:2" ht="25.5" x14ac:dyDescent="0.75">
      <c r="B51" s="4" t="s">
        <v>75</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Trả lời của sinh viên</vt:lpstr>
      <vt:lpstr>Thông số</vt:lpstr>
      <vt:lpstr>Phương án 1_Thu phí</vt:lpstr>
      <vt:lpstr>Phương án 2_Không thu phí</vt:lpstr>
      <vt:lpstr>Figure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Thanh Binh</dc:creator>
  <cp:lastModifiedBy>Phùng Thanh Bình</cp:lastModifiedBy>
  <dcterms:created xsi:type="dcterms:W3CDTF">2021-09-09T11:10:00Z</dcterms:created>
  <dcterms:modified xsi:type="dcterms:W3CDTF">2023-12-06T00:59:15Z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31EA6A3968C9466697C57B8A9DA3518F</vt:lpwstr>
  </property>
  <property fmtid="{D5CDD505-2E9C-101B-9397-08002B2CF9AE}" pid="3" name="KSOProductBuildVer">
    <vt:lpwstr>1033-11.2.0.10323</vt:lpwstr>
  </property>
</Properties>
</file>