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mc:AlternateContent xmlns:mc="http://schemas.openxmlformats.org/markup-compatibility/2006">
    <mc:Choice Requires="x15">
      <x15ac:absPath xmlns:x15ac="http://schemas.microsoft.com/office/spreadsheetml/2010/11/ac" url="D:\1. Teaching\Thực hành TĐDA\Campbell &amp; Brown 2016 _ Case studies\Case 3\"/>
    </mc:Choice>
  </mc:AlternateContent>
  <xr:revisionPtr revIDLastSave="0" documentId="13_ncr:1_{09E96B0D-7AD2-4B85-A334-8E6CDE9D174E}" xr6:coauthVersionLast="47" xr6:coauthVersionMax="47" xr10:uidLastSave="{00000000-0000-0000-0000-000000000000}"/>
  <bookViews>
    <workbookView xWindow="-98" yWindow="-98" windowWidth="20715" windowHeight="13155" tabRatio="999" firstSheet="1" activeTab="3" xr2:uid="{00000000-000D-0000-FFFF-FFFF00000000}"/>
  </bookViews>
  <sheets>
    <sheet name="PHƯƠNG ÁN" sheetId="8" r:id="rId1"/>
    <sheet name="SUMMARY" sheetId="1" r:id="rId2"/>
    <sheet name="CB_DATA_" sheetId="17" state="veryHidden" r:id="rId3"/>
    <sheet name="Variables 0" sheetId="2" r:id="rId4"/>
    <sheet name="Option 0" sheetId="3" r:id="rId5"/>
  </sheets>
  <definedNames>
    <definedName name="CB_00cd1a05410940dd8f6f6d0e3097d1e6" localSheetId="3" hidden="1">'Variables 0'!$K$8</definedName>
    <definedName name="CB_19f88d9a552047fdbbc4791787ee34de" localSheetId="2" hidden="1">#N/A</definedName>
    <definedName name="CB_434da3acc93c4d75bc853eea41bba9da" localSheetId="3" hidden="1">'Variables 0'!$D$33</definedName>
    <definedName name="CB_44b913c79ce04f14bb00f2bd7dfa6257" localSheetId="4" hidden="1">'Option 0'!$F$119</definedName>
    <definedName name="CB_5c5fafed34b246509fcfe40d98be50aa" localSheetId="4" hidden="1">'Option 0'!$F$124</definedName>
    <definedName name="CB_74f660265c874201bfa1dd0b33310387" localSheetId="2" hidden="1">#N/A</definedName>
    <definedName name="CB_7cb95b34b4ba41e9bd936afbc3aa8bf8" localSheetId="3" hidden="1">'Variables 0'!$J$24</definedName>
    <definedName name="CB_7f31da62428641c89a9be826e80c8b80" localSheetId="2" hidden="1">#N/A</definedName>
    <definedName name="CB_8c66cdf9c2564823aeff7ecda24654a1" localSheetId="3" hidden="1">'Variables 0'!$K$11</definedName>
    <definedName name="CB_9a3547b9483f46caa435e7511a283633" localSheetId="2" hidden="1">#N/A</definedName>
    <definedName name="CB_b40fc52c472a432187e63df10556df27" localSheetId="3" hidden="1">'Variables 0'!$K$5</definedName>
    <definedName name="CB_b4c939ac50004745a550d6eee56abe13" localSheetId="3" hidden="1">'Variables 0'!$J$23</definedName>
    <definedName name="CB_Block_00000000000000000000000000000000" localSheetId="2" hidden="1">"'7.0.0.0"</definedName>
    <definedName name="CB_Block_00000000000000000000000000000000" localSheetId="4" hidden="1">"'7.0.0.0"</definedName>
    <definedName name="CB_Block_00000000000000000000000000000000" localSheetId="3" hidden="1">"'7.0.0.0"</definedName>
    <definedName name="CB_Block_00000000000000000000000000000001" localSheetId="2" hidden="1">"'638162947462997201"</definedName>
    <definedName name="CB_Block_00000000000000000000000000000001" localSheetId="4" hidden="1">"'638162947464957185"</definedName>
    <definedName name="CB_Block_00000000000000000000000000000001" localSheetId="3" hidden="1">"'638162947465827187"</definedName>
    <definedName name="CB_Block_00000000000000000000000000000003" localSheetId="2" hidden="1">"'11.1.4716.0"</definedName>
    <definedName name="CB_Block_00000000000000000000000000000003" localSheetId="4" hidden="1">"'11.1.4716.0"</definedName>
    <definedName name="CB_Block_00000000000000000000000000000003" localSheetId="3" hidden="1">"'11.1.4716.0"</definedName>
    <definedName name="CB_BlockExt_00000000000000000000000000000003" localSheetId="2" hidden="1">"'11.1.2.4.850"</definedName>
    <definedName name="CB_BlockExt_00000000000000000000000000000003" localSheetId="4" hidden="1">"'11.1.2.4.850"</definedName>
    <definedName name="CB_BlockExt_00000000000000000000000000000003" localSheetId="3" hidden="1">"'11.1.2.4.850"</definedName>
    <definedName name="CB_d1babd3031214979980bdf97b92a355b" localSheetId="3" hidden="1">'Variables 0'!$K$6</definedName>
    <definedName name="CBWorkbookPriority" localSheetId="2" hidden="1">-2659979272119590</definedName>
    <definedName name="CBx_04675f9f277343038fec7c95e094ddd1" localSheetId="2" hidden="1">"'VARIABLE 6'!$A$1"</definedName>
    <definedName name="CBx_20e0fe2fa8984a459798bd04bd92a1d1" localSheetId="2" hidden="1">"'VARIABLE 0'!$A$1"</definedName>
    <definedName name="CBx_3780e4a4c4b94c54b390ab6807c8e394" localSheetId="2" hidden="1">"'VARIABLE 3'!$A$1"</definedName>
    <definedName name="CBx_3f040fd4cf6e45aabc40455f1f66e102" localSheetId="2" hidden="1">"'OPTION 4'!$A$1"</definedName>
    <definedName name="CBx_47cb223285734d4180f179deedab87bd" localSheetId="2" hidden="1">"'OPTION 3'!$A$1"</definedName>
    <definedName name="CBx_5c7af43d942743a391701906e148aad0" localSheetId="2" hidden="1">"'VARIABLE 5'!$A$1"</definedName>
    <definedName name="CBx_6db9b7a4dfec47e3b5f9f749d03771c8" localSheetId="2" hidden="1">"'VARIABLE 4'!$A$1"</definedName>
    <definedName name="CBx_83a969cdc32d4f1e8c35124fa8f9710c" localSheetId="2" hidden="1">"'VARIABLE 2'!$A$1"</definedName>
    <definedName name="CBx_83cd0eb9727943ddbf8d63a098527715" localSheetId="2" hidden="1">"'VARIABLE 1'!$A$1"</definedName>
    <definedName name="CBx_a289cc4497c043d5825087aeaf3c6825" localSheetId="2" hidden="1">"'OPTION 0'!$A$1"</definedName>
    <definedName name="CBx_bb516a189b00426ea9c8e466a8b13c13" localSheetId="2" hidden="1">"'OPTION 2'!$A$1"</definedName>
    <definedName name="CBx_c2d5e81427294c2c8c4517fb8980db1b" localSheetId="2" hidden="1">"'CB_DATA_'!$A$1"</definedName>
    <definedName name="CBx_c635650f02f149a49216ee14733901cb" localSheetId="2" hidden="1">"'OPTION 6'!$A$1"</definedName>
    <definedName name="CBx_d849a4ce99474f048932cb7c339b3f89" localSheetId="2" hidden="1">"'OPTION 5'!$A$1"</definedName>
    <definedName name="CBx_db9129c7e8c0473ba33b47831f946880" localSheetId="2" hidden="1">"'OPTION 1'!$A$1"</definedName>
    <definedName name="CBx_Sheet_Guid" localSheetId="2" hidden="1">"'c2d5e814-2729-4c2c-8c45-17fb8980db1b"</definedName>
    <definedName name="CBx_Sheet_Guid" localSheetId="4" hidden="1">"'a289cc44-97c0-43d5-8250-87aeaf3c6825"</definedName>
    <definedName name="CBx_Sheet_Guid" localSheetId="3" hidden="1">"'20e0fe2f-a898-4a45-9798-bd04bd92a1d1"</definedName>
    <definedName name="CBx_SheetRef" localSheetId="2" hidden="1">CB_DATA_!$A$14</definedName>
    <definedName name="CBx_SheetRef" localSheetId="4" hidden="1">CB_DATA_!$C$14</definedName>
    <definedName name="CBx_SheetRef" localSheetId="3" hidden="1">CB_DATA_!$B$14</definedName>
    <definedName name="CBx_StorageType" localSheetId="2" hidden="1">2</definedName>
    <definedName name="CBx_StorageType" localSheetId="4" hidden="1">2</definedName>
    <definedName name="CBx_StorageType" localSheetId="3"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7" i="3" l="1"/>
  <c r="F227" i="3"/>
  <c r="E227" i="3"/>
  <c r="X5" i="1" s="1"/>
  <c r="W202" i="3"/>
  <c r="V202" i="3"/>
  <c r="U202" i="3"/>
  <c r="T202" i="3"/>
  <c r="S202" i="3"/>
  <c r="R202" i="3"/>
  <c r="Q202" i="3"/>
  <c r="P202" i="3"/>
  <c r="O202" i="3"/>
  <c r="N202" i="3"/>
  <c r="M202" i="3"/>
  <c r="L202" i="3"/>
  <c r="K202" i="3"/>
  <c r="J202" i="3"/>
  <c r="I202" i="3"/>
  <c r="H202" i="3"/>
  <c r="G202" i="3"/>
  <c r="F202" i="3"/>
  <c r="E202" i="3"/>
  <c r="D202" i="3"/>
  <c r="C202" i="3"/>
  <c r="W201" i="3"/>
  <c r="V201" i="3"/>
  <c r="U201" i="3"/>
  <c r="T201" i="3"/>
  <c r="S201" i="3"/>
  <c r="R201" i="3"/>
  <c r="Q201" i="3"/>
  <c r="P201" i="3"/>
  <c r="O201" i="3"/>
  <c r="N201" i="3"/>
  <c r="M201" i="3"/>
  <c r="L201" i="3"/>
  <c r="K201" i="3"/>
  <c r="J201" i="3"/>
  <c r="I201" i="3"/>
  <c r="H201" i="3"/>
  <c r="G201" i="3"/>
  <c r="F201" i="3"/>
  <c r="E201" i="3"/>
  <c r="D201" i="3"/>
  <c r="C201" i="3"/>
  <c r="G195" i="3"/>
  <c r="U5" i="1" s="1"/>
  <c r="F195" i="3"/>
  <c r="T5" i="1" s="1"/>
  <c r="E195" i="3"/>
  <c r="S5" i="1" s="1"/>
  <c r="W137" i="3"/>
  <c r="V137" i="3"/>
  <c r="U137" i="3"/>
  <c r="T137" i="3"/>
  <c r="S137" i="3"/>
  <c r="R137" i="3"/>
  <c r="Q137" i="3"/>
  <c r="P137" i="3"/>
  <c r="O137" i="3"/>
  <c r="N137" i="3"/>
  <c r="M137" i="3"/>
  <c r="L137" i="3"/>
  <c r="K137" i="3"/>
  <c r="J137" i="3"/>
  <c r="I137" i="3"/>
  <c r="H137" i="3"/>
  <c r="G137" i="3"/>
  <c r="F137" i="3"/>
  <c r="E137" i="3"/>
  <c r="D137" i="3"/>
  <c r="C137" i="3"/>
  <c r="S136" i="3"/>
  <c r="C136" i="3"/>
  <c r="D118" i="3"/>
  <c r="D123" i="3" s="1"/>
  <c r="G113" i="3"/>
  <c r="F113" i="3"/>
  <c r="E113" i="3"/>
  <c r="E118" i="3" s="1"/>
  <c r="I5" i="1" s="1"/>
  <c r="D108" i="3"/>
  <c r="C123" i="3" s="1"/>
  <c r="Q5" i="1" s="1"/>
  <c r="D107" i="3"/>
  <c r="W104" i="3"/>
  <c r="V104" i="3"/>
  <c r="U104" i="3"/>
  <c r="T104" i="3"/>
  <c r="S104" i="3"/>
  <c r="R104" i="3"/>
  <c r="Q104" i="3"/>
  <c r="P104" i="3"/>
  <c r="O104" i="3"/>
  <c r="N104" i="3"/>
  <c r="W103" i="3"/>
  <c r="V103" i="3"/>
  <c r="U103" i="3"/>
  <c r="T103" i="3"/>
  <c r="S103" i="3"/>
  <c r="R103" i="3"/>
  <c r="Q103" i="3"/>
  <c r="P103" i="3"/>
  <c r="O103" i="3"/>
  <c r="N103" i="3"/>
  <c r="M103" i="3"/>
  <c r="L103" i="3"/>
  <c r="K103" i="3"/>
  <c r="J103" i="3"/>
  <c r="I103" i="3"/>
  <c r="H103" i="3"/>
  <c r="G103" i="3"/>
  <c r="F103" i="3"/>
  <c r="E103" i="3"/>
  <c r="D103" i="3"/>
  <c r="C103" i="3"/>
  <c r="W102" i="3"/>
  <c r="W136" i="3" s="1"/>
  <c r="V102" i="3"/>
  <c r="V136" i="3" s="1"/>
  <c r="U102" i="3"/>
  <c r="U136" i="3" s="1"/>
  <c r="T102" i="3"/>
  <c r="T136" i="3" s="1"/>
  <c r="S102" i="3"/>
  <c r="R102" i="3"/>
  <c r="R136" i="3" s="1"/>
  <c r="Q102" i="3"/>
  <c r="Q136" i="3" s="1"/>
  <c r="P102" i="3"/>
  <c r="P136" i="3" s="1"/>
  <c r="O102" i="3"/>
  <c r="O136" i="3" s="1"/>
  <c r="N102" i="3"/>
  <c r="N136" i="3" s="1"/>
  <c r="M102" i="3"/>
  <c r="M136" i="3" s="1"/>
  <c r="L102" i="3"/>
  <c r="L136" i="3" s="1"/>
  <c r="K102" i="3"/>
  <c r="K136" i="3" s="1"/>
  <c r="J102" i="3"/>
  <c r="J136" i="3" s="1"/>
  <c r="I102" i="3"/>
  <c r="I136" i="3" s="1"/>
  <c r="H102" i="3"/>
  <c r="H136" i="3" s="1"/>
  <c r="G102" i="3"/>
  <c r="G136" i="3" s="1"/>
  <c r="F102" i="3"/>
  <c r="F136" i="3" s="1"/>
  <c r="E102" i="3"/>
  <c r="E136" i="3" s="1"/>
  <c r="D102" i="3"/>
  <c r="D136" i="3" s="1"/>
  <c r="C102" i="3"/>
  <c r="C36" i="3"/>
  <c r="V32" i="3"/>
  <c r="S32" i="3"/>
  <c r="R32" i="3"/>
  <c r="N32" i="3"/>
  <c r="K32" i="3"/>
  <c r="F32" i="3"/>
  <c r="C32" i="3"/>
  <c r="W27" i="3"/>
  <c r="W32" i="3" s="1"/>
  <c r="V27" i="3"/>
  <c r="U27" i="3"/>
  <c r="U32" i="3" s="1"/>
  <c r="T27" i="3"/>
  <c r="T32" i="3" s="1"/>
  <c r="S27" i="3"/>
  <c r="R27" i="3"/>
  <c r="Q27" i="3"/>
  <c r="Q32" i="3" s="1"/>
  <c r="P27" i="3"/>
  <c r="P32" i="3" s="1"/>
  <c r="O27" i="3"/>
  <c r="O32" i="3" s="1"/>
  <c r="N27" i="3"/>
  <c r="M27" i="3"/>
  <c r="M32" i="3" s="1"/>
  <c r="L27" i="3"/>
  <c r="L32" i="3" s="1"/>
  <c r="K27" i="3"/>
  <c r="J27" i="3"/>
  <c r="J32" i="3" s="1"/>
  <c r="I27" i="3"/>
  <c r="I32" i="3" s="1"/>
  <c r="H27" i="3"/>
  <c r="H32" i="3" s="1"/>
  <c r="G27" i="3"/>
  <c r="G32" i="3" s="1"/>
  <c r="F27" i="3"/>
  <c r="E27" i="3"/>
  <c r="E32" i="3" s="1"/>
  <c r="D27" i="3"/>
  <c r="D32" i="3" s="1"/>
  <c r="C27" i="3"/>
  <c r="W15" i="3"/>
  <c r="V15" i="3"/>
  <c r="U15" i="3"/>
  <c r="T15" i="3"/>
  <c r="S15" i="3"/>
  <c r="R15" i="3"/>
  <c r="Q15" i="3"/>
  <c r="P15" i="3"/>
  <c r="O15" i="3"/>
  <c r="N15" i="3"/>
  <c r="M15" i="3"/>
  <c r="L15" i="3"/>
  <c r="K15" i="3"/>
  <c r="J15" i="3"/>
  <c r="I15" i="3"/>
  <c r="H15" i="3"/>
  <c r="G15" i="3"/>
  <c r="F15" i="3"/>
  <c r="E15" i="3"/>
  <c r="D15" i="3"/>
  <c r="W10" i="3"/>
  <c r="V10" i="3"/>
  <c r="U10" i="3"/>
  <c r="T10" i="3"/>
  <c r="S10" i="3"/>
  <c r="R10" i="3"/>
  <c r="Q10" i="3"/>
  <c r="P10" i="3"/>
  <c r="O10" i="3"/>
  <c r="N10" i="3"/>
  <c r="M10" i="3"/>
  <c r="L10" i="3"/>
  <c r="K10" i="3"/>
  <c r="J10" i="3"/>
  <c r="I10" i="3"/>
  <c r="H10" i="3"/>
  <c r="G10" i="3"/>
  <c r="F10" i="3"/>
  <c r="E10" i="3"/>
  <c r="D10" i="3"/>
  <c r="O28" i="2"/>
  <c r="O27" i="2"/>
  <c r="I24" i="2"/>
  <c r="K24" i="2" s="1"/>
  <c r="I23" i="2"/>
  <c r="N23" i="2" s="1"/>
  <c r="F18" i="2"/>
  <c r="I17" i="2"/>
  <c r="K17" i="2" s="1"/>
  <c r="F17" i="2"/>
  <c r="P16" i="2"/>
  <c r="K16" i="2"/>
  <c r="F16" i="2"/>
  <c r="F15" i="2"/>
  <c r="F14" i="2"/>
  <c r="K12" i="2"/>
  <c r="E12" i="2"/>
  <c r="O11" i="2"/>
  <c r="P10" i="2"/>
  <c r="F10" i="2"/>
  <c r="P9" i="2"/>
  <c r="E9" i="2"/>
  <c r="D17" i="2" s="1"/>
  <c r="O8" i="2"/>
  <c r="E8" i="2"/>
  <c r="D16" i="2" s="1"/>
  <c r="P7" i="2"/>
  <c r="E7" i="2"/>
  <c r="D15" i="2" s="1"/>
  <c r="D29" i="2" s="1"/>
  <c r="N29" i="3" s="1"/>
  <c r="O6" i="2"/>
  <c r="E6" i="2"/>
  <c r="D6" i="2"/>
  <c r="P5" i="2"/>
  <c r="O11" i="17"/>
  <c r="N11" i="17"/>
  <c r="M11" i="17"/>
  <c r="L11" i="17"/>
  <c r="K11" i="17"/>
  <c r="J11" i="17"/>
  <c r="I11" i="17"/>
  <c r="H11" i="17"/>
  <c r="G11" i="17"/>
  <c r="F11" i="17"/>
  <c r="E11" i="17"/>
  <c r="D11" i="17"/>
  <c r="C11" i="17"/>
  <c r="B11" i="17"/>
  <c r="A11" i="17"/>
  <c r="P2" i="17"/>
  <c r="AA5" i="1"/>
  <c r="Z5" i="1"/>
  <c r="Y5" i="1"/>
  <c r="W5" i="1"/>
  <c r="R5" i="1"/>
  <c r="M5" i="1"/>
  <c r="H5" i="1"/>
  <c r="D5" i="1"/>
  <c r="C5" i="1"/>
  <c r="E10" i="2" l="1"/>
  <c r="K13" i="2"/>
  <c r="F19" i="2"/>
  <c r="N24" i="2"/>
  <c r="F118" i="3"/>
  <c r="J5" i="1" s="1"/>
  <c r="E5" i="1"/>
  <c r="G118" i="3"/>
  <c r="K5" i="1" s="1"/>
  <c r="F5" i="1"/>
  <c r="P12" i="2"/>
  <c r="K18" i="2"/>
  <c r="P23" i="2"/>
  <c r="N27" i="2"/>
  <c r="P27" i="2" s="1"/>
  <c r="D24" i="2"/>
  <c r="K23" i="2"/>
  <c r="K25" i="2" s="1"/>
  <c r="D25" i="2"/>
  <c r="D14" i="2"/>
  <c r="D23" i="2" s="1"/>
  <c r="D18" i="2"/>
  <c r="E123" i="3"/>
  <c r="G123" i="3" l="1"/>
  <c r="C33" i="2"/>
  <c r="P13" i="2"/>
  <c r="F123" i="3"/>
  <c r="N28" i="2"/>
  <c r="P28" i="2" s="1"/>
  <c r="P29" i="2" s="1"/>
  <c r="P24" i="2"/>
  <c r="P25" i="2" s="1"/>
  <c r="N5" i="1"/>
  <c r="U24" i="3"/>
  <c r="E24" i="3"/>
  <c r="J24" i="3"/>
  <c r="H24" i="3"/>
  <c r="F24" i="3"/>
  <c r="W24" i="3"/>
  <c r="G24" i="3"/>
  <c r="N24" i="3"/>
  <c r="V24" i="3"/>
  <c r="Q24" i="3"/>
  <c r="M33" i="3"/>
  <c r="I33" i="3"/>
  <c r="E33" i="3"/>
  <c r="L33" i="3"/>
  <c r="H33" i="3"/>
  <c r="D33" i="3"/>
  <c r="F33" i="3"/>
  <c r="K33" i="3"/>
  <c r="G33" i="3"/>
  <c r="J33" i="3"/>
  <c r="T24" i="3"/>
  <c r="D24" i="3"/>
  <c r="S24" i="3"/>
  <c r="C45" i="3"/>
  <c r="C107" i="3"/>
  <c r="C108" i="3"/>
  <c r="V34" i="3"/>
  <c r="V36" i="3" s="1"/>
  <c r="R34" i="3"/>
  <c r="N34" i="3"/>
  <c r="J34" i="3"/>
  <c r="F34" i="3"/>
  <c r="G34" i="3"/>
  <c r="U34" i="3"/>
  <c r="U36" i="3" s="1"/>
  <c r="Q34" i="3"/>
  <c r="M34" i="3"/>
  <c r="I34" i="3"/>
  <c r="E34" i="3"/>
  <c r="W34" i="3"/>
  <c r="W36" i="3" s="1"/>
  <c r="O34" i="3"/>
  <c r="T34" i="3"/>
  <c r="T36" i="3" s="1"/>
  <c r="P34" i="3"/>
  <c r="L34" i="3"/>
  <c r="H34" i="3"/>
  <c r="D34" i="3"/>
  <c r="S34" i="3"/>
  <c r="S36" i="3" s="1"/>
  <c r="K34" i="3"/>
  <c r="M24" i="3"/>
  <c r="P24" i="3"/>
  <c r="O24" i="3"/>
  <c r="J35" i="3"/>
  <c r="F35" i="3"/>
  <c r="M35" i="3"/>
  <c r="I35" i="3"/>
  <c r="E35" i="3"/>
  <c r="K35" i="3"/>
  <c r="L35" i="3"/>
  <c r="H35" i="3"/>
  <c r="D35" i="3"/>
  <c r="G35" i="3"/>
  <c r="P5" i="1"/>
  <c r="I24" i="3"/>
  <c r="O5" i="1"/>
  <c r="L24" i="3"/>
  <c r="D28" i="2"/>
  <c r="D19" i="2"/>
  <c r="R24" i="3"/>
  <c r="K24" i="3"/>
  <c r="K51" i="3" l="1"/>
  <c r="G51" i="3"/>
  <c r="J51" i="3"/>
  <c r="F51" i="3"/>
  <c r="L51" i="3"/>
  <c r="D51" i="3"/>
  <c r="C49" i="3"/>
  <c r="C51" i="3" s="1"/>
  <c r="M51" i="3"/>
  <c r="I51" i="3"/>
  <c r="E51" i="3"/>
  <c r="H51" i="3"/>
  <c r="G36" i="3"/>
  <c r="H36" i="3"/>
  <c r="M36" i="3"/>
  <c r="N28" i="3"/>
  <c r="N33" i="3"/>
  <c r="N36" i="3" s="1"/>
  <c r="K36" i="3"/>
  <c r="L36" i="3"/>
  <c r="F36" i="3"/>
  <c r="E36" i="3"/>
  <c r="C109" i="3"/>
  <c r="E108" i="3" s="1"/>
  <c r="E107" i="3"/>
  <c r="J36" i="3"/>
  <c r="D36" i="3"/>
  <c r="I36" i="3"/>
  <c r="E109" i="3" l="1"/>
  <c r="M104" i="3"/>
  <c r="L104" i="3"/>
  <c r="J104" i="3"/>
  <c r="T8" i="1"/>
  <c r="U8" i="1"/>
  <c r="F19" i="1"/>
  <c r="S8" i="1"/>
  <c r="R8" i="1"/>
  <c r="E104" i="3"/>
  <c r="C104" i="3"/>
  <c r="G104" i="3"/>
  <c r="O33" i="3"/>
  <c r="O36" i="3" s="1"/>
  <c r="H104" i="3"/>
  <c r="I104" i="3"/>
  <c r="D104" i="3"/>
  <c r="F104" i="3"/>
  <c r="K104" i="3"/>
  <c r="V12" i="1" l="1"/>
  <c r="R7" i="1"/>
  <c r="U7" i="1"/>
  <c r="C19" i="1"/>
  <c r="V7" i="1"/>
  <c r="C21" i="1"/>
  <c r="C18" i="1"/>
  <c r="V9" i="1"/>
  <c r="G196" i="3"/>
  <c r="U6" i="1" s="1"/>
  <c r="E196" i="3"/>
  <c r="S6" i="1" s="1"/>
  <c r="V10" i="1"/>
  <c r="V8" i="1"/>
  <c r="F18" i="1"/>
  <c r="F196" i="3"/>
  <c r="T6" i="1" s="1"/>
  <c r="C195" i="3"/>
  <c r="C113" i="3"/>
  <c r="P33" i="3"/>
  <c r="P36" i="3" s="1"/>
  <c r="D196" i="3"/>
  <c r="R6" i="1" s="1"/>
  <c r="V11" i="1"/>
  <c r="R12" i="1"/>
  <c r="T12" i="1"/>
  <c r="U12" i="1"/>
  <c r="F23" i="1"/>
  <c r="S12" i="1"/>
  <c r="E131" i="3"/>
  <c r="D131" i="3"/>
  <c r="F131" i="3"/>
  <c r="C131" i="3"/>
  <c r="F20" i="1"/>
  <c r="T9" i="1"/>
  <c r="U9" i="1"/>
  <c r="S9" i="1"/>
  <c r="R9" i="1"/>
  <c r="R10" i="1"/>
  <c r="T10" i="1"/>
  <c r="U10" i="1"/>
  <c r="S10" i="1"/>
  <c r="F21" i="1"/>
  <c r="U11" i="1"/>
  <c r="R11" i="1"/>
  <c r="F22" i="1"/>
  <c r="S11" i="1"/>
  <c r="T11" i="1"/>
  <c r="S7" i="1"/>
  <c r="T7" i="1"/>
  <c r="C197" i="3"/>
  <c r="F17" i="1" s="1"/>
  <c r="Q33" i="3" l="1"/>
  <c r="Q36" i="3" s="1"/>
  <c r="E12" i="1"/>
  <c r="C224" i="3"/>
  <c r="G8" i="1"/>
  <c r="G10" i="1"/>
  <c r="G12" i="1"/>
  <c r="F114" i="3"/>
  <c r="C23" i="1"/>
  <c r="G7" i="1"/>
  <c r="C22" i="1"/>
  <c r="F7" i="1"/>
  <c r="E8" i="1"/>
  <c r="F8" i="1"/>
  <c r="G9" i="1"/>
  <c r="C118" i="3"/>
  <c r="G5" i="1"/>
  <c r="C114" i="3"/>
  <c r="G6" i="1" s="1"/>
  <c r="D7" i="1"/>
  <c r="E114" i="3"/>
  <c r="D10" i="1"/>
  <c r="G11" i="1"/>
  <c r="C8" i="1"/>
  <c r="R33" i="3"/>
  <c r="R36" i="3" s="1"/>
  <c r="C7" i="1"/>
  <c r="D114" i="3"/>
  <c r="C20" i="1"/>
  <c r="E10" i="1"/>
  <c r="C196" i="3"/>
  <c r="V6" i="1" s="1"/>
  <c r="V5" i="1"/>
  <c r="E7" i="1"/>
  <c r="C115" i="3"/>
  <c r="C17" i="1" s="1"/>
  <c r="G114" i="3"/>
  <c r="F10" i="1"/>
  <c r="C10" i="1"/>
  <c r="D8" i="1" l="1"/>
  <c r="C6" i="1"/>
  <c r="C128" i="3"/>
  <c r="F11" i="1"/>
  <c r="D128" i="3"/>
  <c r="D6" i="1"/>
  <c r="O224" i="3"/>
  <c r="S224" i="3"/>
  <c r="L5" i="1"/>
  <c r="E128" i="3"/>
  <c r="E6" i="1"/>
  <c r="C11" i="1"/>
  <c r="D11" i="1"/>
  <c r="D9" i="1"/>
  <c r="F12" i="1"/>
  <c r="N224" i="3"/>
  <c r="F9" i="1"/>
  <c r="U224" i="3"/>
  <c r="E9" i="1"/>
  <c r="C12" i="1"/>
  <c r="T224" i="3"/>
  <c r="C9" i="1"/>
  <c r="D12" i="1"/>
  <c r="E11" i="1"/>
  <c r="F128" i="3"/>
  <c r="F6" i="1"/>
  <c r="P224" i="3"/>
  <c r="V224" i="3"/>
  <c r="W224" i="3"/>
  <c r="Q224" i="3" l="1"/>
  <c r="D224" i="3"/>
  <c r="R224" i="3"/>
  <c r="E224" i="3" l="1"/>
  <c r="F224" i="3" l="1"/>
  <c r="G224" i="3" l="1"/>
  <c r="H224" i="3" l="1"/>
  <c r="I224" i="3" l="1"/>
  <c r="J224" i="3" l="1"/>
  <c r="K224" i="3" l="1"/>
  <c r="L224" i="3" l="1"/>
  <c r="Z12" i="1" l="1"/>
  <c r="X12" i="1"/>
  <c r="Y12" i="1"/>
  <c r="W12" i="1"/>
  <c r="AA12" i="1"/>
  <c r="L12" i="1"/>
  <c r="D23" i="1" l="1"/>
  <c r="H12" i="1"/>
  <c r="K12" i="1"/>
  <c r="I12" i="1"/>
  <c r="J12" i="1"/>
  <c r="L11" i="1" l="1"/>
  <c r="X9" i="1"/>
  <c r="Y9" i="1"/>
  <c r="Z9" i="1"/>
  <c r="W9" i="1"/>
  <c r="AA9" i="1"/>
  <c r="D132" i="3"/>
  <c r="F132" i="3"/>
  <c r="E132" i="3"/>
  <c r="C132" i="3"/>
  <c r="E228" i="3"/>
  <c r="X6" i="1" s="1"/>
  <c r="G228" i="3"/>
  <c r="Z6" i="1" s="1"/>
  <c r="F228" i="3"/>
  <c r="Y6" i="1" s="1"/>
  <c r="C228" i="3"/>
  <c r="AA6" i="1" s="1"/>
  <c r="D228" i="3"/>
  <c r="W6" i="1" s="1"/>
  <c r="L9" i="1"/>
  <c r="L10" i="1"/>
  <c r="Z10" i="1"/>
  <c r="Y10" i="1"/>
  <c r="X10" i="1"/>
  <c r="AA10" i="1"/>
  <c r="W10" i="1"/>
  <c r="Q12" i="1"/>
  <c r="F119" i="3"/>
  <c r="G119" i="3"/>
  <c r="E119" i="3"/>
  <c r="D119" i="3"/>
  <c r="C120" i="3"/>
  <c r="C119" i="3"/>
  <c r="L6" i="1" s="1"/>
  <c r="Z11" i="1"/>
  <c r="X11" i="1"/>
  <c r="AA11" i="1"/>
  <c r="Y11" i="1"/>
  <c r="W11" i="1"/>
  <c r="C154" i="3" l="1"/>
  <c r="D17" i="1"/>
  <c r="E129" i="3"/>
  <c r="J6" i="1"/>
  <c r="O12" i="1"/>
  <c r="K10" i="1"/>
  <c r="K9" i="1"/>
  <c r="J9" i="1"/>
  <c r="L8" i="1"/>
  <c r="C129" i="3"/>
  <c r="H6" i="1"/>
  <c r="M12" i="1"/>
  <c r="D20" i="1"/>
  <c r="I9" i="1"/>
  <c r="Z8" i="1"/>
  <c r="X8" i="1"/>
  <c r="AA8" i="1"/>
  <c r="Y8" i="1"/>
  <c r="W8" i="1"/>
  <c r="D22" i="1"/>
  <c r="J10" i="1"/>
  <c r="D129" i="3"/>
  <c r="I6" i="1"/>
  <c r="P12" i="1"/>
  <c r="N12" i="1"/>
  <c r="D21" i="1"/>
  <c r="I10" i="1"/>
  <c r="H11" i="1"/>
  <c r="J11" i="1"/>
  <c r="E23" i="1"/>
  <c r="F129" i="3"/>
  <c r="K6" i="1"/>
  <c r="H10" i="1"/>
  <c r="H9" i="1"/>
  <c r="K11" i="1"/>
  <c r="I11" i="1"/>
  <c r="D19" i="1" l="1"/>
  <c r="I8" i="1"/>
  <c r="K8" i="1"/>
  <c r="Q10" i="1"/>
  <c r="Q11" i="1"/>
  <c r="H8" i="1"/>
  <c r="Q9" i="1"/>
  <c r="M224" i="3"/>
  <c r="D124" i="3"/>
  <c r="C124" i="3"/>
  <c r="Q6" i="1" s="1"/>
  <c r="G124" i="3"/>
  <c r="F124" i="3"/>
  <c r="E124" i="3"/>
  <c r="C125" i="3"/>
  <c r="J8" i="1"/>
  <c r="F130" i="3" l="1"/>
  <c r="F133" i="3" s="1"/>
  <c r="P6" i="1"/>
  <c r="Q8" i="1"/>
  <c r="N11" i="1"/>
  <c r="E22" i="1"/>
  <c r="M10" i="1"/>
  <c r="E17" i="1"/>
  <c r="D154" i="3"/>
  <c r="M9" i="1"/>
  <c r="N9" i="1"/>
  <c r="P11" i="1"/>
  <c r="E21" i="1"/>
  <c r="E20" i="1"/>
  <c r="O9" i="1"/>
  <c r="O11" i="1"/>
  <c r="O10" i="1"/>
  <c r="N10" i="1"/>
  <c r="D130" i="3"/>
  <c r="D133" i="3" s="1"/>
  <c r="N6" i="1"/>
  <c r="C130" i="3"/>
  <c r="C133" i="3" s="1"/>
  <c r="M6" i="1"/>
  <c r="E130" i="3"/>
  <c r="E133" i="3" s="1"/>
  <c r="O6" i="1"/>
  <c r="P9" i="1"/>
  <c r="M11" i="1"/>
  <c r="P10" i="1"/>
  <c r="E19" i="1" l="1"/>
  <c r="P8" i="1"/>
  <c r="O8" i="1"/>
  <c r="L7" i="1"/>
  <c r="M8" i="1"/>
  <c r="Y7" i="1"/>
  <c r="AA7" i="1"/>
  <c r="Z7" i="1"/>
  <c r="X7" i="1"/>
  <c r="W7" i="1"/>
  <c r="N8" i="1"/>
  <c r="C156" i="3" l="1" a="1"/>
  <c r="C156" i="3" s="1"/>
  <c r="H7" i="1"/>
  <c r="K7" i="1"/>
  <c r="J7" i="1"/>
  <c r="D18" i="1"/>
  <c r="I7" i="1"/>
  <c r="Q7" i="1" l="1"/>
  <c r="O7" i="1" l="1"/>
  <c r="E18" i="1"/>
  <c r="M7" i="1"/>
  <c r="N7" i="1"/>
  <c r="P7" i="1"/>
  <c r="D153" i="3" l="1"/>
  <c r="C153" i="3"/>
</calcChain>
</file>

<file path=xl/sharedStrings.xml><?xml version="1.0" encoding="utf-8"?>
<sst xmlns="http://schemas.openxmlformats.org/spreadsheetml/2006/main" count="482" uniqueCount="277">
  <si>
    <t>PHƯƠNG ÁN</t>
  </si>
  <si>
    <t>Phương án 0 - Phương án cơ sở</t>
  </si>
  <si>
    <r>
      <rPr>
        <b/>
        <sz val="11"/>
        <color rgb="FF000000"/>
        <rFont val="Calibri, sans-serif"/>
        <charset val="134"/>
      </rPr>
      <t xml:space="preserve">No concession (Không nhượng bộ)
</t>
    </r>
    <r>
      <rPr>
        <sz val="11"/>
        <color rgb="FF000000"/>
        <rFont val="Calibri, sans-serif"/>
        <charset val="134"/>
      </rPr>
      <t xml:space="preserve"> -Không miễn thuế nhập khẩu tàu, thiết bị, vốn lưu động và vật liệu
 -Không miễn thuế nhiên liệu và thuế VAT đối với các mặt hàng khác
 -Công ty KHÔNG cư trú =&gt; Non-resident company tax = 48%
 -Không miễn thuế nhập khẩu EU (Import duty for EU = 10%)
 -Là nước phát triển (Không miễn thuế xuất khẩu 5 %)</t>
    </r>
  </si>
  <si>
    <t>Phương án 1</t>
  </si>
  <si>
    <t>Miễn thuế nhập khẩu tàu, thiết bị, vốn lưu động và vật liệu (Import duty = 0%)</t>
  </si>
  <si>
    <t>Phương án 2</t>
  </si>
  <si>
    <t>Miễn thuế nhiên liệu và thuế VAT đối với các mặt hàng khác (VAT  = Fuel tax = 0%)</t>
  </si>
  <si>
    <t>Phương án 3</t>
  </si>
  <si>
    <t>Là công ty thường trú (Resident company tax = 25%)</t>
  </si>
  <si>
    <t>Phương án 4</t>
  </si>
  <si>
    <t>Là công ty thường trú (Resident company tax = 25%)
 Miễn thuế nhập khẩu EU (Import duty for EU = 10%)</t>
  </si>
  <si>
    <t>Phương án 5</t>
  </si>
  <si>
    <t>Là công ty thường trú (Resident company tax = 25%)
 Là đang nước phát triển (Miễn thuế xuất khẩu 5%)</t>
  </si>
  <si>
    <t>Phương án 6</t>
  </si>
  <si>
    <t>Miễn thuế nhập khẩu tàu, thiết bị, vốn lưu động và vật liệu + Miễn thuế nhiên liệu và thuế VAT đối với các mặt hàng khác + Là công ty thường trú + Miễn thuế nhập khẩu EU+ Là nước đang phát triển.</t>
  </si>
  <si>
    <t>PROJECT SUMMARY</t>
  </si>
  <si>
    <t>MARKET ANALYSIS</t>
  </si>
  <si>
    <t>TOTAL INVESTMENT POINT OF VIEW (TIPV)</t>
  </si>
  <si>
    <t>EQUITY POINT OF VIEW - WPTP (EPV)</t>
  </si>
  <si>
    <t>EFFICIENCY ANALYSIS</t>
  </si>
  <si>
    <t>REFERENT GROUP ANALYSIS</t>
  </si>
  <si>
    <t>DISCOUNT RATES</t>
  </si>
  <si>
    <t>Option 0</t>
  </si>
  <si>
    <t>Option 1</t>
  </si>
  <si>
    <t>Option 2</t>
  </si>
  <si>
    <t>Option 3</t>
  </si>
  <si>
    <t>Option 4</t>
  </si>
  <si>
    <t>Option 5</t>
  </si>
  <si>
    <t>Option 6</t>
  </si>
  <si>
    <t>IRR</t>
  </si>
  <si>
    <t>TIPV</t>
  </si>
  <si>
    <t>EPV</t>
  </si>
  <si>
    <t>Crystal Ball Data</t>
  </si>
  <si>
    <t>Workbook Variables</t>
  </si>
  <si>
    <t>Last Var Column</t>
  </si>
  <si>
    <t xml:space="preserve">    Name:</t>
  </si>
  <si>
    <t xml:space="preserve">    Value:</t>
  </si>
  <si>
    <t>Worksheet Data</t>
  </si>
  <si>
    <t>Last Data Column Used</t>
  </si>
  <si>
    <t>Sheet Ref</t>
  </si>
  <si>
    <t>Sheet Guid</t>
  </si>
  <si>
    <t>c2d5e814-2729-4c2c-8c45-17fb8980db1b</t>
  </si>
  <si>
    <t>20e0fe2f-a898-4a45-9798-bd04bd92a1d1</t>
  </si>
  <si>
    <t>a289cc44-97c0-43d5-8250-87aeaf3c6825</t>
  </si>
  <si>
    <t>83cd0eb9-7279-43dd-bf8d-63a098527715</t>
  </si>
  <si>
    <t>db9129c7-e8c0-473b-a33b-47831f946880</t>
  </si>
  <si>
    <t>83a969cd-c32d-4f1e-8c35-124fa8f9710c</t>
  </si>
  <si>
    <t>bb516a18-9b00-426e-a9c8-e466a8b13c13</t>
  </si>
  <si>
    <t>3780e4a4-c4b9-4c54-b390-ab6807c8e394</t>
  </si>
  <si>
    <t>47cb2232-8573-4d41-80f1-79deedab87bd</t>
  </si>
  <si>
    <t>6db9b7a4-dfec-47e3-b5f9-f749d03771c8</t>
  </si>
  <si>
    <t>3f040fd4-cf6e-45aa-bc40-455f1f66e102</t>
  </si>
  <si>
    <t>5c7af43d-9427-43a3-9170-1906e148aad0</t>
  </si>
  <si>
    <t>d849a4ce-9947-4f04-8932-cb7c339b3f89</t>
  </si>
  <si>
    <t>04675f9f-2773-4303-8fec-7c95e094ddd1</t>
  </si>
  <si>
    <t>c635650f-02f1-49a4-9216-ee14733901cb</t>
  </si>
  <si>
    <t>Deleted sheet count</t>
  </si>
  <si>
    <t>Last row used</t>
  </si>
  <si>
    <t>Data blocks</t>
  </si>
  <si>
    <t>CB_Block_0</t>
  </si>
  <si>
    <t>CB_Block_7.0.0.0:1</t>
  </si>
  <si>
    <t>㜸〱敤㕣㕢㙣ㅣ㔷ㄹ摥㌳摥㕤敦慣敤搸㡤㤳戶㈹愵㌵㉤愵戴づ㙥㥣㌶㤴〲挱昸搲㕣㡡ㄳ扢戱㤳㠲〰㙤挶扢㘷攲㘹㜶㘶摣㤹㔹㈷㉥㤵㕡㐱换㐵摣愴㜲ㄱ㠵㜲㔱㠵㉡昱挲攵㠵晢ぢㄲㄲ〸ㄵ㠹〷㜸㐰昰㔰㄰㠲〷㄰㡡㠴㠴㄰㐲㠲敦㍢㌳戳㍢戳敢ㅤ扢摢ㄶ㕣攴㤳敥敦㌳攷㌶攷㥣晦㝡晥晦㑣㜳㈲㤷换晤ㅢ㠹㝦㤹昲捣㕣扦戴攱〷搲㥥㤸㜵敢㜵㔹つ㉣搷昱㈷愶㍤捦搸㤸户晣愰てつ㡡ㄵぢ昵㝥愱攲㕢て换㔲㘵㕤㝡㍥ㅡㄵ㜲戹㔲㐹搷㔰捦㐱昸ㅢ㠹ㅦ㜴昶ㅡ捣〳㉣捦捥㉣慣㍣㠸㔱㤷〲搷㤳〷挷捥㠵㝤㡦㑥㑥㑥㑣㑥摣㜵昷攴ㅢ㈷づㅤㅣ㥢㙤搴㠳㠶㈷㡦㍡戲ㄱ㜸㐶晤攰搸㘲㘳愵㙥㔵摦㈱㌷㤶摤㡢搲㌹㉡㔷づ摤戹㘲摣昵愶挹扢㡥ㅣ㌱敦戹攷㑤㠳㜸㜵敥昴散捣愲㈷㑤晦㈵ㅡ戳挰㈹摦㌵㈷慢ㄶ搷㈶愵㘷㌹ㄷ㈶㘶㘷昰㕦㘲晥㜸扡㝢㘲㘹㔵捡㠰慦㤶㥥㜴慡搲搷搱㜱挰㥥昶晤㠶扤挶捤搳敤㘳㔸㙡搵昰㠳㠲㍤㉢敢㜵摤㡥㐷㉤搹ぢ搸扢扡戱㌱㘸㉦㐹挷户〲㙢摤ち㌶㡡昶㌲〶慡つ搹㘷㝤㜹挶㜰㉥挸搳㠶㉤ぢ昶昱㠶㔵换㠷㈹搷㜷㙢㍣㐴㜲㘲㙡昹ㄳ搳扥㍤扢㙡㜸㙡㐶㍥㌷㈶愳敤㌱慦㥡㙥㝢㜳昷㜱㌹㜵昵〶㡥㜹㑢昷㜶愸㌹㘷㜸捤㤶攳摤㕢㐶㡢㑦捦攰㡥敥敤ㄳ㝢㤴敥㜳㕢昷㍥㙡㉢搳慤挵㐰㐴摦㙡㐷戱ㄸ扤㐸搰㑦㔰㈲㈰〲昵㌲挱〰挱㈰㠰挸晦つ㕣㤲散挸㉡慤㘲㘸㤵ㄵ慤㔲搵㉡㌵慤㈲戵㡡愹㔵㉥㘸㤵㔵慤㘲㘹㤵〷戵捡㐵戴㠹㔳愹扦㕦㡢搲晥愹て㝦晥戶摦晣攴敤捦㝡晡ㅤ换㙦昹晢㍦〷昷愰搱晤搱愴收㍣攳ㄲ㐸慤㐵挵㠷㈷づ昱摦搶㕣〱愶㌰㡦㤸㜷㥢㤳㤳戵㈳㠷㡣㍢㡤〲㤷㤵㠱晣ㄴ愱㡣愰敤愰昹㠰攵搴摣㑢ち㜷搷捦ㄸ扥㙣㙤摣㜸㔴㌷攳㌶㥣㥡晦慡捤㉢㤷〲㈳㤰搷戵搷戵〶改攸戶〴戶㤲扥㝡摦つ敤摤捥ㄹ昵㠶㥣扥㙣㠵搵慦㙥慢戶ㄷ㍤㜷愵㝢敤㌱㑦㍥搴慣敤㤸搱㌴㠴摡扡ㅡ扢㘳㤵㘱㔵㌸慦戱搹㔵搷㤷㡥㥡摥戸扤㘸㔵㉦㑡㙦㐹㔲㈴捡㥡㕡敡㝥㔶㐵㕣㍦扥攰㘰愱攰搶摡㑤挹㔲昳摥换〱㤸㔹搶㌰摦㌵改〵ㅢ换挶㑡㕤㕥㥤㙡ㄲ扥ㄳㄵ〷㔲挵挷摣㙡挳㥦㜵㥤挰㜳敢改㥡改摡扡〱㐹㔳㍢攵搶㘴㍥㥦㔳㐲〱〲户慦㑦㠸摣敤摤㜹㐱㈱㈲㠱㘲㌲昲戵㘹戲㥢㌸㠳搵㘱ㄵ㜵㐹㥡搴㕥扢挵㘰㥣慦㤲㌱ㄹㅣ㤸㔸ㄳ昵〷㕦晡晡㉤㠶㙤㘲敥攵㙤慣㘹愳搱敡敦㕤㤷㑥㜰挲㜰㙡㜵改㘵㙡㍦挱ㄹ改挳〰㠵㉢㄰〸㕤㜷㡦慡㑥㕣ㄶㅢ㠵㑢㔶㉤㔸㉤慥㑡敢挲㙡㠰㌲㘸挸㔲㠹㕢摢㤱昴慢㔰愴敦㈵ㄸ〵㈸㤷㜳挵㝤㙣㔴㉣㈳攵ち㤴㑥ㄹ扣㥣ㄲ攴散㤷攲攵㐱昳㤸㔵て㘴㈸㤴㠷㑤㘰㈴搴㙡ち㝤㐳㈴㔱捦愸㠶ち㘳㥦㌹ぢ㉡㌵㉣㈷搸㘸昱㙤〷㤷㠴㐴戴㉢ぢ㜶㥣㉣愰㈸㐸换㠳っ㕥〳搱戴㐹㠳散挶〹㈲㈲ㅢ㘴㘸㜶㡣㥣㈶㌲戶捦㤰ㄱ㘸㥦㈴㐲戶㍥搴㕤㐶㤰搸㍢㠹㤴㥤扡昲攳慥㌴摢捣㤶て愵搹㝥㙣㥣㝥㌵挱㌵〴搷ㄲㅣ〰㄰㝦㠴㠴愳㤴㐳㍥㥤昴㔷攱㔹扦㥥攰搵〰㤰㑦㍡㘵㑥㈴慡㘸㐳㙤挷㡥㘴扢㈱搸挹捡㈸づ㐵ㄱ㉤攳愶㥤㌹㘴㉢㐴㐷㔶攷捥搰戵㜹愵㘳㕦搷㥤㌶㤳换㈱㐵㘶㌴㑤慥㜵㡢愶挹㡤㘰搳ㅥ昵搶㡤攸慡㡦ㄱ扣〶愰慣摦㐴〸攵㐲㠳㜷㝢ㄶ㍤㑤捡㔷㠴㔹ㄴㅡ㐳㍤㉡昸㠸㤰㜹〴挸㄰㜲ㅤ挷㤷㕤ㅢ㥡收攰戸昹㡡户愱て㜶攷敦〸改㙤㝡㜳㔷敦搰㕦昴〲慤攸㥢挱㕥攲户㕤㜵捣㉤愸搶㕦㐷㜰㉢㐰㥢㡥攱改晢㠵㝡ち㤴㔹㙣㈷㌰户㤷㕥ㄷ㘵攵㉥㙦慣㐹愵㠱〶捤㘵挳扢㈰〳㜸㌰㑥捥挱ㄶ㜶㍤㑦搶㜱愸慤愹〲㥥㕦慥㐹ㄷ晡挷㍣搷㘶昹慥㡤散扦㈲ㄴ㐳㍥慦昵攵摡㙣攴っ㕢㌳攱㜳㑡㔰づ㜵昰㥤摤㠵㐴愲㔳㥡扣搸㉦晢㝣戹㉢㐹㝡㤰㈴户㘱㕢昵摢〱㈰㈵挴慦扡㑡㤴㠳㙣昶〶搵㉣㙤戱搲挳㤷㜱㍡㘹昳㈱㜶挸㤱㠱搰㘱㍢〳晦㠱㍦㘴㉦㔹㜶㔳㔸っ搸㡢搲慢挲户㘰搵㘵㌹㜴换㔲搴散捡㡡㔷㠸慣攸敢敢㌸㑦㘷昸搷ㄴ㥤戴㐹㠹㑣㙥捦慣捣㌸㡢户㠸㡡㙥㐸ち㤵っ搷㔰㔳〲㤱昲搸㜶㔷挴昴㈰㘲敥挰挶改㠷〸㈶〹づ〳ㄴ㝥づ㐹戳摤㡤㘷㌸慣㝦㥤㉥敤㑡㈵㔷㈲ㅡ㤴㡢昰戹慥挲敡〸㕦昳㐶㠲扢〱摡捣ㅦ㍡㈰㌳〸㔱愱㍣㐱㠸㉡㡣㘱㥥戳攴㈵搲挰ㅥㄳ㠱愵搹㠶ㅦ戸㌶㈳㑢㐳收㥣㝢摡つ收㉣㝦つ㤱愸㔱㌳捡㍣戰㉡ㅤ㔰㤷〷摢愷慤捣㕤㕢㤳㌵摤㕣㜲ㅢ㄰㙤㈷攷㜶挲挱ㅣ摢〱㕢㔲㥤捤㌵㠱搴摢昹ㄸ㐳〸散戴昲户搲ㅢ扢㉤敦㌷て㝤挳慤ㅤ㕤戶㠲扡ㅣ㌰㐳愶㘳扥㘴㘲ㄷㄱ㌹愸昵㥢换慢㥥㤴㜳㐳收㜱捦慡搵㉤㐷ㄲㄹ戰㌱ㄹ慣㥢㤷ㄷ㄰㈵㔸㜴ㄹ〳㜴㥤㈱㜳搹㌳ㅣ㝦捤㘰㐰㜱㘳㙦敡㐹㠵㐵ち收㡣攵昸㜸㡤挲㈲昳挳收搲慡㝢〹ㄱ摢㠶敤ㅣ㌷搶晣ㅤ㠱ㄵㄲ㝤㤸ㄴ㙡㠴㈶㌴㑤㤴戴㔲慦昸攱㠱㍣㤷㈳敦攵〹ㄴ慥㜲〵晡捣㌳戴㌷敤晡㈸㐶㐳㍢㥤㜳ㅡ㐴昴愸㔹搸㤷㈹㠵挹愹晡㍤散昳㘶㠰晢㡥㥦㍤搹㡡捣扤愸㤸㜵㠱㕥晥っㄹ慦挸愲ㄹ〸愱㡦㙥㑦㐸㉡㉣㈳攵㠰〳㠱㜱㍥戵㤳㕦搹㔴㙤㐸㝤㝢㕡搹㘳㠸㈴つ㥡昳挶㡡慣㈳ㅥ㙤ㅢ挱㥥昰㠱㘶慣㙤搴晤愸㙥搶戵㙤㠳愴㐵戲㕣慡ㅡ愴攰改㐶攰㥥戲ㅣ摤〴㔰昴ㄷㄵㄹ㤷㔱㘴㕣㔶㐵㠳收ㄹ㠶〶㔵㥥㘳戹ㄷっ捦ち㔶㙤慢㕡攲〳挳㜷㍢㠲㈶挱攴㤴扣㜱㡡㘵挶㔸㥢㌵㝦ㄶ㈶㥢㍦〱㜴㑦㐰㡥㜲敢㠸㝥㔰慥㈶㡡昸㈷㝡㜴㉣㐱挰㈸㑦愹晥㔶㡣㔶㔰户㈳㈰㜲㔴扡ㄲ摦挱戸昲㈸㑡㐲㈱㐴慣㘷㤰〸扣㠲〹㈱㑦ㄷ㜷搱㍣敢㔸〱戰㐷㡣ㅤ戳㠲㌹ㅦ㈸〷㐰㔶ㅤ㙦慦㔳㔸㑤㜴ㅡ㙦㙡㠵ㅢ㍢慢㔲㙡攲㠶捥晡愴摥㜸敤㈶搵愱㐶㐹㈸㤲慤ㅡ㈹捤戲挹ㅣ㜷㤲慡ㄱ㑡㜱挷摡㐶㘴戹㑤㕢晢㑥㈹昲㈲ㄴ㤳愲㤹㥣晥㌶㐵㈸〸昴㐶㍡㡡㍥晢㙣昲㐸㐴㙣㘸〳㤴愹愷挲戲愱㈸㈴㜸ㄲ搷㑥㙡戲ㅣ㍤㠱扦昷㐴搹㠵㐶㤰慡㌱㉥㡦㐶㌵搳昵晡㠲〳㉢愱㙡㜸戵ㅤ挲搲㔸㕢愸㘱ㄴ㜷昶慡晤挳敤㑤㌰㘲挴㠶っ㡢㘴昸㠱挱㠶㘰慥㐴㐴㤵搶搹㄰户扡㔹㕣攲搳㈹㘹㌸ち〳㑢㐱㙤㑥慥㉢㌳慣㘵挹㡦慡づ捤搳愲㤲愳扡㌹扤攲㐳愵〷㤴攳㔱㑥㌱戸㙥㥥愱㕢ち㤷ㄸ㈰㜶愳摣㘲㌵㐰㘸户㌹〰㑦〶㍢〷㍢搸㤱㌰㜴㐲敢㡣ㄲ戴㤸㐱戸改㐵㤰㜷㝡挴㈸〴愹愹搲㕦愷挴攷㥦㘲晡摡㔴㉥捥㐴㑣挴㜰㔷㠶昵〰攴㈶㈳㤳攴愲搱㌸㘰ㅥ㑡㌶㈵戴〶攳㌲㥡ㄸ㐳㌴昹扣〰户㜸ㄸ换ㅡ㈶摢搴㜱捦㉤戰愰㑤敢ㅢ㝢捣㤳㑥戵摥愸㐹愵㡡㘳㔹慤㌴昲㡥挰㤷扡〲ㄸ㜲㔳挶扥㐴㥢㜲ㄲ㐷㈹㉥㤹㐸敡摤敥搶愷搰㕤〹㌹㡣ㄱ慡㍥〶㈰㌳摣㜲㉡㈰搶㜱㑦㠱昶攱摥搶〵〶㜵㜹づ㈲慤愳㠸戲㙣ㅥ昷昱㥡㔱㘴挵㙤㠹㘶昳敥扣㑢㥢㍤㔱㜴挲ち㡢㜶〴㡥戰捥㔰攰ㄵ㡢㌰㐶㝡攴づづ㤲扢ㄲ㐵㜷慦㍣慡ㅥ㜳㔷㠰ち㠵〱挱ㄸ㉦㑦㐱㌹散㉡ㄸ㠹〶户搶戲扡〵愳扦戴扣昵㘹〰挱㌰㌰つ㕡戴っつ㥣㔹攴户㌶㜰㙥㐴慢㡣〸㘹㌲㤸捡ㄸ攵㈸ㅣ昶㐰ㅡ戸㠹〷改㘵ㄷ㑡㈸搸愷㉥㠶挵㜷ㄳ挷㙤ㅣ㠱㕣敦敡戶挲㐵㈳挰昵ㄷ攷㐰㕢昱㜴慤㐶㜳ㄷ晥戹ㅤ㠱㔵㕣摤〸捤搱㝤㙤㤷戲搴㥡㘸摦摤摣㔶ㄱ㕤ㄶ㍣㍣㌷㜱挲〸慡慢㑢挱㐶㜸㜱慢㔷㤲㈸晣㄰晥㠸㑤摦㑥㥢㌹敦昰㈲敡㍡昷扥㝣搱㜱㉦㌹㙡㕥〵㥦户晥㐰㈱戸㐲搹捦㐹㤶㜳晦挶㍦㤵戴㕣攱〷ㄸ㜱㍢搳收〰㉤〷〹挷㔱㈹㤴〶㘳挸㘷搰〹㙣昷收慤〱搲挹扥㌶㍡㔱㠲㘰㤷㔰㥣ぢ㉦ㄹ愱㠸敦〳慤㈴㤶昰㐸㡥㍤㝦ㄶ慣㉦扥㠷ㄲ㈲ㅣ捦㤱ㄸ㈹扣〶戹っ搴㈹㐱ㅥ㕤昱攰㠵㤰晦ㅦ㉣挵摣扣㈹㍢晤ㄷ㤸㔹㝣户ㅤ㐵㌷㄰㐵摦改㐰㤱攰㌵㄰挵扦昷㈱ㄳ愷〲挳戳㉦㈸㄰捥㌵敤ㅥ㐰㕦昶ぢ扦晦挳〳攸㝣㐴ㅣ捡㐶㐳愸敤ㄶ㍣㌷㑤㠴扥づㄳ㠱挱㝢㘵㈲㥣㐲㐶㌰㡡ㅦ㥡〸㤱て㘴〱〵㕢㥢〸㡣敤㘵ㄸ㠲㠹㔰㙢挲慤挱ㄳ搸搵㌶晤㘳㈷㜰昱㔶晡㠸攷㐳㘹昹戳昰㐸㕤搳㔹扣㘸㜸㠶㝤㐰㤵ㅦ昷㈴㤴㤹户㡣㥢摣慡ぢ㝢㕣户㘹㡤敡戴㠹慦㈲昶戲敦晡㔳戶㜷㝦ㅤ㤸ち㔳攸扥ㄷ㈵㔱㝣ㄱ㥥ㄲ挱㜳㐳敥㝤晢扥㝥晣㜷て㍦㍥挵摢㙡ㄱ慤ㄶ㙥㐷扥㤷㤰㍤敤〹〴㜵ㄳㄷ㐵昶昳挳㥣㔳昸㐴挹㕡慢换ㄹ挳㔳㔶㤰慦摢㜱㌶㈴扣〴㘱㠶挴户ㄳ㑣㑣摣㝢〸㑤捣㠹㌶㜷愷晡戰㐹戹〸㈷ㄲㄳ㔷㍥扤㌸㙣㈸扡㉡戲ㅥ慤捤挲㌷愱㡡㕥攰㐴搲㔶㈲㑦㥤㑣㐲㝣愳㕤搷ㅤ愱慥ぢて㌲っ晢挷㔲ち昱〷㔲㐸昲㈰挳ぢ〱㑡㑡㥤㐱愶㜰〷㐰㐶㘴慤㍤挴㑢㝦挰慥㄰㤰捤㑢㝦㍤㝥挴㠲㕤〴ㄶ㘳㕦㝣慦㈷㕡摡愲戱㙡㘲愸㔶搹㌴㑢挸愸挳ぢぢ㈶攳搲㤴愵㜳ㄸ愵摢㜶㐷昱㈵㐳㜶ㄸ㜸ぢㄹ扢㘰搳搷㔶戶敦㜵ㅡ戸昹〱㍤㔳㔴ち挳搹换㘲ㅣ㐸㔵㡣㉥㙣㕡づ㡢〸㠷挳㙣戳搳㐰㔴〵㥤攵ㅣ挰愹ㄴ挱㍦㝥㈹挴晡昱搶搰晢摢㙢愸攳㥣㝥㉣㤰㍦搸㕦㌷㘴㌰㌶摥㑡㡥㠱㠴摤㔶慢㔲㜸㍤晣㉣扡㜰搱㌹愱户戲敡㔹ㅣ挱㥦㤸戳晡戴づ晤捦攸戵攲慣㜳散捤㌰㜶㑡晦扦ㄳ〵㕢敡㝦挱搸㥢㐲攴扢愲っㅦち㡣㥦㙣ㄹ戲攱㡥挰戳㡤攰㡤㍡ㄸ敢㉡换㤰㜷㤸㕢挲挷慢㘱戵㤲攰昰㝢攵摢慦㐶㌴晢搲戶ㅤ攸㉡〰ㄹㅢ㉡㍣ぢㄱ搴戵㝦㕡㙥挵愷摢攲扢搱㜱摦㈹慢敡戹扥㙢〶㘳㑢〸晡㡥昱摢㌳ㄳ㌶捦戴昸㙡扢㔰扢ㄹ㍢㌱昸㕥昴㌹扤〰㠱㝤㕡〶㉦㔵㉣㤲㤱㠵敤㐵㌲昸ㅤ搲㐸㈲扣㐴敤攰㕦㘵摥摦㌰敡昸㜴㜵〱扥捥㠰㐵㍢㐲搹㠵ㅥ攷昶ㅢㅡ摣㍡摣搱㝡〷晣㐱戲㍥㠱攰㤸㕡挲扢摦换㝤㙤摦㠳㜴摢㘸㙤㍥㕢昶收㜳㉢ㄷ㥥〱㑥户昷㤶㌴挹昰㥤晣㈲戹慣㔷〸㜱㘹㝦ち㝦户敦愰攵㘸愳愰昳攸㠳㙥㍡挲挶敢㜰㥦㙤㈳晡㝤ㅥ㕤挵㌴〱㝥扡ㄱ㘵昸㈰攸攵㈳㉢㡡㉦㘱㔹㘴〰攴㜳挵㉡㐰㜷慡㝥㝡㌳慡ㅥ㠹〵戲攰ㄹ㠳攴㔸ㄶ㕦㐰㐳㙥㔷戸㙣戰〴㤷㉤搴㔹〲㜹㍤敥㠱㝣㑥昰㉣愱㈶昲㌹㜴㘸㑥挴㐲㘹昷㠹㝣㜶戳㠹〸㕡〱㙡愱挹昱㐷㘲㉤愲搷㔱慤摢〴づ㠱ぢ㌰㑣戱㐸㔹㔳っ㐳ぢ摦㈳㘶㤰㝥ㄱ晤㝤㝥敡攷捦㌱晤㘵㑡㈸㐱㠸慡昴攴㈹〸搵攴㍦㤹㥣扣㠷搲敥㤳晦昸㘶㤳ㅦ愱㡣攴㑣昴〰㘰愸㑦㔴昰㐷㉤愶㠱っ昷㤱㍦㜱㥥〰扦搴㉣㐶っ㤴愸扥㤷㤰㐱㕦㙥戸㙡㜵ㄹ㤹戸㙦㠱敢捦昸戸㐷搹㐷扣〸㐹㕦㑥㌱㜴挶ㄶ㐳慤㔸戲㈳㉦散㡥㤰つ㔸ㄲ扦㤶敤㉡搲㡢㍤㐶昸挵㠷㘲挴㥣㌸ㄱ㝦㌹愵㐵㌱㈷㄰㐶㘸㤱㤲㝥戸㤱攲㠳㜱攳㙦㝤扢攵㌲㐵〵ㄲ愸㈷㙣㑣㍡㔳㡤㥦㠸ㅢㅦ挶㔷㔹慡㑤㡥㌷〸㤸㥥㡦ㅢ㤳ㅥ㔵攳挷攳挶㝦㍥㝣愰搹㌸愶挳㜰攴〲㠹㈴挳搶㔵搶㝦攲ぢ敤㘱㌴㉦㤸搴㥦〳㘶㔸㑣挹愹㐲挷㜵愵㐱〷㜱ㄹ挴挳㌷搲昳戸摢㠴㉢㈰㄰戲攱晦㉡攱㈴敥㍣捤ㄹ㠱㠱㑦愰搷ㄱ㙣昶㜴昵挴捥㐵㜳挱㐳㐱扦㜹搲挷㤹慡戶愳㐸〴收㐰㍥摣摦㉤㥣昲ㄹ愶㘳㙢㍦攲㈰㤹挶㍢㈴扤㈹てㄵ㔸挹㡢昷挷㤸捤㍤搶愲ㄹ晤㔱㈰〷搲ㄱ㤰ㄹ晤㌱挰㌰㄰挳摢捡戹ㄱ昲扦㘲敥昷戳攲〳〴㡦〳㤴〵㤹㥤㜴㔰㝣〲㘰㌸晥ㅦ㔵㡣慤㉢㝦㠹㈶ㅥ㡥㕦㤶㈴㈳晤㐳散昰㘱㠰㍥戸㙦㐵㐴㠴㘵晤㈳㈸㐹扥㤴㠲㐳扤昴愳慣昸ㄸ挱挷〱捡〵㑥㜶摢扢挶㌵昵愸戹㍥㠱慥攲㌱〲晣昴㑦㐶ㄹ㍥ㄴ戸て㙦改㙥㉢昳㈸ㅣ㝦搸㡦㔰㘷敡ぢ晥㝢昱㐵晥〶ㄷ摤㠷晦㈱㐹㐱ㄹ昶㜹敤捤扤㡤㐵㈶愰㑤慥㝥㙢搸散ㄷ㌱づ搷搵㡡愰㜰㐴㉡㤵㤲㔶ㄴ挴㌷ㄷ㉣㕣扣㠱㙦㌹慡㉡㠴㈰つ愸ち㈷慡㤸㐲㠱晥㈹㌶㈵㡥㠹㈷晤搳㝣㈲㙡搵㈶㝥㈶捡昰㐱㄰慦慡晢㠳㔱昷昸㠵挴戵慡戰摡㕥㐸晣慢㡡搵攴ぢ㥦攲㘰ち㔹挸愴戵ㄲ㤱愶㘸攸ぢ挸っ昵つ㜳㙥て攰愷㕤ㄶ搵昳戵昳攷晦㌱㥣ㅦ扢㉥晦捥户て㍥昵晣捦㝥晦攴㉦摦㜳昴㑦晦㝡晡改㕦晥攱挹攷晥昵挳㤵愳㍦㜹收㤹ㅦ摦昷攵攷㝥扦搷晣㡡昶敤㝦捣㝦攵㤱挹㡢㡦㍣㘴㥥扤晤昸㈳敦㝡昰晥挹挵慢挶晢晡晡晢㙦ㅤ晤改戵慦ㅦ㜹散愱敦㡡ㅦ晤晡ㅡ㐷愸攵攲〵改㘹㜰搹㙡ㅡ㕦㐴〶搳攰㡣㕦搶㘹㜰戹㙡愳㔶愲㡤㥡㐱㐱〹㍥つ㑥㐰㔵ㄸ改㡡㠱晦〰捥昴戲㥢</t>
  </si>
  <si>
    <t>㜸〱捤㕢つ㜴㕣挵㜵摥㔹㘹㔷㍢㉢挹㕡㙣〳挶ㄸ㤰挱㝦搸㡡㤰㘴挹戲㙣ㄴ㈴㑢㤶㉣戰晣㈷㘳摡〴㔰㔶摡户搶攲晤ㄱ晢㔶戲㐴㈱攴㤴〳㤴〶㑡ㅡ㥡㐰㜳㌰扦㑤搳愴ㄴ㈸攱昰㤳挶㌸愵愷㘹摤㠳㈱㉥攷㌴愷㍦〴〳㠱㤶㥦〴〸戴〹㔰㜰扦敦扥昷愴户扢㙦㈵摢愱攷㌰搶扢㝢攷捥㥤㍢㜳敦捣㥢戹㜷收搹愷㝣㍥摦㔱㈴晥㌲㤵ㄳ㔹㌴㌰㘹收㡣㔴㝤㔷㈶㤹㌴㠶㜳㠹㑣摡慣敦捣㘶愳㤳㥢ㄳ㘶慥っっ挱挱〴捡捤挰愰㤹戸捡〸つ㡥ㅢ㔹ㄳ㑣〱㥦㉦ㄴ搲㝥㤴㔷搸㑦挴挹㘸搶搲攵〴攰昲改㈰〱戹㜴㠸㐰〳㔴㠵〱㜶㜶㙤搸㍡㜴〵摡ㅣ挸㘵戲㐶㕤敤㉥㑢㜲㝢㘳㘳㝤㘳㝤㜳㙢攳㥡晡㠶扡摡慥戱㘴㙥㉣㙢戴愷㡤戱㕣㌶㥡慣慢摤㌶㌶㤴㑣っ㕦㘴㑣敥捣散㌱搲敤挶㔰挳敡愱㘸昳摡挶收㤶㤶㜸㕢摢摡慡㑡㐸摥搲戵㘱㕢搶㠸㥢㥦㤶捣㉡捡摣摡戵愱㝥㡢㤱晢戴㘴㔶㐳㈶㐴㜶㘷㔲搱㐴晡㔳ㄲㅡ愰攵㕢扡㡤攱〴㠷挸㌰戲㠹昴敥㝡㜴㍢捦搰挸戵搶㜷㥡收㔸㙡㤴愳摤㘵㈴㤳㍢㡣戸っ㑤慡摢捣㙤㡢㘶㔳㘶㔵㡡昶㌳戲㐶㝡搸㌰攷愴㌶㑥っㅢ㐹㥢搱っ愵㜶㐵戳㕢愲㈹愳㥣㐸㑤捡ㅡ挳扥㤸㤱捥㈵㜲㤳搵愹㡢㑤㘳㐷㌴扤摢㈰㑢㈰搵㍢㤶㠸愹昲㜲晣昹捡㤶㝢昵㑣〶ち晤㐹㜵㡤㐴戳㌹挹㜱〸ㅢ扤㜸㕤搳㐵戴挸敢ㄷ愷㔴㙤㐱㉤㡥搹㐰㈲㜵㤱㤱㑤ㅢ㐹㌶挲㤱㕣㔵挰㈴〶戲挶㘱捡㔲㔳敡㠰㕦㔵摡慦〸㜵㘱㉢挱㌹〰㉢㜶㘶ㄳ㔰㜳㉣ㄹ捤搶昵㈷搲敤慢搷戶搶㙤㑥散㌱㤲〹挳捣戵㌷慦㙥愸敢㡦㑥戴㌷户慥搶㌵攰搶ㄱ搶㍢〹攰愴㥥㠴㌹㤲㌲愲挹摡愷ㅦ慦摤㤶㑤っㅢ㝡㉥ㄹ收〱愸昲户昰㝡扡㥢愳㈹晣㠳㔱晦攰㤰㝦㜰搸㍦ㄸ昳てㅡ晥挱戸㝦㜰户㝦㜰挴㍦㤸昰て㕥攱ㅦ摣〳ㅥ㈷㠵㉡㉡晣㜶㙡晥攲㤳㔷晦攰搱搷㍢昷摦㜶挵㐷㝦昷扤慦晥㐶昱㡤㤴ㄷ晡㘴㈰捤〵摤㙦㙤㙥㙡㘹㘸㘸㜰愹戰㔶〸㤶ㅡ㙤つ慤㉣搵愷愰愶㍥ㄵ㈰戸㠰㘰㜳㜴㈸㌳㤶搵愷㤱扡㄰㐰愹㔷搱㝦敡㔰昷昷㌵㡦慥散㕤摣㜵攳㙢敤敦〶㜶扤戸㕣㜱㈵㤰挶ㄷ〱㘹㈸㘸扣㘹㑤㝤㙢㙢㡢慢敤愶戶㝡攴㘹挰搵㑤昵慤㑤㉤晡っ㌶㜱㈶㐰昰㉣㠰昹㕤搱㜴摡㠸搵收挶搲搱㘹㌳搶㤲㘷㌱㠰㔲㍦戳扢昱㐰摢挱㐷㝤摢㌶昶㝥㝢摢扦晣昲搵㉢㥥㥡愷戸ㄶ㐹㌷捥〱㜲㜱㘱㌷ㅡ搷㐰挹㠶㠶晡㠶㠶挶戵㐴㥡摤㕤㙡㈶㐵ち㥢〴㘹㤶晥㌵慤戱攸愸搳㈴昴㘶扤㠴晤㔸ち㄰㕣〶㔰摥㌳㘶㈴昵㜲搲㔶〰㈸昵㔳扢㙦㠱㠵㠷㝣扡昳㠵㡥㕢㌳愹㌹つ户ㅦ㝥㑤㜱㠹㤴扥慤〴戲㘸㑢㈶㥢挲㝡搷㙦㐴搳敤つ昵㡤㑤㜵〳戹㔸户㌱づ扣愱㐹慦愲戸㍡㠰攰攷〰㈲㥢㌳搱㌴敤搰㤷捥攱㥤㌵㜳扡㥥攵攷〱㈸昵ㄳ挷ㄴ昷昷㜷㥤㝦㜰慣晦㠷搷㝦晥㡤捥扦昹敥扦㈹扥昱搲㕣㈳㤰㑤〵愶㘸㙥㙥㘳慡挷㡡摡㈸搸㙡㤷㈹慣㌲㈹ㄴㅢ戴㑣㌱户慥搵㑤㙣㝡㌵㐰戰㤹㔸㝦ㄴ㕤㑡㐴㤳愶㙥㘱㜶つ㠰㔲〷敤㍥㌵散晦挱攱挵㡤㤳㝤㜷㔴扥㜸晢㤳㉢㕢扥愸戸㌷㐸㥦搶〲㈹敡㔳㠳戴㠳㍥戵㌵㐸㥦昲㕥戸愹㍥戴㔹㉦㕥㥢挳扣戶㑤户戱改㜵〰挱昵〰搵晤〹ㄳ敢㔹㌲㥡㌶㌲㘳愶㍥㥦㠵敤〰㑡㍤㙤昷敢㠳㐳昱㥢㜷㍤㝤捥愶〷㡦㝥昹搰㝤㍤㍢敦慤扡〰挵摢敤㔵愰㍢ㅢ摤㡢㜵㜵㝡挹㙥慡挷㤸ㅣ换㕥㠵慤㉡摥ㄲ㙦㡤㌷㌶挶㕡ㅡ愲慢愳〱慥っ挷扡㈸㜲〱愹㡡㕦㤲㐸挷㌲㝢㘵㤵㕣戴㈱㙡ㅡ搳㡢收㉡扢㙣㐳㘶㉣ㅤ㌳㑦昷㉥ㅣ挸㘱㌸ㄶㄶ㤶㑤ぢ㈹慡㌶㠰挱㌳㑣㘹敦捣挲㙡扢愲挹㌱愳㜳㈲㘱ㄵ㥦㔱㔰㡣ㅤ㈴㌳㔴扡戴㈷㙢㕣㌹㔵㕡搴愳㑥㌸㈲攳㈲扢㐸㑢慢挸敡㔷㙤搷㐸挶㌴搲搲扤㔵愹㙤㠹攱㍤㐶㜶挰愰ㅢ㘳挴㐴搵㤳㔹㘴㙦㘳慢戶愶愱㈸㌶愶搸搹㙥㙡㝣攳㐴捥㐸挷㡣ㄸ晡㍢㙡㘴㜳㤳㍢愳㐳㐹攳㤴㍣ㄶ慢㑤ㄴ㥣㤶㐷敥挹っ㡦㤹㕤㤹㜴㉥㥢㐹收㤷㜴挶挶愳搸㍡㘳晤㤹㤸㠱㥤慦㥣挹愷㝣㘵㘵㑡昹㔶㝡㙤㍦㤴㙢搶换㐰戸㠶㤸慢晦㠲晣㘹㔷扦〳摡㐱㡢愴挱㌹改㕦㌲㡢㌰㤱㑢㌱攷㤶㘶㜴改㐴㥦㡦摣㉢㑡㜳㑢ㅦ愷㐶敥晦㤷搹敦㥦㘷㙢扦㜱ㅣ敥挵愶㘸㍡㤶㌴戲㌳㝡慣㡡㍤搲ㅤ〰㠱〳㜸㥢㑢㕡㡦㥢愱㥡㔰㤳㠱扤㠹㔸㙥㈴㌸㘲㈴㜶㡦攴㐰㠳㔷ㅢち搱戴㐵㐹㙦〰㐹㜷ㄱ㜴〳㠴挳扥攰㐶㌲〵挳扡挷捡〷昸㡥ㅥ扦攳㐲扦㔹㡢愳〴慦搶っ愴㝡㌲㔹戳慣捣㑢换㑤㔱㜳㈴挷改㌹㘳㈱㕤ㄴ摤㑢戰〹㈰㐰敦㘲㔶扦㠸㉢㔱㌹摤扦敡㔴户ㄱ㡦挲改㤶户㕢㐵〳㈹换㡦敢㌶捣㘱㑤㠷慦て敦捡㐴㄰ㄸ㕥晥慡ㄴ㘷扦㌱㤱敢㡥收愲ㄵ㈹戸㡥ㄸ㈵つ愶㔵㔲换挲㔸戳㕡㘸㑥敤戰㥤㠳㠴㠸愰㉥㈹㤵㐲戰㈴攱挵挱晢攲㉢戳攱捣㑡愰敦㜴敥㠲㠵ㄳ㍤摦〵㠴㘷ㅡ敢㌵搲㍢㈷㐷つ㤳散愱攰㡣愶㉣㝣扤㈸㙣敢昰搰挵戹㐴搲慣㐷㑦㝢戳㤹戱搱㑦㔳づ㘵改㍥〰㈷〵ㅥ挳㉣㍥㜶㥤ㄸ搱㔵㡣㜳㙣〶〷㝤㈱㑡㈳㐵搳昱搴㥣慤捣㌹㐹昷〳ぢ捦㔴ㄶ愰㔳㝡㍣敥㌲扤扣慡ㄴ㉣戴㌳㙢㐸〰㄰㤲っ慣㕤㥤扡㈴㤳摤㌳㤴挹散攱㝣㥡㈳㌹㜳挴㌰㜲㜴慡㉢敤㈰㐲㠲〵愵捡捡昲㕣㘰㤷昷捤愰㈹戸ㅤ愰扡㌳㤹慣㜵㈴㥡挱ㅤ㈰㤵挱扤てづ〰搱㍢〶晡㉥慡㥦㐸㥡ㄳ敡〱㝢㐳㍦敦㤳㈳戵㜷晣挵挶ぢ㙦扦㘳㝦昹晥慦摦㝢㔸晤愵㕤㔰攴㈴搳挳ㄵ㠷㝤ㄷ㄰昵㕤戰ㅤ挰〳㍣㍦改摦㐱㕥晦㉥挱ㄷ〰戰ㄸ㠸㜹戱ㄶ㕣㙡㘵ㄵ扤㘴慥〷晡㌲㠲换〱ㄴ晤㘴昱昵〷㠱㌸㐹摤〳昹ㅣ㘴ㄹ㈸扡搵㈲㠹㕥㤰㤳昴㌰戰戰㥥愱㑣搱晢收㘰㘹ㅡ㐷搳ㅣ㥡愶㔰摦㠴㘰晡攳㐵〶昸㠶㕤㔰攴愸搳搳ㄶ〳㈴㔹晦㌶戰ㅤ挰〳㍣㍦改㌴昲㍡㐳㌰ち挰搵昰㑡晣捥挱㈰㜰攳㡦づ㈵㤲㠸〶㘱㡦㉣愸㐱㤳㉣戲㜳搴昲搵ぢ㉢㐵㕦㕥捣挳㐵㔷㡦〱愸㕡〰㌱捦㌸㄰㈷愹㥢搰晡㤴㜹捥〲㔹捣攳ㄴ昳㔷㕦〵㄰搶㌳㤴愹挵攰昰㌲捦戵㄰敥㘹㥥㉦摢〵㐵〱〴㥤㝢㌱捦㜵㐰搴搵㘰㍢㠰〷㜸㝥搲搷㈳慦㙦㈰戸ㄱ挰㌵㍦㙥㐲㌶昸㠷〰攵摣㐴㘱㠹愵挰挵ㄲ㕦〵愲㙦〶㔰㡣ㄶ挴ㄲ户〰㜱㤲捡愲愱㈹㑢㌰戴㄰㑢㜰㈳㜳㤲晥㘳㘰㘱㍤㐳㤹㘲っ攲㘵㠹ㄱ〸昷戴挴㙥扢愰㈸㕣㔹〵㐹㘲㠹㙦〱㔱〶搸づ攰〱㥥㥦昴㥤挸敢㝤〴㜷〱戸㉣㜱㡦㤵㔵㜵昸ㄵ〳摣ぢ㐴摦〷愰ㄸ扦㠸〱敥〷攲㈴㜵㈹攴㑦ㄹ㠰㠱㡦ㄸ㠰摢愷㤳昴㜷㠰㠵昵っ㘵敡㍣㜰㜸ㄹ㘰〷㠴㝢ㅡ㘰扢㕤昰㐰㘱〰搵〴㐹㘲㠰㠷㠱愸慤㘰㍢㠰〷㜸㝥搲㡦㈰慦扦㑦昰㈸㠰换〰㡦㔹㔹戵ㅡ扦㘲㠰挷挹昴〴㠰㘲戰㈴〶㜸ㄲ㠸㤳㔴て攴㑦ㄹ㐰挲㉢慥改㐱愷ㅣ扦㝡㍦㐰㔸捦㔰愶搶㠰挳换〰攷㐳戸愷〱搶摢〵㐵搱ㅡ挳㉡㌱挰㡦㠱愸㌶戰ㅤ挰〳㍣㍦改㝦㐴㕥ㅦ㈴昸㈷〰㤷〱㥥戱戲㙡ㅤ㝥挵〰㠷挸昴㉣㠰㘲㔴㈶〶㜸づ㠸㤳㔴〳攴㑦ㄹ㠰戱㥣捣〰敥㍡㑥搲捦〳ぢ敢ㄹ捡㔴㍢㌸扣っ戰っ挲㍤つ戰搴㉥㈸っぢ〳ㅤ㤰㜴㥣敥扣㡥敦㑡ㄸ㝢戹〸捥㠹攳愴慣㙢捣捣㘵挴㔹慡㡥㜷㘷戶㘴㜲摤〹㜳㌴ㄹ㥤㥣ㄷ户㤱㑢㐶㡣㌴㐲㤹㉣㈲㥡〲㕡㘶㜴搴㠸改昸〰㑥㘰㠶㡤扥敥捦㐲愸〳㜳㘰攸㈴捡昱㉢愴ㄳ昳摥ㄱ㠸㉢捣ㄲ㈴㕦㠰㍥㜷愱ㄳ㈶攷㜵慥㠰㐹㔰㑥㥦㥡㘹㡢敥㑣攴㤲㐶㘵㕣戶ㅣ挱㐳㜱㔸ㄱ昱㘱慣㈲扥㜳〴捥㐹㜷㜵扣㌷㥢㠸㈵ㄳ㘹㠳㠳㌱摦㘲摤㙣散㐶㉣戸㉤㘳㈶㜸㌴㕡ㅤ摦㤹㡤愶捤㔱扡戵挳㤳㜳昳㜲攲晦〶攲ㅢㄲ㘹ㄳ捤挸㈸ㄲ慦㠹て㡣㘴昶攲㉣㝤㉣㤵敥㡤㡥㥡㥦㠹㔱㤹㜶晡㘴㘸㤴㕦昹晤㉡攴て㥤攸昸〴晦〳挶㍥㜵晡挴愸ㄶ㜳㌵㤷㑤っ㡤搱㘸㈸昲昹戸㌴㤶ㄳ挸㌸晡〲㕤挰ち㥤㔸搷㌰ㄶ㐴愰散㙦摥〹戴㘷㌰㌴㜵㐹㈱ㄱ摦ぢ慣昳㌳㠰ぢ㝢㉦敥㥢㍥㥢昹慤敥ㄲ〲㡣昳㡥㌹ㄴ收愹敡ㅣ㙢ㅡ㜱㘷攷慣挲摢㠹搹挰㕣攱搴っ挷㠵㠷戳㜴捥㌴摡㠳㘸慡㉡㡥㔳㔵㈳㠹㈰㌰ㄵ捤捤戱㌲㡣挶㜱ㄸ㘸摡㘵㕤㤹㔴㉡捡㘹挷ㄳ昳㠱攱㘸搲〸挵㍢挷㜲ㄹㅣ㐳敢㌸㠰捣㑤㥢ㄴ㥤〰㈹㍡㘱㠵㙢昱ㅤ㍣ㅣㄲ㥣戲㌲扢愳搹㐴㙥㈴㤵ㄸづ㌱挳〳㥣捦挴㝣挵ㅡ攲昶㙡㥣昵愴㌰晥戳愲㌰っ㜷㍤㡥㑣㘸㍡づ㍦㘶戵㕦〵昱㑦㥤攰搹〱㔶ㅦ搹㔴昴ㄱ㐸ぢ搰戹攰㜲㈴改ㅤ攷收散㥤㙢㐱㤱〵㑡昵㤰〱㡦㝥挹㐶㤸㈹敦〵㤸㌱戰慣〰㐳ㄸ挷戶戱㥥攸㌰㙥扦㉡散扢慦㄰㠶㤶换㑤㌶挲㔰扦ぢ愷㐷㜰愶挷ㄳ㌱㈳ㅢ㈲㘱〰㌷㜰攵㍣㈴〸㕡㘳㠸愰愷捣ㄷ〸㔴㠶扣摡敡㜳㘴㉤戱〳㈸昷つ㕦㕦㤱晣户戶慦扤〰㥤㠲㕡㘵㠰晡㘵㠲㔷〰ㄴてㄱ愸㑦〱挳捦挹昰㉡㐰㠰攱㙡攱搸攴㐷摤㠸捤㌵㤸捡攵搶㠸攷〱㈱挴捥㜲㤰㄰㄰㐵㉡㕤〷〰㐱㉢昶て㌹㔷㔱挱〱捣㜲㈳ㄶ戶搶㔸ㅥ㌴㜰㌸晣晥㜲っ㜵戰昰昰戴愸㔹〸㑢つㄸ㜲㌲愰慡搰㠵攰㙢〰愷昱㘵㠱晣挱攲慢ㄸ晡㔳搸敤愷㥣㤸㜰㔸晦ㄷ㐸扥戰敡〷㜴捣㐰挷㈴ㅣ收ㄸ敡搷〹摥〰㔰っㄸ㍢昰戸戶㉦挵㈸㤱㕢㤸㉦昸㈶挰昱㉣㤹㡡戱㈵㤷㑤晤ㄶ㠰晡〲〰㔷愳愹搹昹㑢攰戳捦㑥〶愳㌲㍢摦戶ㄱ㘶搴㘵〰㡥㉡㐰㥤㈱㝦〷愸㝥ㄷ㐰㕤づ攰挱昰㉢㌲扣㐷㠶㐱〰づ㝢昰㝤㠰攵㡥㌹㔷昴㥤㕢摢㤳㤸挰挵㑣㕦㝡ㅣ搷㄰㈹㥣〶㤹扣㤷愸敤捡㤸㌹㔳㕥慢〲攳晥て敡挳戸挳㠰㑥㠳㜴捤㙣攳晥ㅡ愸晥つ㠰㑡〲㜴攰㜱ㅢ㤷㕢㡤㘵摣て㠰ㅤ㤷㜱㌳愸㈰挶晤㤰㈲㐷〱昲㡣晢扦㈰捣㙥摣㉣敢攲搱ㅦ摢㠸ㄸ㌷㠷㡣愳ち㔰挷戸㥦〰搵㥣㔶㡡戱慥〷〳㐵㘹㑥㙤㌵づ〶㌱慥ㅦ戹㐵㡥㜱㍤慦扣㍣愶慢㕣敡㠷搵㔵慥㔶㕣搳㌵挰㔶㠲㙣攵㍡㌰㜴攰㜱㕢昴㝡㘴㉤㡢㔶㠰攵戸㉣㝡〳慡㡡㐵㐳ㄴ㝥㈳㜲㜹ㄶつ㠳㍡扢㐵㙦㘲㜷昰攸㑡ち戱㌳㡡㜱戱㠷挱慡挰愰慢挹㜸戳㌷挳ㅣ㌲搴㤰攱ㄶ㌰㠸㐵㈳挸㥤敢㔸㜴挳㔸㈲ㄹ挳㑤㑥㉤捥〴㙢戱づ昳挴〲㤷ㅤ㌳㑦搸戹㤰㠰〹换㐰摢改㤳㙢挲捥㘳㤳昳搹攴户挰搰㠱挷㙤摥㍢㤱戵捣㝢㌲㔸收㔹㌷㝣戳㍡㑦㙡ㅦ慡㠹㘹㑦愱攰扢㤰换㌳敤〲㔰㘷㌷敤㍤愸〶㐶㥦㍥㡤㐲散㡣扡ㄷ㠸愳〶㔰㘷戲㉥〴㠳㍥㥤㡣昷㜹㌳㉣㈲挳ㄹ㘴戸ㅦっ㘲摡㌳㤱㕢攰㤸戶攸㐲搲㘳愲搶愲〲㉣昹ㅤ㔷ぢ㉥㑢㉥㘶ぢ㘷戳㠵㠷挱搰㠱挷㙤挹㐷㤰戵㉣㜹づ㔸㡥㙢愲㝥ㅦ㔵挵㥡㑢㈸晣㔱攴昲慣戹っ搴搹慤昹ㄸ扢㠳㐷㉦愷㄰㍢愳ㄸ扥㝢㔸㜳〵ㄸ昴戹㘴㘴㘸敦挱戰㤲っ慢挸挰㘸㕦慣㔹㠷摣搴㌶戵换㌰㑤㈳㌹换挴慣㐷つ㤸㜳扦慢〹搷㝢㝦ㅥ㥢㘸㘰ㄳ㡣搵㍢昰戸捤挹〰摤㌲㘷㈳㔸㡥换㥣〷㔱㔵捣搹㐴攱㡣敦昳捣搹っ敡散收㝣㠶摤挱愳㕢㈸挴捥㈸ㅥ〶㜸㔸㙢つㄸ㜴㉢ㄹ㥦昵㘶㔸㑢㠶㌶㌲昰散㐰捣戹づ戹㘵捥攴㕣搱㠷㝤㡡㘷挷㝣昷㠷愳愳㠹㥣昵㌱㐶改㕤敡㝣㔴㠷㙤㥦㜷戵攷㥡慡敤㙣敦昳㙣敦〵㌰㤰㔵㕦挰ㅣ㤰㌲㍣㠱㈳〰㠵晥㔱㤱敦㕡づ愶㜰㥣㕥散㐰㙥㌲㠹挸㠱㈸晤㈵ぢ愳攷㘷ㄵ挳㡢换㘴戱挸㤷ㄷ㕥㙤㑤搵愵ㅢ㔷㌹扦攰摡㔰慡戱㠴㑥㜲攰㐷㥦ㄴ㕦㡤㑤搵㘷挷愷敦㄰㔸㠷㈹搸〹晡晣晥挴㜰㌶㘳㘶攲戹摡〱㐴挶戵扣㠶㡤攳㝢㡥捥挰㔳㤰攸搹㈶ㄵ㉢㑦昳㕢愰㜱㕥㑢㠴昷愴㌳㝢搳搲㥢㠰挹摢㘸戶愶㉢㉡搸㑣ㄸ㡦愴㜳㘰扣挸㑢㐰㔹㔹㜷㠱愵扡㉣昲戲㔵收㡢扣攲㈰㍦㜷㤰㔷㙤㈴㐰㕦敤㔸㝤㐲捡㔶㐳㙡㔸挵㤴㔱㕥㔱愱㤶ㄶ摣㜹ㄶ昹㤲㡣攸攴搲㈸ㄸ慣㐲摤挰て愱昲戱㔵愲㡥搳ㄶ㘵㘵㍦ㅥ扤ㄱ㜴摤〳㄰㡥扣㡥㍣㍢ㄴ散㐵㜶㙥搷㠶㐱㥣愳㍢搷ㅢ㥣〵挱㑤愰㔷㠱㉥晥㌲扥搷㌲㠳㝤愰㥣〴㑡晥昷㔷挱ぢ㐱㥥〳戲㉢愶㡥搰㍦ㄵ㔳づ戰㔹ㅥ㤵攸㝥戰挹㤷㐹敡㉤㘴㤱昱改慤㠰㐴㌸㘹ㄵ晤换㈳㐴ㅥ㠶㤶㥣㉥挰㝤㥡㜳㠰挳慤ㅥ〴㠵㐳㥥㍦㘴昴㌲慤㜶挰㠷㈱愳㐷挹ㄴ愱㔷挹ㄴ昹㤵昵敢㡢扣㘷㈳㡡ㅥ㈰㠷㑤㍤〰㜱㌴愹㤸收㘲〸搰扢〰挲ㄱ㍡㠱㈲㤴愶搱戴㠳愶敡㥡㡡㐶攸ㅣ㑥㙢㜶㉡㜲晡㌲ㄶ㥥㐲㠹攲摣㤱㌴〸ㄲ晥㉣捤攸摣ㅤ挱愳敥㐱㘳挵㥡摤〵㙡戱㘶㜴昱愴㥤㘱挸㠱㘶㜴攷㤸㈲㘲ㄷ㈲搲〰ㄱ晡㜰㑣㡡㥥㤸㘸㜶愷㕢㌳㑥㜸ㅤ〷〸㐷攸㡣㤵搴㡣㑥摡戴㘶㘷㐲愰㑥戱敡ㄹㄴ㉤㑥ㄶ㐹ㄹ㤰昰㘷㘹㐶㈷敢〸㡢扦收愹搹ㅦ㜹㙡㐶㔷㑢摡㌱㠱㐰㌳扡㔵㑣ㄱ扡㔶㠲搰㡦ㄲ㠴扥ㄴ㤳愲ㄳ㈴㥡摤散搶㙣っ㔴㍤づ㄰㡥搰て㉡愹ㄹ晤愳㘹捤㤶㐲愰扥㠶㔵㤷㔰戴昸㌸㈴㌱挴挶㥦愵ㄹ㝤㥣㈳㉣晥㡡愷㘶㕦昶搴㡣㥥㡥戴㜳ㅤ㄰㘸㐶慦㠶㈹㐲捦㐶㄰扡㌱㠲搰㤵㘱㔲戵㐰㐴戳慢㙤捤昸㌲攸敢㐱搵㌷〰㠴㈳昴㑢㑡㙡㐶㝦㘵㕡戳㍡㔶扤㠵㔵㜹㔵愲挴摦㈰改㔶㤰昰㘷㘹戶っ搸ㄱㄶ㡦㝡㙡㤶昶搴㡣㕥㠷戴㜳ㅢ㄰㘸㐶て㠳㈹㐲㉦㐳㄰扡ㄴ㠲搰慤㘰㔲昴て㐴戳愴慤㤹扣㘷摦〰㔵㝦ㄳ㈰ㅣ㌹て戰愴㘶㜴ㅤ愶㌵㕢つ㠱㝡ㅦ慢㌶㔱戴㙣晤㈴摤つㄲ晥㉣捤戸昵ㅦ㘱昱㤷㍣㌵扢摣㔳㌳㍡〰搲捥晤㐰愰搹ㅡ㡡㐳㡡㜰挳ㄷ㠴扢扢㈰摣攱㤹ㄴ㜷㘷搱散㔲户㘶摦〶㔵晦㌹㐰㌸搲づ㔸㔲㌳㙥摣搳㥡慤㠳㐰晤㔷慣捡换㡤〸昷㜱㈹㝣〸㐸㜵㔹㠰㕢搱晡㠲㝤挲晢ㅣ㜳㔵攱㘷㐵ㅢ昱㤹搰㈴㙤㕥㠶〳ㅣ敢搸愳摣扦敥挴㘴㜱㈷攲愹㈷㥦挰㌶㘸晤㕢挸㠱㐶慥扤㠹ㄲ捦挲愳晦ㅡ昴㥡㡤〰㐱攴昸戸搲㍢摣慣㤹㍡〴晡㐲昶㙦挴晥㥤摦㔱搳攳搴扣㑣㉤晥㝡㘷攰挸戵㜷扦晢扤昵㑢昷㍤㜴搴晥扤㔶㙡㌶㑣㔸㌵㡥㕣㘵晤㝥敤㥡づ搵㡦㥡㜴慥ち㙦戲㉦㠲㥡㥥户㌳ㄷ摡〵㠵㔷昹㤱慤㤰㈴㠳昷㌸㤰敡㌲㌵㠰ㅦづ愰摡㠴ㅡ戴㥡㈸晡㈴㈸㌵摣㙥㑥㑣搱㕤㑥捤㤹ㄴ晤㜰挷愵㥤㔴昸捦㈶〶攵㜷昹搶㘸愷扡っ㌵扤ㄴ敤㉡愵攸〶扢愰昰捡㍥挲敤㑤ㄴ㍤〰〴㡡づ攳㐷ㄴ敤㜰㉢晡户愰搶ㄸ〰㈷愶㘸摣愹㔹㑡搱㌸搳㡦搷㔹㈳昹愳昶㡥㐳捦㈰㕤摡搱愱㔲愸改愵攸晡㔲㡡慥戳ぢち㉦摦㈳ㄹ㐸ㄲ㐵晦〱〸ㄴ攵㤶㈵㡡慥㜵㉢㝡㄰搴ㅡ㙥㐶㈷愶攸戸㔳戳㤴愲㔷づ㔶昸㐶晦㌴搷戹愲㌱攴晢搲㉢攳㥤㉦晡戵㙦摢攷㈶㍢搵㌵愸改愵攸敡㔲㡡㌶搹〵㠵㜷敢㤱㙢㈱㐹ㄴ㝤づ〸ㄴ扤づ㍦愲㘸㠳㕢搱挳愰搶㜰㙦ち㘰㙥ㅤ昳㍢㕡㜳㠳㔳愳㤴㠲㑦㥣㜹晤㥢摢㥦㜸敡㠲摦㥢晦㘰敦㑢㔷晤挹〵㡡㥢㤸㤷㘲慢㑡㈹戶搲㉥㈸扣㌳㡦摣ち㐹愲搸㑦㠱㐰㌱㙥㘰愲搸ち户㘲晦ち㙡つ户愶ㄳㅢ㐱敥㘷㔲戳㤴㠲ㅤ扦晦昲搱ㅢ㔷㙥敦㡣慤㝦昱攸㜳㜳〷㍡晦攰晤㝦㍦㝡敡㐷㍢㍢搵㍥搴昴㔲昴㥣㔲㡡㥥㙤ㄷㄴ摥㡤㐷敥㠶㈴㔱昴㐵㈰㔰昴㝥晣㠸愲戵㙥㐵㕦〲戵㠶㍢搵㠹㈹捡敤㙤㔶㐵㤷扦戶愵昳㤱㝤㙦㡢挲摤ㅦ晥攲攸㐷㉦敤攸㔴摣攲扣ㄴ㍤扤㤴愲ぢ敤㠲愲㍢昰㠷㈰㘹戶㍢㜰搷㔷挴㌵㤸慡㠱㌸㐳㥡捡戸㐵收㘶㠶搰㌶㤱㑣㑡㔴㔸㠵敢慡㉣扥攳摤㡣㥢㔹㕣㔲攱㝦㙦搸〱づ㙥㙣㜹晡敦㕣㠸㘸挹戱㜲㌰扥㌵㡢ㅢ㤲㡡㜸㥦㠹ㅢ昵㔸〸摦㈱收昰搱㜹晡戳㜰㤷㠵㌸扤㥣㥢㍥戶㝤㝥晢敢昷っ㤱戹㥤捥㜰捤㌸㙤て攷昳㕣㍦㙦戹㑥散㜲㍤昸㥦ㄸ㉦昷〹㑦捣㜵㜷㕢慥ㄶ㘰㤸慤攸攷㉢扥愳搲㙦㠴慡晡㜵捥戳㌷〰昸㡤㥤㜸㜸〰㘱晤㈶㈸搶㕤ㄹ㡦昷㝣〱晡っ㠵ち昲攰愲㠷ㄶ㈸昸搰戶戲㤲㕡㍢㐹㜱㡢收㑣ち晥〲愰㜴昷收㝡㜶敦㙤㔶㝣〷㈰扦㝢敦㠲攲敡㥥攲㑥捦㉥㍡㐹㜱扢㤴㐶摦〳㔲扡搱㉡捦㐶晦ㅢ㜵㌴㙤㌲㙤㡦㕦㤳㐴㔳〸昰㈹敥戸㜹つ㜲摢㤲〶㍦〰㔲扡挱愰㘷㠳ㅦ㔱㝡㝥㠳ㅦ㤳攴㙡㤰㍢㕦㕥㠳捦㠱㈰つㅥ〵攲ㅣ㌸攷㡦戸捦戳㌱㠵㈱㉢㘸慣㡣㈴㔷㘳㠷ぢㅢ攳㤲㉥㡤昱挰慦戴㜶ㅦ㝥散㌵挵㉡㡡ㅢ攴晦㉥㜴㌷挸㕤㈱㑦㍢㉥慤搲㘰攵㡣つ扥敦搹㘰㜵㜱㠳㌵〵つ㜲㜵㜶㌷ㄸ攰㝢㜰捣㉦㉡㜸㝤昳戰愴搹晦慢㜲〳㙥搷㔷㈵昹㝦㉡扤㉥㙢昳㍦㘶㌸〹ㅤ㔱㝣扢㈸㐳捦㘵捥㥥㘷敡㙤㘰散㠶㥥㐷敡扢挰㔸愴攷扢㜹㌸㌵㠵攷㘴㔲㌹㉢㠵攷ㄴ㌷て㘷㤳昰㥣㑡㉡㈷㤲昰㉣㜰昳㜰ㄲ〸捦㘹愴㜲晣㠵㘷愱㥢㠷攳㈶㍣愷㤳捡㈱ㄳ㥥㐵㙥ㅥ㥡㕡㜸捥㈰㤵㔶ㄶ㥥㌳摤㍣愲㌲㌵㌹ぢ㔴㈷㐵愸扡散愲戵㐰戰㡢㡡搲㐵㕣㔴㕥戸捥戶戸㐴敤㈲㉥慡㉦㕣㑢㉣㉥㔱扣㠸㡢〶㄰慥㘵ㄶ㤷愸㕥挴㐵ㄳ〸搷ち㡢㑢㤴㉦攲愲ㄱ㠴㙢愵挵㈵敡ㄷ㜱搱っ挲㔵㈷㕣ㄱ挷〰㡡㍡㡢换昰㍣㈶㌰攳㤵つ愸㡢㤳ㅦ㐵㌵愵攰㥦ぢち愸㤹ㄴㅣ㉥㈸愰㌲㔲昰㤳㠲〲昶㕦ち㥥㉢㈸㘰㤷愵攰搹㠲〲昶㔲ちづ攵ㄷ㔴晥ㅦ㌰搲挵摤</t>
  </si>
  <si>
    <t>㜸〱敤㕣〹㝣㔴搵戹㥦㌳挹㑣收㑥ㄲ㌲㉣敥㕢㔴愸搶搰㤸㤰戰㈸㘲㌲㈴〴㈳㠱㠴㈴㉣ㄶ㌱摣捣摣㐹〶㘶㠹㜳㙦㈰㔱敡㡡㜵敢㈲戶ㄶ戵戴昲晣昵昵㈹慤㘲戵㔵㘸慤〶愱搵㕡晡搴㍥㝤搶㕦㝤㤵㔲慤㕡慤愵㜶ㄱ搱愷敦晦㍦㌳㜷㜲攷捥㄰㐲㠸扦搲摦敢㈱昳捤㔹扥㝢捥㜷捥昹捥户㥤㍢㌸㠴挳攱昸ㄸ㠹摦㑣昹捣㥣搸搶慦ㅢ㕡戴扣㉥ㅥ㠹㘸〱㈳ㅣ㡦改攵晥㐴㐲敤㙦ち敢㐶ㅥ㄰摣ㅤ㘱戴敢慥づ㍤㝣㤹收改㔸慤㈵㜴㈰戹ㅣづ㡦㐷㜱愲摤晣昸捣㡣挲愷㤴㝣㠰㈲㘰㌹摡敢㘶㌷㜷慥㐴搷㙤㐶㍣愱㑤㉥㕤㥣散㘰㔶㘵㘵㜹㘵㜹昵昴捡㘹攵ㄵ㤳㑢敢㝡㈳㐶㙦㐲㥢ㄵ搳㝡㡤㠴ㅡ㤹㕣摡搲摢ㄹ〹〷收㘹晤敤昱㔵㕡㙣㤶搶㔹㔱搵愹㔶捦愸慣㥥㍡㌵㜴捥㌹㌳㡡摣攸㜹㐱摤散㤶㠴ㄶ搲㐷慢捦〲昶搹㕣㌷扢㝣㠱㘶㡣㔶㥦ㅥ昴㠹㉥敢攳㔱㌵ㅣㅢ愵㑥㕤㕣攰慡㝡㉤㄰收㑥㘸㕡㈲ㅣ敢㉡〷搹ㄹぢ㡤搲昴昲〶慣㜸㐰搵㡤㍡㉤ㄲ㘹搵㐲㥣㘰㔱㤴㙢愶㈵戴㔸㐰搳挷㐴攷昴〵戴㐸慡㔹昷㐴ㄷ慢㠹〵㙡㔴换㘷愶㈴㥡摣户挶愰ㄶ㌳挲㐶㝦㜱㜴㤱慥戵慡戱㉥㡤㈸慥攸摣摥㜰㌰㍦㕦攴攷㍢昲捥挸㐵㡣摣㥢昲㠶㐴愰慥㕢㑤ㄸ戲挴㕤慢捣㠵㙢攱㄰㐹㜸〶㔹攴愲㔲摢㔳摣愶戶㜰㜴㥥㤶㠸㘹ㄱづ挲戹㤵搹㤰攴㥡㈴㤷㍥扤㌸收㙣戸㌱愲㌰挵晣㥣ち㐷㔱ㄴ〲㉦㠰扢㤰戹〵㉤㡢㑢攷攰㔳愱ㄴ戱㔸っ㈰昲摦挵ㄱ戲㍥㐸㑣㘷㠷敡散攸㜴㜶〴㥣ㅤ㐱㘷㠷收散〸㌹㍢扡㥣ㅤ摤捥㡥戰戳㘳愵戳㘳ㄵ㜰捣攴㈹㈸㜰愶搲ㅦ户㜴㕣晣㘰㜵㑢挳㕤捦扣㕡㝣晢㘳㉤㥢〵㑦㡤㍣㍥㈵挸㈸㍥〰昷㔸〰㉦〹㘹㙦㤴㤴㡣㘳换㜸〰㈱摥〶㈵愴收挹昱摢敡㜷㙦㥣搰晣㈳挷扢㍦晥摣晥捥㈵㐵㐷愱㜹㘱㙡㙥昵〹㜵つㄸ㘴㤰昷愶㤴㔷昰摦挱てㅤ捥㕣㘸㙡㘸㝡愸戲㌲㌸戵㐲慤㔲㕤㕣㥤攱㙥昵〴攰ㄶ㠵㤶㠴㘳挱昸ㅡ戹昷㐵愱㠶㜰挴搰ㄲ戲㔰ㄲ挲㔷㤲㝦㘵戹㌸㌴愷て〷㍦㤰㘴㤳〹愱㍡㉤㘱攰挰ㄸ晤㠳扣㜳攲㙣㔵搷〶㡢㘵愹扥㘷挷㝢㘳㐱晤㠴摣㡤㙤㠶㙡㘸挷摢摢〶㍢挹㝡慣つ㠷㐹搳㈵㐹㈷摢ㅦ㕢慣㐶㝡㌵㝦㕦㌸搹㝣㤲慤ㄹ挷㉡摥㜹攰搶㠶㠴㜶㘹扡㌵㡢㈲㍦〴敦㙡搹㜷搶㉣㤳㑤㐹扡㑡敢扡攳扡ㄶ㤳攴㤵㐵㕢挲㠱㔵㕡愲㑤愳搸搶㠲㜲慡㐷戱㈹㜵戶换㥡㘳㤸㈸㑥㙢昰㌴㙢㉤ㄷ㕡㡢〵戵㈰攸敤挱㉡昷户慢㥤ㄱ敤攸っ㤴攴㤸㘸㌸㉥愳扡㈱ㅥ攸搵敢攲㌱㈳ㄱ㡦㘴戶昸㠳慢㔵挸㤳攰晣㜸㔰换㤷挹㤱㠴挲㤱㤷㈷㠴攳捣㕣〷㤳㝤敢㍣扡ㄶ㈶愱㠰ㄸㅡ搹挲㐴㐴捥㜹攴搳㍤㈳㘳㘱㌲攲㝦㝡㐸㑡慣㑣㐸散㡡㈱戱㜳㌰㈹ㅦ㍡㌶昳攰㤵户㘲㝦戰てㄱ㡤愷搲㌹昱挰㕤づ昲攵㐱㈸戵散ち戵㌴戱㠷㔸㌴搹㙤㥡昷㍥㔹㘴愷㜳㝣㙡昶㜳㔶㐳㙢㕣愰挶㠲ㄱ㉤㌱愴㡤㈱㐸㤱㜲㌴挱㌱〴挷ㄲㅣ㐷㜰㍣㠰敢㌵挸户〳慥㈸挵愵攸ㄳ晤慥㌵攱愰搱敤敥搶挲㕤摤〶敡㘰㥢㜸㍣㕣敥慣愴㥣㠸㉡攵㈴㠲㤳〱扣㕥㠷晢ㄴ㈲戹扤㑡㈹扦㑥〵㈸㌱搵㘶㘹㤲㌳扤づㄷ㔵挲愱㉢㉥㕡㐴㡡搴㤳㌰㘴㜴㔷ㄴ晤敡㜹㜹戹㔶攳〲㔵敦㌶㜸㄰㠷㙣㤴㉡敡㌴㜶㝡㍡㐰搱㐴㠰〵ㄷ㘸ㄱㅣ攳搱戲㠱㕣搴㜳〷搵戵㔴㐱㐷㐷摢晡㘳㠱敥㐴㍣〶戳戰㕥㌵㔴㝦〰〶㠵㉥㔴㜷戴㈹㕥搷㙢戸愳ㄷ㠴昱㔵ㄴ㙤搵㝡㌴搵愸㠳㤸㌶㡡愳㑤㌰㐶愴ㅣ㙤っ昶戹愲㐹㍢愲㕥搳〳ちつ㡥㐶㠸愵㍥㌷㜲㤰戳㐵㔱ちㅡ慤捦㘰搷〵搱ㄶㄵ〶㡢愱〰愹㑣㍥㤵捣昱挹㘲㔹㘷㍥敤㑤㤵搰㠳㑦㘶㉤扤ㄴ捡㡡㘴㑦づ㜲づ㌴㈸戴㙤㝥ち摡㑦搰㈲㈳ㅣ搱换㔳换㕢㕥ㅦ㠷㐱慡㐹挳㤸换敥㜶㠳挱摣㐳㙥㤶晤愰搳㘲㘹づ㜴㈶扢〵㈹㜳ㄳ昱摥ㅥ㕡㉤愳搵て晢㜲㈸㤳〰敥晡昳收㤹㤳扥戱攵攳搴昷㤵㌸㐲㌲㈹搲愸㈱扦戳㐸㜴㈶攵㑣〰敦㔰㙤㉥ㅡ㍥㌹㈵敤〱㡣㉢㌲㙡㔱ㄴ戳㙤㑦㘸搲㕡昴挸㐲㝦㡦㔶ㅣ㕤ㄲ㑦慣敡㡣挷㔷㜱昳挷挸㤲摥慤㘹〶㑤戰挲㤴挵挹扣㄰㈲㉦㉦挳捣戲搸㙡㌴摥摣㤳〱㡡晤㤱㐸愹搹愳敥晥っ慡昲愰㔱摣攵挸㈸慤㙤㡤昳捡晢㈲㝡㥦㜸づ搳愵愱㔴扦敢挶扢〷㌶扣㔰㜷㑤换昵昷㙦㌹慦㝢㤲㜸㌶搵㤰㘵㠸㐹晢㡢㥤㔴ㄲ㑣㈱愸㈲愸㈶㤸ち㈰㥥挶愳ㄴ㑥〵㘰愲愳昱ㄹ〷㤶敡㤵㈷㝥㍡㜱㘶㄰㥣〳〰ㄱ愳㜰挹㈱㘱㘶昲敢㍣㠰㙣〹㈳㘸敢㔱捡㈸戳〸捥〷㄰㍣㘶㍣㡦づ愵〶攰㠰㥢㑡〳㔱㡥㐰㔴㌳㈹戳㤱昳㉡㐳戴〹摡㤰摣㔸㠵ぢ愹㜰改ㄴ㉥㥢㜸㈴戵㈶㔹㡢昵㜰慡挱㙥㙥扡㈸扣敤挷㐷摡摥㘹㐵㙣㔱昱㘳㠰散づ㉤㡡㠵つ扤㌰攴敦㌵攲つ㘱愳㕥㌷㡡㐲〰挸捡㐷㡥㤷㍡换昲㔰㔹㘸㜱㔸㕢搳づ〶㍡㈵扢〹㙥㐹㕤慦㙥挴愵㘴㌸㌹扢扤㍥扥㈰㙥搴㠷昵㥥㠸摡㍦㌱㐷㜳戲㘵㐹户ㄶ㠳ㄱ㤵㠰㉤㜵㌰愴㜸㑦㡦ㄶ捣㐱㘳㕢扣㌷ㄱ搰ㅡ敢㡦〴㌳㑣㈴㐵㥣〳愷〸〲㑥㑣㍡戰搹㘱㔹㜷慡㘲㈷㑥㥥ㄸ愱ㄶ㈷㥦㍢㤴㈶㐲㡣〹搶㔷收㈳㡢ㄳ攰愲㙡ㅦ㥡㐵㉣㠶ㅤ挵㤴㌷㠴㙤㑤搶ㄵ愷㍣㠷挶㤸ㅥづ㙡摥㔴㘹㝥㌸㌶㈶㤵㙤敥㌵㌲㕡搴扥昱愹ㄶ㠸㠷收ㄸ戶㍥愰㈶㠲㐷挲慥㘰㘲㐸挹㉤ㄱ㙥晣ㅢ搹㐲㈷扢㜱㌸昶㥡戱㥣扤㔷攲戰㉦㐰㌵搷㥡ㄶ㔴㑥㘹㥤㍥㡥挸㔸散㘲捡扡㘲㉥㜷扡摡挳搲㝣㑤㡤挹㕤㘸㌳㠲昵摡敡㌱ㄲ㐳〳㠳㈳ㅡ㄰搱挶㘷ㄶ愵搲㔶㐲晥㑥㍤ㅥ改㌵戴㌱改㥣㍣攸㑡愸㔵㡢愸昴㜱㡡搲戹㤶㠰〱㉦㌰摤ㅦ晤㤷㈳㘷㠷戰㈲昹愹㕤ㄲ㜲㥦摣㐳㌰㙦收㈴㜸㠶㐶戸慢搰㈲㈱㤹摥愹ㄱ㜷摥挱㜴㙦㡤挳捣㜸㤹ㅣ㉥㕡挶挳㜷㘲㜸㤲挶㥢扥㜵㔲挲㐹攱㔵㘴搶搱㝦㈸づ㐹戹㠷㈰〱〳㐱㈵㍣㍡ㄱ㐴改㡣㜰㐰㡤㐴晡挷㠴ㅡ㘳㠱㐸㙦㔰㙢㔲㍢戵㠸㈹戳攳㠹攸ㄱ戲㕦㌲㡡㤹摣慢㈱搶㈵攵搹㌵㈲㤴㘹扡㑣㈳ㄶ㜳づ愵ㄹ换㉡㔵㉥晡昰㉡ぢ㔱攲搶搰㕦㌹㘴㡦㤱㍡㝦摣㘰扣㐳挶搷㈰摡戲慡㈸搳㘸㍤愷㥤㑥㜹攲㉣㘸㑤昱愶㌸〲〲㐱㑢搵〵攱㘴搵ㄱ㜳慥攴㌶戹摤敥㤱㉡ㄸ慣ㄵ搲摥㤴改ち愱㤷㉣挳㍣㑡ㅥづ㍡㜷㜶扢摢㘲㠸㐸摤㉦㠵㈰慤慤ㄲ㑡戰愴攱搰ㅥ㌶㈲㕡㘱㐸戶换扣㠷㐷㠲慢㔹㄰㙡敦㠶つ㕢㕦ㅣ㥡㥢〸〷㈳攱㤸㐶㈳〴〱㉡挶㌴㥢戴㉥㠴㔲㕡攲㝡㤸㜱昳攲㔰㝢㐲㡤改㍤㜴㔵〲晤攳㌲㑡㜲戳㕣愱搹攱ㄸづ㔰㜲㑣收㑢㐲㙤摤昱㌵〸扤昷㐶㘳㜳搵ㅥ晤㠸搸㈸㐸愱㔴㑡㥥㉡愷㜰㍡㠵挷改ㄹ愹慥〲㠷愳㑢㥡搰㑥㠲搴㔶搱〵ㅦ攲扣㜲㤷㔲㠱㉣㥥㔷搲㤴ㄱ戹捥改㐵愷敦㉤㘴㐸愱㤵捦戴〱㕣㌸㜷㔱攳㘰昸昳戰敥ㅤ㕣っㅡっ愱ち㈴㕢愴㘳㉤㡣㐰㡣㐹戲ち敢挸㌹㡡摣㜱㤶散散攷つ㐹ㅣ㜲㈲戴㈷搱㤹㙤㠰ㄷ㕣㠴㠳て搱㡢攸〱㘴敥㤸㘴㠱收㕣㔴㡤攸愹戶扡㜸㌴慡㤲戵挸㤶㙤㤰摢㥡㐷摡搶㤰㈴㑡〸㐰昲㕦慡㑡敤㐳㤵摡㈷慢愰㡥ㄹ㍦㤵㜹昶ㄵ敦㔲ㄳ㘱愳㍢ㅡづ㜸㔸㘰㡣昳㠸攰㐹戰㤰昴搸戱愰㑣㤲㌱㘱愸摡㈳ㄵ㐹攷ㅡ摢㕤づ摦㠱㑢挷敤〷攷㍡愵づㄷ㈳っ㑥㠱㝤愵戰㔷ㄶ愱㌷ㄷ㕤㍣㠸㝤㐰㈴㡢〱㠶ㅡ㈹㠴㐴㈹敡搹慣㉣〶㌰㔳㍥挳㌶㐳挶ぢ攸扥㝢㥢攲㙡戰〱㘱昰㜸愲㈰㜵㑦收挱搶㔲愴㈴㝣㡣ㄱ搵㈱挰㡡挰敤㙡搸挱〹て㉢摡㄰㝤挹㘷㜴挹㥤摣㐳慥㡤挳攵㉡昴攴ㅡ慢搱散㙢㘲捡㤷戶㕥晡㌵㘶昵晦昶挲ㄹ㤰慣㥣㤶扣㤲㔸㠲慣戲ㄴ㐰㌰晡挴昹搸㄰㉥㈲挲㘷〱㕣っ㐲搸㑦挹〱攳㈹散摣ㄵ㘵㥣挷ㄳ攵㜴㘰㙥戸ㄱ晤㐱扣〸㑢攲㉥昴㌰摥愲㉣〳昸挵慥㕤㜴㡥ㅤ㠲〱ぢ㜳㝣㠶ㅡ扣㕥㉥㥥㜲㌱挱㜲〰㐱愷㕤㐶ㄴ㑦㐱挶愱㜴㄰愶ㅣ㤲ㄵ挸㐲㔹ぢ㡡㈲㍡㈵㘶戲散㈴㑣㘹ㄵ搵挴愲捦㑦㜳㥡ㅢ㝡㌰搳㑣㌰㌶㐰昳捣愱㜴ㄲ㜰㙣㘹ㅦ〴㤱㘱㘷っㅢ搰㐶搸㜰摦敦摦㝣戰㜵摥㠰愳晣搹㈷㑥敤㝦戶愶㘵㝣散㤷换戶挱收ㄳ㐹〶㘲晣㠰㥡捣攱搶〰㐴㠵ㅣ摤㈶㍦〵攳ぢ㤴愱㑡㠸㌸っ㌴㔰㌴愵㔹戵ㅢ昹㠳戳㉡〳ㄲ㤲㔵挳愹っぢ㠲㡢㙣㉥㉦戲愰㕤敥晦㑡㘴ㄵ㕥㘴〹㐶㈷㜲㈰㐴㠸㄰㈵〲搹㠶㍣愰挴〰搲摢㌶ㅢ〵昳戱㜱挸愷戶㉤㑥挴ㅥ〰ㄷㅤ挷攱㌹慡摣㙦㥦㈵㝡㐰搱慡㡦つ㉤散㔵㈳戸愹㙣㠶〹㙢戰敡㐸㤰㕤昹㐹㐷挲㝥㙦㤶㜹㠱〹ㅦ㕣㑥㘱搹㜲捥捣扥〶㤹戸愹戹改挴ㅣ㤹愳攱㜵㝤ㄹ愱㥣攱㡤㐲㡥㈸㔸捤㤰㙣㐷㠷挳挳㌱挹っ㕥㈵㐱〸愶愶㠳㉦㔹挸㉡敤〴㕤搱慣㕡ㄷ捤收㈱㜴扥捤㐶攷昳攳〷㈵ㄴ㜵㔱㔹㠴㉦㈵攴ㄲ㙤㤹慡㥦㜷〰㠲㘶㜹ㄶつ愲搵慣㕤㥤捡㐸昱㐳挹㝥㔰㘵㐲つ㠴攸〳搵㡡搱ㅦ㠱㉡㘷㤶㘱捣㘴㡥戲㉢搹っ愲攳〹昸㈵昹昶㡢㡢昴戳戴っち㈷搸㉥㡡攴㘳㙣愱搶㜲摤㠸㉤㍡攰昳㥣搷攰慥昰ㄹ㈶㜷ㅦ挰㠴昹攱㐰㈲慥挷㐳㐶㘹ㅢ捣搱㔲㕥ㅤ㐲㐶㔴昸㕤搷愳挷㥣㘳㜲㘲昹㌱㕥敡换㡤昶慥㡡挵搷挴㈴㌵㉥㥤㌷愸㜲ㄵぢち㌸っ摤ㄵ㤹㑥挷摡晡捣㍤昷㔱㌷㌰昹愸ㅦ㤸㝣㔴〶㑣㍥㉡〴愶ㄲ㡡㜰㍥㑥攳㙣㔴㤳㡦㠲㥦摢攸扥っ愰愸㙥㜶㠷搴㠵慤戸㕥㜴㕦㡥㥡戱愸挹㝣㤵挱扤ㄶ搵㘳㔰㙤㌱㌳㝤搴ㅣ㔲搰㤱㐸攵ち〲㕥㜸ぢ㙡て㑡㈶慦戸ちぢ挸㤳㤳㍣〱㔷戳づ㈷㘰〵扥攵ち㕤㤳捡戰㈰㔴戳昶㕡㘴捣㈴㍡㤱㤳捥攳㍡㘴〴ㄵ㠳㝣㌲〳㐷ち㜴戴㈸㥦㑦㌵㜳㌸㐱㠱扥㠸㤹㝥㄰㐰摥㐰摥攱扥〱攰㠰ㅢ㉥搶〰㡤㥢㥥戹㘹㤴昵摣㜱攵㈶㠰攲㍣摦㑡㝣㌱昹㈸摢㤹㝣ㄴ攴㑣㍥ち㜳愶ㄲ捡㜱昶㌲晡㝢㐷改㑦㙡摣㌷〳攴搸愹㉦愰㍡㜳㑢扦㠸㥡〹ㅤ敤昱㐴㑣つ挶㍢㕡㌵ㅤ敦づ改ㅤ㙤㥡攱晥ㄲ㕡散扢㑡挵㈲㘷晢㘵㘴攴ㅢㄵ捡㝡收㑡〰〴㠵㤸摣㠰慦㈰挳㘵㤶㑢㉤愵〷ち㘹〳㡥㈸㍥捡ぢ搹搱㙤挸ㄴ攷〹㌲㐸㌱㍥昶昰㜹ㄷㄶ㍣攷㕤㐳㈸搵㤰㜵搷㜰㌵㝡㤱㔴㝣ㅤㄹ㤳ちㅦ戹㐹㡥户ㄱㄹ㙣搳戵昸㘲ㄲ敢〸昰㔱捣ㅡ㈷ち㍥㌲㡢㐴晦㈶㌲挵㜹㉥㙥敥捣〳〷㝤㉤㡣㕦〶戹㥢昱㐶挰ㅣ摣昰昷戳搳㍣ㄸ㤶㉥㜹㤶昲㥤攷㡥慣㉦㙡㌵㌲つ㍦㉥ㄵ㉢㜰ㄸ晤㜰搲㠳㐲㡦㍤搲挴㔲㌶〱〸敥㙥慥摤戸昸㐰扢戱㉣搵㤰㜵㤹㐱敥㤸㙣㥢㙣敡敥㙥扥ㅡ㔳扢戴㐴㜹㡡昷㔲慣挷㜳㈱扡㠴㈶㐲愲㕢㠴挵㑡戱㑡㐴㐴㌴攳〲ㄳ㉦㐹挱㉣㘷㐸昱散攱昵捣昷㌶愴㐱㐰㠵㙢㡦攵摡愸㤹慢㈵摤扢㌴㝥㉥晤㌸扣ぢ㘶㡦攷慣㘱搱㠷㑢搴愸戴㍦扥收捣攱㐹㠰㈰攸㥣㐰㜹㝤㔸扥㑦愸㈶晡㔷㑣㔹戶㉣㠵搸㘶昰㜵戵挹愵㔱㍤㄰㑦㐴挲㥤㠳㡥昹昰摦㑢㥡㍥㕤㥤ㅡ㤸㍡慤昲㥣慡㙡慤㘲挶㌹换㈷㉦ㅢㄶ搵愹晤㉡㙢㡣昵昴攲ㄶ㍡㤱㉣㐳㜰㑣㉥攵㤲㡥摥㕢㝦换㤷て戹〵摣㔳改ㅤ戸㉥〲ㄳㅥ㉡㐷㘴㥥〲昶挵攴㕡㡡慥づ㠵㔱戲扢攱㠹㔷敥㈵搸っ㠰敥㘴㔲扥挳㥡敦〲㜸㝤㤴㤲㔲挶摣挷扡晢〹戶戰挱㐵㤱㘸攷ㅣ㝢摣捤昲㙡ㄵ㘵慦㉢㐴换愹㌰㤴慣㈶敦捡㡢㥤㠸㌴㍢㡡㄰愰㐸攰攵愶㈶挴摢㄰㤶挰㡢㝥㈹晤㡤㌸ㅣㅤ㐵搳〵㔶㘴㐹捡㤸㔰㜳〲㍥㜱㐱愸㔱㐷㔴㉦攸挱ㅢ〳〶㕥㌶㡢ㅤ〹ㅥ〰っ挱㝣㉥㉥〴㉡敦攲㥣㌹㙤㌰ㅡ㔷㜶㤷搹戲㠴㠳敢㘱㠶慦㥤㡣㙢㡣捣晥㜷㍦㠰挱〶敦愰愵搱愷㍢㐵㌳㌶㕣㥡ぢ㙦㑤㌹㑥㥡ㄷ㠸㥤㌸㤴〷㠱㉢㙦㠷㐵㜲づ戰晤扦捦㉡㈹㝢〹ㅣ㍥敡㉤挹ㄷて戳攱ㄱ㠲慤〰㕥㐱搵㐵㐵㈴收愲㙢㑡晦戱㈸㜸㥣㜹㠲㑡㡡㑣攳晥㈱㐰㌶㈵㜳㜲㔲昲㈸ㅦ昸㌱〰慦昸㤳搴攰㡥㔱㜹っ㌵ㄶ㙡㕣㥢㔰戶㉦㌱㙤昳〶搲㙦㝢㔳愸戰㤰敢㝥㙦捤㥢戵㔷搴摥攴ㄷ攴晥搳昰戱〵㌶〶㔰愵㙣〷㄰㍣ㄹ㌹㄰㥥㈰挲づ〰ㄷ㑦㡢晤㈴搸攴㜵㑡㝢㐸ㄹ㕡〸㜴愱㑡扤ㄱ㤴ㅡ愴ぢ晡㈳㈰㍡㌳戵㐷㕥ㅥ㔷㤷敡㈳㤷㕣㐹扢㍥㐳㌶ㅥ㡡㙣愰㔰昱㈰㑣㝦愸愲㠹捦㙤ㄱ㐳㘸〴昲敥㡡捡㘵挳ㄳ搷㜲㠱捡㔲慢㘵捡散㝦㠰愸㜶敦挴戴㉡搶戶挶攳挶㕡昳捤㌰㝤㉤㕦㉥㈹晤っ㕣慣㜸㘹愰㝢挷扤㍤昲㐵㤳戵捤㉤敤㡤捤ぢ㑡㉢搶㔶㈸㍦挱㔳捡㑦〱挴㌹攰㘶㡡㘷挹㝦愸㌰㙦昴捣㠰ㄲ慡㘴ㄲ㌳㠰㐴㤵挰㤲昲㌳〰㙦㍥〵敦扦㤴㙣慥㥦〰㉣㕦捥㐳㤱ㄵ㈶㑤㐷㐵㡢㘱扣㑡摢戵㐵つ㈷㜴搸搵㜹㥥㕢㠷攲捤㤴搵㌲攷搲㘴っ挹っ㤵㤲㕤㍦㐱搳㘵戹攷捥愱㑣㈸敢ㅣ晥摦ㄹ㔱挹㘰㤸昲㌴户ㄹㅦ攵攷〰㠲愶㠷㔴㈹搵㌸㈸㔴㈹攷愱挲攳㜴ぢ㥡㈳戲愱㉡搵挰㌰愶〷㤷〴㌴㔱㘴挳㤴㔴㐳つ㉡㤴㘷〰㕣搴㙤挳㔶扡戴㤸㐶ㄸ㡦㝡ㄶ㡦ち㙡㑤昶愱㍣㤷捡戰㈰愸㌲㈵㜵攵戶昹㔰㡤捡㠶捦搸收㐳搵㉡ㅢ㈶㕢攷昳〲㍢愳㠶㤴晡晡扦㔹愲㘲㤴〳扥㤸捡戰攰ㅢ〰㘰昲㙤㑦㝥㍢㝣搴㕥㑣㍥㙡㌰㈶㐱搹㈵㥦㌴㕤㑣㔹㉢㠵ㄹ㜲㘹挷㤳戵昹㤴㔳晦㜴㐲ㅦ捥搸〱㝥搸〴愱㜲摥戰扣㠹㥣敡㈹挹戲昸㘵搴㑢ㄸ㠰㑣换㑦晥搳〰㐷愲散〱㔹㡥〲㥥㉡戹搹㈴㌵敦昶㝦㐹愳㥣㍦㌸㠳戶昹ㄴ㡥摢扦㤶㈷昷敦昱㤶㉦愷㜱㤳户ち昱㈲改㑤㠸晣昳㠷㜵㠸づ攸㤲㤳ㄹ摤扦〶㔸戶㌶攳ㄵ摦戵㝥㕤敦㡤昶挸摦㈹ㅥ挰〶㕢散㙦㙤昴捦㙥㥡〳㉢散捣挶㑦㤷㌶㠴晢戴㘰㘹㘳㙣戵愶ㅢ㔱扣扢愶㤷㍥昱㐸㘹㘹㕤㕣㌷㜴攵㘵っ㈰㑥挷扥㜲㙦摤扦㐱㘹晥攱っ户ㄸ㉦挰攳ㄵ㈹换〰慦㜰㠰㔲㜳㠰摦愲戴晣㜰〶㤸摤ㅢ㡥〴ㄱ㍥㈹挵敦㉡㑡㜱㑦ㅣ挶㙤ㄷ㝥慦㘴ㄹ㜰て〷㍣挹ㅣ昰㔵㤴㍥㝢㌸〳㥥搹㠸ㄵ攴晢搵ㅣ㌴愰昶㠴つ㌵㘲ㄹ敤㌵㡥㜶扣㌹摡敢㈸戵ㅣ捥㘸㜵㙡㉣㠶扤㌲㝡㘳㉡〷㘹㐱㄰㐹㔳摥攰ㄸ挷㤸㘳晣〱愵挳摡愳㠶戰摥ㅤ搵㤲戳㐸づ昰ㄶ〷㤸㘰づ昰㐷㤴㥡づ㘷ㄲ戸挲㡦㤱晡㐶晣㝣㈱〱㥥㔳摥㐱㡦㈵㌴㌷㜸㐹攲散ㄳ㠱ㄵ挱ㄵ㉢昶㤵攴㤷ㅥ㥦扦戴戶攸㡥摤㑦敦戹昵昹㡢㘷扤晥攱挶㡤捦扦㝡敢慥てㅦ敤㥣昵攴摤㜷敦扣昰慥㕤㝢挶㠵㌶㌹ㅦ摥搷戴㘹㙤攵慡戵㤷㠶ㄶ㥤㌵㜷敤㐵㉢ㄷ㔶戶㡣㉤换换㉢㈸㌸㘳晣㔳挷㥥改扢敡搲慤㘲晢㑢挷挴㠴㌴㌱㌰㐰㍡㘸㡤扣挳㐷㔳㠳㘶戲戲ㄷ愰㌸慦㠴㔶挲㈷㑡㠶㌴㍣㌸攰㥦〱㤸捡昱昱搱〰㤱㘴扣㡢㑣㜱㕥〱戵愳搴㌹ㅥ㌶搸㐳挲㐳昸换㜶㜷㤰㘲㐲昹ぢ挱㕦〹晥㐶昰㜷㠲昷〸昶ㄱ扣て攰㜵昱愴ㅦ愶㐸ㅡ㠷㉥攰慢〷攰愷〷㘵慣户㡢㜱㕥ㄱㄳ㜱搱㤹㡡晢昶ㄴ㐶攷㐴昰㤲㕥㌸㠰㕢攸っㅦㅥ扦㤳挵攳㑣搲㤷㠷㌷㜲㐸㌱㘶捥㜳㜸摥戸㜴㤴搳愱㘰〱㉦ㅥ㘹挸挸挰㡣㘱㐹敡っ㜳挷慦昳昷㍡㔲㐶扢摤てっ攵㔵ㅤ㤲挷㙦㙡㠳㜶ㅣ㥢㤶㌸㝥晥㈹晤户搱㜷昹㜳慥㐷㍡㐲㉥㜹㙡㍤ㄶ㍣ㄹ愳捤㠷㘴㌸搴愵愷敤㍣㜸㔳挱づ㔹㈳㑥㙣㝡攱收㉦晤㙡晡挰慥晥㉢慥㝣昹愸捡㠱摡挶㘵㤵㑦㜹㑦愸㝤昹㔳晢㥤㍢㥦㔹攱㥦晢㘰攱晥挷ㄷ㉥昷〳㔷㈶攵㝦昱愵㝣〴㘰戶㤸㤸㍢愳㜷㥦㕤㍡扤搲慦㌰㔶昰扢㠹摢摦扡戴㉢㙦挰㉢愸㙥挸改挹㉢慥㔳㤰ㄳㅦ㝤昴昱挷㥣㠲㈴攰㌷户〵㙥扣昷摡㘹〳㝦㍦㝢敦搵摢㔷㑥ㄹ搸戴攱ㄷ㈷㙤ち昸㙡㑢㥥扡攸晡㉤㉢摡晤摢敥て昶敤摤戹㜰㤰㠰㍣㍣愶昰つ㕢戳挵挴㝣攰改㝢搶散晢㥦㠹㝥挵㠵挶摢㍥㜸晤敤扡㑢摦㝢摣㉢愸㝥㙣〴散戳ㄲ㜰敥㤸㑤ㅢ㙥㙢㍡㝦攰㤲㜸搷敢㥢敢㈶つ摣扣昸敤搳〷㌶㔷搵搶㍤昴摣ぢ㉥愳捦㕦扣攵晣戳㝥搸摡㍢㐸㠰㐲〲扣〰㘶㡢㠹昹挰愹户㕦扣摣摢攸㔷ち搱ㄸ㍥昶っ㝤捣昷㑥挲ち㔰㈳搹〸㜸搷㑡㐰晦㔶㘳攳ㅢ㘷㑤ㅢ〸ㄶ扦ㄲ扢㘶挷㤴㠱㝢㤶摥ㄷ愹㥣㔹㔸晢㔶㔱㜵捤㌱ㅦ㌶晢摦愹㥥戳㈲㝦㐹敢㈰〱㈵㈴挰〷㘰挷搸愹㕦攴晡改㤳愷昹㤵戱㘸摣昱捤㙤ㄳ敦扦敥㉦㌵㕥㐱㜵㘵㈳攰㙤㉢〱㍦扦㘳散㐳㝦晤昵散㠱㌷搶慦晢㜴昱昷㤵㠱敦戶昴敦㝥愸搶㕦扢敢㙦㙢慡㘶㍤㌲戳戶摡㝢挳慥㈷㥥慡愹㐵㌷㌲㈹㐷㤱〰晥挰挸㡥戱㘹㘱㙤昰攸〶㕦慤㜲っㅡ㍤捤て搵晤改㘷㘷搷㝡〵搵㤹㡤㠰摦㕢〹戸慣收挳㐹摢愶㑤ㅤ㔸昶昹㈵慦㝤敦㤱慡㠱扤敢攷㜹㡤扤敦搵㡣扤㜱挵㉤户㈸晤戵敦慣扥㉢ㅥ㝦㜸㙤㙤㜲㜸㡣㝤〲〹㌸ㄱ挰㡥昱㐶散扤昷晦ㅥ㥡㕦慢㥣㠴挶㤵昷散㜹改扥㔳㝥㡢ㄵ愰扥戳ㄱ戰摢㑡㐰㜹昷扡㉤扢㙦㥤㍡㜰挳昵㡦晥敥昹搶慡㠱ち㔷捤㈵㤷㌸㥣戵晤㌵㈷㑣摡扥㜹㕢捤〷㔷扣户昴捦㝢戶搷愴〹㌸㤵〴㥣〶㘰挷搸扦昶㍦㡥慢㥢昶慤ㅡ攵㜴㌴㙥㌷㐲㠱ㄹ㔷扥〰〲愸敢愴㠳晣㌲㠶㘵㠸㘰㌶㉡㍣㜸㕤㠱㍡㠹㘲戸㌸㕦㔰ㄱ㐹㥣㕦㘷攲戸愸㑣㐶㉣ㄱ㡢昰㜰㠶搸ㅦ㙢ぢ㕦㤶愹㔹㌵挱慣ㅡ㉤慢㈶㤰㔵搳㥤㔵ㄳ捥慡㔹㤹㔵戳㉡慢㈶㤴㔵搳㜵愲㥤㘶敢㑦㌱昱㜳挹愴㈲挳㡤㘶㉥慤㤲㤶愲㠷㄰〴ㅦ愹㜲㤳慡㙤㜸愲㔹扥㔶㥦搶㡡㠷㘹〸㤰摥㈱攷㑥〴慦昲㈹㌰愵晢っ㠰搶㘴散㜸㌴㍤ㄷ昱㉢换㠹挲㘸㡥㙦昵㜵昸㜳挷㤵昷㔱㐵㈰敤晢㔸扣㠸㠷捣昸戲搷㉢㘸㌲㤱摤㔳愴㤶㠱搴晡ㄱ㤰㥡攵昵㠸攷㉤挴〵㘷扥昲昱㌳攳摡づ㑥摣㝦㘵ㄲ㐷㔳捥㐲摣搹㈰慥㝤〴挴ㅤ搴㘳ㄲ捦㕡㠸㍤戳搲攳㔸昱扢搵〷㈷昶㤹㑣㘲㘹㜲㕡㠸慤〲戱ぢ㐷㐰散搰摥㤶搸㘵愱昴挱㙦晣改攳敢捦㕡㜸㜰㑡㝦㥥㐹㈹敤㘲ぢ愵搳㐱改摣ㄱ㔰㥡换㔳ㄳ㑦㔹攸挳㌰づ挷挰慣摡㠳昲攴㤳㤹昴搱㘴户搰㌷㜳㠴㍣㤹攵攵㠹㥤㜶攲㜶㕦㜶㜰攲㜶㘴ㄲ㐷㔷挲㐲㕣つ㠸慢ㅢ挱攲搹㍤㐴㌱㘰愱㙤敢挹搷扤戵㜰敢㘳㌵〷㕤戸挷㌳㘹愳愹〸㝡㌲㠳戳㠲戶愳㠵攲㝡㘰㝣ㄲ搲攸㐷㤶〹㘰挴攱㐹愳ㅦ㕡㈶㈰㈳㌱摥㝣㡡慡㝦㍥㜷㘲挸㘰昲慣㘱㜹㔷戹㍤㥦㜴㌴昹〲散㥢ぢ㙢挳㡦愰㑤㥥扤搳㌴搲㉤㍢㍤て挵搱ㄱ收摦户散敤戰㠵昹㐳搶扤㝤〵㔴㝢〵ㅤ〵敥慦搲㡣㑣㝡㌲戴敦昱㘷㘳㕢ㅡ晣㤶挹戴愲昸挹〸晦晢㉣㤳ㅢ戶昰晦慥㜵㜲昴㜸扣㠲㑥㠸㥣摣㘲㘴搲㤳愳敦㠰㍦摢攴攸㑣㔸㈶㜷ㄱ㡡㥦㠰戲昸戶㘵㘶挳㔶ㄶ晦㙥㥤搹㙢㜲㘶昴㙥攴捣㤶㈳㤳㥥ㄹ㥤ㄲ晣搹㘶㐶㉦挵㌲戳ㄵ㈸㡥㥡㜲戹换㌲ㅦっ㍣㍣攵昲㑤敢㝣攸㤹㜹〵㥤㈵㌹㥦㈰㌲改昹搰挷挱㥦㙤㍥㜴㝡㉣昳改㐲㜱㈴㘷㉡㕢ㄹ摤㙥㥦捣㜰㤴搱〶敢㘴攸攵㜹〵ㅤ㉦㌹㤹㔵挸愴㈷㐳㝦〹㝦戶挹搰㠱戲㑣㈶㠶攲愸㈸慦昵㤶戹っ㕢㜹摤㘲㥤ぢㅤ㐶慦愰て㈷攷㤲㐰㈶㍤ㄷㅡ搱摦攱㕣㜶ㄲ晣㠴㐰㕥㐳摥㠴づ㠶昵㑥挵㡤搶㤱晡搰㥢户㠰搲㔴㉥㤰㡣㍥摡㕦㤲捤ㅤ㝤捣㉤愰㘹攸㉢晤攸㑥戹㡣攰㜲㠲戵〴㥦〳㐰㥣㤳愲㙥ㄴ㐷扡㠲㕤㕦㐹㜰ㄵ挱搵〴搷〰㘰㈴捡㥤㔱ㅣ改㕡㜶扤㡥攰㍡㠲捦ㄳ㕣て㠰㤱㈸〷㐶㜱愴ㅢ搸昵㡤〴㌷ㄱ摣㑣昰〵〰㡣挴ㄳ㍡㡡㈳㝤㤱㕤㝦㠹攰换〴户㄰慣〷挰㐸㍣㍥愳㌸搲慤散晡㉢〴㕦㈵戸㡤攰㙢〰ㄸ㠹捣㍤㡡㈳㙤㘰搷户ㄳ摣㐱㜰㈷挱搷〱昰㝥㍡㜹㥤㜷昳捡㐶㘴挸愸㈷攳攳㈲戳ㅥづ挷搳搶㈹㡣愶摥挶㤲晦㑦㔳扢㥡攸搲㤲㤱摡挲愸昴戳㘵搴ㄶ㜸昰捦㌹慥ㄹ扢㌴愳㥥愶㘵㉢㜸㘶㐸捦〶㈵敦搸晥㝢㉥昱敦扦㝤改愲改ㄵ㔵〳㐹㠴攷㙡〴捦ㄳㄱ㤸攸攰晥㘱捦扤搷㑤㕤㔳㍤㈰㉢ㅣ扢㙢〴捦ㅡㄱ慡㉦晦㐸敦㥡戸挲晦搲攴て㝥㔰昵搸搴㠱㉡㤹㕥慦ㄱ㍣㠷㐴㌰攳愶㘶〴搶㝣昵㑡昰㐸ㄱ挱㡣㙦㥡㤱搱㌴㤱㍣㙥㐴㌸晥〷㥥换扦晤搵㔶晦ㄹ㑢㡢挷㝢扥㘷㈱昲慡ㄴ㠲㘹ㅢ㘵ㄱ挹㘳捡ㅥ敥摦晥㠳㜵敦摦搲收晦㑥戴㘱㕦攷㉣ぢ㤱㍣挲㐴㌰㘳慢㘶㤴㌶㑤㈴㑦㈳ㄱ捣ㄸ愸ㄹ㍤㑤ㄳ挹㤳㑡㠴㔳ㅦ㥤戱㝦晦扣搵晥㤷换㡥㝢晦慦㡦㔷っ慥㈴㑦㌱ㄱ㑣ㅢ㈷㡢㐸㥥㜰㈲㥣晤敤ㄷ㕤㍦戹㙣㡤㝦捣㥤攷㡥㕢㕤㍥㘳㜰㈵㜹晡㠹㘰挶㕦捤㐸㙥㥡㐸ㅥ㘴㈲㤸㜱㔲㌳搲㥡㈶㤲㠷㥣〸㝢敦晣敡捣て户戶昸捦㍢㝦㐶昳㑢㈷㑣ㅤ㈴㤲〲㠰〸愶戹㤲㐵㈴㠵〳ㄱ㡣㑤ㄷ敥ㅣ扦㜱愱晦摦慥㍦攱搱昵扦慣ㅡ㈴㤲㠲㠳〸㘶ㄴ搷㡣昲愶㠹愴っ㈰㠲ㄹ㑢㌵愳戱㘹㈲㈹ㅦ㠸㌰愵㜹昳戶改ㅦ㥣㔷慢散ㄸ㕢㕤昶攱戹㠳㐴㔲㜶㄰㐱㈶㌸戸㔹㐴㔲慥㄰攱㍦ㅦ㔸搴昰搴扡昳㙢扦收㕡㜷晦㤵慦㤶つㄲ㐹㤹㐳〴㌳搲㙢㐶㠲搳㐴㔲㝣㄰挱㡣户㥡ㄱ摢㌴㤱ㄴ㉤㐴㤸㝣昹㝣搷㜹攵㤷搵晥㝥搳扢捦㝥攵昱敡㐱㈲㈹㜶㠸㈰ㄳ㙣㡢㉣㈲㈹㤲㠸昰晣扡〷昷敦㔸㝦㜹敤摥㠹敡戹㉦㤶㔷てㄲ㐹㜱㐵〴㌳ㅡ㙣㐶㡢搳㐴㔲昲㄰挱㡣挹㥡㔱摤㌴㤱㤴㑡㐴㔸戴㜹摡㥢㌳昶㍣㕡㌳㙥攱攵ㄷ㉥㝥挵㐲攴ㅤ㈹〴搳㘸挸㈲㤲搲㡣㍤㝣昱㘷㙦慥㥥㍡㜷愰愶㘹摢搶㤶㜷㡡㉤㐴㔲搲ㄱ挱㡣ㄸ㥢ㄱ㘵㤳挸〲㡡㍥㈹㙤㝤昸㍥散㝢㐶㍡搳昲㌲㐴㕥㐸挸㑢〱ㄹ㤸㤷挱㜱ㄹ愰㉥㔶ち晦て搲㌹㠰㔳</t>
  </si>
  <si>
    <t>㜸〱捤㕢㝢㜸㕣挵㜵摦㔹㘹㔷㍢慢搷㠲つㄸ㘳㐰㈶㌶㝥挹㡢㈴㑢㤶㙣挷戱㕥㤶㉤昰㕢挶㤴㝣〶㘵戵㝢搷㕡扣て戱㜷㘵㑢㌴ㄴ㐲㠰㤲ㄴㅡ〲㘹㥢〷捦㈴晤㈳㈹㈱㤴㡦㔷扥〰捥挷㤷㠶戴㠵㐲摡收㠳戴〹捦〴〷〲〵摡㈶㘹㈰攰晥㝥攷摥㉢摤摤扤㉢搹づ昹㍥挶扥㘷捦㥣㌹㜳㘶捥㤹戹㌳攷捣㕣昹㤴捦攷㍢㠲挴㕦愶㙡㈲ぢ㠶㈶捤㠲㤱㠹昶攵搲㘹㈳㕥㐸攵戲㘶戴㈷㥦㡦㑤㙥㐹㤹㠵㉡㌰〴㠷㔳㈸㌷〳挳㘶敡㌲㈳㌴㝣挰挸㥢㘰ち昸㝣愱㤰昶愳扣挶㝥㈲㑥㐶戳㤶慥㈶〰㤷㑦〷〹挸愵㐳〴ㅡ愰㉥っ戰扢慦㜷晢挸㈵㘸㜳愸㤰换ㅢ捤㑤㝢㉣挹敢㕢㕢愳慤搱昶捥搶搵搱㤶收愶扥昱㜴㘱㍣㙦慣捦ㅡ攳㠵㝣㉣摤摣戴㘳㝣㈴㥤㡡㥦㘷㑣敥捥敤㌷戲敢㡤㤱㤶㔵㈳戱昶慥搶昶㡥㡥攴㥡㌵㕤㜵戵㤰扣慤慦㜷㐷摥㐸㥡ㅦ㤴捣㍡捡摣摥搷ㅢ摤㘶ㄴ㍥㈸㤹昵㤰〹㤱晤戹㑣㉣㤵晤㠰㠴〶㘸昹㡥㝥㈳㥥攲㄰ㄹ㐶㍥㤵摤ㄷ㐵户㡢っ㡤㕣㘷戴挷㌴挷㌳㘳ㅣ敤㍥㈳㥤摥㘵㈴㘵㘸㌲晤㘶㘱㐷㉣㥦㌱敢㌲戴㥦㤱㌷戲㜱挳㙣挸㙣㥣㠸ㅢ㘹㥢搱っ㘵昶挴昲摢㘲ㄹ愳㥡㐸㘳挶ㅡ挳挱㠴㤱㉤愴ち㤳昵㤹昳㑤㘳㔷㉣扢捦㈰㑢㈰戳㘹㍣㤵㔰搵搵昸敦慢㕡攲搵㌳ㄹ㈸昴㈷搳㌷ㅡ换ㄷ㈴挷㈱㙣昵攲㜵㑤ㄷ搱愲愸㕦㥣㔲㑤㈵戵㌸㘶㐳愹捣㜹㐶㍥㙢愴搹〸㐷㜲㐵〹㤳ㄸ挸ㅡ㠷㈹㑢㑤愹〳㝥㔵㙢扦㈲搴㠵慤〴ㅢ〰捥摦㥤㑦㐱捤昱㜴㉣摦扣㌵㤵㕤摦搶扡扡㠵㈹摡搲搲摡㐵愴扤㜹㑢㙡扦㤱㑥ㄹ㘶㘱㝤㕢㍢㈹㔲搸㈶㐸㝢昳搶搸挴晡戶搵ㄶㅤ㜵摡㠴摥慥ㅢ㈱㕡㐷搸挸〹〰搵〳攳㐶㕡㥦㐸摡ㅣ〰㔵晤㍡㕥㕦㜷㜷㘸㉡晦㜰捣㍦㍣攲ㅦ㡥晢㠷ㄳ晥㘱挳㍦㥣昴て敦昳て㡦晡㠷㔳晥攱㑢晣挳晢挱攳愴㔰㑤㡤摦㑥㡦扣昲搰㙢㔵摢㍥摦㜷昵㐰攰搹㘷慦㙦㔸愶昸挶捡ぢ㝦ㄲ㤰捤㈵敡戵户戴慦㐱㡡攲㘹㈱戲愶搳愵㕥扢㤴㐹愱攸搵扥挶㘱敥㕡愳㑦㠶㌴㝤ち㐰㜰ㅥ㐰晤搶㤴㠹挹㤴㡥㘵㡤摣戸愹㑦㘵攱㝣〰愵㝥〱搵愸摥戲攷捥㍢敤昰捦㉦搹㝣换挲㤶㤷㕦㕤㌶慦㕡㜱ㄱ㤱㝥㉤〰戲愱戴㕦㙤㕤ㅤ㥤慤敤搱戶㉥户扤摢㍢㔷户慥㘹㘹㡦㜶慥㤶晥㜴戴慤敡㙡㔹搳ㄱ㙤㕢戵㕡㥦捥ㄶ捦〰〸㥥㐹㙣㙢慣㠰搷㈴㤶㌶㜵ㄳ戳ぢ〱㤴㝡捥敥捡摣摢戶扣昶昴攴挷㝡扦扡戲昵㤳㝢ㄷ摥昸戰攲㔲㈶㕤昹〸㤰愵㈵㕤㔹搵㔵㘴㤳㔵㉤㤶㉤㍡㔷改㐵ㄴ扤ㄸ㈰㜸㌶挰〹〳㈹㜳㌴㘳挴搲㑤㡦㍤搸戴㈳㥦㡡ㅢ㝡〹ㄹ㤶〲㈸昵㡣摤昶搰挳㠹ㄵ㔵㉦つ㥤晢攰てて搷扦㝢搷戳て㉢慥愰搲昶㜲㈰㉤㈵㙤户慤㡥㜶㜶㜶戸㠶愴㙤㑤ㄴ㜹㑥戲㔵㙤搱捥戶づ扤㠲㑤㌴〳〴㔷〲捣敤㡢㘵戳㐶愲愹㌰㥥㡤㑤㜷㈳㑡㥥㜳〰㤴㝡摡敥挶㠳㍦昱㥤㜶攰㙦㕥散晢搲㤵慤扤ㄷ㕥昱搳〷ㄴㄷち改㐶㉢㤰昶㤲㙥㜴戶户㜵㘰㝥扢晡搱㈵〴换ㄴ㙢㕡㍡㔹慡摢搸捣㉡㠰㘰㍢挱㤶搸㐸㙥㍣慦㍢㐸㕤つ愰搴㍦摡㡤㍦㌵昹㡤摦㍤昳捤晢㌶㕦㜳昳扦㍣搱㌹昰摥㍤㡡㝢㠷㌴摥〵㘴挱戶㕣㍥㠳㉤㘱慢ㄱ换慥㙦㠹戶戶㌵てㄵㄲ晤挶〱攰㉤㙤㝡つ挵慤〵〸慥〳㠸㙣挹挵戲㔴㜴㌰㡢昱挶㉢愹㍦捡昲昵〰㑡㍤㘶㌷户㜹摤攸愵昱搴㜵〳摦昹挹戶挳㜷㉤扥㌶㔱户〱挵㍢敤㤷扦㍦ㅦ㍢㠸攵㜴㝡愵㙥㡢愲㥤愳搹愲戰㐳㈵㍢㤲㥤挹搶搶㐴㐷㑢㙣㔵㉣挰㜷晣㘸搷㐲㉥〵㜵挹ぢ㔲搹㐴敥愰㉣㡥ぢ㝡㘳愶㌱扤㔶慥戰换㝡㜳攳搹㠴㜹㥡㜷攱㔰〱戳㝣㝥㘹搹戴㤰戲㙡㐳㜸㈷っ㔳摡㍢愳戴摡㥥㔸㝡摣攸㤹㐸㔹挵愷㤷ㄴ㘳攳挸㡤㔴㉥ㅤ挸ㅢ㤷㑥㤵㤶昵愸〷晥挷〱㤱㕤愶愵㔵㘴昵慢愹㙦㌴㘷ㅡ㔹改摥㡡捣㡥㔴㝣扦㤱ㅦ㌲攸扤ㄸ〹㔱昵㈴ㄶ搹扢搷㡡敤㔹㈸㡡晤㈸㜱㤶㥢㥡摣㌸㔱㌰戲〹㈳㠱晥㡥ㄹ昹挲攴敥搸㐸摡㌸戹㠸挵㙡ㄳ〵愷ㄶ㤱〷㜲昱㜱戳㉦㤷㉤攴㜳改攲㤲㥥挴㠱ㄸ㜶捣挴搶㕣挲挰㠶㔷捤攴㔳扥慡㉡愵㝣换扤㜶ㅤ捡㌵愳㌲㄰慥㈱收愲㍥慦㜸摡㐵㜷㐱㍢㘸㤱㌶㌸㈷晤㡢㘶ㄱ㈶㜲㈹㘶㔹㘵㐶㤷㑥㜴昵挸扤戴㌲户昴㜱㙡攴晥戸捣㝥晦ㅣ㕢晢㡤〷攰㔵㙣㡥㘵ㄳ㘹㈳㍦愳愳慡搸㈳摤つ㄰㌸㠴户戹愲昵戸挷愹〹㌵ㄹ㌸㤸㑡ㄴ㐶㠳愳㐶㙡摦㘸〱㌴㌸戳愱㄰㑤㕢㤶㜴㉦㐸扡㡦愰ㅦ㈰ㅣ昶〵㌷㤲㈹ㄸ搶〳㔶㍥挰㜷昴搸晤ㄵ扡换㕡晣㈳㌸戳㘶㈰㌳㤰换㥢㔵㔵㕥㕡㙥㡥㤹愳〵㑥捦ㄹぢ改㤹攸㑤〴㥢〱〲㜴ㅡ㘶㜵㠷戸ㄲ㔵搳敢慢捦昴ㅢ挹ㄸ㝣㙤㜹扢㔵㉣㤰戱摣户㝥挳㡣㙢晡㜹㠳㜸㔷㈶㠲挰昰昲搷㘵㌸晢㡤㠹㐲㝦慣㄰慢挹挰㘳挴㈸㘹㌰慤㤰㕡ㄶ挶㥡昵㐲㜳㙡㠷敤ㅣ㈴㐴〴㜵㐹愹ㄵ㠲㈵〹㉦づ摥ㄷ㕦㤵つ㘷㔶〲㝤愷㑦ㄷ㉣㥤攸挵㥥ㅦㅣ搲挴㈶㈳扢㝢㜲捣㌰挹ㅥち捥㘸捡搲搷㡢挲戶挷㐷捥㉦愴搲㘶ㄴ㍤摤㤴捦㡤㡦㝤㤰㜲㈸㑢て〲㌸㈹昰〰㘶昱搱敢挴㐰慥收〰挷㘶㜸搸ㄷ愲㌴㔲㌴㕤㐸捤搹ち㘱㐷昰㈳㐹㙦挵㑦㜸愶戲〰㝤捤㘳昱㤲改愱搵㘵㘰愱摤㜹㐳晣晥㤰㘴㘰敤晡捣〵戹晣晥㤱㕣㙥㍦攷㔳㠳攴捣㔱挳㈸搰㤷慥戵㘳〷㠹ㄱ㤴慡慡㉡昲㙣㕤㑥㌷㘳愵攰㑥㠰晡㥥㜴扡挹㤱㘸〶㜷㠱㔴〵慦㍥㌸〴㐴敦ㅡㅡ㍣㉦㍡㤱㌶㈷搴㕤㔰㤷慥攴㜷ㅡ㥥晣昴㘴晥㘷㝤㠷㙥㠸摦昱挵㕤〷㑦㔲㝦㘷ㄷ㤴昹扥㜴㔲挵昵摥〳㐴㝤〳㙣㠷昰〰㉦㑥晡㑦㤰搷ㄷㄲ㝣ㅣ〰㡢㠱㤸ㄷ㙢挱㕥㉢慢攸攸㜲㍤搰ㄷㄱ㕣っ愰攸攳㡡ぢ㍦っ挴㐹敡づ挸攷㈰换㐰搱㌳㉥ㅦ愸㌸愸㘱㍤㐳㤹愲攷捣挱搲㌴㡥愶㌹㌴㑤愱晥ㅡ㠲㍤つ昰㔷㜶㐱㤹㤳㑤户㔸っ㤰㘶晤㥢挱㜶〸て昰攲愴戳挸敢ㅣ挱ㄸ㠰换〰㜹㉢慢攸㕡㡢〱㑣㌲㜱㙤㔵㑤〰㘲㠰㜱㈰㑥㔲㥦㠵晣㈹〳㥣〹㜲戹〱㈶㐱つ敢ㄹ捡搴㐲㜰㜸ㄹ攰㑡〸昷㌴挰ㄵ㜶㐱㤹㙢㑦ㅦ㕤っ㜰ㄵ㄰㜵㌹搸づ攱〱㕥㥣昴搵挸敢㙢〸慥〵㜰ㄹ攰㍡㉢慢ㄶ攳㔷っ昰ㄹ㌲㝤ㄶ㐰搱扤ㄷ〳晣〵㄰㈷愹〲攴㑦ㄹ㠰㠱㐱戹〱㍥〷㙡㔸捦㔰愶ㄸ㌴㜸ㄹ攰ㄲ〸昷㌴㐰捡㉥㈸㡢㉦㔶㐰㤲ㄸ攰㡢㐰搴㍥戰ㅤ挲〳扣㌸改㉦㈳慦扦㐲㜰ぢ㠰换〰户㔹㔹搵㡣㕦㌱挰敤㘴扡〳㐰㌱戰㄰〳摣〹挴㐹敡㘲挸㥦㌲〰愳㤲㜲〳晣㉤愸㘱㍤㐳㤹㍡〷ㅣ㕥〶搸つ攱㥥〶ㄸ戲ぢ捡㈲㥢㌶㐸ㄲ〳摣つ㐴敤〴摢㈱㍣挰㡢㤳扥〷㜹晤昷〴昷〲戸っ㜰㥦㤵㔵慢昰㉢〶戸㥦㑣て〰㈸〶㌷㘲㠰〷㠱㌸㐹㙤㠶晣㈹〳㌰ㄶ㉡㌷挰㜷㐱つ敢ㄹ捡ㄴ㐳㈶㉦〳㝣っ挲㍤つ戰摥㉥㈸㡢慥ㄸ㌲㠹〱扥て㐴慤〳摢㈱㍣挰㡢㤳晥〱昲晡㜱㠲ㅦ〲戸っ昰㑦㔶㔶㌱散ㄲ〳晣㌳㤹㥥〰㔰っ户挴〰㑦〲㜱㤲㙡㠳晣㈹〳㌰㑥㉢㌷挰㡦㐰つ敢ㄹ捡ㄴ㠳㌸㉦〳㉣㠵㜰㑦〳㉣戱ぢ㑡攳扤㐰㌷㈴ㅤ愳㥦慥㤳㝢㔲挶㐱㍡ㄶつ㐹㥣㝣昵㡤㥢㠵㥣㜸㐱昵挹晥摣戶㕣愱㍦㘵㡥愵㘳㤳㜳㤲㌶㜲挱愸㤱㐵㡣㤲㐷愸㔲㐲换㡤㡤ㄹ〹㥤ㅣ㐲㉣ㅣ㌷〶晢㍦っ㌱っ捣㠱愱㤳昰挵慦㤰㡥捦㉤㐷㠴慤㌰㑢㤰㝣〱㍡搳愵摥㤵㥣扦戹㈲㈱㐱㌹㝤ㅡ愷㉤扡㍢㔵㐸ㅢ戵㐹㠹㐲〴て㈵㘱㐵〴㝥㠹㥡攴敥㔱㜸ㅤ晤昵挹㑤昹㔴㈲㥤捡ㅡㅣ㡣戹ㄶ敢ㄶ㘳ㅦ㠲扣ㅤ㌹㌳挵愳捥晡攴敥㝣㉣㙢㡥搱㕦㡤㑦㥥㔸㤴ㄳ挷㌶㤰散㑤㘵㑤㌴㈳愳㐸扣㌱㌹㌴㥡㍢㠸戳昱昱㑣㜶㔳㙣捣晣㔰㡣ち㕤〶㉢挹搰㈸扦昲晢㔵挸ㅦ㍡摥昱〹晥〷愴㥤㌲㝤㤴搳㠴戹㕡挸愷㐶挶㘹㌴㘹㠸㑢㘳㌵㠱㡣愳㉦挰㜰愸搴㍢㜵つ㘳㐹㘸挹晥ㄶ㥤㈸㝢㐶㌹㔳㤷づ戵㘰搷晦挹㍡㍦〵㌸㜷搳昹㠳搳㠷㉥㝦搰摤㐰㠰〱摣㔱挷戸㈷㠱戹挱㥡㐶㡣㝢㌹慢昰㜶㘲㌶㌰㔷㍡㌵挳㐹攱攱㉣㙤㤸㐶〷㄰㈶搵㈵㜱扥㘵愴ㄱ摤㘵㘲㠵〶㉢挳㌰ㅢ㈷㔷愶㕤搶㤷换㘴㘲㥣㜶㍣〱ㅦ㡡挷搲㐶㈸搹㌳㕥挸攱㔸㔹㈷〱㘴㙥摡愴搸〴㐸戱〹㉢づ㑢敥攲愹㡦攰㤴㤵摢ㄷ换愷ち愳㤹㔴㍣挴っ㑦㘶㍥ㄴ昳ㄵ㙢㐸㌵㡣改㈴㘷㍤㈹つ散慣昰ち挳ㅤ挵㔹〸㑤挷攱挷慣昶慢㈰晥愹攳㍣ㄴ挰敡㈳㥢㡡㝥づ搲〲っ扡戹ㅣ㐹㝡换戹〹㝢敢ち㔰㘴㠱㔲〳㘴挰愳㥦户ㄱ㘶慡ㄹ㔶捦ㄸ㌱搶㠰㈱㡣㌳挶挴㐰㉣㡥摢慣ㅡ晢㉥㉢㠴愱攵㜲㤳㡦㌰㠶敦挳戱㄰㡥㥢づ愴ㄲ㐶㍥㐴挲㄰㙥搴慡ㄹ晤〷慤㌱㐴㌴㔳攵ぢ〴㙡㐳㕥㙤つ㍡戲ㄶ搹㤱㤱晢挶㙥戰㑣晥敢㍢扢㌶愰㔳㔰㡢〷愶晡〵㠲ㄷ〱ㄴ㑦〷愸㑦〹挳㑢㘴㜸ㄹ㈰挰㌸戴㜴㙣㡡挳㘹〴摤㍣㠹慤㤶㕢㈰〶晡㈱〴挵㜲㐲㄰㄰㐵㙡㕤㤱㝤搰ち敡㐳捥搵㔲㜰〸戳摣㐸㠴慤㌵㤶㈷〸ㅣづ扦扦ㅡ㐳ㅤ㉣㍤ㄵ㉤㙢ㄶ挲㌲㐳㠶㠴晣慡づ㕤〸晥ㅣ㘰ㄹ㕦ㄶ挸ㅦ敥ㅤ㑦愵ㄳ㌸愴㙤㐲戸摦㠴㤱㐸愵戱敥ㅢ㈶捦㝤㥢晡㜲㘶挱㉣㜳㉦挲㘱晤ち㈴昸挲㙡㉢愰㘳ㄶ㍡㐱攱㌰挷㔴ㅦ㈶昸㈵㠰㘲㘴搸㡤挷戵㥤㈹㠶㠳摣搲㝣挱㔷〱㡥㘵〹㔵っ㈲戹㡣敡搷〰搴挷〱戸㍡㑤捤搶搷㠱捦㍥㕢昷戲〶ㅥ晤㠶㡤㌰愳ㄸ㝡㍡慡〰㜵愶挰㝦〱搵㙦〲㈸㠶愵ㅥっ㙦㤱攱㙤㌲っ〳㜰ㅡ〴晦ㅢ攰㙣挷扣㑢〷〷㤷㐹昴㑤ㄳ挷㘳㘳愹㠲㜵㠷㔱搹戶晦㡢敡戰㙤ㅣ搰㘹㡦ㅢ扢㙤摢㕦〳搵扦〱㔰㘹㠰㙥㍣㙥摢㜲攷戱㙣晢㕢㘰挷㘴摢ㅣ㉡㠸㙤晦㡦㈲挷〰㡡㙣晢づ〸戳摢㌶捦扡㜸昴扢㌶㈲戶㌵㤱㜱㔴〱敡搸昶昷㐰昵㝢〰慡〰攰挱昰㍥ㄹ攸㑢慢㜱〰戱㉤愵㥦敡搸㜶㡦㘱㥡㐶㝡㤶愹敡㘷ㄷ挲㡡㘱戱搳㠴换㥣㔵㈸搵扣搳㔷㔷㠱愱ㅢ㡦摢㥣㔷㈳㙢㤹㌳〰㤶㘳㌲㈷愳㕤㌱㘷㤰挲慦㐵慥挸㥣㈱㔰㘷㌷攷㜵散づㅥ慤㈹挴捥愸捦〰㜱㔴〱敡㤸㌳っ〶㕤㑢㐶挶捦ㅥっ㜵㘴愸㈷〳㐳㙡㌱㘷〳㜲㔳收㉣扦㘲摢〸㍥昸晤ㅣ〲㐹㜸昳㈳愸〱㜳㝥づ搰㘹挲㘵捥ㄳ搸挴㠹㙣㠲〱㜱㌷ㅥ户㌹扦㡣慣㘵捥㌹㘰㌹㈶㜳㝥〵㔵挵㥣㜳㈹晣ㄶ攴㡡捣㜹㌲愸戳㥢㤳挱㌶ㄸ㜱戳㑡㈱㜶㐶摤づ挴㔱〵愸㘳捥㜹㘰搰愷㤲昱づ㙦㠶昹㘴㌸㡤っ㜷㠲㐱捣戹〰戹〵捥散昴扣㉤昴戰攸ㄹ愸〴㡢㌲㙡㜷扡攱㕡㑢捦㐴愹㙥〲㔰㜷㠳愱ㅢ㡦摢愲昷㈰㙢㔹㜴㈱㔸㡥挹愲っ挶挵愲㘷㔱昸扤挸ㄵ㔹㜴ㄱ愸戳㕢昴㍥㜶〷㡦㕥㑣㈱㜶㐶摤て挴㔱〵愸㘳搱戳挱愰㤷㤰㤱攱扤〷挳㔲㌲㉣㈳〳㈳㝥戱攸㜲攴㤶㌸ㄶ㕤㡡愵㜴㈰㌵㠱㉢搸挱散〱摣㐷㘶㜰㠴㍥换摢摦㡣晡㌰敥㜷㕤つ扡㡣扢㤲つ㐶搹攰昷挱搰㡤挷㙤㕣㠶散㤶㜱捦〱换ㅣ敢收㜴㔶㍦㕦㍤㡥㙡㘲搸ㄶち㘶戴㕦㘴搸㌶㔰㘷㌷㉣㑦〵挰㠸㉢㕦ち戱㌳㡡㐷〳ㅥ㜶㙢〷㠳敥㈰㈳㡦つ㍣ㄸ㔶㤳愱㤳っ㍣㐹㄰挳㜶㈱㌷捦㌱㙣搹㐵慦挷㌴㕤㡢ち戰㈴㡦ㄶ㥣ㄶ㕣㤶㕣挷ㄶ㍥捡ㄶㄸ㠴㤰㔵慦㘷づ㐸ㄵ㥥〰ㅤ挹㔲晦愸捣㜷慤〶㔳㌸㐹㉦㜶愸㌰㤹㐶攴㐰㤴晥㤲㠵搱昳戳㡡攱挵攵昲㔸戵慢㑢敦慣愶敡㙥㠰愸摡戹㈵昷㠱㔲㡤㈵㜴㤲〳㡦扤㕦㝥攷㌵㔵㥦ㅤ㥦扥ㅣ㘰ㅤ愶攰〶搰攷㙥㑤挵昳㌹㌳㤷㉣㌴つ㈱㌲㙥攲晤㙡ㄲ㕦ㄷ昴〴扥〷㠹㥥㙤㔲戱敡㉣扦敤㌹挰晢㠶昰晥㙣敥㘰㔶㝡ㄳ㌰㜹捤捣搶㜴㑤つ㥢〹攳㤱昴ㄱㄸ㉦昲㍣㔰㔶搶㍤㘰愹慦㡡扣㈰㐵㌸㈸㝡搱㐱㕥㜲㤰㤷㙤㈴㐰摦散㘸㝤㐲捡㔶㈳㉡慥ㄲ捡愸慥愹㔱㡢㑢㉥㌳换㝣挹愹摢愰㘰㤰慥㘴攰㔱愸㝣㜴㤵愸攳戴㐵㔹搹㡦㐷昷㠱慥晢〱挲㤱挳挸戳㐳挱㡤挸㥥搸搷㍢㡣㕢ち攷摥㠲戳㈰㌸〰㝡ㅤ攸攲㉦攳晢㉢㌳戸〹㤴〶㔰㕣挱㜳㜰㌳㘸㈷㠰㔶晣㡤㔵㠴晥愸㤸㜲㠸捤㜲捦戲扥ㅢ摡〲㜶㈵晥㈴㐹㕢㤹〳挲㐹慢㕥〷攰挴㔵昷㐲㑢㑥ㄷ攰㍥捤㌹挰攱㔶昷㠰挲㈱㉦ㅥ㌲㝡㤵搲捥㑥昰㘱挸攸㐱㌲㐵摥戴㝥㝤㤱户ㅣ㠴㙥㈳㤳愲换挷㘱㔳㜷㐳ㅣ㑤㉡愶ㄹ㠲〰扤ㅢ㈰ㅣ愱搷㈷㐲㘹ㅡ㑤㍢㘸慡慥愹㙢㠴摥攰戴㘶愷㈰㘷㝤㍦戴ㄷ㠵㑡扣㌹㤲㉥㘲づ㠸㘸㐶㙦㑥㌴晢㉡ㅡ㉢搷散づ㔰换㌵愳㑦㈷敤挴㈰〷㥡搱㝦㘳㡡搰㠷㘳㡡扣㙦晤晡㈲㘲㈹㘴㄰㠷摡㥡摤收搶㉣づ慡㑥〰㠴㈳㜴挰㉡㙡㠶㔷摣愵搹ㄹ㄰㘸㝤㡡㤴〶ㅤ攱慤愵㤰捥搸㠸㘸㐶挷㑡㌴扢挹㔳戳ㅢ㍤㌵愳㝢㈵㥤戸ㄴ〸㌴愳㉢挵ㄴ愱㍢㈵〸㝤㈷㐱攸㍦㌱㈹㍡㐲㌲㘶㝦改搶捣〴㔵ㄷ〰挲ㄱ晡㐲ㄵ㌵愳㡦㈴㠵㌲ㅢㄷ㐳愰昵挱搳㈷㐱㔷攲攳㤰㜴㌹㜳㐰㐴㌳晡㌸愲搹㔵㥥㥡㕤改愹ㄹ㍤ㅤ㘹攷㔳㐰愰ㄹ扤ㅡ愶〸㍤ㅢ㐱攸挶〸㐲㔷㠶㐹搱㈱ㄱ捤晥捣慤搹愷㐱搵㔷〳㠴㈳昴㐹㉡㙡搶攴ㄴ㡡㘶捤㄰㘸㝤㐶㜵㍤攸㑡㝣つ㤲㙥㘰づ㠸㘸戶〸㤸㘸㤶昷搴㙣捣㔳㌳㝡ㅣ搲㠹捦〳㠱㘶昴㉥㤸㈲昴㌰〴愱㍢㈱〸㕤ち㈶搵っ㐴㌴换扡㌵扢ㄹ㔴晤〵㠰㜰㘴㈵㘰㐵捤攸㈸㐸愱㘸戶ち〲慤慦戲㙥〱㕤挹㘶㑦搲慤捣〱ㄱ捤戸搹㡢㘶㈳㥥㥡㝤挲㔳㌳㙥昹搲捥㥤㐰愰㔹㍢挵㈱㐵戸挵ぢ挲晤㕣㄰敥改㑣㡡扢戳㘸㜶戱慤ㄹ㥢搷㕦〳㔵㝦ㅤ㈰ㅣ攱〶㕤㔱㌳㙥摣搳㥡慤㘵㔵摥㙢攸扢㐰㡦㜰ㅦ㤷挲㙦〱愹慦ち㜰㉢㕡㔷戲㑦㜸㥦㘳慥㈸晤㕥㘸㈳扥晦㤹攴摡㔶㠵〳ㅣ敢搸愳摡扦昶昸㘴㜱㈷攲愹㈷㥦挰㉥㘸晤〷挸㠱㐶慥扤㠹ㄲ捦挴愳扦つ㝡㘳ㅦ㐰㄰㌹㍥慥昴搶〶㍢搳㙤晤㠶散摦㠸晤㍢户扢戱摦愹㜹㤱㕡㜸㔳㑦攰㠵㉢㙥㝦晢㥢敢ㄶ摦晡敤㈳昶敦ㄵ㤷づ搷昸挶扥㔴攸㔹摡ㅡ昲㝤攲攵〳㍤捦晢戵㙦挷捡挹ㅥ戵〵㌵攷㐰㙥改ㄵ昵㔶愸改㜹㍢戳挵㉥㈸扤愳㡦㙣㠵㈴ㄹ扣晢㠱搴㔷㈹㙥㑡ㅣ㐰㜵㉥㙡搰㙡愲攸㠳愰㌴㜲扢㌹㍥㐵㜷㍢㌵㉢㈹摡㝤搵㑢㐷㤶扣戲慤攷摥㕢摦㍣昲攷换㜷昶昴扦昳挶㤱㜷㕦摣搵愳戸㐵㜹㈹扡戱㤲愲晤㜶㐱改㕤㝣㠴摢㥢㈸晡〸㄰㈸ㅡ挳㡦㈸摡敢㔶昴㄰愸㡤㜱㠰攳㔳㌴攱搴慣愴攸㥥㠶㤵㌷昵㕦戸愳㈷晣捣搷㕡戶㉣摦搵昳攸敤昳㥦ㅡ㝡㜷愸㐷愵㔱搳㑢搱昵㤵ㄴ晤愸㕤㔰㝡攷ㅥ挹㐰㤲㈸晡て㐰愰㈸户㉣㔱㜴慤㕢搱挷㐱㙤攴㘶㜴㝣㡡ㄶ㥣㥡㤵ㄴ㤵㐹摦㌲㘱㑤昶ㄷ㉥戳㝥㙦扣扣㕢㜱〳昳㔲戴愳㤲愲敤㜶㐱改摤㝡攴㜲㐸ㄲ㐵㥦〴〲㐵㍦㠵ㅦ㔱戴捤慤攸㔳愰㌶㜲㙦㍡㍥㐵慦㜶㙡㔶㔲㌴挹昴㠳戵㤶㠲摦㕢摦晤攴ㄳ㐸㝢扢扢搵昵愸改愵攸捡㑡㡡㌶摢〵愵㜷攸㤱ㅢ㈰㐹ㄴ晤㌱㄰㈸捡つ㑤ㄴ㕤敥㔶昴ㄹ㔰ㅢ戹㔵ㅤ㥦愲摣摦愴㘶㈵㐵㌹愲敦散摡摢挳摦慦㑦っ换敦㤲敤戱ㅥ挵敤捤㑢搱挵㤵ㄴ㕤㘴ㄷ㤴摥㤵㐷㙥㠵㈴㔱昴㘷㐰愰攸㥤昸ㄱ㐵捦㜲㉢晡㍣愸㡤摣戹〲攸〹扢散㑡㤵㔷摤㐶㙥㜳㔲愳㤲㠲て㥤㜱捤慦㜶㍥昴攸㠶㍦㥤㝢昷愶ㄷ㉦晢挲〶挵摤捤㑢戱搳㉢㈹戶挰㉥㈸扢〳晦ㄶ㈴捤㜶〷敥晡㍣㤸㜱㜳㈰挹㤰愶㌶㘹㤱戹㤹㈱戴㑤愵搳ㄲㄵ搶攱扡㉡㡦て㜴户攰㘶ㄶ㤷㔴昸㙢っ㍢㤸挱㡤㉤㑦晦㥤ぢㄱ㉤㌹㔶づ㈶户攷㜱㐳㔲㤳ㅣ㌴㜱愳㥥〸攱〳挳〲㍥摡捥㝥ㄸ敥戲㄰愷㔷㜳搳挷戶捦㡦㝡晤㥥㈱㌲户搳ㄹ慥ㄹ愷敤攱㝣㜷敢攷㉤搷昱㕤慥〷㝦㠱昱㜲ㅦ㤶㈵㕣㜷户搵㙡㍥㠶搹㡡㝥慥昴ㅤ㤱㝥㈳㔴搵㠷㔱㈷昸㑢〰㝥㍣㈷ㅥㅥ㐰㔸扦ち㡡㜵㔷挶㌳ㄳ㕦㠰㍥㐳愹㠲㍣戸ㄸ愰〵㑡扥愰慤慤㜵㥣〸㔶㔵摣愲㌹㤳㠲扦〲愸摣扤戹㥥摤㝢〳㜵㌴扢㌷摤戵㌷㐹㘲慦〴攰㔰つ㜹㜶捦㐹敡ㄱ㘴愴挱户㠱㔴㙥戰挱戳挱晦㐱㥤㤲〶㝦㑤㤲慢㐱敥戶㐵つ㜲换㤲〶㝦ぢ愴㜲㠳㈱捦〶㝦㐷改挵ㅡ扥㑢㤲慢㐱敥㝡㐵つ㍥〹㠲㌴昸ㅥ㤰捡つ晡㍤ㅢ㍣㐲改挵つ㉡㡣愲扢挱愷㑡ㅢ攴ㄲ㉥つ㔶㠱戳㜲㠳扦㝦捦㙢㡡昱㔸戰愴挱㥡㤲〶戹ぢㄴ㘹挸愵㔴ㅡ攴摦ㄵ㍡㘷㤴挵昳昹㌷㥥㡤搵㤶㌷㔶㕦搲ㄸ㔷㘲㜷㘳〱扥〳㐷晤㤲㠲搷㌷〷换㤹晤ㄷ㤲扣㔹㕦㤱收摦㐷㝡㕤搴ㄶ㝦挸搰㠸㡥㈸扥㔹㤴愱昹㐷㤲㐴攴㜹〳㤰摤搰㈷㤰晡㈶㌰㤲昵㠹㙥ㅥ㑥㑤攱㤹㐳㉡㘷愵昰捣㜵昳㜰㌶〹捦㐹愴㜲㈲〹捦挹㙥ㅥ㑥〰攱㌹㠵㔴㡥扤昰捣㜳昳㜰捣㠴攷㔴㔲㌹㕣挲㌳摦捤㐳㔳ぢ捦㘹愴搲捡挲戳挰捤㈳㉡㔳㤳搳㐱㜵㔲㠴慡换㡥㜹〶㄰散㤸愲㜴ㄹㄷ㤵ㄷ慥㈶㡢㑢搴㉥攳愲晡挲㜵㤶挵㈵㡡㤷㜱搱〰挲戵挸攲ㄲ搵换戸㘸〲攱㍡摢攲ㄲ攵换戸㘸〴攱㕡㙡㜱㠹晡㘵㕣㌴㠳㜰㉤ㄷ慥㠸㘳〰㐵㥤挵㍤昸㌱㈶㌰㘳㤵㕥搴つ㈹㥦愲㥡㔲昰敦㈵〵搴㑣ち晥慤愴㠰捡㐸挱扦㤶ㄴ戰晦㔲昰愳㤲〲㜶㔹ち㥥㉥㈹㘰㉦愵攰愹攲㠲摡晦〷㠶摤攳ㄹ</t>
  </si>
  <si>
    <t>㜸〱捤㕡㜹㙣ㅣ㔷ㄹ㥦户扢㌳摥㔹敦摡㥢愴㉤㙤㈹慤㈹慤㕡敡㜴ㄵ户つ㑤㐹㐳㙡慦㘳挷慤ㄳ㈷戱㤳㔰愰㙣挶扢㙦攲㘹㘶㘷摣㤹搹挴㠶搰〲ㄵ㌷〸㔱㉡〴愸戴㠸㑢戴㈰㑥㜱〸昸㈳ㅣ〲㠴㡡〴㔲ㄱ㐲晣㠳㄰愷㌸㔴㤰㌸晥㐰㉡扦摦㥢搹昵敥㝡敤〴㤳㑡㝥㤶扦㜹昷扣昷摤摦㌷慢〹㑤搳㥥㐳攱㤳㈵挳捡㔵戳换㘱㈴敢愵戲敦扡戲ㅡ㌹扥ㄷ㤶㐶㠳挰㕡㥥㜶挲㈸㡤〹㐶挵挱㜸愸㔷㐲攷㜵㌲㕢㌹㉤㠳㄰㤳㜴㑤换㘶捤ㄴ挶㥢晦挵㘶挵攴㉡㌳〳㤰挷㉣㙤慥㍣㌶㌳㝦㍦戶㥥㡤晣㐰㙥ㅦ㍡ㄶ㙦戰㘷㘴愴㌴㔲扡敤昶㤱㤷㤵㜶㙣ㅦ㉡㌷摣愸ㄱ挸㍤㥥㙣㐴㠱攵㙥ㅦ㍡搴㤸㜷㥤敡㍤㜲㜹捥㍦㈵扤㍤㜲㝥挷慤昳搶㙤扢㐶㙥摢戹搳扥攳㡥㕤㜹〳㍢ㅦ㉣㡦ㅤち愴ㅤ㕥慣㍤晢戸攷㑣㜹慣㜴㔰㐶ㄷ㙢捦㉣昶挴㤶攳㝥摤㜲扣㡢戴愹㑥〴摦㍡㉥慢づ㈹㈱㘵攰㜸㈷㑢㌸㜶〷愲搱扡扤㌴〱㡣㔷慤㌰㉡㑢搷㍤㈲㙤㕥㌰㕦㈷捥㘴㈰扤慡っ〷敡晢㤶慡搲㑤㠶挳㙣晤㤸ㄵㅣ戴敡㌲挳捡㘰㍤愶摢㔴㑤㝡㤱ㄳ㉤ㄷ敡㐷㐳㜹挴昲㑥㑡㑥搱敢㤳つ愷㤶挹㠸㑣㐶㑢摦搰敢㌰㡡㌶愵㠹愰㕡㕥戰㠲㐸戵㐸戵㤱㕥㜳摢㌸㐴ㅤ扣攳㔸攴愲愱慥㔵㈴搳慣㔳扦㐷〶㥥㜴昹ㄲ摥㙤戸㙢㤲挲㐹㡣晡ㄶ㜲㥡户㈱㘱㐴㝦挲晣扣ち摦㘲㥡〴㌹〰愳ㅦ㈰㜷昰搰戱愱戹㈹㠰ㄱ㌳捦㤱〲㠰挸晣ㅤ㌲搴扥㤲㔳㔳ㄵ㉢㔵㤹㑦㔵慡愹㑡㉤㔵㤱愹㡡㥤慡㥣㑣㔵ㄶ㔲ㄵ㈷㔵戹㍦㔵㌹㠵㌹捤㤲敤敢㑢㈵愵㜰㉥摡㜳敥㑢㡦㤷扦昸㑢昳㤹戳㍦晦搹㍦〴挵㐶挹捦㈰㉡㘶ㄱ挰搸挲ㅡ㑦戲㑦ㅤ㘴㉢㥢摢〰㠴昸㌳づ挲挳摣戹昸慦て晥㝤愷㌵昹搴捤㡤攱㥢㠶摦昲㐸晥㔲っㅦ㑥敥㌶ㅥ㔸㘷挰㈰㉢扣㜷㑢㘹〷晦捥㉦㜴㤰㌹㝢愷㝤扢㍤㌲㔲摢戹挳扡搵搲㠹㥤ぢ㈵昵㈵㤸㥢户㡦㍢㕥捤㍦愳㘸㥦户㈷ㅣ㌷㤲㠱㙡っ摡㜸挴晣慢摡〵㝢摦ㄲ〴扦ㅡ戳挹㈵㜶㔹〶ㄱ〴㈶㕡㕥攱㥤慢挶慣㔰慥㌴㠷㤳扤挷晣㠶㔷ぢ㕦搸㝢㜰㌶戲㈲㜹㘵昷搸捡㈶慢㤶捤㐲㤸㘴愸㡥㜴㜵昷戲㘳㤶摢㤰愳㑢㑥㍣晣愲慥㘱㠸㤵㍦扦昶攸㐴㈰ㅦ㘸㡤慥㍡搱㈸ㄴ敦㘹戵昷慡㕢挶㐳昱戹㠶捡ぢ㝥㈸㍤㜵扣攱晡㈱愷㝡㑡〶戳㤲㙡㕢搶搴㔵㉦攵㔰㈲摢挳㌳ㅥ㉥ち㘹慤㕤摢摥㑢㐴㑢慦㈶㙢㌸敦㈲戰扣㍣㘷捤扢昲戲㡥㈹昱㍢㌱㜰㐵㐷昷㠴㕦㙤㠴㘵摦㡢〲摦敤ㅣㄹ慤㥤戶愰㑦㙡〷晣㥡捣愸愲挵㔰㘸改戴㄰摡㡤扤〴㤳㝢㠷ㄴ摤㌶㈶愱㠲㔸㝦㜲ㅢㄳ㜱㜲㑦㤱㙦敤㡣㑡ㅢ㤳㜱晥㑢搷㍤㐹㍢ㄳ㜲昶㡥㜵㘷昷㘰㔲㉥扡扣㔳昰㑡㐷㐰ㅦ搰挱㤵㤴捡搴㜵㙢㙦戹挲㤷攷㌹㘹ㅢ㔵㘸愵㌹㝢ㅤ愴愹㙤㕢扣昷晣㑥㑥愵戶㈵户摦㜷ㅡ㔶㘳扦攵搵㕣ㄹ慣敢㘳〸㥥挸扣㡣攰〵〴㤷ㄳ㕣㐱㜰㈵㠰晥㕢攸户㌵㌱㑡㙤㈹㤶挴戲㝥挶愹㐵ぢ挶㠲㜴㑥㉥㐴攸㠳㙦㤲捤ㄲ摤㍦㠶㔳㌲づ㌷㘷㉢㘶㌶攸愰㤸㔷ㄱ扣㠸攰㙡㠰㕣㑥㌳慥挱㔳㌳㜲收㄰ㅦ㉦〶ㄸ㙣㥡捤愱㤸㌳㜳㥡㑥㤳昰扦ㅢ㉥昵㐲㘵㈷攱挸㠴㝡ㅤ晢㠶改㜴㉦㙣散户挲㠵㠸㠲戸敥愰㌲㔱搷攲㈸收㑢〰昲搷〱ㅣ摣㉦㕤㠸昱挵昲㠱㜴㥡戹昳摡㕡㥡愰换敡戳换㕥㜵㈱昰㍤戸㠵攳㔶㘴㡤㔶攱㔰㠴挲㌲敡搳㝥戹ㄱㄹ昵晤づㅥ昹晡ㄱ戹㈸慤愸っ㌵ㅤㄵ敡搳㜰㐶㤴ㅥ㥤慡㉤改昵搸㡦ㄸ㤷㘱搵愴挳㌱〵戵戴㘴愰〶㍤㥢慦㔳搱挸愵㠸㕢昷搵て㔹㜰㔸㈲ㄳ㤳㠶搵慡戸挶㤵〵搵搷㕣㥤㑢㕡搸愱愸慡㙤扢昴慢㡥㜸㈷㡤㥣〳ぢち㘳㥢㐹㘰户〴ㅤ㡤ㅣ㌷㉣㈵攸㉤㡤晢㜰㐸愵㜲㡣㠹㜶挳〰㠳ㄹ敢ㄲ慢㕢搰改戱捣㔴攷攳㙤㜱㤴挹挰㙦㉣搲㙢戹㔸晢㜰㉦捤扣ㅥ攰㠹扦㍤戵晢晡㡦㝣晥戹攴昹㄰㐴㐸ㄵ㤳㥥㡡㐹㝥㘷ㄳて㔵捣ㅢ昱挸慤㌷愶搳敦改愹㘹搷㜰慥挸愸昹㍡㙥㍢ㄷ㐸攵㉤㘶㔵㘳㜹㔱ㄶ敡挷晤攰搴扣敦㥦㈲昱〷㔴㉢㕣㤰㌲愲ぢ搶㥦㜸㥣慣ぢ㈱搲改づ㉦慢捤㔷愳昳㘶㙣〷㈸㡣扡敥㔰㜳挷搰戸ㄹ㕤㘹㔸ㄴ愳㠴㡡㜹㘴㜶敡㥥搲㤲ㅢ㉥㠹㥦攲扡㜴㤴㝥昰搲昷晤昲摣ㅦ㜶㑦㝥㝣昷攴挳搷㍣扡昰㐶昱㤳㘴㘰㤵ㅦ愶摣㉦㙥㌲㐲㜰ぢ挱慤〴户ㄱ散〴㄰㍦挲㔲㉡㈷搴㍢㡢㜹㍢摡收㉥㠲㍢〰愰㘲ㄴ捡愱㘱㜶愳㘹摣〹戰㕡挳〸扡㝡搴㌲收ㅥ㠲㔷〰〸㡡ㄹ攵㔱㌳昷〲慣㐹㔴攵ㅦ慥㈲敡ㄸ㤶攴捣㜵挶〴㝤㐸ㄲ搶㈴㈲㑤愲捥㈴摡挴搷ㄲ㥣慣㐲搶㔷㤳㠱㙥㜷㔳愷昲敥ㄶㅦ攵㝢户っ㜱㥢㠹ㅦ挰㘴挳㍥敡㌹㔱搸㙦㡦㌶㈲㝦挲㠹挶挳㈸㙦〳愰慡㤶㕣愹㙣㔶摢愲㘱晢㤸㈳捦捣㠱㠱慥㔹㍤㠴戰愴摣〸㈳㕦㘹㠶慢㔷㡦㡦晢〷晤㘸摣〹ㄷ㕤㙢昹扡ㅥ挳昱挸昱〵改挱㠹ち攰㑢㥤㙦㤲扦戸㈸㙢㍤捥㌸敢㌷㠲慡㥣ㅡ摦っ㙥㤸㠸㔵㥣〶㈹㠲㠲ㄳ搷慦敤㜶戴攱㥤愶㌸〵挹ㄳㅢ戴攲攴㐲捤㥣〶㐸攳㥤㘰㝤昳〰敡㤰〰㥤愶㝤㝤ㄶ㘹㜳散㔴散㘵㠳慣㜱㕦㈱㠹ㅣ愶扣搰愹挹㕣搲㍡攰㜸〳㐹㜵愶ㄱ㜵㡣㔸㑢摢㤲ㄱ愸㠷ㄹて愴慦㕡㐱㙤㌳㔰〵㔸㐰㠹㐹㈲っ晣㙤っ搱昱㌶㥡昶㙣㌳㤷昳散㐳㄰昶㠳攸㈶慥改㐱昵搴搶㉤㜱㐴愵捤㉦愶慥㉢㄰摤慤敥㉣㕢〷愴攵攵㔸㤹㡤㙡攳昲昴㠰㥡㈱挱攰挸〶戸㜲㕢㘷㔳ㄹ㙤搳ㅥ㥤て㝤户ㄱ挹㠱㔶㑤〹扡㘹ㅦ㤱慥挵ㄸ㈷摦慡ㅤ慡㐶㠸〲㕢晢㌱㝥搹㍣ㄴ〲㐶㌲〹㤵㠴愲㤳戱づ昳㜶㕥㠲㌲戴㐱慡挲ㅤ戱㔵昹敢㕥昱攱て戱㍣戹㔷㙢㔶㜲㉣㥡㑥捦昸挲㠳ㄸ㑡搲戶㘶㙣ㅤ㙢㌸愵扣昲捤㍥挶て〵㕢改㍤㈴〹㤸〸ㅡ愴攸戸挸搲㐵㑥搵㜲摤攵〱㝢捡慢扡㡤㥡㥣戶收愵摢搴搹㝥㔰摦㈴昴㔲㔹捣㤸㔶敢攰㈵㠹散愶㤰捡㙣㠶㑣ㅢ㔶㜳㥡㌹〳戴㉡愳㡥㍤㜲收㘱戴㐸ㅡ挶㉢晦㜳挴㐸㥢扦㜵㈵摦愱昲㙢㔰㙤慢扡愸搳攸㍤户㠲㑥㈵㜱㙤搳愶晤㘹ㅦ〹㠱㕡㕢搷㝥㈷敥摡㌴㜲愵挸㘴ㄸ挶㐶つ捣敦㉥晤搷㍦换㔷摦㝤づ㌸㔳㘵攴晤晢扦昰收㉦晤㘵㉦愸愰㠴㠳挱㕤户摦摤收㠸㈸摢慦㤴㈰扤慤㐱㙡戰搸㜱㤸㜳㈲㔷昶摢㙡㕣搵戳ㄴ〹㘲戳捦㥥㕢㠰て㍢㕥戰㈷〳愷收㍡㥥愴ㄳ㠲〴ㄵ㜳㥡搳昲㈴㔲㈹㠷晣搰㘱摥扣㘰捦〵㤶ㄷ㉥㌲㔴愹㉥㙦敤㘸㈹㘲改昶㤸攳㐱㠰攲㜷戲㍥㘸捦㉥昸㘷㤰㝡㙦搴扤㐹㙢㌱摣ㄴ㠴㠲ㄶ㑡㑡㉣㔵㈹㤱㑡㠹㙣㉡扢㔱㕢㘵ㅣ挱㜶〶㜲㔷挰ㄸ摣㑢㑤愳㌷㥤㈲㠰搴㔰㙥ㄸ㡤慦㈳扡㈴㔸㤲搳愲攸昲㜸ㅤ㐹散㥥〱㜵敢ㄳ㠶捡㉥捣㜲捤ㅣ挰摤㤳㐷愷㔶㌲愱晦搷㈷〸㥤昹㠳㜵慣㠲扡㙦㉢敤挲㘴挴㐰捣㌵散㈳ㄳ㤹㡡昸㙣㜵㜳㘲捥㔶㜳挸㤴㌰愴㥣捥敡〴〲攲㍣㜴〰戴㌰ㄲ〹㔰扦〳㜱㠳㥥㕤摤㜲挳㘴慣散搷敢ㄶ戹㡣昸㥥㠵ち㤷㔹攵㘶㐳愹㤸㌶㠰㘲挵愴换㕡㐲㤷戵愴扡㘰㤹㤹㑡㔵㜵敥攵㥦戴〲㈷㕡愸㍢搵㉣ㅢ㑣㜷㙥ち昶〴ぢ愹攰ㅤ〸㘵㔱㍣ち㥦戵㍢㘹ㄱ挷搹㈰㜷〹㘱〴㔱㐷昲㠳㠹㔳捡㥣㡢つ收愹挰扥㑡敦㥢挷戰㥢捥晣づ㉣〰㈰㑡㥢㉦㠶ㅥ挵搹㘲〸晤ㅣ㌶㡦㈷ㄵ㌶㌲捣攰慣㥢㍡㘰㈴㥦㥢昶慤摡〴㌲攲㝥搰㤷㝣㌲换㠲戴搴㉥㐱㤱改愲㌲㜲慤挸攱㥥㠶㑢ㅣ㘴搹㌱㡢㐴㑣㠶㠹㈶㈳愶㈱㜱愳改㝡㝦戶搷扢愶㥡㝢㕤㤷㠴搵敤摦晦愶㔶敤晦攷挳扢ㄸ㠳攲㕡敡攳挴㉢㔱㌵敦〵㄰㑣㐴昱㍥㕤ㄳ㕥挵〹慦〶搰㤹㡦攸㤶㤲㌵㔳㉢摣㕣慦㌳攵㤳慤昳㍡昰㍣っ㈴㠲㤰㍡〲㑡㡣晥㉣㔳㉦收㙢〰㝥晣昴搳㡣㤳㌵挱摣㐵昳晤㡣㉣㜳㌹㈲捦扣㡦攰戵〰㠲昱扢㑡㉥挶戱挹〹㌴㐱ㄲㄵ㥢㔸愸㐲晦〸慡㈲挶㈷捤搲㐶㐹㜸搵昳攸收㉣㠶晦昴慣㐹搰昳㜹㘹㠲㘹〲㝡㙡㥡㔹㈵攰扢㤵慢㈰㔱攱㘶捣㈰搰㕤㠸换戳捦㈵捦㠷㤲攷㕥捥攲㍣愶ㄲ㘸搴㤸ㅡ挰㝢扢㌴愷㘰㤲㠱摡搳戴〱〴戳つ㔴㑡㤸ㄹ㌳改〲敡攷㘷㔲㘶㈵挸㤷愶〳搰㉣㠲攸㙤㈲㤶㥤〹攵敦㐷搵攴挷㉣挱ㄴ㐵㡦〹㉥㈷搴㌹〱㤷搰㐸㝤搳〳㘸ㄱ㙣っ㡤收㌲愶㠹ㄲ㠲昹㥣戸〸愰㌳㝡扣戰㘸㤵㤴㉥戶愵㄰愸㔴挳㉤昶攱㠶攵攲㜳攵っ晣搸㠸㕤㥢㐱㙢㘵攲㘸愲晢攳㔹攷㔷㑣〴攲敡ち慦扥㡦㌷敢挶㐱攷摣攴㙥㈱㘷㙥㉣摡挸改敦㐵㍥攷挲摥㐲昶攸㍢捤扣㙣愵愲㘵昹㑥㑡㙡捥っ〸挱愶㡣昲ㄵぢ㠵㐹㠵つ挱㜸㔴昵挲散户㡡㑥摦㜹ㅤ㙢摦攵愸㜳晤戶ㄵ摤㐴㉢㌴散昲㤷〹扤㤴㕡愷搱㙦㘰愹愰㙦扥敡っ㠲晥㠰敡㍤㤳㔴㤴攲愱㑥㍦慦ㄹ愱敤㐱ち〲〶㘵㌶㕡㜶㘱挴㔹㘵㉥㌳慥㔱㙢挵挳㌸戴ㅦ㈰㌸挹㜴㝦扤㘸慤愵㑦搰㝦㐹搷搷㈲戵㡣㈳戴㔷晡摢㐱愲㌵搷昳〶㉢㔴攱ㅡㄶ㘳ㄹ攰㤲〳㑥㌵昰㐳摦㡥㠶㘶攱㤳づ昱晢㈱㜴挴㡥㔱晤慤搸戱攷㍢㜹戱㡣挷㉦晢㡡搰戹㔳㥥㝦挶㔳愷搱㐳㝥㐶㔵昸敡敢攳㙢ㄸ戳愸昲ㄲ㘰戱㐸摢挶挵收敢〱ち改㈲㡤〳㑢㤱〶㠲愵㐸㙢挰㔲愴㐵㘰ㄹ愴づ攷㉥昴捥㉥㙡㈹㔲昳㤳㥡挶㔹㠰㠱昲㔸愵捤㝤㌴摥㠰扥㍣晡㤴㠱㍣㠲捦㡦挶㠳攸搹㠲㥥捥㥦㍡ㄴ㘹㍡戸换捡て〲捣㌷愱㈹㑥〰㔰㐱攵挴㠳挰㈳〵㈸ㄶ㠴㠷搹〷㐱戰昰㔴㠸敡搰愵昳㍤㝢慢攸㔵㠱攴㕢㌸㑣换戰㝡愵搲敢ㄸ㌱摦㤶っ昳㜵㠲㝡㥤捣㉡㤶㜰〰戲〸敡㥡昱づ㠰㌵改㉥㑥㘳ㅡ㘹摦㐹扢收㌱㡢搴敢㉣㐵敡㜶㤶㈲ㄵ㌹㑢㤱捡㥣㘵㤰㝡晣昹㈱ㅡ戵㍦㙦㘶扣ぢ愰㤳㐰敦㐶捦㙡〲ㄹ敦㐱㜷ㄷ㜵㡢㌴ㅦ摣㐵晤㙣挲㝣㉦㙢㠳〰㠲㕡㑡愱昶㝤愸㜰〲晦㡢㔴㔵㡡㙤ㅦ㐱〵㙣摢㔴㔲愲㠱戶㥡摥散㐹㜱㍡㌵㠵㥡晥愸㥡慥㤳搹㜷慦㥤㔴㙤攳扡㘱愸戴㡥㉦敥晢昰〵㝤㤹㥢愶攱慤改㡡ㄷ㌳愹㤷㙦㙣㉦ㅡっちㄱ晦昵㔳愰敦晦戱て㉦扤愲㑦戸攳㌵昸㌷㍦〰㈰摥〴㔰㘰㙢㍢挱捤〴㈵〰㘱攳㤵㍤扦慣挸㘴㘰搵㤷㤵㠷戹㡣敢ㅦ〳㘸㔲㐳㈸ㄹ㘰㙦㤳㈳㌹愵㐸慥㔷㐸㝦ㅣ㤵㐲㕡㤰愶扤㑥昱摡戵㑥㜱㕦㌲搰晤挹愲㐸㔶㔰㍢㝦〲ㄵ昳㤳〴㥦〲挸〹㜲〳㘹㉢敥挵㔲㈲㜴ぢㅡ搹㔴㕡㈷摤㙦㕡㥢㐸㜱戸戵昲昳ㄱ㜲㥥㙥搳㌰昴摢昱慦㌷㐸㉡㤵扣㜶㤵㔶捤㈳昲ち昰〳㡥㘹攴ㄴ㄰㙦攱挷㑣㠹づ㐲慥㠱ㅥ㜰搳户㌷㔵㑢搱搹㥥〹攰散昷搹㔳㈱㌲ㄷ戵㉣扥㡡㐶昸㐱㡤户ㄹㅣㅣ搸戹っ㔹ㅡ㈴攵昷㠶㔴㑦ㄳ㐳摢搱ㅤぢ戴愵㘷㔶昰搱㑣搱愵ㄸ戰㙤捣扤㌱㍥㡤㤷慤㝣㘷㔳㌶㉤㑣㠹攳愰愸㔲㠳㝦扡攵ち愵㌶ㄱㄴ㙡收㔳㤸㙢㝣㠶㠷挷挷㐳愱敥㠱〸挱晣㉣㝡㘲㑦㥡㠲愰改㤴㠴敥㡢搱攰㑦㜰㐵搷㙦㄰晡晢㜹摢㈷昷晥昱慥〷敦㝡攷㘸㤱捣慥昸敤㜳愸㤸㥦㈷昸〲㐰㑥㤰戳挹㕡挶ㄷ〱㔶㥦昷㘰捦昳㝥ㄹ㜳㤵㄰挶㘷挵㍥收㔷搸愵攴㔵㥤㔵㤰慦ㄵㅦ㑦㈵㝣㝣㈷㍡戲㈹㐳㤰搷搵挰晥㘴㠰㥥㝥ㄶㄱ㌴昹㕦つ㑣㈶〳㝢搱㘱㝥〳㐰㈷㝥㉥㤸㜰㤴摣つ扡㙣摦挴㔲㐱慣㉢〵昱慤愴挲㠶㈰摥搴改捡㕤昷㈱㉥搵挰㔸搷㝤㠸㕦㌵㌰摡㝥㥦㜳攸ㄵ挴ㅦ敦㘴㝥㥢㉤愲㑥扤昰㍢㐹㠵㡤㐱㕥㥣慥㑤㙡㐹㔴㑦搴㑥㥣昸昷㘰㘶攸捡捣㉢敦捡㝦攸㔷㍦晡昵㈳捦扣㘶捦敦晦昳搸㘳捦晣收㤱愷晦昳慤昹㍤㍦昸搸挷扥㜷昷ㄳ㑦晦㝡慢晤搱搴㔷晦㍤晤搱戳㈳愷捥㍥㘰ㅦ扤㘹昲散扤昷ㅦㅥ㌹戴㘵㌸㥤敥敢扢㘱摢て㉦扦戱昸挶〷扥㉥扥晤㡢ㄷ㜸㐲㕤ㄶ㉦㌰扦ぢ挰㐲㡤㕢攴愵ㄵ愳㝣て㤵㐲㝡昰ㅣㅥ捦敢㌱ㄴち昰㤲㤶收㐵㕤㉢ㄲㄵ敡ㄸ摦㐷〵搶㤱㘷㘴扢㤰ㄱ㍣㤸挲敢ㅤ〹㕥挷搰㤱㐵㑣捤愹㙡㘰㔷攷㐰晦㝦〱慢㕡搵㜰</t>
  </si>
  <si>
    <t>㜸〱捤㕢ぢ㜸㕣挵㜵摥㔹㘹㔷㍢㉢挹㕡㍦挰㍣㡣ㄱ挴挶挶㤶ㄷ㍤㉤搹㐶戵㕥㤶㉤戰昰㐳挲㈴昹〰㘵愵扤㙢㉤摥㠷搸扢戲㈵㕡ち㈱㤰㤰〴ㅡ㐲ㄲ㐸ㄳ㥥㙤昸㕡摡昰〸ㅦ〴㑡扥挴㝣㈴つ㝤挴㠵戴㈱昹摡㈴㍣ㅢ㐸〸〴㘸㐲搲㠴㄰昷晦捦扤㔷扡扢㝢㔷戲ㅤ晡㝤㡣㝤捦㥥㌹㜳收捣㥣㌳㜳㘷捥㤹戹昲㈹㥦捦㜷ㄸ㠹扦㑣㤵㐴㤶つ㑤㥢㜹㈳ㅤ敤捤愶㔲挶㔸㍥㤹捤㤸搱敥㕣㉥㌶扤㍤㘹收㉢挰㄰ㅣ㐹愲摣っ㡣㤸挹换㡣搰挸㝥㈳㘷㠲㈹攰昳㠵㐲摡㡦昲㉡晢㠹㌸ㄹ捤㕡扡㤲〰㕣㍥ㅤ㈴㈰㤷づㄱ㘸㠰㥡㌰挰㜰㙦捦㡥搱㑢搰收㔰㍥㥢㌳ㅡ敡昷㔸㤲㍢㥢㥡愲㑤搱搶昶愶昵搱挶㠶晡摥挹㔴㝥㌲㘷㜴㘶㡣挹㝣㉥㤶㙡愸摦㌹㌹㥡㑡㡥㥤㙢㑣て㘷昷ㄹ㤹㑥㘳戴戱㘵㌴搶摡搱搴摡搶㤶搸戰愱愳愶ㅡ㤲捦敢敤搹㤹㌳ㄲ收扢㈵戳㠶㌲㜷昴昶㐴捦㌳昲敦㤶捣㕡挸㠴挸扥㙣㍡㤶捣扣㑢㐲〳戴㝣㕢㥦㌱㤶攴㄰ㄹ㐶㉥㤹搹ㅢ㐵户ぢっ㡤㕣㝢戴摢㌴㈷搳ㄳㅣ敤㕥㈳㤵摡㙤㈴㘴㘸搲㝤㘶㝥㘷㉣㤷㌶㙢搲戴㥦㤱㌳㌲㘳㠶戹㈰扤㘵㙡捣㐸搹㡣㘶㈸扤㈷㤶㍢㉦㤶㌶㉡㠹搴愵慤㌱ㅣ㠸ㅢ㤹㝣㌲㍦㕤㥢㍥摦㌴㜶挷㌲㝢つ戲〴搲㕢㈷㤳㜱㔵㔹㠹晦扥㡡㔵㕥㍤㤳㠱㐲㝦搲扤攳戱㕣㕥㜲ㅣ挲㈶㉦㕥搷㜴ㄱ㉤ち晡挵㈹㔵㕦㔴㡢㘳㌶㤴㑣㥦㙢攴㌲㐶㡡㡤㜰㈴搷ㄶ㌱㠹㠱慣㜱㤸戱搴㡣㍡攰㔷搵昶㉢㐲㕤搸㑡㜰〱㐰敢㜰㉥〹㌵㈷㔳戱㕣挳㘰㌲搳搹摥摡摣搶搸搸搸戰㍤戹捦㐸㈵つ㌳摦搹㈱㠴挶㠶挱搸㔴攷㠶挶㜶㤶敡㍡搴搴ㄱ捡㔸㐸戰㍤㌶㥡㥤捣改㐵愴㉥〶㔰㤵慦攲晤㜴户㐷㕢昸㐷㘲晥㤱㔱晦挸㤸㝦㈴敥ㅦ㌱晣㈳〹晦挸㕥晦挸戸㝦㈴改ㅦ戹挴㍦戲て㍣㑥ち㔵㔵昹敤昴攰㑢㡦摥㜵㜲敦㔷戶晦㐳㐵㝥昲昶㥤㉢㉥㔷㝣㈵攵㡤㍥づ㐸㘳㔱晦㥢搷㐷摢摢摢㕣摤㙦摥㄰㐵㥥㥤㙦㘹㡥戶㌷户改攳㔱㑢㉦〵〸㥥〰戰愴㌷㤶挹ㄸ昱晡晣㘴㈶㔶晦昸挳昵㍢㜳挹㌱㐳㥦㐸㥥㤳〰㤴晡〹㌴愱㌶户晤攷ㅤ㠷慡扥搷扥攳捡散㑤㍦㍥昳敡敦㕦慡戸㈸㐸㌷㤶〱改㈹敡㐶搳㠶昵㉤晣ㄷ㕤摦搲攱敥㑣㔳㠷晣㡢㜶㌴㑢㤷㥡㕢㘱㑤愴㘸㘳㘳戳㍥㠵㡤㉥〷〸㥥ち㔰搹㍦㘹愴㜴㍤㘹愷〱㈸昵㡣摤㤱捦㝤㝥挱捡晥㥢㕥㍥昷捡昵㥦摥㝡敢昷摢㤶㉡㉥㑣搲㤱昷〱搹㕣搴㤱㤶昵搲㘲ㄴ捤扡晡搱摡戸㠱晦愲㡤ㅢ愴ㅢ慤慤ㅢ㤸愲㜸昴ち戶戸ㄲ㈰㜸〶㐰敤㘰搲挴㑢㤳㡡㘵㡣散愴愹㔷戱㜰㌵㠰㔲㍦戰扢昳换㉤昷摦晤㠱㘷敦㍡攷挱敢㕥㜹攵㠲㠹扤㈷㉢㉥㤱搲㥤㌵㐰戶ㄵ㜵㘷戶愵㡥㈶㘹戳挵摤㉢愱戰ㅢㅤ搲慤戶㤹㙥戵㜷攸戵㙣扡〱㈰戸㡥搸㘰㉣㡦㜵㈱㤶㌲㜵㤴搹戳〰㤴㝡捡敥搳つ搹愷㔶摤昷晣戲㥥㥢ㄷ摤昸收捤㕦㥦晥㠵攲戲㈰㝤㙡〲戲散扣㙣㉥㡤㌵㜸搰㠸㘵㍡ㅢ愳㑤捤つ㐳昹㜸㥦戱ㅦ㌸㐶愱㤹攲㕡〰㠲慤〰㤱敤搹㔸㠶昳㘲㈰㠳昶昰㍡攸㌶㤶慦〷㔰敡㥦敤收ㅥ摢晢挰㙤攳㑦晦愸晢㉦慦㝡㔸摤昳搲摥昷㉢敥つ搲㕣〷㤰搵㐵㈶㘸改㘸㜷敢摣㘲扤㔹慤敤㉤㝡〳㐵㙦〴〸㙥〲㔸搸㥦㌴挷搳㐶㉣㌵㍢㉤捦㈶㐳㈷㠰㔲㡦摢㙤㥢摦㝣昲慤捣扡㥢户摤㜵晤㌳愷慦㔸昴攲摦搴㙣㐶昱㉥晢㑤敦换挵づ㘰敤㥣㕤㤶㥢愳搰昱㐸昶㈳㙣㐷㠹戶㐴㝢愲愹㈹摥搶ㄸ㙢㠹〵昸挶ㅦ改挲挷㠵愱㈶㜱㐱㌲ㄳ捦ㅥ㤰㤵㜰㔹㑦捣㌴㘶ㄷ挶戵㜶㔹㑦㜶㌲ㄳ㌷㑦昶㉥ㅣ捡㘳㠴㑦㉡㉥㥢ㄵ㔲㔲㙤〸昳挱㌰愵扤攵挵搵昶挴㔲㤳㐶昷㔴搲㉡㍥愵愸ㄸ扢㐴㜶戴㝣㘹㝦捥戸㜴愶戴愴㐷摤㜰㌶昶㡢散ㄲ㉤慤㈲慢㕦昵扤攳㔹搳挸㐸昷搶愶㜷㈶挷昶ㄹ戹㈱㠳慥㡡ㄱㄷ㔵㡦㘳㤱扤㔵慤摤㤱㠱愲搸㝣攲愷扢愹㠹㉤㔳㜹㈳ㄳ㌷攲攸敦㠴㤱换㑦て挷㐶㔳挶昱〵㉣㔶㥢㈸㌸戱㠰摣㥦ㅤ㥢㌴㝢戳㤹㝣㉥㥢㉡㉣改㡥敦㡦㘱㝢㡣て㘶攳〶㜶户㑡㈶㥦昲㔵㔴㈸攵㕢攳戵挵㔰慥ㄹ㤵㠱㜰つ㌱ㄷ昸ㄳち愷㕤㜴㌷戴㠳ㄶ㈹㠳㜳搲扦㘲ㅥ㘱㈲㤷㘲捥㉣捦攸搲㠹㝥ㅤ戹㔷㤷攷㤶㍥捥㡣摣晦㉦戳摦扦搸搶㝥换㝥戸㄰摢㘲㤹㜸捡挸捤改㤵㉡昶㐸㜷〱〴づ攲㙤㉥㙢㍤敥㜷㙡㑡㑤〷づ㈴攳昹昱攰戸㤱摣㍢㥥〷つ㥥㙢㈸㐴搳㤶㈴摤〳㤲敥㈵攸〳〸㠷㝤挱㉤㘴ち㠶㜵扦㤵て昰ㅤ㍤㝡攷㠴扥戱ㄶ㘷〸㥥慢ㄹ㐸昷㘷㜳㘶㐵㠵㤷㤶摢㘲收㜸㥥搳㜳捥㐲扡㈱㝡㉢挱㌶㠰〰ㅤ㠸㜹㝤ㅦ慥㐴㤵㜴昱㙡搳㝤㐶㈲〶挷㕡摥㙥ㄵぢ愴㉤㕦慤捦㌰挷㌴㥤扡〱扣㉢㔳㐱㘰㜸昹㙢搲㥣晤挶㔴扥㉦㤶㡦㔵愵攱ㅥ㘲㤴㌴㤸搶㑡㉤ぢ㘳捤㕡愱㌹戵挳㜶づㄲ㈲㠲扡愴㔴ぢ挱㤲㠴ㄷ〷敦㡢慦挲㠶㜳㉢㠱扥搳㠱ぢㄶ㑦昴㐲㌷て摥㘷㝣慢㤱ㄹ㥥㥥㌰㑣戲㠷㠲㜳㥡戲昸昵愲戰ㅤ㘳愳攷攷㤳㈹㌳㡡㥥㙥捤㘵㈷㈷摥㑤㌹㤴愵〷〰㥣ㄴ昸㉡㘶昱㤱敢挴愸慤㙡㍦挷㘶㘴挴ㄷ愲㌴㔲㌴ㅤ㑡捤搹ち㘱㠷昱㈳㐹て攲㈷㍣㔷㔹㠰㝥攷搱戸挴㜴摦㙡搲戰搰㜰捥㄰㈷㍦㈴ㄹ㔸扢㌶㝤㐱㌶户㙦㌴㥢摤挷昹戴㐰㜲收戸㘱攴改㌸㔷摢㠱㠲〴〴㑡㔵㔴ㄴ㜸戹㉥て㥢㠱㔱㜰ㄷ㐰㙤㜷㉡㔵敦㐸㌴㠳扢㐱慡㠰ぢㅦㅣ〲愲㜷てつ㥣ㅢ㥤㑡㤹㔳敡换㔰㤷㝥收愱攴摤ㅦ㔹昷捤攵㍢慥㙢㕢戴攳㙦㝦㝢㘹㡤晡㝢扢愰挴て愶㈳㉢㡥昸ㅥ㈰敡㙥戰ㅤ挴〳扣㌰改昷㈳慦㍦㐰昰㐱〰㉣〶㘲㕥慣〵ㄷ㕡㔹㐵㘷㤸敢㠱扥㠸攰㘲〰㐵〷㔸摣昹ㄱ㈰㑥㔲㜷㐰㍥〷㔹〶㡡摥㜳改㐰㡤㠱ㅡ搶㜳㤴㈹扡搵ㅣ㉣㑤攳㘸㥡㐳搳ㄴ敡㈶〸昶㌴挰攷散㠲ㄲて㥣づ戳ㄸ㈰挵晡㥦〱摢㐱㍣挰ぢ㤳捥㈰慦戳〴ㄳ〰㉥〳攴慣慣愲搳㉤〶㌰挹挴戵㔵搵〳㠸〱㈶㠱㌸㐹㝤〲昲㘷っ㜰㉡挸愵〶㤸〶㌵慣攷㈸㔳愷㠱挳换〰㔷㐲戸愷〱慥戰ぢ㑡㍣㝦晡敡㘲㠰慢㠰愸换挱㜶㄰て昰挲愴慦㐶㕥㕦㐳昰㔱〰㤷〱慥戵戲㙡㈵㝥挵〰ㅦ㈷搳㈷〰ㄴ㕤㝤㌱挰㈷㠱㌸㐹攵㈱㝦挶〰っ㄰㑡つ昰㈹㔰挳㝡㡥㌲挵〰挲换〰㤷㐰戸愷〱㤲㜶㐱㐹慣戱ㄶ㤲挴〰㥦〷愲昶㠲敤㈰ㅥ攰㠵㐹㝦〱㜹晤㐵㠲㕢〰㕣〶戸捤捡慡〶晣㡡〱㙥㈷搳ㅤ〰㡡㜱㠵ㄸ攰㑥㈰㑥㔲ㄷ㐳晥㡣〱㈴ㄲ㈹㔹慢敥〲㜳㔸捦㔱愶捥〲㠷㤷〱㠶㈱摣搳〰㐳㜶㐱㐹㘰搳っ㐹㘲㠰㝢㠱愸㕤㘰㍢㠸〷㜸㘱搲昷㈳慦扦㐲昰〰㠰换〰て㕡㔹搵㠲㕦㌱挰㐳㘴晡㉡㠰㘲愴㈳〶㜸ㄸ㠸㤳搴㌶挸㥦㌱〰㐳愴搲ㄹ昰㌵㔰挳㝡㡥㌲挵昸挹换〰㝦〲攱㥥〶攸戴ぢ㑡㐲㉤挶㑣㘲㠰㙦〱㔱㥢挰㜶㄰て昰挲愴扦㡤扣㝥㠲攰㥦〰㕣〶昸ㄷ㉢慢ㄸ㜷㠹〱晥㤵㑣摦〱㔰っ户挴〰㠷㠰㌸㐹㌵㐳晥㡣〱ㄸ愸㤵ㅡ攰扢愰㠶昵ㅣ㘵㡡㐱㥣㤷〱㔶㐳戸愷〱㔶搹〵挵昱㕥愰ぢ㤲㡥搲㑦搷㠹㍤㐹攳〰ㅤ㡢〵〹ㅣ㜳昵㑥㥡昹慣㜸㐱戵㠹扥散㜹搹㝣㕦搲㥣㐸挵愶ㄷ㈷㙣攴㠲㜱㈳㠳ㄸ㈵㠷㔰愵㠸㤶㥤㤸㌰攲㍡㌱㠴搳㥦㌱㘳愰敦扤㄰挳挰ㅣㄸ㍡〹㕦晣ち改搸摣㜲㐴搸ち戳〴挹ㄷ愰㌳㕤散㕤挹㘱㥢㉢ㄲㄲ㤴搳愷㙥搶愲挳挹㝣捡愸㑥㐸ㄴ㈲㜸㈸〱㉢㈲昰㡢㔷㈵㠶挷攱㜵昴搵㈶戶收㤲昱㔴㌲㘳㜰㌰㤶㔸慣摢㡤扤〸昲㜶㘶捤㈴捦㌵㙢ㄳ挳戹㔸挶㥣愰扦㍡㌶扤愸㈰㈷㡥㙤㈰搱㤳捣㤸㘸㐶㐶㤱㜸㕤㘲㘸㍣㝢〰〷攱㤳改捣搶搸㠴昹㥥ㄸㄵ扡っ㔶㤲愱㔱㝥攵昷慢㤰㍦㜴慣攳ㄳ晣㉦㐸㕢㍡㝢戴㔲㡦戹㥡捦㈵㐷㈷㘹㌴㘹㠸㑢㘳㈵㠱㡣愳㉦挰㜰愸搸㍢㜵つ㘳㔱㘸挹晥ㄶㅣㅦ㝢㐶㌹㌳㌷っ搵㘰搷㍦㘴㥤ㅦ〱㥣戳昵晣㠱搹㐳㤷㍦敡㈲㈰挰〰敥㠸㘳摣攳挰扣挰㥡㐶㡣㝢㌹慢昰㜶㘲㌶㌰㔷㍣㌵挳〹攱攱㉣㕤㌰㡢昶㈳㑣慡㐹攰㐴搷㐸㈱扡㑢挷昲ぢ慣っ挳㙣㥣㥡㤹㜶㔹㙦㌶㥤㡥㜱摡昱戸㝢㘸㉣㤶㌲㐲㠹敥挹㝣ㄶ㘷挸㍡〱㈰㜳搳㈶挵愶㐰㡡㑤㔹㜱㔸㘲㌷㑦㝤〴愷慣散摥㔸㉥㤹ㅦ㑦㈷挷㐲捣昰㘴收㍤㌱㕦戱㠶㔴挲㤸㑥㜲搶㤳攲挰捥ち慦㌰摣㔱㥣㠵搰㜴ㅣ㝥捣㙡扦ち攲㥦㍡挶㐳〱慣㍥戲愹攸㘷㈰㉤挰愰㥢换㤱愴㌷㥣㙢慦㌷慥〰㐵ㄶ㈸搵㑦〶㍣晡㔹ㅢ㘱愶㤲㘱昵㥣ㄱ㘳ㄵㄸ挲㌸摦㡣昷挷挶㜰㜵㔵㘵㕦㕣㠵㌰戴㕣㙥㜲ㄱ挶昰扤㌸ㄶ挲㜱搳晥㘴摣挸㠵㐸ㄸ挲昵㔹㈵愳晦愰㌵㠶㠸㘶㉡㝣㠱㐰㜵挸慢慤〱㐷搶ち㍢㌲㜲㕦捦つ㤴挸㝦㜵㔷挷㘶㜴ち㙡昱昴㔴㍦㐷昰㍣㠰攲改〰昵㈹㘲㜸㠱っ㉦〲〴ㄸ㠷ㄶ㡦㑤㘱㌸㡤愰㥢挷戲㤵㡣改㉡ㄹ攸㠷㄰ㄴ换〹㐱㐰ㄴ愹㜶㐵昶㐱㉢愸て㌹昷㐸挱㈱捣㜲㈳ㅥ戶搶㔸㥥㈰㜰㌸晣晥㑡っ㜵戰昸㔴戴愴㔹〸㑢てㄹㄲ昲慢ㅡ㜴㈱昸摦〰慢昸戲㐰晥挸敡㠱㌳敢晢㤳㔳戸㠲ㄸ挸散挷〱㜳ㅡ攷ㄲ㈶㡦㝣敢㝢戳㘶摥㉣㜱㉥挲㘱晤ㄲ敡晢挲㙡㄰搰㌱ち㕤愰㜰㤸㈳慡㕦㈶昸㈹㠰㘲㕣搸㠵挷戵㤹㈹〶㠳摣搰㝣挱㥦〱ㅣ捤〲慡ㄸ㐲㜲ㄱ搵慦〰愸て〲㜰㙤㥡㤹慢慦〲㥦㝦慥㕥挸ㅡ㜸昴㙢㌶挲㡣㘲攰改愸〲搴㤹〰扦〰慡㕦〷㔰っ㑡㍤ㄸ摥㈰挳㥢㘴ㄸ〱攰㈴〸晥て挰㌲挷戸㥥㤷㍢挵づ㍢㉣晡㉢㔴㠲㐵挷〰㥤㔶㕣ㄶ㝤ぢ㘴晤㙢〰㤵〲攸挲攳戶㈸㜷ㅢ换愲扦〱㜶㔴ㄶ捤愲㠲㔸昴㝦㈹㜲〲愰挰愲扦〳㘱㝥㡢收㔸ㄷ㡦㝥摢㐶挴愲㈶㌲㡥㉡㐰ㅤ㡢晥ㅥ愸㝥〷㐰攵〱㍣ㄸ晥㐰〶晡捦㙡ㄲ㐰㉣㑡改㘷㍡ㄶ敤㤹㑣愶攲戸㔳愸挷改㔴㍤ㄶ㡥㘴ち㙥㡡㌱捦㠴昵戳㑢㘱挵搰搸㘹搲㘵摥ち㤴㙡㕥攲慢慢挰搰㠵挷㙤摥慢㤱戵捣ㅢ〰换㔱㤹昷ㅡ㔴ㄵ昳〶㈹晣愳挸ㄵ㤸㌷〴敡晣收扤㤶摤挱愳㌵㠵搸ㄹ昵㜱㈰㡥㉡㐰ㅤ昳㠶挱愰慢挹挸ㄸ摡㠳愱㠶っ戵㘴㘰㔸㉤收㕤㠰摣ㄹ㡥㜹㔷て㘰㌹攰㘱ㄱ㑤㍣ㄶ㥢㐸收慤晢㥦昲㡢㐱〴搵㘱摢㑦戹摡㕢㐸㡡戵ㄸ㉣㘴㝢㡢搸ㅥ㈳攴㉥㍣㙥摢㝥〱㔹换戶㡢挱㜲㔴戶晤㈲慡㡡㙤㤷㔰昸㉤挸ㄵ搸昶㜸㔰攷户㉤愳㙦㌰攲㍡㤶㐲散㡣扡ㅤ㠸㠷改㑥〰㠳㍥㤱㡣㜷㜸㌳㥣㐴㠶㤳挹㜰㈷ㄸ挴戶换㤰㍢搱戱敤ㅥ挳㌴㡤搴㍣㔳㜵㌹㙡挰㥣㡣攱㥤㍥搰慤户捤㜹㉡㑡㜵㍤㠰扡ㄷ挴㉥㍣㙥㜳摥㡦慣㘵捥搳挰戲搸扡㘶㥣搷㌱㔵っ换挵㤴愷㔳昰〳挸ㄵ㤸㜲〵愸昳㥢昲㐱㜶〵㡦㕥㐹㈱㜶㐶㍤〴挴㔱〳愸㌳㑤捦〰㠳㕥㐵㐶〶晡ㅥっ慢挹㜰㈶ㄹㄸ晢㡢㈹搷㈰㜷㠲㘳捡㤲㕢㔱㡦㌵戵〱ㄵ㘰挹慦戹㕡㜰扤昴敢搸㐲㤴㉤㝣ぢっ㕤㜸摣㤶㘴戴㙥㔹昲㉣戰ㅣ搵挴㝣〲㔵挵㥡㡤ㄴ捥㘰扦挰㥡捤愰捥㙦㑤ㅥち㠰ㄱㄷ挱ㄴ㘲㘷ㄴ㑦〶㍣㡣搵ち〶摤㐶㐶㥥ㅡ㜸㌰慣㈷㐳㍢ㄹ㜸㤰㈰搶散㐰㙥㘶㘲㤶㕥昴㝡㤸㜳㈳㙡挰㥣㍣㕡㜰㥡㜰㤹㜳ㄳ㥢㌸㥢㑤㌰〸㈱慢敥㘴づ㐸〵㥥〰ㅤ挹㘲晦愸挴㜷慤〴㔳㌸㐱㉦㜶㈸㍦㥤㐲攴㐰㤴晥㤲㠵搱昳戳㡡攱挵㘵㜳㔸戱㉢㡢敦慣㘶敡搲㡤慢㕥㔲㜴ㅦ㈸搵㔸㐲㈷㌹昰昸ㅦ㑡敦扣㘶敡戳攳戳㤷〳慣挳ㄴ摣っ晡㤲挱攴㔸㉥㙢㘶ㄳ昹晡㈱㐴挶昵扣㕦㑤攰㐳㤰敥挰㘳㤰攸搹㈶ㄵ慢捣昰㐳㥥晤扣㙦〸敦换㘴て㘴愴㌷〱㤳搷捣㙣㑤㔷㔵戱㤹㌰ㅥ㐹敦㠳昱㈲捦〲㘵㘵摤つ㤶摡㡡挸㜳㔲㠴㠳愲攷ㅤ攴〵〷㜹搱㐶〲昴捥㡥搴㈷愴㙣㌵慡挶㔴㕣ㄹ㤵㔵㔵㙡㘵搱㘵㘶㠹㉦㌹㜳ㅢㄴっ搲㤵っ㝣〳㉡ㅦ㔹㈵敡㌸㙢㔱㔶昶攳搱扤愰敢㍥㠰㜰攴㘵攴搹愱攰ㄶ㘴ㄷ昵昶㡣攰㤶挲戹户攰㉣〸昶㠳㕥〳扡昸换昸搸捡っ㙥〵㘵〱㈸慥攰㌹戸つ戴㠵愰ㄵ㝥㔰ㄵ愱㐷㉡愶ㅣ㘲戳㕣㔳慤慦㠸戶㠳㕤㠹㐷㐹搲㈰㜳㐰㌸㘹搵慢〰㥣戸敡〱㘸挹改〲摣愷㌹〷㌸摣敡㝥㔰㌸攴㠵㐳㐶扦㔲摡搹〵㍥っㄹ㝤㐸愶挸敢搶慦㉦昲㠶㠳搰㜱㘴㔲㜴晦㌸㙣敡㕥㠸愳㐹挵㌴㐳㄰愰㠷〱挲ㄱ㝡㠰㈲㤴愶搱戴㠳愶敡㥡扡㐶攸ㄹ捥㙡戶ㄴ㌹敢ㅢ愳ぢ㔱愸挴戳㈳改㈲收㠰㠸㘶昴散㐴戳扦㐲㘳愵㥡摤〱㙡愹㘶昴敦愴㥤ㄸ攴㐰㌳晡㜲㑣ㄱ晡㜳㑣㤱㍦㔸扦扥㠸㔸ちㄹ挴愱戶㘶户戹㌵ㅢ〳㔵挷〱挲ㄱ㍡㕦㘵㌵挳㉢敥搲㙣㌹〴㕡ㅦ㈹愵㐰㐷㜸㙢㈹愴搳㌶㈲㥡搱愹ㄲ捤㙥昴搴散〶㑦捤攸㕡㐹㈷㉥〵〲捤攸㐶㌱㐵攸㑡〹㐲扦㐹㄰晡㑥㑣㡡㝥㡦㡣搹㕦戸㌵㌳㐱搵㜹㠰㜰㠴慥㑦㔹捤攸ㄲ㐹愱捣挶㤵㄰㘸㝤昸昴㘷愰㉢㜱㘹㐸扡㥣㌹㈰愲ㄹ㕤ㅡ搱散㉡㑦捤慥昴搴㡣㡥㡤戴昳㘱㈰搰㡣㑥っ㔳㠴㡥㡣㈰昴㕡〴愱攷挲愴攸㠲㠸㘶㝦敥搶散㈳愰敡慢〱挲ㄱ㝡㈱㘵㌵慢㜷ち㐵戳〶〸戴㍥㥤扡づ㜴㈵ㅥ〶㐹搷㌳〷㐴㌴㕢〱㑣㌴换㜹㙡㌶攱愹ㄹ晤っ改挴愷㠱㐰㌳晡ㄴ㑣ㄱ晡ㄵ㠲搰㠹㄰㠴㡥〴㤳㙡〰㈲㥡㘵㙣捤搸扣晥っ愸晡戳〰攱挸㍡挰戲㥡搱㕢㤰㐲搱慣㠵㔵㜹扣愷㙦〱㕤挹㙥捦摣慤捣〱ㄱ捤戸摢㡢㘶愳㥥㥡㝤挸㔳㌳敥昹搲捥㥤㐰愰㔹㉢挵㈱㐵戸挷ぢ挲つ㕤㄰㙥敡㑣㡡扢戳㘸㜶戱慤㤹慣㈰㝦つ慡晥ㄲ㐰㌸挲つ扡慣㘶摣戸㘷㌵摢〸㠱搶户㘰㕦〶㍤挲㝤㕣ち敦〱㔲㕢ㄱ攰㔶戴愹㘸㥦昰㍥挷㕣㕢晣扤搰ㄶ㝣晦㌳捤㥥㔵攰〰挷㍡昶愸昴㙦㍣㌶㔹摣㠹㜸敡挹㈷戰ㅢ㕡晦ㄱ㜲愰㤱㙢㙦愲挴㔳昱攸晢㐰慦敢〵〸㈲挷挷㤵摥搸㙣㘷扡慣摦㤰晤ㅢ戱㝦㤷㜴搵昵㌹㌵㉦㔲愷摤搸ㅤ㜸敥㡡摢摦晣扢㑤㉢㙦扤敦戰晤㝢〵㙢晥㙥昷㠵摤晣晤搲搴㠸晣慥摡ㄱ敢㔶摢㔱㜳㌱㠸挵㔷搴㠳㔰搳昳㜶㘶扢㕤㔰㝣㐷ㅦㄹ㠴㈴ㄹ扣㠷㠰搴㔶㈸㙥㑡ㅣ㐰㜵づ㙡搰㙡愲攸挳愰搴㜱扢㌹㌶㐵㠷㥤㥡攵ㄴ㑤㌰㝤㝢㘳ㄷㄵ昵㍤搶搹㜵攸㍢㐸ㄷ㜶㜵㈹㙥㔱㕥㡡㙥㈹愷㘸㥦㕤㔰㝣ㄷㅦ戹〸㤲㐴搱慦〳㠱愲㌱晣㠸愲㍤㙥㐵て㠲㕡㌷〶㜰㙣㡡挶㥤㥡攵ㄴ扤㝣㜳摢愳愱㐷㜳摤扢ㅦ㔹㝥搱㠳晦㤶敦㕥搵ㄴ昲㝤攸挵晤摤㉡㠵㥡㕥㡡㜶㤶㔳昴㙣扢愰昸捥㍤㤲㠶㈴㔱昴ㅦ㠱㐰㔱㙥㔹愲攸㐶户愲㑦㠰㕡挷捤攸搸ㄴ捤㍢㌵换㈹㕡攳㕦扢戴㜶改昶敥㐷㤶㕦昳挹〵敢㜷㜴㍦㜰敢敢㠷㍦戶㘶㔷户攲〶收愵㘸㕢㌹㐵㕢敤㠲攲扢昵挸攵㤰㈴㡡ㅥ〲〲㐵㍦㡣ㅦ㔱戴搹慤攸㤳愰搶㜱㙦㍡㌶㐵慦㜶㙡㤶㔳戴敢慡ㄷ㐴戱昸愶㘷て㍦戹㘸愸晢摡㕦晤昰昰搲户㠷扢搵㜵愸改愵攸扡㜲㡡㌶搸〵挵㜷攸㤱敢㈱㐹ㄴ㝤ㅡ〸ㄴ攵㠶㈶㡡慥㜱㉢晡〳㔰敢戸㔵〵昰づ㔱㔹㔷㉡扦ㄸ搵㜱㕦㤳ㅡ攵ㄴ挴〸晥㝣搷㈳摦搸晣愷㑢敥摤晡晣㘵㥦摤慣戸㥤㜹㈹戶戲㥣㘲㉢散㠲攲扢昱挸慤㤰㈴㡡晤ㄸ〸ㄴ扢ㄳ㍦愲搸改㙥挵㥥〵戵㡥㍢搵戱㡤㈰户㌷愹㔹㑥㐱戱㔳攳㔴㤷晣㍥㜷㤹昵㝢挳攵㕤㡡扢㥢㤷愲愷㤴㔳㜴㤹㕤㔰㜲〷㝥て㈴捤㜷〷敥晡㍣㤸㜱㜳㈰挱㤰愶㍡㘱㤱戹㤹㈱戴㑤愶㔲ㄲㄵ搶攰扡㉡㠷て㜴户攳㘶ㄶ㤷㔴昸搳ぢ㍢㤸挱㡤㉤㑦晦㥤ぢㄱ㉤㌹㔶づ㈶㜶攴㜰㐳㔲㤵ㄸ㌰㜱愳ㅥて攱〳挳㍣㍥ㄸ捦扣ㄷ敥戲㄰愷㔷㜲搳挷戶捦㡦㝡晤㥥㈱㌲户搳㌹慥ㄹ㘷敤攱㝣㜷敢攷㉤搷戱㕤慥〷㝦㠲昱㜲ㅦ敡挴㕤㜷户㤵敡㈴っ戳ㄵ晤㕣改㍢㉣晤㐶愸慡㕦收㍣晢㈹〰㍦㥥ㄳてて㈰慣㝦〶㡡㜵㔷挶㌳ㄳ㕦㠰㍥㐳戱㠲㍣戸攸愷〵㡡扥愰慤慥愶搶㑥㔲摣愲㌹㤳㠲㍦〷㈸摦扤㈵㥥摤㝢つ㜵㌴扢㌷摢戵搷㐹㘲慦〴攰㈸つ㜹㜶捦㐹㡡㕢愵㌴昸㈶㤰昲つ㉥昰㙣昰㤷愸㔳搴攰㕢㈴戹ㅡ攴㙥㕢搰㈰户㉣㘹昰㌷㐰捡㌷ㄸ昲㙣昰户㤴㕥愸攱摢㈴戹ㅡ攴慥㔷搰攰㈱㄰愴挱㜷㠰㤴㙦搰敦搹攰㘱㑡㉦㙣㔰㘱ㄴ摤つ㍥㔹摣㈰㤷㜰㘹戰〲㥣捥〹㙣攱昴晡晤㍢㕥搳㡢㘷㠲㐵㡤㔵ㄵ㌵挶ㅤ愰㐰㍢㉥慢搲ㄸ晦㠰戰扣㜶扦昶㙣戰扡戴挱摡愲〶戹㌲扢ㅢっ昰ㅤ㌸攲㤷ㄴ扣扥挵㔸捥散㍦㠷攴捤晡摡ㄴ晦ㄸ搲敢愲戶昰㐳㠶㍡㜴㐴昱捤愲っ捤扦㠸㈴㈲捦㙢㠰散㠶㕥㐸敡敢挰㐸搶㡢摣㍣㥣㥡挲戳㤸㔴捥㑡攱㔹攲收攱㙣ㄲ㥥攳㐸攵㐴ㄲ㥥攳摤㍣㥣〰挲戳㤴㔴㡥扤昰㥣攰收攱戸〹捦㠹愴㜲挸㠴攷㈴㌷て㑤㉤㍣㈷㤳㑡㉢ぢ捦㌲㌷㡦愸㑣㑤㑥〱搵㐹ㄱ慡㉥㍢攸㜲㈰搸㐱㐵改ㄲ㉥㉡㉦㕣昵ㄶ㤷愸㕤挲㐵昵㠵敢㜴㡢㑢ㄴ㉦攱愲〱㠴㙢㠵挵㈵慡㤷㜰搱〴挲㜵㠶挵㈵捡㤷㜰搱〸挲戵摡攲ㄲ昵㑢戸㘸〶攱㕡㈳㕣ㄱ挷〰㡡㍡㡢扢昰㌴㈶㌰㘳㤵ㅥ搴つ㈹㥦愲㥡㔲昰扤愲〲㙡㈶〵晦㔱㔴㐰㘵愴攰摦㡢ち搸㝦㈹昸㙥㔱〱扢㉣〵㑦ㄵㄵ戰㤷㔲昰㘴㘱㐱昵晦〱昶㤸搹㘸</t>
  </si>
  <si>
    <t>㜸〱捤㕡㕢㙣ㅣ㔷ㄹ㥥戳扢㌳摥㔹敦摡㥢愴㠴戴㤴搶昴㐲ぢ㑥㤷戸㙤摡昴ㄲ㔲㝢ㅤ㈷愶㑥㥣挴㑥搲搲换㘶扣㝢㈶㥥㘴㜶挶㥤㤹㑤㙣〸㉤〸㜱〷〱ㄵ㐲〲㕡㐰〸慡戶㕣ち㐲㕣〴㍣〰㐵㠰㔰㤱㐰攲〱㥥㐰㕣㠴㄰〸ㄵ㥥㉡㔱愹㝣摦㤹搹昵敥㝡敤愴㙥㉡昹㔸晥攷摣攷㥣晦晥晦戳㥡搰㌴敤㈵ㄴ㍥㔹㌲慣㕣㍥戳ㄴ㐶戲㕥㉡晢慥㉢慢㤱攳㝢㘱㘹㌴〸慣愵㈹㈷㡣搲㤸㘰㔴ㅣ㡣㠷㝡㈵㜴摥㈱戳㤵㌳㌲〸㌱㐹搷戴㙣搶㑣㘱扣昹㕦㙣㔶㑣慥㌲㌳〰㜹捣搲㘶换㘳搳㜳愷戰昵㑣攴〷㜲晢搰戱㜸㠳摤㈳㈳愵㤱搲捤户㡥摣㔲摡戱㝤愸摣㜰愳㐶㈰㜷㝢戲ㄱ〵㤶扢㝤攸㔰㘳捥㜵慡㜷换愵㔹晦戴昴㜶换戹ㅤ㌷捤㔹㌷敦ㅡ戹㜹攷㑥晢戶摢㜶攵つ散㝣戰㍣㜶㈸㤰㜶㜸戱昶散攳㥥搳攵戱搲㐱ㄹ㕤慣㍤戳搸ㄳ㕢㡥晢㜵换昱㉥搲愶㍡ㄱ㝣搳戸慣㍡愴㠴㤴㠱攳㥤㉣攱搸ㅤ㠸㐶敢搶搲〴㌰㕥戵挲愸㉣㕤昷㠸戴㜹挱㝣㥤㌸㤳㠱昴慡㌲ㅣ愸敦㕤慣㑡㌷ㄹづ戳昵㘳㔶㜰搰慡换っ㉢㠳昵㤸㙥㤳㌵改㐵㑥戴㔴愸ㅦつ攵ㄱ换㍢㈹㌹㐵慦敦㙢㌸戵㑣㐶㘴㌲㕡晡扡㕥㠷㔱戴㈹㑤〴搵昲扣ㄵ㐴慡㐵慡㡤昴㥡摢挶㈱敡攰ㅤ挷㈲ㄷつ㜵慤㈲㤹㘶㥣晡摤㌲昰愴换㤷昰㙥挳㕤㤳ㄴ㑥㘲搴户㤰搳扣つ〹㈳晡ㄳ收攷㔵昸ㄶ搳㈴挸〱ㄸ晤〰戹㠳㠷㡥つ捤㑥〲摣㘸收㌹㔲〰㄰㤹晦㐲㠶摡㔷㜲㙡慡㘲愵㉡㜳愹㑡㌵㔵愹愵㉡㌲㔵戱㔳㤵㤳愹捡㝣慡攲愴㉡愷㔲㤵搳㤸搳㉣搹扥扥㔴㔲晡ㅥ晣攸ㅢ㙦晦摦搶㝤㕦摦昶挷㜳㉦晣攵摤㥦㄰ㄴㅢ㈵㍦㠳愸㤸㐵〰㘳ㄳ㙢㍣挹㕥㜵㤰捤㙣㙥〱㄰攲㕦㌸〸て㌳昸扡挱㕢摥㌵㜱晢挴攳摦扦晢攴搳㙦㜹㜶㜳晥㌵ㄸ㍥㥣摣㙤㍣戰捥㠲㐱㤶㜹敦挶搲づ晥㥤㕦攸㈰㜳昶㑥晢㔶㝢㘴愴戶㜳㠷㜵㤳愵ㄳ㍢ㄷ㑡敡㑢㌰㌷㙦ㅦ㜷扣㥡㝦㔶搱㍥㙦㑦㌸㙥㈴〳搵ㄸ戴昱㠸昹㔷戵ぢ昶摥㐵〸㝥㌵㘶㤳㑢散戲っ㈲〸㑣戴戴捣㍢㤷㡦㔹愱㕣㙥づ㈷㝢㡦昹つ慦ㄶ扥慥昷攰㑣㘴㐵昲戲敥戱攵㑤㔶㉣㥢㠱㌰挹㔰ㅤ改㡡敥㘵挷㉣户㈱㐷ㄷ㥤㜸昸昵㕤挳㄰㉢㝦㙥昵搱㠹㐰㍥搴ㅡ㕤㜱愲㔱㈸摥㌳㙡敦ㄵ户㡣㠷攲㜳つ㤵攷晤㔰㝡敡㜸挳昵㐳㑥昵戴っ㘶㈴搵戶慣愹慢扥㠶㐳㠹㙣て㑦㝢戸㈸愴戵㜶㔵㝢㉦ㄱ㉤扤㥡慣攱扣ぢ挰昲搲慣㌵攷捡慤ㅤ㔳攲㜷㘲攰搲㡥敥〹扦摡〸换扥ㄷ〵扥摢㌹㌲㕡㍢㘳㐱㥦搴づ昸㌵㤹㔱㐵㡢愱搰搲㘹㈱戴敢㝢〹㈶昷づ㈹扡㙤㑣㐲〵戱昶攴㌶㈶攲攴㥥㈲摦摡ㄹ㤵㌶㈶攳晣㌷慤㜹㤲㜶㈶攴散ㅤ㙢捥敥挱愴㕣戴慤㔳昰㑡㐷㐰ㅦ搰挱㤵㤴捡搴㌵慢㙦戹捣㤷攷㌹㘹ㅢ㔵㘸愵㌹㝢つ愴愹㙤㕢扣昷敡㑥㑥愵戶㈴户摦㝢〶㔶㘳扦攵搵㕣ㄹ慣改㘳〸㥥挸摣㑡昰㕡㠲㙤〴㤷ㄲ㕣〶愰晦つ晡㙤㔵㡣㔲㕢㡡㐵戱愴㥦㜵㙡搱扣㌱㉦㥤㤳昳ㄱ晡攰㥢㘴戳㐴昷敦攱攲㙣挵晦㘶捣㙣搰㐱㌱㉦㈷㜸㍤挱ㄵ〰戹㥣㘶㕣㠹愷㘶攴捣㈱㍥摥〰㌰搸㌴㥢㐳㌱㘷收㌴㥤㈶攱攵ㅢ㉥昵㐲㘵㈷攱挸㠴㝡ㅤ晢㠶改㜴㉦㙣散户挲昹㠸㠲戸收愰㌲㔱㔷攱㈸收搵〰昹㙢〰づ敥㤷㉥挴昸㘲昹㐰㍡捤摣㜹㙤㉤㑤搰搶晡捣㤲㔷㥤て㝣て㙥攱戸ㄵ㔹愳㔵㌸ㄴ愱戰㡣晡㤴㕦㙥㐴㐶㝤扦㠳㐷扥㝥㐴㉥㐸㉢㉡㐳㑤㐷㠵晡ㄴ㥣ㄱ愵㐷㈷㙢㡢㝡㍤昶㈳挶㘵㔸㌵改㜰㑣㐲㉤㉤ㅡ愸㐱捦收敢㔴㌴㜲㌱攲搶㝤昵㐳ㄶㅣ㤶挸挴愴㘱戵㉡慥㜱㘵㐱昵㌵㔷攷㤲ㄶ㜶㈸慡㙡摢㉥晤慡㈳摥㐹㈳攷挰㠲挲搸㘶ㄲ搸㉤㐱㐷㈳挷つ㑢〹㝡㑢攳㍥ㅣ㔲愹ㅣ㘳愲摤㌰挰㘰挶㥡挴敡ㄶ㜴㝡㉣搳搵戹㜸㕢ㅣ㘵㕦攰㌷ㄶ攸戵㕣慣㝤戸㤷㘶㕥ぢ昰㠵晦㍣㝤挷戵㡦㍦昳㔲昲㝣〴㈲愴㡡㐹㑦挵㈴扦戳㠹㠷㉡收昵㜸攴搶ㅡ搳改昷昴搴戴慢㌸㔷㘴搴㝣ㅤ户㥤つ愴昲ㄶ戳慡戱戴㈰ぢ昵攳㝥㜰㝡捥昷㑦㤳昸〳慡ㄵ捥㑢ㄹ搱〵敢㑦㍣㑥搶㠵㄰改㜴㠷㤷搵收慢搱㜹㌳戶〳ㄴ㐶㕤㜷愸戹㘳㘸摣㠰慥㌴㉣㡡㔱㐲挵㍣㌲㌳㜹㜷㘹搱つㄷ挵㙦㜱㕤㍡㑡摢㑥ㅤ晥愱昶㌹㙦散愹㕦晥搵㝥昲㕢㜷㙥ㄱ扦㐹〶㔶昸㘱捡晤攲㈶㈳〴㌷ㄲ摣㐴㜰㌳挱㑥〰昱㉢㉣愵㜲㐲扤戳㤸户愲㙤敥㈲戸つ〰㉡㐶愱ㅣㅡ收づ㌴㡤㍢〱㔶㙡ㄸ㐱㔷㡦㕡挶摣㑤昰㔶〰㐱㌱愳㍣㙡收ㅥ㠰㔵㠹慡晣挳ㄵ㐴ㅤ挳㤲㥣戹挶㤸愰て㐹挲㥡㐴愴㐹搴㤹㐴㥢昸㕥㠲㤳ㄵ挸晡㙥㌲搰敤㙥敡㔴摥摤攲愳㝣敦㤶㈱㙥㌳昱〳㤸㙣搸㐷㍤㈷ち晢敤搱㐶攴㑦㌸搱㜸ㄸ攵㙤〰㔴搵㤲换㤴捤㙡㕢㌴㙣ㅦ㜳攴搹㔹㌰搰㤵㉢㠷㄰㤶㤴ㅢ㘱攴㉢捤㜰挵捡昱㜱晦愰ㅦ㡤㍢攱㠲㙢㉤㕤搳㘳㌸ㅥ㌹㍥㉦㍤㌸㔱〱㝣愹昳㑤昲ㄷㄶ㘴慤挷ㄹ㘷晣㐶㔰㤵㤳攳ㅢ挱つㄳ戱㡡搳㈰㐵㔰㜰攲摡搵摤㡥㌶扣搳ㄴ愷㈰㜹㘲㥤㔶㥣㕣愸㤹㔳〰㘹扣ㄳ慣㙦ㅥ㐰ㅤㄲ愰搳戴慦捤㈲㙤㡥㥤㡡扤㙣㤰㌵敥㉢㈴㤱挳愴ㄷ㍡㌵㤹㑢㕡〷ㅣ㙦㈰愹㑥㌷愲㡥ㄱ㙢㜱㑢㌲〲昵㌰敤㠱昴㔵㉢愸㙤〴慡〰ぢ㈸㌱㐹㠴㠱扦昵㈱㍡摥㐶搳㥥㙦收㜲㥥㝦〴挲㝥㄰摤挴㌵㍤愸㥥摡扡㈵㡥愸戴昹挵搴㜵〵愲扢搵㥤㘵敢㠰戴扣ㅣ㉢㌳㔱㙤㕣㥥ㄹ㔰㌳㈴ㄸㅣ搹〰㔷㙥改㙣㉡愳㙤摡愳㜳愱敦㌶㈲㌹搰慡㈹㐱㌷敤㈳搲戵ㄸ攳攴㕢戵㐳搵〸㔱㘰㙢㍦挶㉦ㅢ㠷㐲挰㐸㈶愱㤲㔰㜴㌲搶㘰摥捥㑢㔰㠶搶㐹㔵戸㈳戶㉡晦摥㈳㍥晢ㄹ㤶愷昶㘸捤㑡㡥㐵搳改ㄹ㕦㜸㄰㐳㐹摡搲㡣慤㘳つ愷㤴㔷扥搹挷昸愱㘰㉢扤㠷㈴〱ㄳ㐱㠳ㄴㅤㄷ㔹扡挸愹㕡慥扢㌴㘰㑦㝡㔵户㔱㤳㔳搶㥣㜴㥢㍡摢て敡ㅢ㠴㕥㉡㡢ㄹ搳㙡つ扣㈴㤱摤㈴㔲㤹捤㤰㘹摤㙡㑥㌳愷㠱㔶㘵搴戱㐷捥㍣㡣ㄶ㐹挳㜸攵㘵㐷㡣戴昹㥢㤷昳ㅤ㉡扦〶搵戶愲㡢㍡㡤摥㜳㉢攸㔴ㄲ搷㌶㙤捡㥦昲㤱㄰愸戵㜵敤㜷攲慥つ㈳㔷㡡㑣㠶㘱慣搷挰〰㔷㈸捦户㝣慥〳㉦摤㜰搵ㄳ挳晦搸愳㠹㔸㌸ㄸ摣㜵晢摤㙤㡥㠸戲晤㑡〹搲摢ㅡ愴〶㡢ㅤ㠷㔹㈷㜲㘵扦慤挶㔵㍤㑢㤱㈰㌶晢散搹㜹昸戰攳〵㝢㕦攰搴㕣挷㤳㜴㐲㤰愰㘲㑥㜳㑡㥥㐴㉡攵㤰ㅦ㍡捣㥢ㄷ散搹挰昲挲〵㠶㉡搵愵捤ㅤ㉤㐵㉣摤ㅥ㜳㍣〸㔰晣㑥搶〷敤㤹㜹晦㉣㔲敦㡤扡户捦㕡〸㌷〴愱愰㠵㤲ㄲ㑢㔵㑡愴㔲㈲㥢捡慥搷㔶ㄹ㐷戰㥤㠱摣ㄵ㌰〶昷㔲搳攸㑤愷〸㈰㌵㤴ㅢ㐶攳㙢㠸㉥〹㤶攴戴㈸扡㍣㕥㐷ㄲ扢㘷㐰摤晡㠴愱戲ぢ㌳㕣㌳ぢ昰戶㝤㐷㈷㤷㌳愱慦攸ㄳ㠴捥晣挱ㅡ㔶㐱摤户㤵㜶㘱㌲㘲㈰收ㅡ昶㤱㠹㑣㐵㝣戶扡㌹㌱㘷慢㌹㘴㑡ㄸ㔲㑥㘷㜵〲〱㜱ㅥ㍡〰㕡ㄸ㠹〴愸摦㠱戸㐱捦慥㙥戹㘱㌲㔶昶敢㜵㡢㕣㐶㝣捦㐰㠵换慣㜲戳愱㔴㑣ㅢ㐰戱㘲搲㘵㉤愲换㕡㔴㕤戰捣㑣愵慡㍡昷昲㑦㕡㠱ㄳ捤搷㥤㙡㤶つ愶㍢㌷〴㝢㠲㠵㔴昰づ㠴戲㈸ㅥ㠵捦摡㥤戴㠸攳㙣㤰扢㠴㌰㠲愸㈳昹挱挴㈹㘵捥挵㍡昳㔴㘰㕦愵昷捤㘳搸㑤㘷㝥〷ㄶ〰㄰愵捤ㄷ㐳㡦攲㙣㌱㠴㝥づ㥢挷㤳ちㅢㄹ㘶㜰搶㑣ㅤ㌰㤲捦㑤昹㔶㙤〲ㄹ㜱㍦攸㑢㍥㤹㘵㐱㕡㙡㤷愰挸㜴㔱ㄹ戹㔶攴㜰捦挰㈵づ戲散㤸㐱㈲㈶挳㐴㤳ㄱ搳㤰戸搱㜴扤㍦摢敢㕤㤳捤扤慥㐹挲敡昶敦㝦㤳㉢昶晦搷攱㕤㡣㐱㜱㉤昵㜱攲ㅥ㔴捤㝢〱〴ㄳ㔱扣㑦搷㠴户㜳挲㝤〰㍡昳ㄱ摤㔲戲㙡㙡㠵㥢敢㜵愶㝣戲㜵㕥〷㥥㠷㠱㐴㄰㔲㐷㐰㠹搱㥦㘵敡挵扣ㅦ攰搷捦㍤挷㌸㔹ㄳ捣㕤㌴摦捦挸㌲㤷㈳昲捣〷〸ㅥ〴㄰㡣摦㔵㜲㌱㡥㑤㑥愰〹㤲愸搸挴㐲ㄵ晡㐷㔰ㄵ㌱㍥㘹㤶㌶㑡挲慢㥥㐳㌷㘷㌱晣愷㘷㑤㠲㥥捦㑢ㄳ㑣ㄳ搰㔳搳捣㉡〱摦慤㕣〵㠹ち㌷㘳〶㠱敥㐲㕣㥡〶つ㕥扣㉡捦〳搷㌱〳㌱㤵㐰愳挶搴〰摥摢愵㌹〵㤳っ搴㥥愶つ㈰㤸㙤愰㔲挲捣㤸㐹攷㔱㍦㍦㤳㌲㉢㐱扥㌴ㅤ㠰㘶ㄱ㐴㙦ㄳ戱散㑣㈸㝦ち㔵㤳ㅦ戳〴㔳ㄴ㍤㈶戸㥣㔰攷〴㕣㐲㈳昵㑤て愰㐵戰㌱㌴㥡换㤸㈶㑡〸收㜳攲〲㠰捥攸昱挲愲㔵㔲扡搸㤶㐲愰㔲つ㌷搹㠷ㅢ㤶㡢捦㤵搳昰㘳㈳㜶㙤〴慤㤵㠹愳㠹敥㡦㘷㥤㕦㌱ㄱ㠸慢㉢摣昷〰㙦搶㡤㠳捥戹挹摤㐲捥㕣㕦戴㤱搳㍦㡥㝣捥㠵扤㠵散搱㜷㠶㜹搹㑡㐵换昲㥤㤴搴㥣ㄹ㄰㠲㥤ㄹ攵㉢ㄶち㤳ちㅢ㠲昱愸敡㠵搹㙦ㄵ㥤扥昳ㅡ搶扥换㔱攷晡㉤换扡㠹㔶㘸搸攵㉦ㄳ㝡㈹戵㑥愳摦挰㔲㐱摦㝣挵ㄹ〴晤〱搵㝢㌶愹㈸挵㐳㥤㝥㕥㌳㐲摢㠳ㄴ〴っ捡㑣戴攴挲㠸戳捡㕣㘶㕣愳搶㡡㠷㜱㘸㍦㐰㜰㤲改晥㝡搱㕡㑢㥦愰晦㤲慥慦㐵㙡ㄹ㐷㘸慦昴て㠲㐴慢慥攷つ㤶愹挲㌵㉣挶ㄲ挰㈵〷㥣㙡攰㠷扥ㅤつ捤挰㈷ㅤ攲昷㐳攸㠸ㅤ愳晡晢戱㘳捦㜷昲㘲ㄹ㡦㕦昶ㄵ愱㜳愷㍤晦慣愷㑥愳㠷晣㡣慡昰搵搷挷搷㌰㘶㔱攵㙡㘰戱㐸摢挶挵收㍢〱ち改㈲㡤〳㑢㤱〶㠲愵㐸㙢挰㔲愴㐵㘰ㄹ愴づ攷㉥昴捥㉥㙡㈹㔲昳㤳㥡挶㌹㠰㠱昲㔸愵捤㝤㌴摥㠵扥㍣晡㤴㠱㍣㠲捦㡦挶挳攸搹㠴㥥捥㥦㍡ㄴ㘹㍡戸换昲て〲捣昷愰㈹㑥〰㔰㐱攵挴挳挰㈳〵㈸ㄶ㠴昷戲て㠲㘰攱愹㄰搵愱㑢攷㝡昶㔶搱慢〲挹昷㜱㤸㤶㘱攵㑡愵搷㌱㘲㝥㈰ㄹ收敢〴昵㍡㤹㔵㉣攲〰㘴ㄱ搴㌵攳㐳〰慢搲㕤㥣挱㌴搲扥㤳㜶捤㘳ㄶ愹搷㔹㡡搴敤㉣㐵㉡㜲㤶㈲㤵㌹换㈰昵昸慢㐳㌴㙡㝦摥捣昸〸㐰㈷㠱㍥㡡㥥㤵〴㌲㍥㠶敥㉥敡ㄶ㘹㍥戸㡢晡搹㠴昹㜱搶〶〱〴戵㤴㐲敤㈷㔱攱〴晥ㄷ愹慡ㄴ摢㍥㡡ち搸戶愹愴㐴〳㙤㌵扤搹㤳攲㜴㙡ち㌵晤㔳㙡扡㑥㘶扦㘳昵愴㙡ㅢ搷つ㐳愵㜵㝣㜱摦㡢㉦攸㑢摣㌴つ㙦㑤㔷扣㤸㐹摤扥扥扤㘸㌰㈸㐴晣搷㑦㠳扥慦㘰ㅦ㕥㝡㔹㥦㜰挷㉢昱㙦㝥ㅡ㐰扣〷愰挰搶㜶㠲ㅢ〸㑡〰挲挶㉢㝢㝥㔹㤱挹挰㡡㉦㉢敦攵㌲慥㝦っ愰㐹つ愱㘴㠰扤㑤㡥攴㤴㈲戹㕥㈱晤昳愸ㄴ搲㠲㌴敤㜵㡡〷㔷㍢挵〳挹㐰昷㈷㡢㈲㔹㐱敤晣㘵㔴捣慦㄰㍣〱㤰ㄳ攴〶搲㔶摣㡢愵㐴攸㈶㌴戲愹戴㑥扡扦㜹㜵㈲挵攱搶昲捦㐷挸㜹扡㑤挳搰㙦挷扦摥㈰愹㔴昲摡㔵㕡㌵㡦挸㉢挰て㌸愶㤰㔳㐰扣㠵ㅦ㌳㈵㍡〸戹〶㝡挰㑤摦摥㔴㉤㐵㘷㝢㍡㠰戳摦㘷㑦㠶挸㕣搴戲昸㉡ㅡ攱〷㌵摥㐶㜰㜰㘰攷㌲㘴㘹㤰㤴摦ㅢ㔲㍤㑤っ㙤㐷㜷㉣搰㤶㥥㔹挶㐷㌳㐵㤷㘲挰戶㍥昷挶㜸ㄲ㉦㕢晥捥愶㙣㕡㤸ㄲ挷㐱㔱愵〶晦㜹攳愵㑡㙤㈲㈸搴捣愷㌱搷昸㉡て㡦㡦㠷㐲摤〳ㄱ㠲昹㌵昴挴㥥㌴〵㐱搳㈹〹摤ㄷ愳挱㥦攰㡡慥摦㈰昴昷昳戶㑦敤昹挷㕤て摦昵攱搱㈲㤹㕤昱摢㌷㔰㌱㥦㈱昸㈶㐰㑥㤰戳挹㕡挶户〰㔶㥥昷㘰捦昳㝥ㅢ㜳㤵㄰挶㘷挵㍥收㜷搸愵攴㔵㥤㔵㤰慦ㄵㅦ㑦㈶㝣㝣㈷㍡戲㈹㐳㤰搷搵挰晥㘴㠰㥥㝥ㄶㄱ㌴昹㕦つ散㑢〶昶愰挳晣〱㠰㑥晣㕣㌰攱㈸戹敢㜴搹㝥㠸愵㠲㔸㔷ち攲㐷㐹㠵つ㐱扣愹搳㤵扢敥㐳㕣慡㠱戱慥晢㄰扦㙡㘰戴晤㍥㍦㐶慦㈰晥㜸㈷昳㈷㙣ㄱ㜵敡㠵㍦㑤㉡㙣っ昲攲㜴㙤㔲㡢愲㝡愲㜶攲挴ぢ㠳㤹愱换㌲昷摣㤵晦捣㥦㝥昵攷㐷㝦㜷晦敥扦扦昸搸㘳扦晢敢愳捦扤昸愳戹摤扦昸搲㤷㝥昶戶㉦㍣昷攷捤昶ㄷ㔳摦㝤㘱敡㡢攷㐶㑥㥦㝢挸㍥晡收㝤攷敥㍤㜵㜸攴搰愶攱㜴扡慦敦扡㉤扦摣㜶㝤昱摤て㝤㕦晣攴て慦昵㠴扡㉣㕥㘰㍥ぢ挰㐲㉥㉡昲搲㡡㔱㝥㠶㑡㈱㍤昸㘳㍣㕥搵㘳㈸ㄴ攰㈵㉤捤㡢扡㔶㈴㉡搴㌱㝥㡥ち慣㈳捦挸㜶㈱㈳㜸㌰㠵搷摢ㄲ扣㡥愱㈳㡢㤸㥡㔳搵挰慥捥㠱晥晦〳㥣搸挶慥</t>
  </si>
  <si>
    <t>㜸〱捤㕢ぢ㜴㕣挵㜹摥㔹㘹㔷㍢㉢挹㕡㍦㜸ㄹ㘳〴戱戱戱㠵搰搳㤲つ慡㈵㑢㤶㉤戰晣㤲㌰㈹〷㄰㔷摡扢搶攲㝤㠸扤㉢㕢愲愵㄰ち㈹㡦㐰㐸㐲㐳㥡昰㙣攱昴㤱〴㈸つ㠱㌴〷㥣挳㈱㠱戶㔰㐲搳㥣㥣搳戴㍣㐳㈰〵ち㌴慦ㄶ㐲摣敦晢敦扤搲摤摤扢㤲敤搰㜳ㄸ晢晥晢捦㍦晦晣㌳晦㍦㜳㘷晥㝦收㉡愰〲㠱挰㈱㈴晥㌲㔵ㄲ㔹㌶㌴㙤攵捤㜴㘳㙦㌶㤵㌲挷昲挹㙣挶㙡散挹攵㡣改㙤㐹㉢㕦〱㠶昰㐸ㄲ攵㔶㘸挴㑡㕥㙥㐶㐶昶㥢㌹ぢ㑣愱㐰㈰ㄲ搱㐱㤴㔷㌹㑦捣捤㘸搶搲㤵〴攰ち攸㌰〱戹㜴㠴㐰〳搴㐴〱㠶㝢㌷敤ㄸ扤ㄴ㙤づ攵戳㌹戳愱㝥㡦㉤戹慢戹戹戱戹戱慤愳㜹㕤㘳㔳㐳㝤敦㘴㉡㍦㤹㌳扢㌲收㘴㍥㘷愴ㅡ敡㜷㑥㡥愶㤲㘳攷㥡搳挳搹㝤㘶愶换ㅣ㙤㙡ㅤ㌵摡㍡㥢摢摡摢ㄳ敢搷㜷搶㔴㐳昲昶摥㑤㍢㜳㘶挲晡愸㘴搶㔰收㡥摥㑤㡤摢捤晣㐷㈵戳ㄶ㌲㈱戲㉦㥢㌶㤲㤹㡦㐸㘸㠸㤶㙦敦㌳挷㤲ㅣ㈲搳捣㈵㌳㝢ㅢ搱敤〲㐳㈳搷搱搸㘳㔹㤳改〹㡥㜶慦㤹㑡敤㌶ㄳ㌲㌴改㍥㉢扦搳挸愵慤㥡㌴敤㘷收捣捣㤸㘹㉤㐸㙦㥥ㅡ㌳㔳づ愳ㄵ㐹敦㌱㜲摢㡤戴㔹㐹愴㉥㙤㡦攱㐰摣捣攴㤳昹改摡昴㜹㤶戹摢挸散㌵挹ㄲ㑡㙦㤹㑣挶㔵㘵㈵晥〷㉡㔶昹昵㑣〶ち晤㐹昷㡥ㅢ戹扣攴㌸㠴捤㝥扣㥥改㈲㕡ㄴ昴㡢㔳慡扥愸ㄶ挷㙣㈸㤹㍥搷捣㘵捣ㄴㅢ攱㐸慥㉤㘲ㄲ〳搹攳㌰㘳愹ㄹ㜵挰慦慡㥤㔷㠴扡戰㤵昰〲㠰慤挳戹㈴搴㥣㑣ㄹ戹㠶挱㘴愶慢慤愹㙤㍤㔲㈳㥥㈶㈲敢㍢ㅡ戶㈵昷㤹愹愴㘹攵扢摡愴㑣ちㅢ〶㡤愹慥戶昵㉥㜳攷㝡㕤〷㘹㍡㐶戹ぢ〱㙡〷㤳ㄶ慣㥤㌲㌲㘶㜶搲搲㡢㔸戸ㄸ㐰㔵扥㠵㔷搷摢ㄵ㥡㈹㌸㘲〴㐷㐶㠳㈳㘳挱㤱㜸㜰挴っ㡥㈴㠲㈳㝢㠳㈳攳挱㤱㘴㜰攴搲攰挸㍥昰戸㈹㔲㔵ㄵ㜴搲改挷㘴㙥㕢㜶摢晤摢慦㝢扣慢昶捤㤶㡢昶㉡扥慤昲戲ㅦ〳㘴㜵㤱㙡慤㥤〵扡戴㌶搹㍡㜴戴敡㘳挱慤㡦〳〸ㅦて戰戰㍦㘹㡤愷㑤㈳㔵晦挴㈳昵㍢㜳挹㌱㔳㥦㐰㠶愵〰㑡扤㠶敥㔳㠵慡敢ㄷ㑦摥㝡㕡晦㤶㥢晦㝥散攷㤷㝣㜲昳昳㡡㡢㠴戴扤っ㐸㠹㔹㘷㉣搷搹㉣㘶㙤昵㥡㔵㈸㌴㙢愷㜴愹㝤㠶戹愳㔳㥦挴愶㤷〳㠴㑦㈶㌶㘸攴昱㍥ㄸ㈹㑢搷㌳㝢ち㠰㔲㉦㌸㝤㕡昳捣敥慥昶㉦晤搵㌹㡦っ户㍥晤昰挱ㅢ㑦㔵㕣戳愴㑦㥦〰戲㙣㝢㌶㤷挶摡㌳㘸ㅡ㤹慥愶挶收㤶㠶愱㝣扣捦摣て扣愹㐵慦愰戸㤵〰攱搳〰㘲摢戲㐶㠶晡て㘴搰ㅥ挶㕥慦㘲昹㙡〰愵㝥攴㌴㜷挱㙢㍦㜸晢㠶㡢晢㝡㍦昷挵ㄵぢ捦㝥攳㠱㔱挵搵㔱㥡㕢〳愴慤挸晣ㅤ㙤㉤敤㑤㑤㑤ㅥ扤㍢㠵㘰て挳晡愶づ㤶敡戵㙣愶〱㈰㝣〶挱㌶㘳㌴㍢㤹搳㡤愴㥥〹愰搴昷㥤挶敦㕢扥敦收㤷晥戹㙥敢愳㝦戹㜶摢ぢ㡦慤㔹慦昸敡㑢攳捤㐰㥡㡡ㅡ㙦㔹搷搸搱搱敥㘹扢㘵㝤㈳昲㥣挴慤㉤㡤ㅤ㉤敤扡㠵㑤戴〲㠴摢〰㤶昴ㅡ㤹㡣ㄹ慦捦㑦㘶㡣搹㘹搰㑥㥥㜵〰㑡晤㠳搳㡤㙢戳㜵㉢敥扢㜳晢㡥㕢㉥扢攲攵攸昹㑢㤷㉡敥ぢ搲㡤㑥㈰攷ㄵ㜷愳㜹ㅤ㤴㙣㠲挱㥢㥡㍢㠹戴㜹扢搴㐶㡡ㄴ戶〸搲㈶晤㙢㔹㘷搳㔱愷㐵攸㙤㝡㍤晢戱〱㈰㝣ㄶ㐰㘵晦愴㤹搲㘷㤳搶〵愰搴ㄳ㑥摦扥㜵攵戵愳晢ㅦ晡敥挰㙤㍢㕡㙦㝡㉥扡收挶㥡㡤㈸摥攵慣〲㝤㌹攳〰搶搵搹㈵扢愵ㄱ摤㍡㥣扤ち㕢㔵愲㍤搱㤱㘸㙥㡥户㌷ㄹ慤㐶㠸㙦晥攱㉥㡡㕣㈰㙡ㄲ攷㈷㌳昱散〱㔹㈵㤷㙤㌲㉣㜳㜶搱㕣敢㤴㙤捡㑥㘶攲搶㠹晥㠵㐳㜹扣〵㑢㡢换㘶㠵㤴㔴ㅢ挲㍢㘳㕡搲摥昲攲㙡㝢㡣搴愴搹㌳㤵戴㡢㑦㉡㉡挶づ㤲ㅤ㉤㕦摡㥦㌳㉦㥢㈹㉤改㔱てㅣ㤱晤㈲扢㐴㑢扢挸敥㔷㝤敦㜸搶㌲㌳搲扤戵改㥤挹戱㝤㘶㙥挸愴ㅢ㘳挶㐵搵㘳㔸攴㙣㘳㙢㜷㘴愰㈸㌶愶昸愹㕥㙡㘲昳㔴摥捣挴捤㌸晡㍢㘱收昲搳挳挶㘸捡㍣戶㠰挵㙥ㄳ〵㈷ㄴ㤰晢戳㘳㤳㔶㙦㌶㤳捦㘵㔳㠵㈵㍤昱晤〶戶捥昸㘰㌶㙥㘲攷慢㘴ち愸㐰㐵㠵㔲㠱㌵㝥摢て攵㕡㡤㌲㄰㥥㈱收ち㝦㝣攱戴㙢摣つ敤愰㐵捡攴㥣っ慥㤸㐷㤸挸愵㤸搳换㌳㝡㜴愲捦㐷敥搵攵戹愵㡦㌳㈳昷晦换ㅣっ㉥㜶戴摦扣ㅦ敥挵㔶㈳ㄳ㑦㤹戹㌹㍤㔶挵ㅥ改㙥㠰搰㐱扣捤㘵慤挷つ㑦㑤愹改搰㠱㘴㍣㍦ㅥㅥ㌷㤳㝢挷昳愰挱慢㡤㐴㘸摡㤲愴㌷㠱愴㝢〹晡〰愲搱㐰㜸㌳㤹挲㔱摤㙦攷㐳㝣㐷㡦摣㜱愱摦慣挵㔱㠲㔷㙢㠵搲晤搹㥣㔵㔱攱愷攵㔶挳ㅡ捦㜳㝡捥㔹㐸ㄷ㐵㙦㈱搸ち㄰愲〷㌱慦㕦挴㤵愸㤲敥㕦㙤扡捦㑣ㄸ㜰扡攵敤㔶㐶㈸㙤晢㜱㝤愶㌵愶改昰つ攰㕤㤹ち〳挳换㕦㤳收散㌷愷昲㝤㐶摥愸㑡挳㜵挴㈸㘹㌰慤㤵㕡㌶挶㥡戵㐲㜳㙢㐷㥤ㅣ㈴挴〴昵㐸愹ㄶ㠲㉤〹㉦づ摥㤷㐰㠵〳攷㔶〲㝤愷㜳ㄷ㉥㥥攸㠵㉥㈰㍣搳昸ㄶ㌳㌳㍣㍤㘱㕡㘴㡦㠴攷㌴㘵昱敢㐵㘱㍢挶㐶捦换㈷㔳㔶㈳㝡扡㈵㤷㥤㥣昸㈸攵㔰㤶ㅥ〰㜰㔳攸㥢㤸挵㠷慦ㄳ㈳扡慡晤ㅣ㥢㤱㤱㐰㠴搲㐸搱㜴㉣㌵㘷㉢㠴ㅤ挲㡦㈴㍤㠸㥦攸㕣㘵㈱㍡㥥㐷攲㉥搳㤵慢㐹挳㐲挳㌹㔳〲㠰㠸㘴㘰敤摡昴昹搹摣扥搱㙣㜶ㅦ攷搳〲挹㔹攳愶㤹愷㔳㕤敤〴ㄱㄲ㉣㈸㔵㔱㔱攰收㝡扣㙦〶㑤攱㕤〰戵㍤愹㔴扤㉢搱ち敦〶愹〲敥㝤㜸〸㠸摥㍤㌴㜰㙥攳㔴捡㥡㔲㕦㠳扡昴㌹敦晤挹㔵ㅤ摦㝡㜲㜸摢摦摤昲搵昱慡愷㕦扤㔵㝤搵㈹㈸㜱㠴改搱㡡㐳扥〷㠸晡㙢戰ㅤ挴〳扣㌰改㑦㈲慦㝦㥦攰〲〰㉣〶㘲㕥慣〵ㄷ摡㔹㐵慦㤸敢㠱扥㠸攰㘲〰㐵㘷㔸晣昹ㄱ㈰㙥㔲㜷㐳㍥〷㔹〶㡡㙥㜴改㐰㡤㠱ㅡ搵㜳㤴㈹扡搸ㅣ㉣㑤攳㘸㥡㐳搳ㄴ敡㡢㄰散㙢㠰㍦㜵ち㑡扣㜱扡捤㘲㠰ㄴ敢㝦〱㙣〷昱〰㉦㑣㍡㠳扣捥ㄲ㑣〰㜸っ㤰戳戳㡡慥户ㄸ挰㈲ㄳ搷㔶㔵て㈰〶㤸〴攲㈶㜵〳攴捦ㄸ攰㘴㤰㑢つ㌰つ㙡㔴捦㔱愶㑥〱㠷㥦〱慥㠲㜰㕦〳㕣改ㄴ㤴戸晥昴攷挵〰㔷〳㔱㔷㠰敤㈰ㅥ攰㠵㐹㕦㠳扣扥㤶攰搳〰ㅥ〳㕣㘷㘷搵㑡晣㡡〱慥㈷搳つ〰㡡戱㠰ㄸ攰㐶㈰㙥㔲㜹挸㥦㌱〰㠳㠸㔲〳㝣ㄶ搴愸㥥愳㑣㌱挲昰㌳挰愵㄰敥㙢㠰愴㔳㔰ㄲ㡣慣㠵㈴㌱挰㤷㠰愸扤㘰㍢㠸〷㜸㘱搲㕦㐶㕥㝦㠵攰㜶〰㡦〱敥戴戳慡〱扦㘲㠰扢挸㜴㌷㠰㘲㍣㈲〶戸〷㠸㥢搴挵㤰㍦㘳〰㠶㉦愵〶戸て搴愸㥥愳㑣㥤〹づ㍦〳っ㐳戸慦〱㠶㥣㠲㤲㠰愸〵㤲挴〰昷〳㔱扢挰㜶㄰て昰挲愴ㅦ㐴㕥晦㉤挱㐳〰ㅥ〳㝣挳捥慡㔶晣㡡〱ㅥ㈶搳㌷〱ㄴ㈳㈱㌱挰㈳㐰摣愴戶㐲晥㡣〱ㄸ㐶㤵ㅡ攰摢愰㐶昵ㅣ㘵㡡昱㤵㥦〱㝥て挲㝤つ搰攵ㄴ㤴㠴㘲っ㤳挴〰㑦〲㔱㘷㠱敤㈰ㅥ攰㠵㐹㝦て㜹晤ㄴ挱搳〰ㅥ〳晣愳㥤㔵っ戵挴〰晦㐴愶㘷〰ㄴ挳㉤㌱挰戳㐰摣愴㕡㈰㝦挶〰㡣捤㑡つ昰㍣愸㔱㍤㐷㤹㘲㄰攷㘷㠰搵㄰敥㙢㠰㔵㑥㐱㜱扣ㄷ敡㠶愴㈳昴搳㜵㘲㑦搲㍣㐰挷㘲㐱〲㐷㘰扤㤳㔶㍥㉢㕥㔰㙤愲㉦扢㍤㥢敦㑢㕡ㄳ㈹㘳㝡㜱挲㐱捥ㅦ㌷㌳㠸㔱㜲〸㔵㡡㘸搹㠹〹㌳慥ㄳ㐳㠸摦挷捣㠱扥㡦㐳っ〳㜳㘰攸㈴㝣〹㉡愴愳㜳换ㄱ㘱㉢捣ㄲ愴㐰㠸捥㜴戱㜷㈵〷㜱㥥㐸㐸㔰㑥㥦扡㔹㡢づ㈷昳㈹戳㍡㈱㔱㠸攰㤱〴慣㠸挰㉦㕥㤵ㄸㅥ㠷搷搱㔷㥢搸㤲㑢挶㔳挹㡣挹挱㔸㘲戳㙥㌳昷㈲挸摢㤹戵㤲㍣昳慣㑤っ攷㡣㡣㌵㐱㝦㜵㙣㝡㔱㐱㑥ㅣ摢㔰㘲㔳㌲㘳愱ㄹㄹ㐵攲㜵㠹愱昱散〱ㅣ㤲㑦愶㌳㕢㡣〹敢㘳㌱㉡㜴ㄹ散㈴㐳愳㠲㉡ㄸ㔴㤱㘰攴㘸挷㈷晣㙦㤰㜶摣散搱㑢㍤收㙡㍥㤷ㅣ㥤愴搱愴㈱㉥㡤㤵〴㌲㡥㠱㄰挳愱㘲敦搴㌳㡣㐵愱㈵晢㕢㜰戴散ㅢ攵捣摣㍥㔴㠳㕤晦㤸㜵晥ㅤ攰㥣㉤攷つ捣ㅥ扡晣㑥㤷〴㈱〶㜰㠷ㅤ攳ㅥ〳收〵昶㌴㘲摣换㔹㠵户ㄳ戳㠱戹攲愹ㄹ㑤〸て㘷改㠲㔹戴ㅦ㘱㔲㑤〲㘷㜲㘶ち搱㕤摡挸㉦戰㌳っ戳㜱戲㘸㌹㘵扤搹㜴摡攰戴攳㔱昸搰㤸㤱㌲㈳㠹㥥挹㝣ㄶ攷换㍡〱㈰㜳搳㈱ㄹ㔳㈰ㄹ㔳㜶ㅣ㤶搸捤㔳ㅦ挱㈹㉢扢搷挸㈵昳攳改攴㔸㠴ㄹ㥥捣㝣㉣收㉢搶㤰㑡ㄸ搳㑤敥㝡㔲ㅣ搸搹攱ㄵ㠶扢ㄱ㘷㈱㌴ㅤ㠷ㅦ戳㍡愸挲昸愷㡥昲㔰〰慢㡦㙣㉡晡〵㐸ぢ㌱攸收㜲㈴改㕤昷㑡散摤㉢㐱㤱〵㑡昵㤳〱㡦㝥搱㐱㤸愹㘴㔸㍤㘷挴㔸〵㠶㈸捥㠰攳晤挶ㄸ慥戵慡㥣㑢慤〸㠶㤶换㑤㉥挶ㄸ扥ㄷ挷㐲㌸㙥摡㥦㡣㥢戹〸〹㐳戸㕡慢㘴昴ㅦ戶挷㄰搱㑣㐵㈰ㄴ慡㡥昸戵㌵攰捡㕡攱㐴㐶摥慢扢㠱ㄲ昹㙦敤敡摣㠸㑥㐱慤ち㐰晤ㄲ挱换〰㡡愷〳搴愷㠸攱ㄵ㌲扣ち㄰㘲ㅣ㕡㍣㌶㠵攱㌴㠲㙥ㅥ摢㔶捡㜵㄰〳晤〸㠲㘲㌹㈱〸㠹㈲搵㥥挸㍥㙣〷昵ㄱ昷㡥㈹㍣㠴㔹㙥挶愳昶ㅡ换ㄳ〴づ㐷㌰㔸㠹愱づㄷ㥦㡡㤶㌴ぢ㘱改㈱㔳㐲㝥㔵㠳㉥㠴㝦〲㜰ㅡ㕦ㄶ挸ㅦ㔹㍤㌰㜰扡㠴㠷㌸愸慤ㅦ㌳㈶㤲㜹晢㔲愲扥㌷㙢攵慤ㄲ摦㈲ㅡ搵㍦㐵昵㐰㔴つ〲扡㌶攱捥ㄳ㡤㜲㐰昵敢〴㙦〰㈸㠶㠵摤㜸㍣㝢㤹㘲㉣挸晤㉣㄰晥ㄹ挰㤱慣㥦㡡ㄱ㈴搷㔰晤㥦〰敡〲〰㉥㑤㌳㔳昵㉤攰昳㑦搵ぢ㔹〳㡦㝥摢㐱㤸㔱㡣㍢㕤㔵㠰扡攳晦㕦㐰昵㍢〰㡡㌱愹て挳扢㘴㜸㡦っ㈳〰㥣〳攱晦〶㌸挱戵㙤改㈵捦㘶ㄴ挳㤳㥡㜱㄰㘱捥㕦㠰〴㜳㡥〱扡㑤搰愱㜴捣昹㑢愰晡㔷〰㉡〵搰㡤挷㙢㑥敥㌴戶㌹㝦つ散㠸捣㤹㐵〵㌱攷晦㔰攴〴㐰㠱㌹摦〷㘱㝥㜳收㔸ㄷ㡦晥挰㐱挴㥣ㄶ㌲慥㉡㐰㕤㜳晥〶愸晥㄰㐰攵〱㝣ㄸ㝥㑢〶㥡㐶㑤〲㠸㌹㈹㝤挶㥣㝢㑣换㌲㔳ㄶ敦㑡捡捦捥㈰扢㄰㔵っ㠳摤㈶㍣戳戳〲愵㥡㤷昹敡㙡㌰㜴攳昱㥡昳ㅡ㘴㙤㜳㠶挰戲搸扥换㥡㜷㘷㔷㡣㙣挵㤴㘱ち晥㌴㜲〵愶㡣㠰㍡扦㈹慦㘳㔷昰㘸㑤㈱㑥㐶㕤て挴㔵〳愸㙢捡㈸ㄸ㜴㌵ㄹㄹ㉢晢㌰搴㤰愱㤶っっ㥦挵㤴ぢ㤰㍢摥㥤㤹㈵㔷㙦㍥ㄳ㌳㠶ち戰攴㘷㍤㉤㜸㉣戹㤰㉤㉣㘲ぢ㡣㝤扢昱㜸㉤昹㘵㘴㙤㑢㉥〶换ㄱ㑤捣慦愰慡㔸㜳〹㠵摦㡥㕣㠱㌵㡦〵㜵㝥㙢㌲慥〶㈳㙥㕣㈹挴挹愸扢㠰昸ㄸ敢㜸㌰攸ㄳ挸㜸户㍦挳㔲㌲㥣㐸㠶㝢挰㈰搶㕣㠶摣㉡搷㥡慢戱㠴昶㈷愷㜰㤷㌷㤰搹㡦㡢捣㌴捥㜶攷㤹愶换㔱ㅦ挶㘵慣敥昶挸昳搶㥦㡣㔲㕤て愰敥〷㐳㌷ㅥ慦㜱ㅦ㐴搶㌶敥㈹㘰㌹㈲攳㌲〴ㄷ攳㥥㑡攱て㈱㔷㘰摣ㄵ愰捥㙦摣㙦戰㍢㜸昴㑡ち㜱㌲敡㘱㈰慥㉡㐰摤愹㝡ㅡㄸ昴㉡㌲㌲愸昷㘱㔸㑤㠶搳挹挰㌸㕦㡣扢〶戹㘵慥㜱㝤㙦㐹㝤愶㙢〳㉡挱愲摦昶戴攲戱攸ㄹ㙣愵㤱慤㍣〹㠶㙥㍣㕥㡢㌲㍡户㉤㝡㈶㔸㡥挸愲㑦愱慡㔸戴㠹挲ㄹ摣ㄷ㔸戴〵搴昹㉤捡㐳〰㌰攲㜲㤸㐲㥣㡣攲㐹㠰㡦挱摡挰愰摢挹挸㔳〲ㅦ㠶㜵㘴攸㈰〳てづ挴愲㥤挸㥤敥㕡㜴搳㘴㌲ㄵ攷㜶㡦ㄳ晥㝡㌸㕦挹ㄴ㐲㍤㜳㥥〹扢〱ㄲ㘰㕥ㅥ㉤戸㑤㝡捣㝢ㄶ㥢㍣㥢㑤㌲〸㈱慢敥㘲づ㐸〵㥥㄰ㅤ挹㘲晦愸挴㜷慤〴㔳㌴㐱㉦㜶㈸㍦㥤㐲攴㐰㤴晥㤲㡤搱昳戳㡢攱挵㘵㜳㔸挵㉢㡢敦慣㘶敡㙥㠴愸敡㈵㐵昷㠱㔲㡤㈵㜴㤲㐳㑦晣戶昴捥㙢愶㍥㍢㍥㝢㌹挰㍡㑣攱㡤愰㉦ㄹ㑣㡥攵戲㔶㌶㤱慦ㅦ㐲㘴㕣捦晢搵〴扥〶攸〹㝤〷ㄲ㝤摢愴㘲㤵ㄹ㝥攴戳㥦昷つ搱㝤㤹散㠱㡣昴㈶㘴昱㥡㤹慤改慡㉡㌶ㄳ挵㈳改ㄳ㌰㕥散㐵愰慣慣㝢挰㔲㕢ㄱ㝢㐹㡡㜰㔰昴戲㡢扣攲㈲慦㍡㐸㠸敥搹攱晡㠴㤴慤㐶搵㤸㡡㉢戳戲慡㑡慤㉣扡捣㉣昱㈵㘷㙥㠳挲㘱扡㤲愱挷愱昲攱㔵愲㡥戳ㄶ㘵攵㈰ㅥ摤ぢ扡敥〳㠸挶㕥㐷㥥ㅤち㙦㐶㜶㔱敦愶ㄱ摣㔲戸昷ㄶ㥣〵攱㝥搰㙢㐰ㄷ㝦ㄹㅦ㘲㔹攱㉤愰㉣〰挵ㄳ㍣㠷户㠲戶㄰戴挲㡦慤㘲㜴㐹挵㤴㐳㙣㤶ㅢ㤹晤㌵搱㌶戰㉢㜱㈹㐹ㅡ㘴づ〸㈷慤㝡ぢ㠰ㄳ㔷㍤〴㉤㌹㕤㠰〷㌴攷〰㠷㕢㍤〸ち㠷扣㜰挸攸㔸㑡㍢扢挰㠷㈱愳ㄳ挹ㄴ㝢挷晥つ挴摥㜵ㄱ㝡㡥㑣㡡㉥㈰㠷㑤摤て㜱㌴愹㤸㘶〸〲昴㌰㐰㌴㐶㉦㔰㠴搲㌴㥡㜶搰㔴㕤㔳搷ㄸ扤挳㔹捤㡥㐳捥晥搸攸㐲ㄴ㉡昱敥㐸扡㠸㌹㈰愲ㄹ扤㍢搱散捦搱㔸愹㘶㜷㠳㕡慡ㄹ㝤㍣㘹挷㠰ㅣ㘸㐶㝦㡥㈹㐶㥦㡥㈹昶㕢晢㌷㄰ㄳ㑢㈱㠳㌸搴搱散㑥慦㘶㘳愰敡㌸㐰㌴㐶㠷慣慣㘶㜸挵㍤㥡㉤㠷㐰晢㔳愵ㄴ攸〸㙦㙤㠵㜴摡㐱㐴㌳㍡㕢愲搹攷㝤㌵扢挵㔷㌳扡㕣搲㠹换㠰㐰㌳扡㔷㑣㌱扡㔸㠲搰㥦ㄲ㠴㍥ㄵ㤳愲㜷㈴㘳㜶戳愳ㄹ㥢搷ㄶ愸㍡て㄰㡤搱㐱㉡慢ㄹㅤ㈷㈹㤴搹戸㤲㔵㔷㄰晣㈱攸㑡ㅣㅦ收慥㘰づ㠸㘸㐶挷㐷㌴扢摡㔷戳慢㝣㌵愳晢㈳敤㝣ち〸㌴愳慢挳ㄴ愳扢㈳〸㝤ㅢ㐱攸摦㌰㈹扡㈶愲搹ㅦ㌹㥡挹㙣晣㘳㔰昵㌵〰搱ㄸ扤㤳戲㥡搵扢㠵愲㔹〳〴摡摦㕢㝤〶㜴㈵㕥〷㐹㌷㌱〷㐴㌴㕢〱㑣㌴换昹㙡㌶攱慢ㄹ㝤て改挴攷㠰㐰㌳晡ㄹ㑣㌱晡ㅡ㠲搰戱㄰㠴捥〵㤳㙡〰㈲㥡㘵扣㥡㝤〱㔴㝤㉢㐰㌴㜶〶㘰㔹捤攸㍤㐸愱㘸搶ち㠱昶〷㕤户㠳慥㘴昷㈷改づ收㠰㠸㘶摣晤㐵戳㔱㕦捤㉥昱搵㡣㍥㠰戴㜳て㄰㘸搶㐶㜱㐸㌱敥昹㠲㜰㠳ㄷ㠴㥢㍣㤳攲敥㉣㥡㕤散搵散㉦㐰搵昷〲㐴㘳摣愰换㙡挶㡤㝢㔶戳つ㄰㘸㝦晥昵㌵搰㘳摣挷愵昰敢㐰㙡㉢㐲摣㡡捥㉡摡㈷晣捦㌱搷ㄶ㝦㉦戴ㄹ摦晦㑣㜳㌶㔵攰〰挷㍥昶愸っ㙥㌸㍡㔹摣㠹㜸敡挹㈷戴ㅢ㕡晦づ㜲愰㤱㘷㙦愲挴㤳昱攸〷㐰慦敢〵〸㈳挷挷㤳摥摤攸㘴扡敤摦㠸昳ㅢ㜳㝥㤷㜴搷昵戹㌵㉦㔲愷㝣扥㈷昴搲㤵㜷扤昷㌷㘷慤扣攳㠱㐳捥敦㤵摤㔷扦㜲㘸搵㑦户昷㍣㜴挷㍢㠷晥㘴捤慥㥥扥昷摦㍥昴挱换扢㝢搴㌶搴㕣っ戹挵㔷搴㠳㔰搳昷㜶㘶㥢㔳㔰㝣㐷ㅦㅢ㠴㈴ㄹ扣㠷㠱搴㔶㈸㙥㑡ㅣ㐰㜵づ㙡搰㙡愲攸㈳愰搴㜱扢㌹㍡㐵㠷摤㥡攵ㄴㄵㄳ㌵㑤搹愶㜹改㜲晢昷㤶㉢扡ㄵ户㈸㍦㐵㌷㤷㔳戴捦㈹㈸扥㡢㡦㜱㝢ㄳ㐵ㅦ〳〲㐵つ晣㠸愲㥢扣㡡ㅥ〴戵㙥っ攰攸ㄴ㡤扢㌵换㈹捡ㄱ攵㐸挶捦㝡昱搰㜳㡢㠶㝡慥晢挵㡦てㅤ昷挱㜰㡦㑡愱愶㥦愲㕤攵ㄴ㍤摢㈹㈸扥㜳㡦愵㈱㐹ㄴ晤㉥㄰㈸捡㉤㑢ㄴ摤攰㔵昴㈹㔰敢戸ㄹ㠵㘰晢挳㥥扡㜵㜹户㐶㌹〵ㅦ㕤㝥敤㥢扢ㅥ㝤㝣攳ㅦ㉣戹㝦换换㤷摦扡㔱㜱挳昲㔳慣扤㥣㘲㙤㑥㐱昱㕤㝡散ち㐸ㄲ挵㥥〵〲挵㍥㠵ㅦ㔱慣挵慢搸㜳愰搶㜱㉦㍡扡ㄱ扣挶慤㔹㑥㐱㑥搵昷㜷㕦搸挳摦㝢愷㐶攴㜷搵づ愳㐷㝤〶㌵晤ㄴ㍤愳㥣愲つ㑥㐱昱㥤㜹散㈶㐸ㄲ㐵㝦〸〴㡡㜲〳ㄳ㐵搷㜸ㄵ晤ㄱ愸㜵摣㥡㡥㑥㔱敥㘷㔲戳㥣愲〹愶敦㙤攸愶愲㠱敦㜴㜵㍦晢っ搲㠵摤摤㡡摢㤹㥦愲㉢换㈹扡挲㈹㈸扥ㅢ㡦摤〱㐹愲攸㝦〰㠱愲昷攰㐷ㄴ㍤搵慢攸㡢愰搶㜱愷㍡㍡㐵戹扤捤愹攸㘵㈳㔵㠱㠹㍦换昷慣㙥㡥〴㉥㜹㜵㝦捦㡢㐱ㅤ搸㜹挶㜴㡦攲敥收愷攸㐹攵ㄴ㕤收ㄴ㤴摣㠱㝦ㅤ㤲收扢〳昷㝣ㅥ捣戸㌹㤴㘰㐸㔳㥤戰挹摣捣㄰摡㈶㔳㈹㠹ち㙢㜰㕤㤵挳〷扡摢㜰㌳㡢㑢㉡晣㔹㠶ㄳ捣攰挶㤶愷晦敥㠵㠸㤶ㅣ㉢㠷ㄳ㍢㜲戸㈱愹㑡っ㔸戸㔱㡦㐷昰㠱㘱ㅥㅦ搵㘷㍥づ㜷㔹㠸搳㉢戹改㘳摢攷㐷扤㐱摦㄰㤹摢改ㅣ搷㡣戳昶㜰扦扢つ昲㤶敢攸㉥搷挳慦㘱扣扣㠷㍣㜱捦摤㙤愵㕡㡡㘱戶愳㥦慢〲㠷愴摦〸㔵昵敢㥣㘷㙦〰昰攳㌹昱昰〰愲晡㘷愰搸㜷㘵㍣㤲ち㠴攸㌳ㄴ㉢挸㠳㡢㝥㕡愰攸ぢ摡敡㙡搷㠹㘰㔵挵㉤㥡㌳㈹晣㈶㐰昹敥㉤昱敤摥摢愸愳搹扤搹慥扤㐳ㄲ㝢㈵〰挷㙢挸戳㝢㙥㔲㡦㈱㈳つ扥〷愴㝣㠳ぢ㝣ㅢ晣㌹敡ㄴ㌵昸㑢㤲㍣つ㜲户㉤㘸㤰㕢㤶㌴昸㙢㈰敥昱㝡愱昱㈳扥㡤晤㉦㈵ㄷ㙡昷〱㐹㥥挶戸攳ㄵ㌴昶㉣〸搲搸㠷㐰捡㙢ㄷ昴㙤昰㄰愵ㄷ㌶愸㌰㠲摥〶㥦㉢㙥㤰换戹㌴㔸〱捥昲つ晥收㐳扦改挵㌳挲愲〶慢㡡ㅡ攴㡥㔰愰㈱㤷㔵㘹㤰㝦㕣㔸扥挱㕦昹㌶㔸㕤摡㘰㙤㔱㠳㕣㤹扤つ㠶昸づㅣ昶㑢ち摥挰㘲㉣㘷捥㥦㑡昲㘶㝤㙤㡡㝦㈸改㜷㔱㕢昸㈱㐳ㅤ㍡愲昸㘶㔱㠶收㕦㑢ㄲ㤱攷㙤㐰㜶㐳㉦㈴昵ㅤ㘰㈴敢㐵㕥ㅥ㑥㑤攱㔹㑣㉡㘷愵昰㉣昱昲㜰㐶〹捦㌱愴㜲㌲〹捦戱㕥ㅥ㑥〲攱㌹㡥㔴㡥扦昰ㅣ敦攵攱戸〹捦〹愴㜲挸㠴㘷愹㤷㠷愶ㄶ㥥ㄳ㐹愵㤵㠵㘷㤹㤷㐷㔴愶㈶㈷㠱敡愶ㄸ㔵㤷ㅤ㜴㌹㄰散愰愲㜴〹ㄷ㤵ㄷ慥㝡㥢㑢搴㉥攱愲晡挲㜵慡捤㈵㡡㤷㜰搱〰挲戵挲收ㄲ搵㑢戸㘸〲攱㍡捤收ㄲ攵㑢戸㘸〴攱㕡㙤㜳㠹晡㈵㕣㌴㠳㜰慤ㄱ慥㤸㙢〰㐵㥤挵㕤昸㈱㈶㌰㘳㤵㑤愸ㅢ㔱〱㐵㌵愵攰㕦㡢ち愸㤹ㄴ晣愰愸㠰捡㐸挱扦ㄴㄵ戰晦㔲昰㝣㔱〱扢㉣〵摦㉦㉡㘰㉦愵攰戹挲㠲敡晦〳挹慡攵㙡</t>
  </si>
  <si>
    <t>㜸〱捤㕡㕢㙣ㅣ㔷ㄹ㥥戳扢㌳摥㔹敦摡㥢愴㤴戶㤴搶昴愲㤶扡㔸㜱搲㤰㤴ㄲ㔲㝢ㅤ㈷㙥ㅤ摢㠹㥤戴搰㤶捤㜸昷㑣㍣挹散㡣㍢㌳㥢搸㔰搱㤶〲攵㉡㘸㜹㉡㉡戴慡戸㤵㡡㔶〸㈸〸㡡搴愲ち㔰㈹ㄲ〸㕥㜸㐱〸㠱㄰攲搶挲ぢ㐲㐸攵晢捥捣慥㜷搷㙢㈷㌵㐱昲戱晣捦㝦㉥㜳收㥣晦㝥晥戳㥡搰㌴敤㌵ㄴ㍥㔹㌲㐴㉥㥤㕤づ㈳㔹ㅢ㉡昹慥㉢㉢㤱攳㝢攱搰㐸㄰㔸换㤳㑥ㄸ愵㌱挰㈸㍢攸て昵㜲攸扣㑦㘶换愷㘵㄰㘲㤰慥㘹搹慣㤹㐲㝦攳扦搸㐰㑣扥㘵㘶〰昲ㄸ愵捤㤵㐶愷攷㑦㘲敡搹挸て攴昵〳挷攲〹昶づててつて摤戰㝢昸敤㐳摢慦ㅦ㈸搵摤愸ㅥ挸扤㥥慣㐷㠱攵㕥㍦㌰㔳㥦㜷㥤捡慤㜲㜹捥㍦㈵扤扤㜲㝥晢捥㜹敢㠶㍤挳㌷散摡㘵摦㜸攳㥥扣㠱㤹愷㑡愳㌳㠱戴挳昳㌵㘷て攷㥣㉥㡤づ㑤挹攸㝣捤㤹挵㥣㤸㜲捣慦㔹㡥㜷㥥㈶搵㐹攰㥤㘳戲攲㤰ㄳ㔲〶㡥㜷㘲〸换㙥㈳㌴㙡扢㠷挶㐱昱㡡ㄵ㐶㈵改扡㐷愴捤つ收㙢愴㤹っ愴㔷㤱㘱㕦㙤晦㔲㐵扡㐹㜷㤸慤ㅤ戳㠲㈹慢㈶㌳㐴晡㙢㌱摦㈶慡搲㡢㥣㘸戹㔰㍢ㅡ捡㈳㤶㜷㐲㜲㠸㕥㍢㔰㜷慡㤹㡣挸㘴戴昴㌵摤ㄶ愳㜸㌳㌴ㅥ㔴㑡ぢ㔶㄰愹ㅡ戹㌶摣㙤㙣㡢㠴愸㠵户㉤㡢㔲㌴搰昱ㄶ搹㌴敢搴㙥㤵㠱㈷㕤㝥㠴㝢ㅢ散ㄸ愴㘸ㄲ㤳扥㐹㥣挶㙥挸ㄸ搱㥢〸㍦户挲慦㤸㈶㐱づ挰攸㈵㌶㌵㜳㙣㘰㍦晥㜷㥡㜹㔶ぢ〰㈲昳て愸㔰敢㡢ㅣ㤹㉡㕢愹昲㝣慡㕣㐹㤵慢愹戲㑣㤵敤㔴昹㐴慡扣㤰㉡㍢愹昲挹㔴昹ㄴ挶㌴㑡戶愷㈷㤵㤴㡢摣㍢㝦㔹㝡㘸㜲敡挳捦晥晤搹㔷㕦㤹扢㔷㔰㙢㤴晡昴〳㌱㡢〰挶ㄶ㠰ㅣㄷ㌲㌷愱㔶戲㤵㍤摢〰㠴昸ぢ㔶挲搵㍣㜸㘹㜵㘹昷昴戱搲㘷㡦㍥昱昴㘷扥摡㔳捣扦〱摤㠷㤳扤㡤〵搶ㄹ〸挸㡡散敤ㄸ摡捥扦戳㉢ㅤ㜴捥摥㘵敦戶㠷㠷慢扢戶㕢㍢㉤㥤搴㌹㔷㔶㕦㠰戱㜹晢㌶挷慢晡㘷ㄴ敦昳昶戸攳㐶㌲㔰㤵㝥ㅢ㡦㔸㝥㔵扤㘰敦㕦㠲攲㔷㘲㌱戹挰㉥挹㈰㠲挲㐴换㉢戲㜳改愸ㄵ捡㤵敡㘰㌲昷愸㕦昷慡攱㥢扡㜷捥㐶㔶㈴㉦改散㕢㤹㘴搵㙢戳㔰㈶ㄹ慡㈵㕤搶昹摡㌱换慤换㤱㈵㈷敥㝥㜳㐷㌷搴捡㥦㕦扢㜷㍣㤰㜷㌷㝢㔷慤㘸〴㠶昷戴㥡㝢搵㉥攳慥㜸㕤〳愵〵㍦㤴㥥㕡摥㘰㙤挶愹㥣㤲挱慣愴搹㤶㔵戵搵㌷戰㉢搱敤挱㘹てㅢ㠵戶㔶慦㘸㙤㈵愱愵㔷㤵㔵慣㜷ㄱ㔴㕥㥥戳收㕤㜹㘱摢㤰昸㥢攸戸戸慤㜹摣慦搴挳㤲敦㐵㠱敦戶昷㡣㔴㑦㕢戰㈷搵㐳㝥㔵㘶㔴搱㘲㈸戴㜴㕡〸敤摡㙥㡡挹戹㐳慡㙥㡢㤰搰㐰慣㍦戸㐵㠸㌸戸慢捡㌷㘷〶搲㈲㘴ㅣ晦搶㜵㔷搲㉡㠴ㅣ扤㝤摤搱㕤㠴㤴㉦㕤搴慥㜸㐳㐷挰ㅦ昰挱㤵搴捡搴㔵㙢㑦戹㈲㤷㘷㔹㘹ぢ㔷攸愵㌹㝡ㅤ愲愹㘹㥢戲昷晦ㅤ㥣㑡㙤㑢㜶扦晦㌴扣挶㐱换慢扡㌲㔸㌷挶㄰㕣㤱㜹㈱挱ㅢ〹㉥㈲戸㤸攰ㄲ〰晤て戰㙦㙢㔲㤴收㔲㉣㠹㘵晤㡣㔳㡤ㄶ㡣〵改㥣㔸㠸搰㠶搸㈴㥢㈵戹㔷ㄵ昳㔲㌴㤹㙦㈶戸っ㈰㤷搳㡣换㌹挸挸㤹〳㝣扣〵愰扦攱㌶〷㘲挹捣㘹㍡㕤挲敢㜷㕣㡣㠸㑣攵㈷ㄱ挸㠴㝡つ昳㠶改㜴㌷㙡ㅣ戴挲㠵㠸㡡戸㙥愷㜲㔱㔷㜰搲㉢〱昲㔷〱㑣ㅤ㤴㉥搴昸㝣挵㐰㍡晤摣㔹㝤㉤㕤搰㠵戵搹㘵慦戲㄰昸ㅥ挲挲㌱㉢戲㐶㉡〸㈸㐲㘱ㄹ戵㐹扦㔴㡦㡣摡㐱〷㡦㝣敤㠸㕣㤴㔶㔴㠲㤹㡥ち戵㐹〴㈳捡㡥㑥㔴㤷昴㕡ㅣ㐷㡣挹戰㘲㌲攰㤸㠰㔹㕡㌲㠰挱捥收㙢㌴㌴㜲㈹攲搴㍤戵ㄹぢ〱㑢㘴㘲搰愰㝡㉢挶昸㘶㐱戵㌵摥捥㈵㌵捣㔰㔴㘸换㉣扤慡㈱㥥㐹愳攴挰㠳挲摢㘶ㄲ搸愹㐱㐷㈳挷つ㠷ㄲ昲づ㡤昹〸㐸愵ち㡣㐹㜶挳㠰㠰ㄹ敢㌲慢㔳搱ㄹ戱㑣㔷收攳㘹戱㤴〳㠱㕦㕦㘴搴㜲扥收攱㕣㥡㜹㌵挰㘳慦㝥敤愶慢㍦晦捣㙢挹昳㕥愸㤰㉡愶ち㙡㈸敦慣㜲㌸㡢㜹㉤㐰㙥扤㍥㥤㠱㑦㔷㑢扢㐶㜰㐵㐱捤搷戰摢戹㐰慡㘸㌱慢㉡换㡢戲㔰扢捤て㑥捤晢晥㈹㌲扦㑦搵挲〵㈹㈳㠶㘰扤㐹挴㐹㕣〸㤱㑥户㠵㔹㉤戱ㅡ㠳㌷攳㝡㠰挲㠸敢づ㌴㘶っ㡤户愱㈹つ㡦㘲っ〱㌱㡦捣㑥摣㍡戴攴㠶㑢攲ㄷ搸㉥〳愵ㅤ㔷晣昴㐰昸攱㤱㐳昷扤扡晣㥢扦㍥昵攰て挴捦㤳㡥㔵㠱㤸㡡扦㌸挹㌰挱づ㠲㥤〴㌷㄰散〲㄰㉦攱㔵ㅡ愷晢愱攵ㄷ㐳㤰戶㐲愴敡㑡攳㜷㜳捣ㅥ㠲ㅢ〱㘰㘲㑣㤲ㅣㄶ收㈶㍥摥〹戰摡挲〸挶㝡戴㌲收㕥㠲㜷〱〸慡ㄹ昵㔱㌳昷〱慣挹㔴〶㠸敡ぢ㔸捣ち㔳㐷搱㥡㌳搷改ㄳ㡣㈱挹㔸㤳㠴㌴㐹㍡㤳㘴ㄳ摦挱㌴㕤㠹昵㙣搲搱ㄹ㙥敡㌴摥㥤敡愳㘲敦愶㈳㙥㜱昱㝤ㄸ㙣搸㐷㍤㈷ち㝢敤㤱㝡攴㡦㍢搱㔸ㄸ攵㙤〰愰敡㤵㑢㤴捦㙡㜹㘹搰㍥收挸㌳㜳㄰愰换㔷㜷攱㔸㔲慡㠷㤱慦㉣挳㘵慢晢挷晣㈹㍦ㅡ㜳挲㐵搷㕡扥慡㑢㜷摣㜳摢㠲昴㄰㐴〵㠸愵捥㌶挸㕦㕣㤴搵㉥㙢㥣昵敢㐱㐵㑥㡣㙤㠶㌰㑣挴㈶㑥㠳ㄶ挱挰㠹慢搷づ㍢㕡攸㑥㔷㥣㠲收㠹つ㝡㜱捡戹㘶㑥ㄲ攲㥢㄰㝤昳㄰㔰㘸㠰㑥搷扥扥㠸戴〴㜶㌴㔳㌹ㅢ㙣㡤摢ち挹挹㘱挲ぢ㥤慡捣㈵戵㐳㡥搷㤷愰搳昵愸慤挷㕡摡㤶昴挰㍣㑣㝢㘰㝤挵ち慡㥢㠱㉢搸ㄸ㑡捣ㄲ㘱攰㙦㘳㠴㡥愷搱戴㔷ㅡ戹㥣㔷敥㠵戲㑦愱㤹戴㘶〴搵搵㕡㌷搵ㄱ㐸㑢㕣㑣㕢㔷㈰戹㥢捤㔹搶づ㐹换㔳㕣㤸㡤慡㘳昲㜴㥦ㅡ㈱㈱攰挸〶戸㜲㕢㝢㔵㌹㙤搳ㅥ㤹て㝤户ㅥ挹扥㈶愶ㄴ摤戴㡦㐸搷攲ㄹ㈷摦挴㘶㉡ㄱ㑥㠱捤昹㜸㝥搹㍣ㅣ〲㐵㌲〹㤷㠴攲㤳戱㡥昰戶㙦㠲㍡戴㐱慥挲㡢搸慡晣㙤㥦昸摣㈳㉣㑦敥搳ㅡ㐸㡥㐵搳ㄹㄹ㥦晢㈱㠶㥡戴慤㜱戶㡥㉤㥣㌲㕥昹㐶ㅢ捦て〵㕢搹㍤㈴〹㤸〸敡愷敡戸挸搲㐵㑥挵㜲摤攵㍥㝢挲慢戸昵慡㥣戴收愵摢戰搹㝥㔰摢㈴晣㔲㔹捣㤸㔷敢搰㈵㌹搹㑤㈰㤵搹㌸㌲㙤搸捣㘹收㌴挸慡㕣㉥收挸㤹㠷㔱㈳㙢㜸㕥㜹摤㈷㐶晡晣慤㉢昹づ㤵㕦㠳㘹㕢搵㐴㥢挶攸戹㜹攸㔴ㅡ搷㌲㙣搲㥦昴㤱㄰愸戶㌴ㅤ㜴攲愶㑤愳㔷㡡㑤㠶㘱㙣搴挱㠰㔶㈸慦㈴㔱づ㡣㕥㕣摦㐷晡㤳〳㍣摣㜵挶摤㉤㠱㠸昲晤捡〸㌲摡敡愷〵㡢〳㠷㌹㈷㜲㘵慦慤晡ㄵ㥥愵㑡㤰㥡㍤昶摣〲㘲搸戱㠲㝤㈰㜰慡慥攳㐹〶㈱㐸㔰㌱愷㌹㈹㑦㈰㤵㌲攳㠷づ昳收〵㝢㉥戰扣㜰㤱㐷㤵捡昲搶戶㥡㘲㤶㙥㡦㍡ㅥㄴ㈸晥㈶昱㝥㝢㜶挱㍦㠳搴㝢扤收ㅤ戰ㄶ挳㑤挱㈸㔸愱愴挴㕡㤵ㄲ愹㤴挸愶戲ㅢ昵㔵㤰㜰㑣挹㄰㍡㐵㤰戰㡡㐷昰㜵昴㤵㕣㑡ㄲ㔹搴㔷慥愹㉤㜳摤昵ㄴ摤扣户㔰㈹㠵㈳㝣㘷ㄶ攰㤶〳㐷㈷㔶搲㥦晦搳扤㠳捥愴挱㍡慥㐰㠹㐵㌳搷挲っ㐴㕦㉣㉡㙣愳攴㤸㡡攳慣㜵㡡㕦捥㔶㘳㈸㠹昰㥥ㅣ㑥㜴ㅣ愷攰㍣ㄴㅦ愶ㄷ搹〳搸摣扥戸挲㜰慥㘶戹㘱搲㔷昲㙢㌵㡢愲㐵戱㥣㠵摤㤶㔹ㄵ㕢挳㤲㤸㌶㠰㤲扦愴挹㕡㐲㤳戵愴㥡攰㡥㤹㍦㔵㌸攷昲㑦㔸㠱ㄳ㉤搴㥣㑡㤶ㄵ收㌸㌷㠵㑣㐲㠴搴㠹ㅤ〴㘵㔱㠲㠹㐰戵㌳㔳ㄱㅦ慥挱敥㈱㥣ㅤ㐸㍡戲ㅦ㤲㥢㔲㍥㕣㙣㌰㌹〵昱㔵挶摥㍣㡡搹㜴ㅥ昱㘰昶〱㔱㕡〲㌰戴㈸㈳㈴〶搰捥㙥昳ㄸ㐰愳㘴慥〰戶㙥扥㠰挷昷摣愴㙦㔵挷㤱〶昷㠳㥥攴㥥㉣ぢ搶搲愴〴㐵收㠸㑡㐸戰㈲㜱㝢ㅡ㜱㜰㤰㘵挳㉣戲㉦ㄹ㘶㤷㡣㤸㠷愴㡤愶敢扤搹㙥摦㥡㘸捣㜵㔵㜲㤶㙥扤昴㥢㔸㌵晦㕦づ敦㠱㘵攵戶搴㤵挴㙤㐰捤摢〱〴戳㑦摣㑦挷㠰㜷㜳挰㝢〰㜴㈶㈱㍡戵㘴捤㝣ち㈷搷㙢捣昳㘴㙢摣づ挲つ〳搹ㅦ攴㡢㐰ㄲ愳㌷换㝣㡢㜹〷挰捦㕥㝥㤹㠷㘳㑤㌰㘱搱昸㍥㔳つ戹ㅣ㠹㘷摥㐹㜰ㄷ㠰攰愱㕤㘵ㄴ㉦〷愲㤹㘵㠰㜴㜲㈰㌹づㅣ慥㐲搰ㄴ昱㔰搲㈸㉤㥣㐴㈸㙤愱㤹愳㜸收㘷㌸㑤㠶㥥㉤㌴ㄳ捣つ㌰㍣搳捣㜹〲㝥㕢挵〷㔵㈰㥣㡣㘹〳挶〸㜱㘹㜸㌱㑤㝢昱攰扦晦戹攳㙤㝦摡愷㠹㔸㠰㤸㍦愰㈷搳っ㐹㠰慣㍦㤴㕡㉤愱挳㠸ち㈶ㄹ㘸㐸㑤ㅢ㐰㌰摢㐰晢搴㤴搷〵攰㘷㤷㔷㘶㈵㤴扣㍡〹挲㡡㈰愵ㅢ㌴〶㡡つ㈸㈱㌸〹搴攴㙤㤶㘰㡡愲换〰㤷〳㙡ㅣ㐰搹愱㈰㤸ㅥ㐰㤳㜷愳愸㌴㕥㘳㉡㈰攱㥤捦㠱㡢〰㍡㑦㡦攷㜶㕡㈵搳㡢㉤㈹〴摡搷㜰㡢㝤戸㙥戹戸慥㥣㐶ㅣㅢ戱㘹㌳ㄸ戰㑣㝣㥡攸扣㍣㙢扦挵挴㐱㕣㙤攱㡥扢戸戳㑥ㅡ戴㡦㑤昶ㄶ㜲攴挶㑥ㅢ㌹晤搳挸攷㥣摢㔷㈸ㄱ㍤愷㤹㤷㉤㤷戵㉣扦㐹㘱挸㤹〱㈱㈴㥢愷㝣㈵㐲慤㈶㑦昰㍣扡慡㔵㘷散扣㡥攳敦〸搴昹晥戶ㄵ㌳㐵㠷㌴攸昲㤷〹摤散㕢扢晦攷㐵㠰㘰㙣扥㙡つ㠲愱㠱㙡㍤㥤㈰捡〶搱扣㥦搵愳搰つ㈱〵㐱摦ㄲ㉤扢昰攷㐴㤹换㡣㌱ㅡ戰戸ㅢ㡢昶〳ㅣ㑥㌲㥤户ㄷ捤㜷ㄹㅥ昴㕥搰㜱㕢愴㕥㘳て㕤㤷晥㌱戰㘸捤昷戹㠳ㄵ慥昰ㅤㄶ㘳〹攰㠲㐳㑥㈵昰㐳摦㡥〶㘶ㄱ㤳づ昰晥㄰㌶㘲晢㠸晥㈰㘶散晡㑤㙥㉣攳昱㘶㕦㌱㍡㜷捡昳捦㜸㙡㌵㝡挸㙢㔴㐵慦㥥ㅥ㝥㠶㘷ㄶ㔵慥〴ㄵ㡢つ㥥ㄷ改㈰㔸㡡㜴ㄲ㉣㐵㝡〴㤶㈲扤〲㑢㍦敤㌸㕦㘷㠴㜶㕥㑢㤱搶㥦㙣㌴摥〷㤰㉦㡤㤶㤵㐳㍣㠲㍢㐶攳晤㘸搹㠲㤶昶摦㌳ㄸ昷愰戹て捤㉤戱㘶㤱敥㐳ㄹ㍡㉥搲晣〰〱㙦扤〵㕤〸㉤㔳㑥摣〷〲㔲㜳㘲つ戸㥦㙤搰㠰攳㜸㉡ち㝤㌰㐱㔸ㄱ㔶愳昵〱㈰㡤㈲收㠱愹ㄳ攴㠷㠰〸㝡〷昵㘶摢ㄸ㘵搰搱㘳㝥㈴改收攷〴つ晡㔱㈲换㔸〰㘵〳戸㘶㝣ㄴ㘰㑤㠶㡢㌳ㄸ㐶愶户㌳㡤戶㥥ㅣ㌷㍦づ㔰㐸ㄷ㑦攲挱㔲愴㙤㘷㈹搲㤰戳ㄴ㘹捣㔹晡㘹挷㌹换昹攷ㅤ慤㍦㌷㘸㝣〲愰㠳㈵挶㈷搱搶捥捦㑦愱㘵㌵㍦㡢㜴ㅦ㥣挵散㈷攰ㄱ捦晣っ㠰愰㤵㔲ㄴ㝥〸〸〷㈸㕡㉡昳㠰㑡㌳㑣攳㤰㈲つ㠲愲换㘷㠱ㄴ搲㠲ㄲ㔰挰㝦㘷㤲摣〱㐵扢㈶挹ㄷ㤲㡥㔵㌷ち昷㘳ㄶ戵㡡㐷㠰㌴㔶㔱愴戸愸敦㝤づ〸昸昰〰ㅥ㉣攲㐳〴昸㌷ㅢ㉤㈹㔴㡡㤴〶㌵晣㔱㈰㠵戴㑥敥摤戴㜶㙡户㐵戲〷㘱㔸摢敥晤昷攳ㅥ㝦㤹㤳愶ㄱ㍥敡㑡㔹㌲愹㜷㙣㙣㉥扡㉤㑡〵晦昵ち㈸昰㍦捣挳㑤慦㔸㌵捥挸㐰捡晣〲㠰㈰㍢扢㜱攳扤㙢㜱攳慥愴愳昳捡愲㐸㔱㔰㠴晣㈲㈷晦ㄲ挱㤷〱㜲㍡昹㝥摤摡㔴㠸て㔸㉢扦ㄲ愱愸改㌶敤㝦慦ㅤ晦㐸㠳戴㔰㌹㙡㔷ㄹ捦㍣捥㕡〱㝥愷㌱㠹搴〱㑥㔸昸捤㔲㘲㠵㤰㔲㘰捣摢㠸收㑤㔵㔳㠴戴愷〳㠴昷㍤昶㐴㠸〴㐵㌵㡢换捦〸扦㥢昱㌶㐳ㅣ〳㜷㤶愱捣㐰㙡㜸慤㤰敡敡㐹攸㈲㍡愳晦㤶㉣捣ち㍤ㅡ㤹戸ㄴ㡦㘸ㅢ㡢㘲㡣慦攰㘳㉢搷㘹捡㜵㠵㈹㜱㍢昸慥㡣摥㥦㜷㕣慣㡣㈴㡥㠱㥡昹㈴挶慡㡢㉥ㄱ敦〱ㄱ捣㔳㙣㔲〲㐶愰ㄵ愹㥣㑡㉥扥捥㡥愷〹㥥〱挸〹敡㈷戵㑤捣㘰㙡㡡昸ㄶ㔴戲愹戴愰㈶㔲㘸㡣㙦〰慣㕥挹㔴搷㤵㝣㤳㉦㝣ぢ㠰户㤵昱㙡㜰㕤㘲㝥ㅢ㉤㉤慢搱㈹昴㥤㈴㘶㠴㌱捥昵㜷晣攸愱户㤷㜴㝦㜲摦㥦㙥晥挰捤ㅦㅦㄱ㤴㙢戵摥㠹㘴扤敦㐴㐳㌶㘵〸捡扡敡㌸㤸㜴㌰搲捦攲㌰㑤昹㔷ㅤ〷㤲㡥㝤㘸㌰扦〷愰㤳㜰攷捣㔱㉡昰〶㐳戶敦攳㔵㐱㤶㈸换昷㕣㠲戰㈲挸て戵扡㔲挷㝥挸㈳搵㌱摡戱ㅦ昲㑤㜵㡣戴敥攷㜹戴ち㤲㕦〹挳ぢ慣㤱敡敡㠳㍦㑣㄰㔶晡戹㜱㐶㌴愹㈵㔱㌹㕥㍤㝥晣㕦晤㤹㠱㑢㌲户摦㥣㝦攴户㉦晤敥攱㕦摤戹昷㡦晦㜹昴搱㕦晤晥攱㤷晦昳摣晣摥ㅦ㍦昱挴㡢户㍣昶昲敦戶摡㡦愷㥥晤搷攴攳昷っ㥦扡攷㙥晢攸㜵〷敥㜹昷挹挳挳㌳㕢〶搳改㥥㥥㙢戶晤攴愲㙢㡢昷摤晤㕤昱挲慦摦攸〹戵㔹㝣愰改㠰㠰㙢㐵㙥㕡〹攰㡢㐰ち改晥攷昱昸扦㉥㐳㤱〰ㅦ㘹㍡ㅡ攰㕡㤱愴㔰换昸ㄱ㄰昸㐱慥㐶ㄱ昳挶㠴㤸愳㘸挸攲㑣捤㝥搵戱愷扤愳昷扦㌴敥搰敤</t>
  </si>
  <si>
    <t>㜸〱捤㕢ぢ㜴㕣挵㜹摥㔹㘹㔷㍢㉢挹㕡㍦㜸ㄸっ〸㘲㘳㘳ぢ愱愷㈵摢愸搶换戲〵㤶㕦ㄲ愶捤〱㤴搵敥㕤㙢昱㍥挴摥㤵㉤搱ㄲ〸㠱㤴㌷㈹愴㡦昰〸搰搲昶㠴㈴㠴搲〰改挹㈱敥攱㔰㐸搳㜰㈰㙤㔳㝡昲挰㍣㤲㐰㡡㈹搰㈶搰㐰挰晤扥晦摥㉢摤摤扤㉢搹づ㌹㠷戱敦扦晦晣昳捦㍦昳晦㌳㜷收晦㘷慥㝣捡攷昳ㅤ㐶攲㉦㔳㈵㤱㘵挳搳㘶摥㐸㌷昶㘵㔳㈹㈳㤶㑦㘶㌳㘶㘳㑦㉥ㄷ㥤摥㥡㌴昳ㄵ㘰〸㡥㈶㔱㙥〶㐶捤攴攵㐶㘸㜴㥦㤱㌳挱ㄴ昰昹㐲㈱敤㐷㜹㤵晤㐴㥣㡣㘶㉤㕤㐹〰㉥㥦づㄲ㤰㑢㠷〸㌴㐰㑤ㄸ㘰愴慦㜷晢搸愵㘸㜳㌸㥦捤ㄹつ昵扢㉤挹㕤捤捤㡤捤㡤㙤ㅤ捤㙢ㅢ㥢ㅡ敡晢㈶㔳昹挹㥣搱㤵㌱㈶昳戹㘸慡愱㝥挷攴㔸㉡ㄹ㍢摦㤸ㅥ挹敥㌵㌲㕤挶㔸㔳敢㔸戴慤戳戹慤扤㍤戱㙥㕤㘷㑤㌵㈴㙦敢敢摤㤱㌳ㄲ收㐷㈵戳㠶㌲户昷昵㌶㙥㌳昲ㅦ㤵捣㕡挸㠴挸晥㙣㍡㥡捣㝣㐴㐲〳戴㝣㝢扦ㄱ㑢㜲㠸っ㈳㤷捣散㘹㐴户ぢっ㡤㕣㐷㘳㡦㘹㑥愶㈷㌸摡㝤㐶㉡戵换㐸挸搰愴晢捤晣㡥㘸㉥㙤搶愴㘹㍦㈳㘷㘴㘲㠶戹㈰扤㘹㉡㘶愴㙣㐶㌳㤴摥ㅤ捤㙤㡢愶㡤㑡㈲㜵㘹㙢っ〷攳㐶㈶㥦捣㑦搷愶㉦㌰㡤㕤搱捣ㅥ㠳㉣㠱昴收挹㘴㕣㔵㔶攲扦慦㘲愵㔷捦㘴愰搰㥦㜴摦㜸㌴㤷㤷ㅣ㠷戰搹㡢搷㌵㕤㐴㡢㠲㝥㜱㑡搵ㄷ搵攲㤸つ㈷搳攷ㅢ戹㡣㤱㘲㈳ㅣ挹㌵㐵㑣㘲㈰㙢ㅣ㘶㉣㌵愳づ昸㔵戵晤㡡㔰ㄷ戶ㄲ㕣〰㜰挱㐸㉥〹㌵㈷㔳搱㕣挳㔰㌲搳搵搲扣戶㠹愹戱愹愹戹㤳㐸㕢挳搶攴㕥㈳㤵㌴捣㝣㔷㑢ㅢ㈹㔲搸㈲㐸㕢挳㔰㜴慡慢㘵慤㐵㐷㥤ㄶ愱户改㍡㠸搶ㄱ㌶戲㄰愰㜲㘰搲㐸改㐵愴㉤〶㔰㤵㠷昰晡扡扢㐳㔳昹㐷愳晥搱㌱晦㘸捣㍦ㅡ昷㡦ㅡ晥搱㠴㝦㜴㡦㝦㜴摣㍦㥡昴㡦㕥敡ㅦ摤ぢㅥ㈷㠵慡慡晣㜶㕡戹㜳搳愳㘳㠷摥摥㝡攳挲㕢搶㍣昵改㠱挷ㄵ摦㔸㜹攱㡦〳戲㙣㕢㌶㤷挶晢㌶㘴㐴㌳㕤㑤㡤捤㉤つ挳昹㜸扦戱て㜸㔳㡢㍥ㅥㅣ晡〴㠰攰㠹〰㤱慤搹㘸愶晥㠹挷敡〷㌳㜹捣ㄹ㌳慦㤷戲晣㈴〰愵㝥㠶ㅥ戳搷摢捦愸戸晣㤲㔸搳愶㍦㥦昸摢愶㠶ㅦ慥㍤㐷㜱㙤㤰收㤶〱搹㔲㘴捤戶愶戶㜵㐸㡤㜸㥡㠸慣敢㜰㔹戳㑤捡愴㔰捣搸戶捥㘱敥㕣愷㑦㘱搳愷〲〴㑦〳愸ㅤ㑡㥡㤸扢愹㘸挶挸㑥㥡扡㥥㠵愷〳㈸昵㠲摤慦戶搵㜵摦㍤敦收㍢晡扦㌲晤㥦㍦慤扥攱㥤㠵㡡换㤵昴敢ㄳ㐰摡㡡晡搵搱搶搲㡥〱㜴㜵愶㔳〸㑤搲㤱㜵㑤ㅤ㉣搵换搹捣ち㠰攰㤹〴㕢愳㘳搹挹㥣㕥㐹敡㉡〰愵㥥户ㅢㅦ晤㥢晦戸攷搹攷㍢〷ㅥ㔸扣敢㠶㡡㑢㔷㡥㉡㉥㤳搲昸㙡㈰㈵㐶㤹搱扢戳㔹㡣搲敡敡㠷㔵㐶愳㜴㑡㕦摡㘷㤸㍢㍡昵ㅡ㌶摤〰㄰㍣㥢搸㔰ㄴ攳㤴㡣愶㑣摤挸散㌹〰㑡㍤㘷昷㘹攷愶摢㥡㙦㡣戵㜷晦晤挰㉤㑢ㅦ㔸昷敡㑤㡡㑢㠳昴愹ㄹ挸慡㈲㠳戴㜶ㄶ㡣㑣慢㘵㠸戶㡥㔶摤㐲搱慤〰挱㌶㠰㠵〳㐹㜳㍣㙤㐴㔳㥣㈷㍢㜲挹㤸愱摢挹戰ㄶ㐰愹㝦戶摢㥥摣昹搹慢㉥㝣攱挵晥敢戶㜵㈴挷㥦晣昱㙢㡡㥢㠵戴摤〹愴愹愸敤ㄶ㘸摢搲敥戲㐱㙢㙢㈳昲㝣戳㕡搷㌶戶㜷戴敢㜵㙣㘲㍤㐰㜰〳挰㤲扥㘸㈶㘳挴敢昳㤳㤹攸㙣㌷捥㈵㑦ㄷ㠰㔲㑦搸摤㜸晤昶㥦摣昲搴㥤㕢户㕤㝦捡摥㉦慦㝦㘴散搶㥡㡤㈸摥㘹慦〲晤戹攸㝥慣慢戳㑢㜶㑢㈳摥㠹㈳搹慢戰㔵㈵摡ㄳㅤ㠹收收㜸㝢㔳戴㌵ㅡ攰换㝥愴㡢㈲搷㠴㥡挴㠵挹㑣㍣扢㕦㔶挹㘵扤㔱搳㤸㕤㌴搷搸㘵扤搹挹㑣摣㍣搹扢㜰㌸㡦㤱㍦愹戸㙣㔶㐸㐹戵㘱捣ㄳ挳㤴昶㑥㉤慥戶㍢㥡㥡㌴㝡愶㤲㔶昱㈹㐵挵搸㐱戲㘳攵㑢〷㜲挶㘵㌳愵㈵㍤敡㠱㈳戲㑦㘴㤷㘸㘹ㄵ㔹晤慡敦ㅢ捦㥡㐶㐶扡户㈶扤㈳ㄹ摢㙢攴㠶つ扡㌱㐶㕣㔴㍤㡥㐵昶㌶戶㘶㝢〶㡡㘲㘳㡡㥦攱愶㈶㌶㑤攵㡤㑣摣㠸愳扦ㄳ㐶㉥㍦㍤ㄲㅤ㑢ㄹ挷ㄷ戰㔸㙤愲㘰㘹〱㜹㈰ㅢ㥢㌴晢戲㤹㝣㉥㥢㉡㉣改㠹敦㡢㘲敢㡣て㘵攳〶㜶扥㑡㈶㥦昲㔵㔴㈸攵㕢敤戵晤㔰慥搹㈸〳攱ㅡ㘲慥敥㈷ㄶ㑥扢挶㕤搰づ㕡愴っ捥㐹晦昲㜹㠴㠹㕣㡡㌹慢㍣愳㑢㈷晡㝣攴㕥㔵㥥㕢晡㌸㌳㜲扦㕢㘶扦㝦戱慤晤愶㝤㜰㉦戶㐴㌳昱㤴㤱㥢搳㘳㔵散㤱敥〶〸ㅣ挰摢㕣搶㝡摣散搴㤴㥡づ散㑦挶昳攳挱㜱㈳戹㘷㍣てㅡ扣摡㔰㠸愶㉤㐹扡ㄷ㈴摤㐷搰て㄰づ晢㠲㥢挸ㄴっ敢〱㉢ㅦ攰㍢㝡昴㡥ぢ晤㘶㉤㡥ㄲ扣㕡㌳㤰ㅥ挸收捣㡡ち㉦㉤户㐴捤昱㍣愷攷㥣㠵㜴㔱昴㘶㠲㉤〰〱㝡て昳晡㐵㕣㠹㉡改晥搵愶晢㡤㐴ㄴ㑥户扣摤㉡ㅡ㐸㕢㝥㕣扦㘱挶㌴ㅤ扥㐱扣㉢㔳㐱㘰㜸昹㙢搲㥣晤挶㔴扥㍦㥡㡦㔶愵攱㍡㘲㤴㌴㤸搶㐸㉤ぢ㘳捤㕡愱㌹戵挳㜶づㄲ㈲㠲扡愴㔴ぢ挱㤲㠴ㄷ〷敦㡢慦挲㠶㜳㉢㠱扥搳戹ぢㄶ㑦昴㐲ㄷ㄰㥥㘹㝣戳㤱ㄹ㤹㥥㌰㑣戲㠷㠲㜳㥡戲昸昵愲戰敤戱戱ぢ昲挹㤴搹㠸㥥㙥捥㘵㈷㈷㍥㑡㌹㤴愵〷〱㥣ㄴ㜸ㄴ戳昸挸㜵㘲㐴㔷戵㡦㘳㌳㍡敡ぢ㔱ㅡ㈹㥡扥愴收㙣㠵戰挳昸㤱愴㠷昰ㄳ㥥慢㉣㐰愷昳㘸摣㘵晡㜴㌵㘹㔸㘸㈴㘷㐸〰㄰㤲っ慣㕤㥢扥㌰㥢摢㍢㤶捤敥攵㝣㕡㈰㌹㜳摣㌰昲㜴慡慢敤㈰㐲㠲〵愵㉡㉡ち㕣㕣㤷昷捤愰㈹戸ㄳ愰戶㈷㤵慡㜷㈴㥡挱㕤㈰㔵挰扤てづ〳搱扢㠶〷捦㙦㥣㑡㤹㔳敡慢㔰㤷捥攷晤㡦晤㐳晡搰挱㔷㌶㍦昲敢㜷〷㥦敢戸散㍢敡㉢㜶㐱㠹ㄳ㑣捦㔶㝣昰摤㐰搴㤷挱㜶〰て昰挲愴㝦ㅦ㜹晤〷〴㥦〴挰㘲㈰收挵㕡㜰㤱㤵㔵昴㡥戹ㅥ攸㡢〹㉥〱㔰昴㡡挵㤷ㅦ〵攲㈴㜵㉦攴㜳㤰㘵愰攸㑥㤷づ㔴っ搴戰㥥愳㑣搱搷收㘰㘹ㅡ㐷搳ㅣ㥡愶㔰㝦〶挱㥥〶昸㔳扢愰挴㉤愷晦㉣〶㐸戱晥敤㘰㍢㠰〷㜸㘱搲ㄹ攴㜵㤶㘰〲挰㘵㠰㥣㤵㔵昴挱挵〰㈶㤹戸戶慡㝡〰㌱挰㈴㄰㈷愹ㅢ㈰㝦挶〰愷㠱㕣㙡㠰㘹㔰挳㝡㡥㌲㜵㍡㌸扣っ㜰ㄵ㠴㝢ㅡ攰㑡扢愰挴晦愷昳㉥〶戸ㅡ㠸扡〲㙣〷昰〰㉦㑣晡ㅡ攴昵戵〴㥦〳㜰ㄹ攰㍡㉢慢㔶攰㔷っ㜰㍤㤹㙥〰㔰っ〱挴〰㌷〲㜱㤲捡㐳晥㡣〱ㄸ㌱㤴ㅡ攰㔶㔰挳㝡㡥㌲挵挰挲换〰㤷㐲戸愷〱㤲㜶㐱㐹っ戲〶㤲挴〰㝦〱㐴敤〱摢〱㍣挰ぢ㤳扥〳㜹㝤㈷挱㕤〰㉥〳㝣挹捡慡〶晣㡡〱敥㈱搳扤〰㡡昱㠶ㄸ攰㍥㈰㑥㔲㤷㐰晥㡣〱㈴㐲㈹㔹慢晥ㅡ捣㘱㍤㐷㤹㍡〷ㅣ㕥〶ㄸ㠱㜰㑦〳っ摢〵㈵〱㑦ぢ㈴㠹〱ㅥ〴愲㜶㠲敤〰ㅥ攰㠵㐹㍦㠴扣晥㍢㠲㠷〱㕣〶昸㠶㤵㔵慤昸ㄵ〳㍣㐲愶㐷〱ㄴ㠳ㅥ㌱挰㘳㐰㥣愴戶㐰晥㡣〱ㄸ㉥㤵捥㠰㙦㠱ㅡ搶㜳㤴㈹㠶㔲㕥〶昸㍤〸昷㌴㐰㤷㕤㔰ㄲ㜵㌱㙣ㄲ〳㍣〹㐴㙤〰摢〱㍣挰ぢ㤳㝥ち㜹晤㌴挱㜷〰㕣〶昸慥㤵㔵っ扤挴〰晦㐲愶敦〱㈸㠶㕢㘲㠰㘷㠰㌸㐹戵㐰晥㡣〱ㄸ慢㤵ㅡ攰晢愰㠶昵ㅣ㘵㡡㐱㥣㤷〱㔶㐱戸愷〱㔶摡〵挵昱㕥愰ㅢ㤲㡥搲㑦搷㠹摤㐹㘳㍦ㅤ㡢〵〹ㅣ㠱昵㑤㥡昹慣㜸㐱戵㠹晥散戶㙣扥㍦㘹㑥愴愲搳㡢ㄳ㌶㜲攱戸㤱㐱㡣㤲㐳愸㔲㐴换㑥㑣ㄸ㜱㥤ㄸ挶㤹㐱捣ㄸ散晦㌸挴㌰㌰〷㠶㑥挲ㄷ扦㐲㍡㌶户ㅣㄱ戶挲㉣㐱昲〵攸㑣ㄷ㝢㔷㜲㄰攷㡡㠴〴攵昴愹㥢戵攸㐸㌲㥦㌲慡ㄳㄲ㠵〸ㅥ㑡挰㡡〸晣攲㔵㠹㤱㜱㜸ㅤ晤戵㠹捤戹㘴㍣㤵捣ㄸㅣ㡣㈵ㄶ敢㔶㘳て㠲扣ㅤ㔹㌳挹㌳捦摡挴㐸㉥㥡㌱㈷攸慦挶愶ㄷㄵ攴挴戱つ㈴㝡㤳ㄹㄳ捤挸㈸ㄲ慦㑢っ㡦㘷昷攳㤰㝣㌲㥤搹ㅣ㥤㌰㍦ㄶ愳㐲㤷挱㑡㌲㌴捡慦晣㝥ㄵ昲㠷㡥㜵㝣㠲㍦㠴戴ㄳ㘶㑦㔹敡㌱㔷昳戹攴搸㈴㡤㈶つ㜱㘹慣㈴㤰㜱昴〵ㄸづㄵ㝢愷慥㘱㉣ち㉤搹摦㠲愳㘵捦㈸㘷收昶愱ㅡ散晡㐷慣昳㘳㠰昳㌶㕦㌰㌸㝢攸昲㕢㕤ㄲ〴ㄸ挰ㅤ㜱㡣㝢ㅣ㤸ㄷ㔸搳㠸㜱㉦㘷ㄵ摥㑥捣〶收㡡愷㘶㌸㈱㍣㥣愵ぢ㘶搱〱㠴㐹㌵〹㥣〳ㅡ㈹㐴㜷改㘸㝥㠱㤵㘱㤸㡤㔳㔶搳㉥敢换愶搳㔱㑥㍢ㅥ㠵て挷愲㈹㈳㤴攸㤹捣㘷㜱扥慣ㄳ〰㌲㌷㙤㔲㜴ち愴攸㤴ㄵ㠷㈵㜶昱搴㐷㜰捡捡敥㠹收㤲昹昱㜴㌲ㄶ㘲㠶㈷㌳ㅦ㡢昹㡡㌵愴ㄲ挶㜴㤲戳㥥ㄴ〷㜶㔶㜸㠵攱㙥挴㔹〸㑤挷攱挷慣昶慢㈰晥愹㘳㍣ㄴ挰敡㈳㥢㡡㝥〱搲〲っ扡戹ㅣ㐹㝡换戹ㄲ㝢敢㑡㔰㘴㠱㔲〳㘴挰愳て摡〸㌳㤵っ慢攷㡣ㄸ慢挰㄰挶㜹㜸㝣㈰ㅡ挳戵㔶㤵㝤愹ㄵ挲搰㜲戹挹㐵ㄸ挳昷攱㔸〸挷㑤晢㤲㜱㈳ㄷ㈲㘱ㄸ㔷㙢㤵㡣晥㠳搶ㄸ㈲㥡愹昰〵〲搵㈱慦戶〶ㅤ㔹换敤挸挸㝤㜵㌷㔸㈲晦搰捥捥㡤攸ㄴ搴攲㐱慡㝥㤱攰㈵〰挵搳〱敡㔳挴昰㌲ㄹ㕥〱〸㌰づ㉤ㅥ㥢挲㜰ㅡ㐱㌷㑦㘸㉢攵㍡㠸㠱㝥〸㐱戱㥣㄰〴㐴㤱㙡㔷㘴ㅦ戴㠲晡㤰㜳挷ㄴㅣ挶㉣㌷攲㘱㙢㡤攵〹〲㠷挳敦慦挴㔰〷㡢㑦㐵㑢㥡㠵戰昴戰㈱㈱扦慡㐱ㄷ㠲㍦〵㌸㡢㉦ぢ攴㡦昶㑥㈶㔳㜱ㅣ搲搶㈳摣慦挷㐸㈴㔳㔸昷つ㤳㠷扥昵㝤㔹㌳㙦㤶戸ㄷ攱戰晥㌹㈴昸挲㙡〸搰㌱ぢ㌷㥦㜰㤸㘳慡㕦㈵㜸つ㐰㌱㌲散挶攳摡捥ㄴ挳㐱㙥㘹扥攰㉦〰ㄶ㕢㤷㈷昳㉥㥦㡡〱㈴㤷㔰晤㕦〰敡㤳〰㕣㤹㘶㘶敡㈱攰昳捦搴㡢㔸〳㡦㝥挳㐶㤸㔱っ㍢ㅤ㌵㠰㍡挳晦摦㐰昵㥢〰㡡㈱愹〷挳㕢㘴㜸㥢っ愳〰㥣〲挱晦〱㌸搱㌱㙤挹㕤㑦戱慢づ㑢晥ㄲㄵ㘰挹ㄸ愰搳〲摤㐹摢㤲扦〲慡摦〱㔰㈹㠰㙥㍣㙥㑢㜲㥦戱㉣昹㉥戰愳搹㡣㔴ㄶㄵ挴㥡晦㐷㤱ㄳ〰〵搶㝣て㠴昹慤㤹㘳㕤㍣晡㝤ㅢㄱ㙢㥡挸㌸慡〰㜵慣昹ㅢ愰晡〳〰㤵〷昰㘰昸㤰っ昴㥣搵㈴㠰㔸㤳搲捦㜴慣戹㙡㜰昰㉣㌹挷攰㘴㡤㐵㈷㤲㜹敢㠶愴晣㉣昵戳㍦㘱挵㠸搸㘹捦㘵摢ち㤴㙡摥敢慢慢挱搰㡤挷㙤摢㙢㤰戵㙣ㅢ〰换㔱搹昶㕡㔴ㄵ摢〶㈹晣㜳挸ㄵ搸㌶〴敡晣戶扤㡥摤挱愳㌵㠵搸ㄹ㜵㍤㄰㐷ㄵ愰㡥㙤挳㘰搰搵㘴㘴攸散挱㔰㐳㠶㕡㌲㌰㥡ㄶ摢㉥㐰㙥攵慣㙤捦慡ㅦ㐸㑥攱挲㘷㌰戳て户㤲㘹ㅣ㑥捥戳〴㐴㔰ㅦ挶扤搵搵攰㐲㔲慣㈵㘰㈱ㅢ㕣挴〶ㄹㄹ㜷攳㜱ㅢ昷づ㘴㉤攳㉥〶换㔱ㄹ昷㑥㔴ㄵ攳㉥愱昰扢㤰㉢㌰敥昱愰捥㙦㕣㐶摤㘰挴扤㉣㠵搸ㄹ㜵て㄰て摢㥤〸〶扤㤴㡣昷㝡㌳㥣㐴㠶㤳挹㜰ㅦㄸ挴戸换㤰㕢敡ㄸ㜷户㘱㥡㐶㙡ㅥ㜳㥥㡡ㅡ㌰㈷㘳㜷愷て慥戹㝡ㅡ㑡㜵㍤㠰㝡㄰っ摤㜸摣收㝣〸㔹换㥣愷㠳攵愸捣挹㤰㕣捣㜹〶㠵㍦㡣㕣㠱㌹㤷㠳㍡扦㌹扦挱敥攰搱㉢㈸挴捥愸㐷㠰㌸慡〰㜵收敡㤹㘰搰㉢挹挸㈰摦㠳㘱ㄵㄹ捥㈲〳攳㝥㌱攷㙡攴㘶捣㔹㝡㍢敡戱慣㌶愰〶捣昹㉤㔷ㄳ㉥㜳㥥捤㈶ㅡ搹挴㤳㘰攸挶攳㌶㈷㐳㜵换㥣攷㠰攵愸捣昹㌴慡㡡㌹㥢㈸㥣㤱㝥㠱㌹㕢㐰㥤摦㥣㍣ㄱ〰㈳㙥㠴㈹挴捥㈸ㅥぢ㜸㔸慢つっ扡㥤㡣㍣㌲昰㘰㔸㑢㠶づ㌲昰ㄴ㐱捣搹㠹摣㌲㘷㜶㝡㕥昴㝡㔸㜴㍤㉡挱愲㍣㕡㜰㕡㜱㔹㜴〳㕢㌹㤷慤㌰〸㈱慢敥㘲づ㐸〵㥥〰ㅤ挹㘲晦愸挴㜷慤〴㔳㌸㐱㉦㜶㌸㍦㥤㐲攴㐰㤴晥㤲㠵搱昳戳㡡攱挵㘵㜳㔸扡㉢㡢敦慣㘶敡搲㡤慢㕥㔲㜴ㅦ㈸搵㔸㐲㈷㌹昰挴㠷愵㜷㕥㌳昵搹昱搹换〱搶㘱ち㙥〴㝤挹㔰㌲㤶换㥡搹㐴扥㝥ㄸ㤱㜱㍤敦㔷ㄳ戸㜱敦〹晣㈳㈴㝡戶㐹挵㉡㌳晣挸㘷ㅦ敦ㅢ挲㝢㌳搹晤ㄹ改㑤挰攴㌵㌳㕢搳㔵㔵㙣㈶㡣㐷搲㈷㘰扣挸㐱愰慣慣㝢挰㔲㕢ㄱ㜹㔱㡡㜰㔰昴㤲㠳扣散㈰慦搸㐸㠰扥搹㤱晡㠴㤴慤挶㔴㑣挵㤵㔱㔹㔵愵㔶ㄴ㕤㘶㤶昸㤲㌳户㐱挱㈰㕤挹挰户愱昲㤱㔵愲㡥戳ㄶ㘵㘵㍦ㅥ摤〷扡敥〷〸㐷㕥㐵㥥ㅤち㙥㐲㜶㔱㕦敦㈸㙥㈹㥣㝢ぢ捥㠲攰〰攸㌵愰㡢扦㡣て戱捣攰㘶㔰ㄶ㠰攲ち㥥㠳㕢㐰㕢〸㕡攱挷㔶ㄱ晡愳㘲捡㘱㌶㑢㙦搵晡㠰㘸㉢搸㤵昸㤴㈴つ㌱〷㠴㤳㔶ㅤ〲攰挴㔵て㐳㑢㑥ㄷ攰㍥捤㌹挰攱㔶て㠱挲㈱㉦ㅣ㌲㝡㤶搲捥㑥昰㘱挸攸㐵㌲㐵摥戴㝥㝤ㄱ扡㡤㑣ㄱ扡㡥㑣㡡㑥㈰㠷㑤㍤〸㜱㌴㈹㥢搷挳㄰愰㐷〰挲ㄱ晡㠱㈲㤴愶搱戴㠳愶敡㥡扡㐶攸ㅦ捥㙡㜶〲慢ㅥ㑦㜰ㄱち㤵昸㜷捣㕤捣ㅣ㄰搱㡣晥㥤㘸昶㤷㘸慣㔴戳㝢㐱㉤搵㡣㕥㥥戴ㄳ㠵ㅣ㘸㐶㡦㡥㈹㐲慦㡥㈹昲愱昵敢㡢㠸愵㤰㐱ㅣ㙡㙢昶㈵㕢㌳ㄹ昴ㄸ愸㍡づ㄰㡥搰ぢ㉢慢ㄹ㕥㜱㤷㘶愷㐲愰昵捤㔲ち㜴㠴户㤶㐲㍡㙤㈳愲ㄹ扤㉢搱散㌶㑦捤㍥敦愹ㄹ㝤㉣改挴㘵㐰愰ㄹ晤㈹愶〸㝤㉡㐱攸㐰〹㐲㈷㡡㐹搱晦㤱㌱扢挵慤㤹〹慡捥〳㠴㈳㜴㠱捡㙡㐶搷㐸ち㘵㌶慥㠰㐰敢㑢愸㍦〲㕤㠹㙢㐳搲ㄵ捣〱ㄱ捤攸摡㠸㘶㔷㝢㙡㜶㤵愷㘶㜴㜰愴㥤捦〰㠱㘶㜴㘶㤸㈲㜴㘸〴愱昷㈲〸㍤ㄸ㈶㐵㔷㐴㌴晢戴㕢戳捦㠲慡慦〱〸㐷攸㡤㤴搵慣摥㈹ㄴ捤ㅡ㈰搰晡愴敡㈶搰㤵㜸ㄹ㈴摤捣ㅣ㄰搱㙣㌹㌰搱㉣攷愹搹㠴愷㘶昴㌵愴ㄳ㝦〲〴㥡搱慦㘰㡡搰户㄰㠴㡥㠴㈰㜴㈶㤸㔴〳㄰搱㉣攳搶散㜶㔰昵ㄷ〰挲㤱戳〱换㙡㐶㠷㐱ち㐵戳㔶〸戴㍥摣扡ぢ㜴㈵ㅢ㍥㐹㜷㌳〷㐴㌴攳㠶㉦㥡㡤㜹㙡昶㈹㑦捤戸敤㑢㍢昷〱㠱㘶㙤ㄴ㠷ㄴ攱㌶㉦〸昷㜴㐱戸慦㌳㈹敥捥愲搹㈵㙥捤晥ち㔴㝤㍦㐰㌸挲つ扡慣㘶摣戸㘷㌵㕢て㠱搶攷㘰㕦〵㍤挲㝤㕣ち扦〶愴戶㈲挰慤㘸㐳搱㍥攱㝤㡥戹愶昸㝢愱㑤昸晥㘷㥡㉢㐰〵づ㜰慣㘳㡦㑡晦晡㘳㤳挵㥤㠸愷㥥㝣〲扢愰昵㙦㈱〷ㅡ戹昶㈶㑡㍣つ㡦晥㍡攸㜵㝤〰㐱攴昸戸搲㕢ㅢ敤㑣户昵ㅢ戲㝦㈳昶敦㤲敥扡㝥愷收挵敡昴摢㝡〲㉦㕥㜹捦摢て㙣㔸㜱昷搷て摢扦㔷㕥㌶㕡攵㥢昸㘲扥㘷㔵㜳挸昷愹㔷昶昵ㅣ昴㙢摦㡥戳愷㝢搴㔶搴㕣っ戹挵㔷搴㐳㔰搳昳㜶㘶慢㕤㔰㝣㐷ㅦㄹ㠲㈴ㄹ扣㐷㠰搴㔶㈸㙥㑡ㅣ㐰㜵ㅥ㙡搰㙡愲攸㘳愰搴㜱扢〹愰搱㈳㔶戴㙥挴愹㔱㑥挱㙦㥥㝡敤敢㍢扦昹敤㡤㝦戸攴挱捤㉦㕤晥㠵㡤㡡㕢㤲㤷㘲㥢捡㈹搶㙦ㄷㄴ摦扤㐷戸㥤㠹㘲㡦〳㠱㘲㔱晣㠸㘲扤㙥挵づ㠰㕡ㄷ〳㌸戶ㄱ㡣㍢㌵换㈹搸㝤昵换㠷㔷晥㝣㕢捦挳㜷扦㜹昸㡦㔷敦散改㝦敦㡤挳敦扦戴慢㐷愵㔰搳㑢搱慥㜲㡡㥥㙢ㄷㄴ摦戱㐷搲㤰㈴㡡晥ㄳ㄰㈸捡㉤㑡ㄴ㕤敦㔶昴㘹㔰敢戸昹ㅣ㥢愲㜹愷㘶㌹㐵㌱㉦㝣敦敤扡愸㠷扦昷㑦㡤捡敦捡敤搱ㅥ挵つ换㑢搱昶㜲㡡戶搹〵挵㜷改㤱㉢㈰㐹ㄴ㝤〶〸ㄴ晤っ㝥㐴搱ㄶ户愲捦㠲㕡挷扤攸搸ㄴ扤挶愹㔹㑥㔱㡥㈸㐷㌲扥攱攰攱㘷ㄷつ昷㕣昷换ㅦㅤ㍥攱晤㤱ㅥ㜵ㄳ㙡㝡㈹㝡㜶㌹㐵ㅢ散㠲攲㍢昳挸捤㤰㈴㡡晥〰〸ㄴ攵〶㈶㡡慥㜶㉢晡㍣愸㜵摣㥡㡥㑤㔱敥㘷㔲戳㥣愲ㅣ㐹㕦搳㔴户晣扥㜸戹昵晢昹㉢扡ㄵ户㌳㉦㐵㔷㤴㔳㜴戹㕤㔰㝣㌷ㅥ戹ㅢ㤲㐴搱㥦〰㠱愲昷攱㐷ㄴ㍤挳慤攸㐱㔰敢戸㔳ㅤ㥢愲摣摥收㔴昴㤹敦㈱ㅤ敡戲ㄴ扣户扢晢㡥㉦㈲つ昶㜶㉢敥㙥㕥㡡㥥㔲㑥搱㘵㜶㐱挹ㅤ昸搷㈰㘹扥㍢㜰搷攷挱㡣㥢〳〹㠶㌴搵〹㡢捣捤っ愱㙤㌲㤵㤲愸戰〶搷㔵㌹㝣愰扢ㄵ㌷戳戸愴挲㥦㘵搸挱っ㙥㙣㜹晡敦㕣㠸㘸挹戱㜲㌰戱㍤㠷ㅢ㤲慡挴愰㠹ㅢ昵㜸〸ㅦㄸ收昱攱㝡收攳㜰㤷㠵㌸扤㤲㥢㍥戶㝤㝥搴敢昷っ㤱戹㥤捥㜱捤㌸㙢て攷扢㕢㍦㙦戹㡥敤㜲㍤昸㌳㡣㤷晢㕣㈷敥扡扢慤㔴㈷㘱㤸慤攸攷㉡摦㘱改㌷㐲㔵晤㉡攷搹㙢〰晣㜸㑥㍣㍣㠰戰晥〵㈸搶㕤ㄹ捦㑣㝣〱晡っ挵ち昲攰㘲㠰ㄶ㈸晡㠲戶扡㥡㕡㍢㐹㜱㡢收㑣ち扥づ攰摣㡢ㄴ㜶㙤㠹㘷搷摥〰扦㘶搷㘶扢昵㈶㐹散㤱〰ㅣ愵㈱捦慥㌹㐹㍤㡥㡣㌴昶㌶㤰昲戶㔸攰搹攰晦愲㑥㔱㠳扦㈲挹搵㈰㜷摥㠲〶戹㝤㐹㠳敦〲㈹摦㘰挸戳挱㕦㔳㝡愱㠶敦㤳攴㙡㤰㍢㘰㐱㠳捦㠰㈰つ㝥〰愴㝣㠳㝥捦〶て㔳㝡㘱㠳ち㈳攸㙥昰搹攲〶戹㥣㑢㠳ㄵ攰㉣摦攰㙦㍥昰㥡㕥㍣ㄶ㉣㙡戰慡愸㐱敥〸〵ㅡ㜲㔹㤵〶昹挷㠵攵ㅢ㝣挷戳挱敡搲〶㙢㡢ㅡ攴捡散㙥㌰挰㜷攰㠸㕦㔲昰晡ㄶ㘳㌹戳晦㔴㤲㌷敢㙢㔲晣㐳㐹慦㡢摡挲てㄹ敡搰ㄱ挵㌷㡢㌲㌴晦㕡㤲㠸㍣㙦〰戲ㅢ㝡㈱愹㙦〲㈳㔹㉦㜲昳㜰㝡ち捦㘲㔲㌹㌳㠵㘷㠹㥢㠷㌳㑡㜸㡥㈳㤵㤳㐹㜸㡥㜷昳㜰ㄲ〸捦〹愴㜲晣㠵攷㐴㌷て挷㑤㜸㤶㤲捡㈱ㄳ㥥㤳摣㍣㌴戵昰㥣㑣㉡慤㉣㍣换摣㍣愲㌲㌵㌹〵㔴㈷㐵愸扡散愰愷〲挱づ㉡㑡㤷㜰㔱㜹攱慡户戸㐴敤ㄲ㉥慡㉦㕣㘷㔸㕣愲㜸〹ㄷつ㈰㕣换㉤㉥㔱扤㠴㡢㈶㄰慥㌳㉤㉥㔱扥㠴㡢㐶㄰慥㔵ㄶ㤷愸㕦挲㐵㌳〸搷㙡攱㡡㌸〶㔰搴㔹摣㠵ㅦ㘰〲㌳㔶改㐵摤㤰昲㈹慡㈹〵晦㕥㔴㐰捤愴攰摦㡡ち愸㡣ㄴ晣㙢㔱〱晢㉦〵摦㉦㉡㘰㤷愵攰戹愲〲昶㔲ち㥥㉤㉣愸晥㝦换㤷〲戹</t>
  </si>
  <si>
    <t>㜸〱捤㕡㕢㙣ㅣ㔷ㄹ㥥㌳扢㌳摥㔹敦摡㥢愴㤴戶㤴搶㤴㔶ㄴ㕣慣戸㑤摡㤴ㄲ㔲㝢ㅤ㈷㙥㥤搸㠹㥤愴㠵㤶捤㜸昷㑣㍣挹散㡣㍢㌳㥢搸㔰㜱ㄷ㜷挴敤〱昵挲㐵㠸㡢ち〲㔴㉥〵㐱ㅦ〰㜱慤㡡〰愹㉦昰〴〵〴〸〴㠵愷㍥㔴㉡摦㜷㘶㜶扤扢㕥㍢愹ㅢ㈴ㅦ换晦晣攷㌲㘷捥昹敦攷㍦慢〹㑤搳㥥㐷攱㤳㈵㑢攴捡戹㤵㈸㤶昵㤱㜲攰㜹戲ㅡ扢㠱ㅦ㡤㡣㠵愱扤㌲敤㐶㜱〶〳捣㡡㡢晥挸愸㐴敥㕢㘴慥㜲㔶㠶ㄱ〶ㄹ㥡㤶换㔹㍡晡㥢晦愵㈶㘲昱㉤㉢ぢ㔰挰㈸㙤扥㍣㍥戳㜰ㅡ㔳捦挵㐱㈸㙦ㄸ㍡㥥㑣戰㜷㜴㜴㘴㜴㘴搷㉤愳㌷㡦散扣㘱愸摣昰攲㐶㈸昷晡戲ㄱ㠷戶㜷挳搰㙣㘳挱㜳慢㜷捡㤵昹攰㡣昴昷捡㠵㥤㌷㉤搸扢昶㡣敥摡扤摢戹昵搶㍤〵ㄳ㌳ㅦ㉥㡦捦㠶搲㠹㉥搶㥣㝤㥣㜳愶㍣㍥㜲㔸挶ㄷ㙢捥ㅣ收挴㤴ㄳ㐱摤㜶晤㡢㌴愹㐱〲摦㌴㈱慢㉥㌹㈱㘵攸晡愷㐶戰散づ㐲愳㜶换挸㈴㈸㕥戵愳戸㉣㍤敦愸㜴戸挱㐲㥤㌴㤳愱昴慢㌲ㅡ愸敦㕦慥㑡㉦敤㡥㜲昵攳㜶㜸搸慥换㉣㤱挱㝡挲户愹㥡昴㘳㌷㕥㈹搶㡦㐵昲愸敤㥦㤲ㅣ㘲搴て㌴摣㕡㌶㉢戲㔹㉤昳慡㕥㡢㔱扣ㄹ㤹っ慢攵㐵㍢㡣㔵㡤㕣ㅢ敤㌵戶㑤㐲搴挲㍢㤶㐵㈹ㅡ敡㝡㡢㙣㥡㜳敢㜷捡搰㤷ㅥ㍦挲扤つ㜷つ㔲㌴㐹㐸摦㈲㑥㜳㌷㘴㡣攸㑦㠵㥦㕢攱㔷㉣㡢㈰て㘰昶ㄳ㍢㍣㝢㝣㘸㍦晥㜷㔹〵㔶㡢〰㈲晢㕦愸㔰晢㡢ㅣ愹㔷㙣扤戲愰㔷慡㝡愵愶㔷愴㕥㜱昴捡㈹扤戲愸㔷㕣扤㜲㕡慦㥣挱㤸㘶挹昵昵改㘹㜹攸㠰㝥㐲㝣㙤愲晣捤㝦摦㍢昵散愷㙥晣愹愰搶㈸昵ㄹ〴㘲㤵〰捣㙤〰㜹㉥㘴㝥㑡慤㘴㍢㝢㜶〰〸昱㑦慣㠴慢搱晥㜶挷㌵㕦㜴ㅦㅡ晢㔰㤰晦晤昳㌷㝦攱慢㠵㤷愰晢㐸扡户㠹搰㍥〷〱㔹㤵扤ㅢ㐷㜶昲敦晣㑡〷㥤㜳㜶㍢户㌸愳愳戵摤㍢敤㥢㙣㠳搴戹㔰㔶㕦㠲戱〵攷㠴敢搷㠲㜳㡡昷〵㘷搲昵㘲ㄹ慡捡愰㠳㐷㈲扦慡㕥㜴昶㉦㐳昱慢㠹㤸㕣攲㤴㘵ㄸ㐳㘱攲㤵㔵搹戹㜲摣㡥攴㙡㜵㌸㥤㝢㍣㘸昸戵攸㘵扤㍢攷㘲㍢㤶㔷㜴昷慤㑥戲收戵㌹㈸㤳㡣搴㤲慥敡㝥敤戸敤㌵攴搸戲㥢㜴扦扣慢ㅢ㙡ㄵ㉣慣摦㍢ㄹ捡晢㕡扤㙢㔶㌴〶挳㝢㔶捤扤㘶㤷㐹㔷戲慥愱昲㘲㄰㐹㕦㉤㙦戸㍥敢㔶捦挸㜰㑥搲㙣换㥡摡敡㑢搸㤵敡昶昰㡣㡦㡤㐲㕢㙢搷戴户㤲搰搲慦挹ㅡ搶扢〴㉡慦捣摢ぢ㥥扣戴㘳㐸昲㑤㜴㕣摥搱㍣ㄹ㔴ㅢ㔱㌹昰攳㌰昰㍡㝢挶㙡㘷㙤搸㤳摡愱愰㈶戳慡㘸〹ㄴ㕡㈶㈳㠴㜶㝤㉦挵攴摣ㄱ㔵户㑤㐸㘸㈰㌶ㅥ摣㈶㐴ㅣ摣㔳攵㕢㌳〳㘹ㄳ㌲㡥㝦昵㠶㉢㘹ㄷ㐲㡥摥戹攱攸ㅥ㐲捡㤷㉥敢㔴扣㤱愳攰て昸攰㐹㙡愵㝥敤晡㔳慥捡攵㜹㔶摡挶ㄵ㝡㘹㡥摥㠰㘸㙡摡㤶散晤㝦〷敢晡㡥㜴昷晢捦挲㙢ㅣ戴晤㥡㈷挳つ㘳っ挱ㄵ㔹㤷ㄲ扣㤴攰㌲㠲换〹慥〰㌰晥〲晢戶㉥㐵㘹㉥挵戲㔸㌱捥戹戵㜸搱㕣㤴敥愹挵ㄸ㙤㠸㑤㜲㌹㤲㝢㑤戱慥㐴㤳昵㜲㠲慢〰昲㜹捤扣㥡㠳捣扣㌵挴挷㉢〰〶㥢㙥㜳㈸㤱捣扣㘶搰㈵扣㜰挷挵㠸挸㔲㝥ㄲ㠱㑣㘴搴㌱㙦㤴挹昴愲挶㐱㍢㕡㡣愹㠸ㅢ㜶㉡ㄷ㜵つ㈷㝤㈵㐰攱㕡㠰挳〷愵〷㌵扥㔸㌱㤰㐱㍦㜷㕥㕦㑢ㄷ㜴㘹㝤㙥挵慦㉥㠶㠱㡦戰㜰挲㡥敤戱㉡〲㡡㐸搸㘶㝤㍡㈸㌷㘲戳㝥搰挵愳㔰㍦㉡㤷愴ㅤ㤷㘱愶攳㘲㝤ㅡ挱㠸戲愳㔳戵㘵愳㥥挴ㄱㄳ㌲慡㕡っ㌸愶㘰㤶㤶㑤㘰戰戳㠵㍡つ㡤㕣㡥㌹㜵㕦㝤搶㐶挰ㄲ㕢ㄸ㌴慣摥㑡㌰扥㔹㔴㙤捤户昳㘹つ㌳㤴ㄴ摡㌶㑢扦㙡㐸㘶搲㈸㌹昰愰昰戶搹ㄴ㜶㙢搰戱搸昵愲㤱㤴扣㈳ㄳ〱〲㔲愹〲㘳㤲摤㌴㈱㘰收㠶捣敡㔶㜴㐶㉣㌳搵㠵㘴㕡㉣攵㐰ㄸ㌴㤶ㄸ戵㕣慣㜹㌸㤷㘶㕤〷昰搹晦㝣攵戶敢㍥晤㡤攷搳攷摢愱㐲慡㔸㉡愸愱扣戳捡攱㉣搶昵〰昹㡤晡っ〶㍥㍤㉤敤㍡挱ㄵ〵戵㔰挷㙥攷㐳愹愲挵㥣慡慣㉣挹㘲晤㐴㄰㥥㔹〸㠲㌳㘴晥㠰慡㐵㡢㔲挶っ挱晡搳㠸㤳戸㄰㈲㤳改〸戳摡㘲㌵〶㙦收つ〰挵㌱捦ㅢ㙡捥ㄸ㤹慦㐵㔳〶ㅥ挵ㅣ〱㘲ㅤ㥤㥢扡㜳㘴搹㡢㤶挵㙦戱㕤〶㑡㑦つ㘶昷昹扦晥捡晥挷㙦摦㕦戹摡昹愳㉥㝥㤳㜶慣〹挴㔴晣挵㐹㐶〹㙥㈴戸㠹㘰ㄷ挱㙥〰昱〴㕥愵㜱扡ㅢ㕡晥㈷㌴㙣㠷㐸㌵㤴挶摦挲㌱㝢〸㙥〵㠰㠹戱㐸㜲㔸㤸摢昸㜸㍤挰㕡ぢ㈳ㄸ敢搱捡㔸㝢〹摥〰㈰愸㘶搴㐷捤摡〷戰㉥㔳ㄹ㈰慡㉦㘰㌱慢㑣ㅤ㐷㙢摥摡愰㑦㌰㠶㈴㘳㉤ㄲ搲㈲改㉣㤲㑤㝣ㄷ搳昴㈴搶㘳㘹㐷㜷戸㘹搰㜸㜷慢㡦㡡扤㕢㡥戸捤挵て㘰戰改ㅣ昳摤㌸敡㜷挶ㅡ㜱㌰改挶ㄳ㔱㕣㜰〰㠰慡㔷慥㔰㍥慢敤愵㘱攷戸㉢捦捤㐳㠰慥㕥摢㠵㘳㐹戹ㄱ挵㠱戲っ㔷慤敤㥦〸づ〷昱㠴ㅢ㉤㜹昶捡戵㍤扡㤳㥥ㄳ㡢搲㐷㄰ㄵ㈲㤶㍡摦愰㘰㘹㐹搶㝡慣㜱㉥㘸㠴㔵㌹㌵戱ㄵ挲㌰㤱㤸㌸つ㕡〴〳㈷慥㕢㍦散㘸愳㍢㕤戱づ捤ㄳ㥢昴攲㤴㜳捤㥡㈶挴㌷㈱晡搶㈱愰搰〰㠳慥㝤㘳ㄱ㘹ぢ散㘸愶昲づ搸㥡戴ㄵ搳㤳挳㤴ㅦ戹㌵㤹㑦㙢㠷㕣㝦㈰㐵㘷ㅡ㜱㐷㡦扤扣㈳敤㠱㜹㤸昱挱晡慡ㅤ搶戶〲㔷戰㌱㤴㠴㈵挲挴摦收〸㥤㑣愳㘹捦㌴㜳㌹捦扣ㅤ捡㝥ㄸ捤愴㌵㈳愸㥥搶扡愵㡥㐰摡攲㘲摡扡㈲挹摤㙡捥戱㜶㐸摡扥攲挲㕣㕣㥢㤰㘷〷搴〸〹〱㐷㌶挰㤳㍢㍡慢捡㘹㕢捥搸㐲ㄴ㜸㡤㔸づ戴㌰愵攸㤶㜳㔴㝡㌶捦㌸㠵ㄶ㌶㕢㡤㜱ち㙣捤挷昳换搶攱㄰㈸㤲㑤戹㈴ㄴ㥦捣つ㠴户㜳ㄳ搴愱㑤㜲ㄵ攱㠸愳捡扦昶㠹〷ㅦ㘰㜹㘴㥦搶㐴昲㉣㥡挱挸昸挲て㌱搴愴ㅤ捤戳㜵㘲攱㤴昱㉡㌴摢㜸㝥㈸㍡捡敥㈱㐹挰㐴搰㈰㔵挷㐳㤶㉥㜶慢戶攷慤っ㌸㔳㝥搵㙢搴攴戴扤㈰扤愶捤づ挲晡ㄶ攱㤷捡㘲㈶扣摡㠰㉥改挹㙥ち愹捣收㤱㘹搳㘶㑥戳㘶㐰㔶攵㜲㌱㐷摥㍡㠲ㅡ㔹挳昳捡ぢ㍥㌱搲攷㙦㕦捤㜷愸晣ㅡ㑣摢㥡㈶摡㌴㐶捦慤㐳愷搲戸戶㘱搳挱㜴㠰㠴㐰慤慤改愰㥢㌴㙤ㄹ扤㔲㙣㌲㑤㜳戳づ〶戴㐲㜹㈶㡤㜲㘰昴㤲晡㍥搲㥦ㅣ攰攱慥㍢敥㙥ぢ㐴㤴敦㔷㐶㤰搱搶㈰㉤㔸ㄲ㌸捣扢戱㈷晢ㅤ搵慦昰ㅣ㔵㠲搴散㜳收ㄷㄱ挳㑥ㄴ㥤〳愱㕢昳㕣㕦㌲〸㐱㠲㡡㌹捤㘹㜹ち愹㤴搹㈰㜲㤹㌷㉦㍡昳愱敤㐷㑢㍣慡㔴㔷戶㜷搴ㄴ戳っ㘷摣昵愱㐰挹㌷㠹て㍡㜳㡢挱㌹愴摥ㅢ㜵晦㠰扤ㄴ㙤〹㐶昱㔶㈰㈹㠹㔶改㐲搷㐵㑥捦㙤搶㔷㐱挲㌱㈵㐳㘸㥤㈰㘵ㄵ㡦攰ㅢ攸㉢戹㤴㈶戲愸慦㕣㔳㐷收扡攷㈹扡㜵㙦愱㔲ち㐷昹捥ㅣ挰ㅤ〷㡥㑤慤愶㍦㕦搴扤㠳挱愴挱〶慥㐰㠹㐵㉢搷挲っ挴㐰㈲㉡㙣愳攴㔸㡡攳慣㜵㡢㕦摥㔱㘳㈸㠹昰㥥ㅣ㑥㜴ㄲ愷攰〲ㄴㅦ愶ㄷ搹〳搸摣㠱愴挲㜰慥㙥㝢㔱摡㔷づ敡㜵㥢愲㐵戱㥣㠳摤㤶㌹ㄵ㕢挳㤲㔸づ㠰㤲扦戴挹㕥㐶㤳扤慣㥡攰㡥㤹㍦㔵㌸攷ち㑥搹愱ㅢ㉦搶摤㙡㡥ㄵ收㌸户㠴㑣㐲㠴搴㠹ㅤ〴㘵㔱㠲㠹㐰戵㍢㔳㤱ㅣ慥挱敥ㄱ㥣ㅤ㐸㍡戲ㅦ㤲慢㉢ㅦ㉥㌶㤹㥣㠲昸㉡㘳㙦ㅤ挳㙣〶㡦㜸㌰晢㠰㈸㙤〱ㄸ㕡㤴ㄱㄲ㐳㘸㘷户㜵ㅣ愰㔹戲搷〰摢㌰㕦挰攳㝢㝥㍡戰㙢㤳㐸㠳〷㘱㕦㝡㑦㤶〳㙢㘹㔲挲ㄲ㜳㐴㘵㈴㔸㤱戸㍤㡢㌸㌸捣戱㘱づ搹㤷㉣戳㑢㘶挲㐳搲㐶㌳㡣晥㕣慦㙦㑤㌵攷扡㌶㍤㑢户㕦晡㑤慤㤹晦㥦㐷昶挰戲㜲㕢敡㑡攲〴㔰敢㉥〰挱散ㄳ昷搳㌵攰㙥づ㜸㈳㠰挱㈴㐴户㤶慣㥢㑦攱攴㐶㥤㜹㥥㕣㥤摢㐱戸㘱㈲晢㠳㝣ㄱ㐸㘲昶攷㤸㙦戱摥〴昰慢㈷㥦攴攱㔸ㄳ㑣㔸㌴扦捦㔴㐳㍥㑦攲㔹昷㄰摣ぢ㈰㜸㘸㔷ㄹ挵慢㠱㘸㔶〵㈰㤳ㅥ㐸㑥〲㠷慢㄰㌴㐵㍣㤴㌴㑢ㅢ㈷ㄱ㑡摢㘸收㈸㥥昹ㄹ㑥㤳愱攷ぢ捤〴㜳〳っ捦㌴㙢㠱㠰摦㔶昱㐱つ〸㈷㘳摡㠰㌱㐲㔲㥡㕥っ㙤搹㕦搶敦㘹㍣扡㑦ㄳ㠹〰㌱㝦㐰㑦愶㤹㤲〰㔹㝦㈸戵㕡㐲㤷ㄱㄵ㑣㌲搰㤰㕡づ㠰㘰戶㠱昶愹㈵慦㡢挰捦㉦慦捣㑡㈸㜹㜵㔳㠴ㄵ㐱㑡㌷㘹っㄴㅢ㔰㐲㜰ㅡ愸挵摢㉣挱ㄴ㐵㡦〱ㅥ〷搴㌹㠰戲㐳㐱戰㝣㠰ㄶ敦挶㔱㘹扥挶㔴㐰捡扢㠰〳㤷〰っ㥥ㅥ㉦散戴㑡愶㤷摡㔲〸戴慦搱㌶攷㐸挳昶㜰㕤㌹㠳㌸㌶㘶搳㔶㌰㘰搹攴㌴搱㝤㜹搶㜹㡢㠹㠳戸摡挲㥢敥攵捥扡㘹搰㌹㌶摤㕢挴㤱㥢㍢㙤攴㡤㡦㈲㥦㜳㘱㕦愱㐴昴㥤㘵㕥戶㔲搱㜲晣㈶㠵㈱㙦㠵㠴㤰㙣㥥昲㤵〸戵㥢㍣挱昳攸㥡㔶㠳戱昳〶㡥扦㉢㔰攷晢㍢㔶捤ㄴㅤ搲戰挷㕦㈶昴戲㙦㥤晥㥦ㄷ〱㠲戱昹㥡㌵〸㠶〶慡昵㙣㡡㈸ㅢ㐴昳㝥㕥㡦㐲㌷㠴ㄴ〴㝤㑢扣攲挱㥦ㄳ㘵㉥㌳挱㘸挰㤲㙥㉣㍡〸㜱㌸挹㜶摦㕥戴摥㘵㜸搰㝦㐹搷㙤㤱㝡㡤㍤㜴㕤挶〷挰愲㜵摦攷づ㔶戹挲㜷㔸捣㘵㠰㑢づ戹搵㌰㠸〲㈷ㅥ㥡㐳㑣㍡挴晢㐳搸㠸㥤㘳挶晢㌰㘳捦㙦㜲㘳㔹㥦㌷晢㡡搱昹㌳㝥㜰捥㔷慢㌱㈲㕥愳㉡㝡昵昵昱㌳㍣戳愸昲㑡㔰戱搴攴㜹㠹づ㠲愵㐴㈷挱㔲愲㐷㘰㈹搱㉢戰っ搲㡥昳㜵㐶㘸ㄷ戵㤴㘸晤挹㐶昳㉤〰㠵昲㜸㐵㌹挴愳戸㘳㌴摦㡡㤶㙤㘸改晣㍤㠳㜹㍦㥡〷搰摣ㄶ㙢㤶攸㍥㤴愱攳㈲慤户ㄱ昰搶㕢搰㠵搰㌲攵挵㍢㐰㐰㙡㑥愲〱敦㘴ㅢ㌴攰㈴㥥㡡㐲敦㑡ㄱ㔶㠴摤㙣㝤㌷㤰㘶ㄱぢ挰搴〹昲㍤㐰〴扤㠳㝡戳㘳㡣㌲攸攸戱摥㥢㜶昳㜳㠲〶晤ㄸ㤱ㄵ㉣㠰戲〱㕣㌳摦て戰㉥挳挵㌹っ㈳搳㍢㤹㐶㕢㑦㡥㕢ㅦ〴㈸㘶㑡愷昱㘰㈹搱戶戳㤴㘸挸㔹㑡㌴收㉣㠳戴攳㥣攵攲昳㡥搶㥦ㅢ㌴㍦〴搰挵ㄲ昳挳㘸敢攴攷㐷搰戲㤶㥦㈵扡て捥㘲つㄲ昰㠸㘷㝤っ㐰搰㑡㈹ち㝦ㅣ〸〷㈸㕡㉡昳㠰㑡㉢㑣攳㤰ㄲつ㠲愲换㈷㠱ㄴ㌳㠲ㄲ㔰挴㝦㜷㤲摣〵㐵㝢㈶挹ㄷ搳㡥㌵㌷ち敦挴㉣㙡ㄵて〰㘹慥愲㐴㜱㔱摦㝢㄰〸昸昰㙥㍣㔸挴㝢〸昰㙦㌵㕢㜴㔴㑡㤴〶㌵晣㘱㈰挵㡣㐱敥摤戶㝥㙡户㑤戲㠷㘱㔸㍢敥晤昷攳ㅥ㝦㠵㤳㘶㄰㍥ㅡ㑡㔹戲晡敢㌶㌷ㄷ摤ㄶ愵㠲晦㐶ㄵㄴ㜸ㄱ昳㜰搳慢㔶㡤㌳㌲㤰戲㍥〳㈰挸捥㕥摣㜸昳㝡摣戸㌷敤攸扥戲㈸㔱ㄴㄴ㈱扦挰挹扦㐸昰㈵㠰扣㐱扥扦㘶㝤㉡㈴〷慣搵㕦㠹㔰搴っ㠷昶扦摦㐹㝥愴㐱㕡愸ㅣ戵愷㡣㘷〱㘷慤㄰扦搳㤸㐶敡〰㈷㉣晣㘶㈹戵㐲㐸㈹㌰收㙤㐶昳㤶慡㈹㐲㍡㌳㈱挲晢㍥㘷㉡㐲㠲愲㤶挳攵㘷㡣摦捤昸㕢㈱㡥㠱㍢换㔲㘶㈰㌵扣㔶搰㝢㝡ㄲ扡㠸敥攸扦㉤ぢ戳㑡㡦㘶㈶㑥攷ㄱ㙤㜳㔱㡣昹㘵㝣㙣昵㍡㑤戹慥㐸ㄷ㜷㠱敦捡攸晤攳挶换㤵㤱挴㌱㔰戳ㅥ挱㔸㜵搱㈵㤲㍤㈰㠲昹㉡㥢㤴㠰ㄱ㘸㈵㉡愷㤲㡢慦戱攳敢〴摦〰挸ぢ敡㈷戵㑤捣㘲㙡㡡昸㌶㔴㜲㝡㐶㔰ㄳ㈹㌴收愳〰㙢㔷㜲戸攷㑡扥挵ㄷ扥つ挰摢捡㘴㌵戸㉥戱扥㠳㤶戶搵ㄸㄴ晡㙥ㄲ㌳挲㤸攴晡扢㝥昴搰摦㑦扡㍦戲敦敦户扦敤昶て㡥〹捡戵㕡敦㔴扡摥搷愳㈱愷㥢㠲戲慥㍡づ愶ㅤ㡣昴㜳㌸㑣㔳晥㔵挷㠱戴㘳ㅦㅡ慣敦〳ㄸ㈴摣〵㜳㤴ち扣挹㤰敤〷㜸㔵㤰㈵捡昲㍤㥥㈲慣〸昲㐳慤慥摣戵ㅦ昲㐸㜵㡣㜷敤㠷㝣㔳ㅤ㘳敤晢昹㈱㕡〵挹慦㠴攱㐷慣㤱敡敡㠳㍦㑥ㄱ㔶〶戹㜱㐶㌴晡戲愸㥥慣㥤㍣昹散㘰㜶攸㡡散㕤户ㄷㅥ昸挳ㄳ㑦㝦攲愹㝢昶晥昵戹㠷ㅦ㝥敡捦㥦㜸昲戹挷ㄷ昶晥晣昳㥦晦挹ㅤ㥦㝤昲改敤捥攷昴挷㥥㥤晥摣晤愳㘷敥扦捦㌹昶㥡〳昷摦㝤晡挸攸散戶攱㑣愶慦敦㔵㍢㝥㜱搹昵愵㜷摣昷㍤昱愳摦扤搴ㄷ㙡戳昸㐰换〱〱搷㑡摣戴ㄲ挰㥦〰㈹㘶〶㝦㠸挷晦㜵ㄹ㡡〴昸㐸换搱〰搷㑡㈴㠵㕡挶捦㠰挰て㜲㌵㡡㤸户愶挴ㅣ㐷㐳づ㘷㙡昶慢㡥㍤㥤ㅤ晤晦〳㤰㔸挷㔶</t>
  </si>
  <si>
    <t>㜸〱捤㕢〹㜰㕣挵㤹㥥ㅥ㘹㐶搳㈳挹ㅡㅦㅣ〶㘳〴搸搸搸戲搰改〳愳戵㉥换㔶戰㝣㐹㤸㑤ㄶ㄰㑦㥡㌷搶攰㌹挴扣㤱㉣㤱㘵㈱㐰ㄲ挸收攰捡搶㜲〵挸㔱戵挹㠶㈳ㄴ㐷戶〸昱ㄶ㤵㕤昶愲㈰㑢㔲愹摡散〲㠶㑤㐸ㄶㅣ㈰ぢ㘴〳〹摥敦晢摦㝢搲㥢㤹㌷昲ㄱ㔲㐵摢敦㥦扦晦晥晢敦晥晦敥搷晤晦摤㑦〱ㄵ〸〴づ㈳昱㤷愹㤲挸㤲挱㘹㉢㙦愶ㅢ㝢戲愹㤴㌹㥡㑦㘶㌳㔶㘳㔷㉥㘷㑣㙦㑢㕡昹ち㌰㠴㠷㤳㈸户㐲挳㔶昲㑡㌳㌲㍣㘹收㉣㌰㠵〲㠱㐸㐴〷㔱㕥攵㍣㌱㌷愳㔹㑢㔷ㄲ㠰㉢愰挳〴攴搲ㄱ〲つ㔰ㄳ〵ㄸ敡改摥㌱㜲㌹摡ㅣ捣㘷㜳㘶㐳晤ㅥ㕢㜲㐷㜳㜳㘳㜳㘳摢扡收戵㡤㑤つ昵㍤ㄳ愹晣㐴捥散挸㤸ㄳ昹㥣㤱㙡愸摦㌹㌱㤲㑡㡥㕥㘰㑥て㘵昷㤹㤹づ㜳愴愹㜵挴㘸㕢摦摣搶摥㥥搸戰㘱㝤㑤㌵㈴㙦敦改摥㤹㌳ㄳ搶㠷㈵戳㠶㌲㜷昴㜴㌷㙥㌷昳ㅦ㤶捣㕡挸㠴挸摥㙣摡㐸㘶㍥㈴愱㈱㕡扥扤搷ㅣ㑤㜲㠸㑣㌳㤷捣散㙤㐴户ぢっ㡤摣扡挶㉥换㥡㐸㡦㜳戴㝢捣㔴㙡户㤹㤰愱㐹昷㕡昹㥤㐶㉥㙤搵愴㘹㍦㌳㘷㘶㐶㑤㙢㕥㝡昳搴愸㤹㜲ㄸ慤㐸㝡㡦㤱摢㙥愴捤㑡㈲㜵㘹㝢っ晢攳㘶㈶㥦捣㑦搷愶㉦戴捣摤㐶㘶慦㐹㤶㔰㝡换㐴㌲慥㉡㉢昱㍦㔰戱挲慦㘷㌲㔰攸㑦扡㘷捣挸攵㈵挷㈱㙣昶攳昵㑣ㄷ搱愲愰㕦㥣㔲昵㐵戵㌸㘶㠳挹昴〵㘶㉥㘳愶搸〸㐷㜲㜵ㄱ㤳ㄸ挸ㅥ㠷ㄹ㑢捤愸〳㝥㔵敤扣㈲搴㠵慤㠴攷〱㙣ㅤ捡㈵愱收㐴捡挸㌵っ㈴㌳ㅤ㙤㙤ㅢ㤸ㅡ㌱〷㥢〵㙢㙤搸㤶摣㘷愶㤲愶㤵敦戰换愴戰㘱挰㤸敡㘸㥦㘱㕥户㕥搷㐱㥡㡥㔱敥㝣㘲〳㐶ㅥ〳㘷愴㉣扤㠰搹㠵〰慡昲㜵扣戶摥㙥搰㐴挱㘱㈳㌸㍣ㄲㅣㅥつづ挷㠳挳㘶㜰㌸ㄱㅣ摥ㅢㅣㅥぢづ㈷㠳挳㤷〷㠷昷㠱挷㑤㤱慡慡愰㤳㥥㕡昳散㍢㌷挵㥥攸㝢昰攰摢敦㝣㘷敢㑤㕦㔶㝣㔳攵㐵㍦〱挸㥡㈲戵㕡搶㌷戶戶㝢㌴㘹㙤㙥㙣ㄷㄵ㕡摢ㅡ搷戶敢ㄳ㔱㐵㥦〴㄰㍥ㄹ㘰㔱㡦㤱挹㤸昱晡晣㐴挶愸㝦敡昱晡㥤戹攴愸愹ㄷ㤳攷ㄴ〰愵㝥〶㌵愸捡㔹㡦㤹㝦戳㘰昴㠵摥㝢昴㡤㤷敥㥤㜸昲ㅡ挵㠵㐲晡戰〴挸㠵挵㝤㘸㕥摢挴搴搸搴搴扣㥥㐸㥢愷㐳㉤㙤愴㐸㘱㡢㈰㙤搲扤㤶戵㌶ㅤ㜵㕡㠴摥愶㑦㘳㍦㤶〲㠴㑦〷愸散㥢㌰㔳扡㥥戴㌳〰㤴㝡挱改摢㈷㕦㜹敦昵㕢㥦㙦攸戹晦搷㡦㕤㌵搹㝤改昷ㄴ搷㉦改摢㔹㐰㤶㙣捦收搲㔸㠷〶㑣㈳搳搱搴搸摣搲㌰㤸㡦昷㥡㤳挰㥢㕡昴㌲㡡㕢づ㄰㍥ㅢ㈰戶㉤㙢㘴㘸㠷晥っ㠶ㄴ昳㐰慦㘰昹㑡〰愵㝥攲㌴昷挸㥦㉤昸㔱昸敦慥摢晥㜸摢㜵换㙥㝢㘷昸㤰攲㑡㈹捤慤〲戲戲挸ㄴ慤敢搷㜹㜴㙦㙢㙤ㄲ㘵摢搶戵敡搵ㄴ摤〰㄰㕥〳㌰扦㉦㘹㡤愵㑤㈳㌵㍢っ㡤㘴㌸ㄷ㐰愹攷㥣戶㌷晤敡㠳戶㥢扥㜹戸攷昶昳摥㍤㙤㔹㐷攴㙤挵㔵㐰摡㙥〶搲㔶搴昶扡戶㤶㜶㔸搸搳晥㝡㈱搸㝤搸搰戴㡥愵扡㠵捤戴〲㠴摢〸戶ㄹ㈳搹㠹㥣㙥㈷㜵㉤㠰㔲晦散㌴㝥换㘵扦摤㜲㘸攵捤㥤㥦㥤扣昳㡢摤晤㙢㌷㉡㙥っ搲昸㝡㈰㈵慦㔷㤳扣㌲㜸扤㌶㌴挹敢㔵㘰㠷㤹搷㘹㠳㙤㡦つ㉥昳晡つ㝡〳㥢㍥て㈰扣ㄱ愰㜶㈰㘹㘱㌱㑢ㄹㄹ㌳㍢㘱改昳㔹搸〱愰搴㔳㑥扦㉥㜹㙤改㐵攱敦㝤戵昷昱愱搸㐳捦捦摦㜳㑢捤㈶ㄴ敦㜲㤶㠰摥㥣戱ㅦ㡢敡散㝡摤搲㠸㠱㍦㥡㡤ち晢㔴愲㍤戱㉥搱摣ㅣ㙦㙦㌲㕡㡤㄰㕦晢愳㕤ㄱ戹㍡搴㈴㉥㑡㘶攲搹晤戲㐴㉥改㌶㉣㜳㜶挵㕣敤㤴㜵㘷㈷㌲㜱敢㔴晦挲挱㍣㔶㤶㔳㡡换㘶㠵㤴㔴ㅢ挴㍡㘴㕡搲摥搲攲㙡㝢㡣搴㠴搹㌵㤵戴㡢㑦㉢㉡挶昶㤱ㅤ㈹㕦摡㤷㌳慦㤸㈹㉤改㔱ㄷ扣㤰㐹㤱㕤愲愵㕤㘴昷慢扥㘷㉣㙢㤹ㄹ改摥敡昴捥攴攸㍥㌳㌷㘸搲㠷㌱攳愲敡〹㉣㜲昶戰搵㍢㌲㔰ㄴ扢㔲晣㑣㉦㌵戱㜹㉡㙦㘶攲㘶ㅣ晤ㅤ㌷㜳昹改㈱㘳㈴㘵㥥㔸挰㘲户㠹㠲挵〵攴扥散攸㠴搵㤳捤攴㜳搹㔴㘱㐹㔷㝣搲挰扥ㄹㅦ挸挶㑤㙣㝢㤵㑣〱ㄵ愸愸㔰㉡戰捡㙦敦愱㕣慢㔱〶挲㌳挴㕣攲㑦㉥㥣㜶㡤扢愱ㅤ戴㐸㤹㥣㤳挱㘵㐷㄰㈶㜲㈹收㥣昲㡣ㅥ㥤攸昰㤱㝢㘵㜹㙥改攳捣挸晤㜱㤹㠳挱㠵㡥昶㥢㈷攱㕢㙣㌵㌲昱㤴㤹㥢搳㕤㔵散㤱敥〴〸ㅤ挰摢㕣搶㝡摣昱搴㤴㥡づ敤㑦挶昳㘳攱㌱㌳戹㜷㉣てㅡ㕣摡㐸㠴愶㉤㐹扡ㅢ㈴摤㐳搰ぢ㄰㡤〶挲㥢挹ㄴ㡥敡㍥㍢ㅦ攲㍢㝡散㕥ぢ㥤㘶㉤㕥ㄲ㕣㕡㉢㤴敥换收慣㡡ち㍦㉤户ㅡ搶㔸㥥搳㜳捥㐲晡㈷㝡ぢ挱㔶㠰㄰㕤㠸㈳㍡㐵㕣㠹㉡改晢搵愶㝢捤㠴〱㡦㕢摥㙥㘵㠴搲戶ㄳ搷㙢㕡愳㥡摥㕥㍦摥㤵愹㌰㌰扣晣㌵㘹捥㝥㜳㉡摦㙢攴㡤慡㌴晣㐶㡣㤲〶搳㙡愹㘵㘳慣㔹㉢㌴户㜶搴挹㐱㐲㑣㔰㡦㤴㙡㈱搸㤲昰攲攰㝤〹㔴㌸㜰㙥㈵搰㜷㝡㜶攱攲㠹㕥攸晦挱㉤㡤㙦㌱㌳㐳搳攳愶㐵昶㐸㜸㑥㔳ㄶ扦㕥ㄴ戶㘳㜴攴挲㝣㌲㘵㌵愲愷㕢㜲搹㠹昱て㔳づ㘵改㝥〰㌷㠵ㅥ挳㉣㍥㝡㥤ㄸ捥㔵㑤㜲㙣㠶㠷〳ㄱ㑡㈳㐵㡢㔷挹搹ち㘱㠷昱㈳㐹て攰㈷㍡㔷㔹㠸㥥攷戱昸捡昴攱㙡搲戰搰㔰捥ㄴ敦㍦㈲ㄹ㔸扢㌶㝤㔱㌶户㙦㈴㥢摤挷昹㌴㑦㜲搶㤸㘹收改㔱㔷㍢ㄱ㠴㐴ち㑡㔵㔴ㄴ昸戹ㅥ搷㥢ㄱ㔳㜸ㄷ㐰㙤㔷㉡㔵敦㑡戴挲扢㐱慡㠰㙦ㅦㅥ〴愲㜷て昶㕦搰㌸㤵戲愶搴户愱㉥㥤捤㡥户慦扣㜸挵㙤㕦敢戹㜹㝣㜱昸攰搶㙦㍤愷晥搶㈹㈸昱㠴改捤㡡㌷扥〷㠸晡㈶搸づ攰〱㕥㤸昴㥦㈲慦㍦㑥昰〹〰㉣〶㥡收挵㕡㜰戱㥤㔵昴㠸戹ㅥ攸㑢〸㉥〵㔰昴㠲挵愱ㅦ〶攲㈶㜵㉦攴㜳㤰㘵愰攸㐲㡢㈴㄰㘶㕡搵愳愰㐶昵ㅣ㘵㡡扥㌵〷㑢搳㌸㥡收搰㌴㠵晡㉢㠸昱㌵挰㤷㥤㠲ㄲ㌷㥣㉥戲ㄸ㈰挵晡户㠲敤〰ㅥ攰㠵㐹㘷㤰搷㔹㠲㜱〰㡦〱㜲㜶㔶搱捤ㄶ〳㔸㘴攲摡慡敡〱挴〰ㄳ㐰摣愴㍥〷昹㌳〶㌸ㅤ攴㔲〳㑣㠳ㅡ搵㜳㤴愹㌳挰攱㘷㠰㙢㈰摣搷〰㔷㍢〵㈵扥㍥ㅤ㜸㌱挰戵㐰搴㔵㘰㍢㠰〷㜸㘱搲搷㈳慦㍦㑤昰ㄹ〰㡦〱㙥戰戳㙡㌹㝥挵〰㌷㤲改㜳〰㡡捥扦ㄸ攰㉦㠱戸㐹攵㈱㝦挶〰㡣ㅡ㑡つ昰㈵㔰愳㝡㡥㌲挵㤰挲捦〰㤷㐳戸慦〱㤲㑥㐱㐹昴戱ㅡ㤲挴〰㝦つ㐴敤〵摢〱㍣挰ぢ㤳扥〳㜹㝤㈷挱㕤〰ㅥ〳㝣挵捥慡〶晣㡡〱敥㈱搳扤〰㡡ㄱ㠸ㄸ攰㍥㈰㙥㔲㤷㐲晥㡣〱ㄸ扢㤴ㅡ攰ㅢ愰㐶昵ㅣ㘵敡㕣㜰昸ㄹ㘰〸挲㝤つ㌰攸ㄴ㤴㠴㐰㉤㤰㈴〶㜸〰㠸摡〵戶〳㜸㠰ㄷ㈶晤㄰昲晡㍢〴て〳㜸っ昰㠸㥤㔵慤昸ㄵ〳㍣㑡愶挷〰ㄴ愳㈰㌱挰攳㐰摣愴戶㐲晥㡣〱ㄸ㌴㤵ㅡ攰〹㔰愳㝡㡥㌲挵搸捡捦〰㝦〲攱扥〶攸㜰ち㑡挲㌰挶㑢㘲㠰ㅦ〰㔱ㅢ挱㜶〰て昰挲愴晦ㄱ㜹晤㌴挱㍦〱㜸っ昰㉦㜶㔶㌱收ㄲ〳晣㉢㤹晥つ㐰㌱摣ㄲ〳㍣〳挴㑤慡〵昲㘷っ挰㈰慤搴〰㍦〴㌵慡攷㈸㔳っ攲晣っ戰ㄲ挲㝤つ戰挲㈹㈸㡥昷㐲㥤㤰㜴㡣㝥扡㑥散㐹㥡晢改㔸捣㑢攰晣慢㘷挲捡㘷挵ぢ慡㑤昴㘶户㘷昳扤㐹㙢㍣㘵㑣㉦㑣㌸挸㐵㘳㘶〶㌱㑡づ愱㑡ㄱ㉤㍢㍥㙥挶㜵㘲㄰㐱昳愸搹摦晢㔱㠸㘱㘰づっ㥤㠴㉦㐱㠵㜴㝣㙥㌹㈲㙣㠵㔹㠲ㄴ〸搱㤹㉥昶慥攴ㄴ捥ㄳ〹〹捡改㔳㌷㙢搱愱㘴㍥㘵㔶㈷㈴ちㄱ㍣㤲㠰ㄵㄱ昸挵慢ㄲ㐳㘳昰㍡㝡㙢ㄳ㕢㜲挹㜸㉡㤹㌱㌹ㄸ㡢㙣搶㙤收㕥〴㜹㍢戳㔶㤲〷㥥戵㠹愱㥣㤱戱挶改慦㡥㑥㉦㈸挸㠹㘳ㅢ㑡㜴㈷㌳ㄶ㥡㤱㔱㈴㕥㤷ㄸㅣ换敥挷〹昹㐴㍡戳挵ㄸ户㍥ㄲ愳㐲㤷挱㑥㌲㌴㉡愸㠲㐱ㄵ〹㐶㡥㜷㝣挲晦〱㘹㈷捤㥥昹搴㘳慥收㜳挹㤱〹ㅡ㑤ㅡ攲搲㔸㐹㈰攳ㄸ〸㌱ㅣ㉡昶㑥㍤挳㔸ㄴ㕡戲扦〵攷捡扥㔱捥捣搵㐳㌵搸昵㑦㔹攷㍦〱㍥戶攵挲晥搹㐳㤷㍦攸㠶㈰挴〰敥愸㘳摣ㄳ挰㍣捦㥥㐶㡣㝢㌹慢昰㜶㘲㌶㌰㔷㍣㌵愳〹攱攱㉣㥤㌷㡢昶㈱㑣慡㐹攰㈰捣㑣㈱扡㑢ㅢ昹㜹㜶㠶㘱㌶㡥ㄲ㉤愷慣㈷㥢㑥ㅢ㥣㜶㍣〷ㅦㅣ㌵㔲㘶㈴搱㌵㤱捦攲㜰㔹㈷〰㘴㙥㍡㈴㘳ち㈴㘳捡㡥挳ㄲ扢㜹敡㈳㌸㘵㘵昷ㅡ戹㘴㝥㉣㥤ㅣ㡤㌰挳㤳㤹㡦挴㝣挵ㅡ㔲〹㘳扡挹㕤㑦㡡〳㍢㍢扣挲㜰㌷攲㉣㠴愶攳昰㘳㔶〷㔵ㄸ晦搴㜱ㅥち㘰昵㤱㑤㐵扦〰㘹㈱〶摤㕣㡥㈴扤改摥㠷扤㜹㌵㈸戲㐰愹㍥㌲攰搱㉦㍡〸㌳㤵っ慢攷㡣ㄸ慢挰㄰挵愱㙦扣捦ㄸ挵㥤㔶㤵㜳愳ㄵ挱搰㜲戹挹挵ㄸ挳昷攰㔸〸挷㑤㤳挹戸㤹㡢㤰㌰㠸㝢戵㑡㐶晦㘱㝢っㄱ捤㔴〴㐲愱敡㠸㕦㕢晤慥慣㘵㑥㘴攴扤户敢㉦㤱晦晡慥昵㥢搰㈹愸挵㤳㔵晤ㄲ挱㐱〰挵搳〱敡㔳挴昰㌲ㄹ㕥〱〸㌱づ㉤ㅥ㥢挲㜰ㅡ㐱㌷㡦㙣㉢攵㉥㠸㠱㝥〴㐱戱㥣㄰㠴㐴㤱㙡㑦㘴ㅦ戶㠳晡㠸㝢挱ㄴㅥ挴㉣㌷攳㔱㝢㡤攵〹〲㠷㈳ㄸ慣挴㔰㠷㡢㑦㐵㑢㥡㠵戰昴愰㈹㈱扦慡㐱ㄷ挲晦つ戰㤸㉦ぢ攴て敦㌱㉤换㑣㔹㍣昹慥敦挹㕡㜹慢挴㥤㠸㐶昵捦㔱㈳㄰㔵〳㠰慥ㄹ攸昴㐴愳ㅣ㐳晤㉡挱㉦〰ㄴ㈳挱㑥㍣㥥敤㑢㌱晣攳ㄶㄶ〸晦ㄲ攰㔸㤶㑣挵愰㤱换愶晥ㅦ〰昵〹〰慥㐶㌳戳昳㜵攰㐷㥥㥤ㄷ戳〶ㅥ㝤挸㐱㤸㔱っ㌵㕤㔵㠰扡㐳晥㉢愰晡つ〰挵㌰搴㠷攱㑤㌲扣㐵㠶㘱〰づ㝢昸搷〰㑢㕣㜳晡摥改㌰摥㠵晦㌴攳ㄶ挲愲㙦㠳〴㡢㡥〲扡慤㜸㉣晡づ挸晡㕤〰㤵〲攸挴攳戵㈸昷ㄷ摢愲扦〱㜶㑣ㄶ捤愲㠲㔸昴晦㈸㜲ㅣ愰挰愲敦㠱㜰㘴㡢收㔸ㄷ㡦㝥摦㐱挴愲ㄶ㌲慥㉡㐰㕤㡢晥づ愸晥㍤㠰捡〳昸㌰㝣㐰〶㥡㐶㑤〰㠸㐵㈹晤ㅣ搷愲摤ㄳ挹㔴ㅣ户〸昵㌸㡦慡挷㔲㤱㑣挱㌱㌱㡦㌰㘱㠳散㔲㔴㌱ㄸ㜶㥢昴㤸户〲愵㥡昷昹敡㕡㌰㜴攲昱㥡昷㝡㘴㙤昳㠶挰戲搰扥挲㍡攲晥慥ㄸ摦㡡㘹挳ㄴ晣ㄹ攴ち㑣ㅢ〱昵挸愶扤㠱㕤挱愳㌵㠵㌸ㄹ㜵㈳㄰㔷つ愰慥㘹愳㘰搰搵㘴㘴挴散挳㔰㐳㠶㕡㌲㌰㠸ㄶ搳捥㐳敥㘴搷戴㈵㌷㙥㍥ㄳ㌵㠶ち戰攴㤷㍣㉤㜸㉣㌹㥦㉤㉣㘰ぢ㡣㠰㍢昱㜸㉤㜹〷戲戶㈵ㄷ㠲攵㤸㈶敡㥤愸㉡搶㕣㐴攱㜷㈱㔷㘰捤ㄳ㐱㍤戲㌵ㄹ㕤㠳ㄱ㜷慥ㄴ攲㘴搴㍤㐰㝣㡣㜵㌲ㄸ昴㘲㌲摥敢捦㜰ちㄹ㑥㈵挳㝤㘰㄰㙢㉥㐱㙥㘶㈵㉤扤㐴昴㌱攷㔲搴㠰㌹扦攱㘹挲㘳捥搳㔱慡敢〱搴〳㘰攸挴攳㌵攷㐳挸摡收㍣〳㉣挷㘴㑥㠶摥㘲捥㌳㈹晣㘱攴ち捣戹っ搴㈳㥢昳ㄱ㜶〷㡦㕥㑥㈱㑥㐶㍤ち挴挷㥣㘷㠳㐱慦㈰㈳㠳㜹ㅦ㠶㤵㘴㌸㠷っ㡣敦挵㥣慢㤰㕢攱㑥捥㤵晤攷搴昷㈵愷㜰㐱摥㥦㤹挴㜵㜰ㅡ〷收㐷㜸敢ㅢ㔰ㅦ挶㝤挲搳攰㝣㔲散㙤㙡つㅢ㙣㘴㠳㍦〰戱ㄳ㡦搷戸っ搰㙤攳㥥ぢ㤶㘳㌲敥搳愸㉡挶㙤愲㜰挶昷〵挶㙤〱昵挸挶攵㌹〰ㄸ㜱ㅢ㑣㈱㑥㐶昱㌰挰挷㜶㙤㘰搰敤㘴攴㐱㠱て挳㕡㌲慣㈳〳捦づ挴戸敢㤱㍢㝢搶戸戰㉥て㠵戹戰㡥ㅡ攳挹扣㝤昹㕤摥〵㌸て搵㘱㕢ㅥ㉤戸敤㌱摥㜴㙣扢㤱敤㥤捦昶ㄸ㠴㤰㔵㜷㌰〷愴〲㑦㠸㡥㘴戱㝦㔴攲扢㔶㠲㈹㥡愰ㄷ㍢㤸㥦㑥㈱㜲㈰㑡㝦挹挶攸昹搹挵昰攲戲㌹慣摦㤵挵㜷㔶㌳㜵㌷㐱㔴昵愲愲晢㐰愹挶ㄲ㍡挹愱愷㍥㈸扤昳㥡愹捦㡥捦㕥づ戰づ㔳㜸ㄳ攸㡢〶㤲愳戹慣㤵㑤攴敢〷ㄱㄹ搷昳㝥㌵ㄱ〸㌴㜵㠵晥ㅥㄲ㝤摢愴㘲㤵ㄹ㝥攱㌳挹晢㠶攸扥㑣㜶㝦㐶㝡ㄳ戲㜸捤捣搶㜴㔵ㄵ㥢㠹攲㤱㜴ㄶ㡣ㄷ㝢ㄱ㈸㉢敢㉥戰搴㔶挴㕥㤲㈲ㅣㄴㅤ㜴㤱㤷㕤攴ㄵ〷〹搱㔷㍢㕡㥦㤰戲搵㠸ㅡ㔵㜱㘵㔶㔶㔵愹攵㐵㤷㤹㈵扥攴捣㙤㔰㌸㑣㔷㌲昴㝤愸㝣㜴㤵愸攳慣㐵㔹㌹㠸㐷昷㠰慥㝢〱愲戱㔷㤱㘷㠷挲㥢㤱㕤搰搳㍤㡣㕢ち昷摥㠲戳㈰摣〷㝡つ攸攲㉦攳㉢㉣㉢扣〵㤴㜹愰㜸㠲攷昰㔶搰收㠳㔶昸愵㔵㡣晥愹㤸㜲㤰捤㜲敡摡㥦ㄲ㙤〳扢ㄲ晦㤲愴〱收㠰㜰搲慡搷〱㌸㜱搵挳搰㤲搳〵㜸㐰㜳づ㜰戸搵㐳愰㜰挸ぢ㠷㡣㕥愶戴戳ぢ㝣ㄸ㌲㝡㤴㑣戱㌷散摦㐰散㑤ㄷ愱ㅢ挹愴攸っ㜲搸搴〳㄰㐷㤳㡡㘹〶㈱㐰て〱㐴㘳昴〷㐵㈸㑤愳㘹〷㑤搵㌵㜵㡤搱㑦㥣搵散㈴攴散て㡤㉥㐶愱ㄲ㍦㡦愴㑢㤸〳㈲㥡搱捦ㄳ捤扥㡡挶㑡㌵扢ㄷ搴㔲捤攸敤㐹㍢〶攴㐰㌳㝡㜶㑣㌱㝡㜷㑣戱て散摦㐰㑣㉣㠵っ攲㔰㐷戳慦㜸㌵ㅢ〵㔵挷〱愲㌱扡㘲㘵㌵挳㉢敥搱㙣㈹〴摡㥦㈵愵㐰㐷㜸㙢㉢愴搳づ㈲㥡搱捤ㄲ捤㙥昱搵散㈶㕦捤攸㙣㐹㈷慥〰〲捤攸㔸㌱挵攸㕣〹㐲㑦㑡㄰㝡㔳㑣㡡㝥㤱㡣搹ㄷㅤ捤搸扣戶㐰搵㜹㠰㘸㡣慥㔱㔹捤攸㌲㐹愱捣挶攵慣扡㡣攰捦㐱㔷攲昲㌰㜷ㄵ㜳㐰㐴㌳扡㍣愲搹戵扥㥡㕤攳慢ㄹㅤㅦ㘹攷㔳㐰愰ㄹ㥤ㅣ愶ㄸㅤㅤ㐱攸搵〸㐲捦㠶㐹搱㐵ㄱ捤晥挲搱㑣㘶攳㜵愰敡敢〱愲㌱㝡㈹㘵㌵慢㜷ぢ㐵戳〶〸戴㍦戶晡㍣攸㑡扣て㤲扥挰ㅣ㄰搱㙣ㄹ㌰搱㉣攷慢搹戸慦㘶昴㐱愴ㄳ㌷〳㠱㘶昴㌷㤸㘲昴㌹〴愱㠳㈱〸㥤っ㈶搵〰㐴㌴换㜸㌵扢ㄵ㔴㝤ㅢ㐰㌴戶〶戰慣㘶㜴ㅤ愴㔰㌴㙢㠵㐰晢昳慤扢㐰㔷戲昵㤳㜴㌷㜳㐰㐴㌳㙥晤愲搹㠸慦㘶㤷昹㙡㐶〷㐰摡戹て〸㌴㙢愳㌸愴ㄸ㌷㝣㐱戸扢ぢ挲ㅤ㥥㐹㜱㜷ㄶ捤㉥昵㙡昶㌵㔰昵搷〱愲㌱㙥搰㘵㌵攳挶㍤慢搹㜹㄰㘸㝦〷昶㙤搰㘳摣挷愵昰㝥㈰戵ㄵ㈱㙥㐵ㅢ㡢昶〹晦㜳捣搵挵摦ぢ㙤挶昷㍦搳㥣㑤ㄵ㌸挰戱㡦㍤㉡㠳攷ㅤ㥦㉣敥㐴㍣昵攴ㄳ摡つ慤晦〰㌹搰挸戳㌷㔱攲改㜸昴㠳愰搷昵〰㠴㤱攳攳㐹㙦㙥㜲㌲㥤昶㙦挴昹㡤㌹扦㡢㍡敢㝡摤㥡㤷愸㌳㙥改ち扤㜴昵㍤㙦㝤㙢攳昲扢ㅦ㍣散晣㕥摤㜹敤换㠷㍦扢㙡㔷㔷㝣攳㡢㠷㥦㕤㌰搸㜵挳摢㍦㍤㝣搲晢㐳㕤㙡ㅢ㙡㉥㠴摣攲㉢敡〱愸改㝢㍢戳捤㈹㈸扥愳㡦つ㐰㤲っ摥愳㐰㙡㉢ㄴ㌷㈵づ愰晡ㄸ㙡搰㙡愲攸攳愰搴㜱扢㌹㍥㐵㠷摣㥡攵ㄴ扤攳㜶愴㡦㥦㙦㥢收㥡㑤㥤慤㑣㠳㕤㥤㡡㕢㤴㥦愲㥢换㈹摡敢ㄴㄴ摦挵挷戸扤㠹愲㑦〲㠱愲〶㝥㐴搱㙥慦愲〷㐰慤ㅢ〵㌸㍥㐵攳㙥捤㜲㡡㕥㌱㕣ㄵㄸ扦㍤摦戵戲㌹ㄲ戸散㤵挹慥ㄷ㠳㍡戰㜳捤㜴㤷㑡愱愶㥦愲ㅤ攵ㄴ㍤摦㈹㈸扥㜳㡦愵㈱㐹ㄴ晤〷㈰㔰㤴㕢㤶㈸㝡㥥㔷搱愷㐱慤攳㘶ㄴ挲㌴㍡敡愹㕢㤷㜷㙢㤴㔳昰扢㑢㍦晤摡慥敦㝥㝦搳㈷ㄷ㍤戰攵攰㤵户㙤㔲摣戰晣ㄴ㙢㉦愷㔸㥢㔳㔰㝣㤷ㅥ扢ち㤲㐴戱㘷㠰㐰戱㑦攱㐷ㄴ㙢昱㉡昶㉣愸㜵摣㡢㡥㙦〴慦㜷㙢㤶㔳㄰收㠲㜳㌷搵㈹扦㉦㕤㘹晦摥㜴㔵愷晡㍣㙡晡㈹扡愶㥣愲つ㑥㐱昱㥤㜹散ぢ㤰㈴㡡晥ㄸ〸ㄴ攵〶㈶㡡慥昲㉡晡ㄳ㔰敢戸㌵ㅤ㥦愲摣捦愴收㕣㡡扥户晢攲㉥㉡晡昵愹㘱昹㕤戱挳攸㔲摣捥晣ㄴ㕤㕥㑥搱㘵㑥㐱昱摤㜸散㙥㐸ㄲ㐵晦ぢ〸ㄴ扤て㍦愲攸㤹㕥㐵㕦〴戵㡥㍢搵昱㈹捡敤㙤㑥㐵戹捡慥昸昹昶慥㠷敦㝥㐳㔶摢摥昷づㅤ㝥晦攰敥㉥挵摤捤㑦搱搳捡㈹扡挴㈹㈸戹〳扦ㅦ㤲㡥㜴〷敥昹㍣㤸〷㍥愱〴㐳㥡敡㠴㑤收㘶㠶搰㌶㤹㑡㐹㔴㔸㠳敢慡ㅣ㍥搰摤㠶㥢㔹㕣㔲攱㙦㌲㥣㘰〶㌷戶㍣晤㜷㉦㐴戴攴㔸㌹㥣搸㤱挳つ㐹㔵愲摦挲㡤㝡㍣㠲てっ昳昸㡡㍥昳㔱戸换㐲㥣㕥挹㑤ㅦ摢㍥㍦敡つ晡㠶挸摣㑥攷戸㘶㥣戵㠷晢摤㙤㤰户㕣挷㜷戹ㅥ晥ㄹ挶换㝢挲ㄳ昷摣摤㔶慡㔳㌰捣㜶昴㜳㑤攰戰昴ㅢ愱慡㝥㤵昳散ㄷ〰晣㜸㑥㍣㍣㠰愸晥㈵㈸昶㕤ㄹて晢〲㈱晡っ挵ち昲攰愲㡦ㄶ㈸晡㠲戶扡摡㜵㈲㔸㔵㜱㡢收㑣ち扦〶㔰扥㝢㡢㝣扢㜷〸㜵㌴扢㌷摢戵㌷㐸㘲慦〴攰㤸つ㜹㜶捦㑤敡㐹㘴愴挱户㠰㤴㙦㜰㥥㙦㠳晦㡢㍡㐵つ扥㐳㤲愷㐱敥戶〵つ㜲换㤲〶㝦〳挴㍤㔸㉦㌴㝥挴户戱摦㔲㜲愱㜶敦㤳攴㘹㡣㍢㕥㐱㘳捦㠰㈰㡤晤ㅥ㐸㜹敤㠲扥つㅥ愶昴挲〶ㄵ㐶搰摢攰戳挵つ㜲㌹㤷〶㉢挰㔹扥挱摦晤摥㙦㝡昱㠰戰愸挱慡愲〶戹㈳ㄴ㘸挸㘵㔵ㅡ攴㕦ㄶ㤶㙦昰㕤摦〶慢㑢ㅢ慣㉤㙡㤰㉢戳户挱㄰摦㠱愳㝥㐹挱ㅢ㔸㠸攵捣昹㍢㐹摥慣慦㑥昱慦㈴晤㉥㙡ぢ㍦㘴愸㐳㐷ㄴ摦㉣捡搰晣㔳㐹㈲昲ㅣ〲㘴㌷昴㝣㔲摦〰㐶戲㕥攰攵攱搴ㄴ㥥㠵愴㜲㔶ち捦㈲㉦て㘷㤴昰㥣㐰㉡㈷㤳昰㥣攸攵攱㈴㄰㥥㤳㐸攵昸ぢ捦挹㕥ㅥ㡥㥢昰㉣㈶㤵㐳㈶㍣愷㜸㜹㘸㙡攱㌹㤵㔴㕡㔹㜸㤶㜸㜹㐴㘵㙡㜲ㅡ愸㙥㡡㔱㜵搹㐱㤷〲挱づ㉡㑡㤷㜰㔱㜹攱慡户戹㐴敤ㄲ㉥慡㉦㕣㘷摡㕣愲㜸〹ㄷつ㈰㕣换㙣㉥㔱扤㠴㡢㈶㄰慥戳㙤㉥㔱扥㠴㡢㐶㄰慥㤵㌶㤷愸㕦挲㐵㌳〸搷㉡攱㡡戹〶㔰搴㔹摣㠵ㅦ㘳〲㌳㔶改㐶摤㠸ち㈸慡㈹〵㍦㉡㉡愰㘶㔲昰㝣㔱〱㤵㤱㠲㝦㉦㉡㘰晦愵攰㠷㐵〵散戲ㄴ㍣㔷㔴挰㕥㑡挱戳㠵〵搵晦て㐵〶攲㙢</t>
  </si>
  <si>
    <t>㜸〱捤㕡㝢㙣ㅣ㐷ㄹ摦戹扢㕤摦㥥敦散㑢㥣㤶戶㤴搶昴愱ㄶ㕣慣戸㘹㘸㑡〹愹㝤㡥ㄳ㔳㈷㜶㘲㈷㉤戴攵戲扥㥢㡤㌷搹摢㜵㜷昷ㄲㅢ㈲摡搲ち摡〲攲昵㔷愱搰㠲㜸愸㈰㐰㠸愷愰㐸〵㔵㠰㑡㐱㈰㈱㥥㐲〲〴慡㄰ㄵ㉡㠸㍦昸〳愹晣㝥戳㝢攷扢昳搹㐹摤㔴昲㔸晥昶㥢挷捥捥㝣敦昹收㌴愱㘹摡㡢㈸㝣戲㘴㠸㕣㍡扢ㅣ㐶戲㌶㕣昲㕤㔷㔶㈲挷昷挲攱搱㈰戰㤶愷㥣㌰㑡㘳㠰㔱㜶搰ㅦ敡攵搰㜹愷捣㤶㑦挹㈰挴㈰㕤搳戲㔹㌳㠵晥挶㝦戱㠱㤸㝣换捣〰攴㌱㑡㥢㉢㡤㑤捦㥦挰搴戳㤱ㅦ挸敢〶㡦挶ㄳ散ㅥㄹㄹㅥㄹ扥攱挶㤱㌷づ㙦扦㙥戰㔴㜷愳㝡㈰㜷㝢戲ㅥ〵㤶㝢摤攰㑣㝤摥㜵㉡户捡攵㌹晦愴昴㜶换昹敤㍢收慤ㅢ㜶㡤摣戰㜳愷㝤搳㑤扢昲〶㘶㍥㔸ㅡ㥢〹愴ㅤ㥥慦㌹㝢㌸攷㜴㘹㙣昸愰㡣捥搷㥣㔹捣㠹㈹挷晤㥡攵㜸攷㘹㔲㥤〴摥㌱㉥㉢づ㌹㈱㘵攰㜸挷㠷戱散㌶㐲愳㜶攳昰〴㈸㕥戱挲愸㈴㕤昷戰戴戹挱㝣㡤㌴㤳㠱昴㉡㌲散慢敤㕤慡㐸㌷改づ戳戵愳㔶㜰搰慡挹っ㤱晥㕡捣户挹慡昴㈲㈷㕡㉥搴㡥㠴昲戰攵ㅤ㤷ㅣ愲搷昶搵㥤㙡㈶㈳㌲ㄹ㉤㝤㑤户挵㈸摥っ㑦〴㤵搲㠲ㄵ㐴慡㐶慥㡤㜴ㅢ摢㈲㈱㙡攱㙤换愲ㄴつ㜶扣㐵㌶捤㍡戵㕢㘵攰㐹㤷ㅦ攱摥㠶㍡〶㈹㥡挴愴㙦ㄲ愷戱ㅢ㌲㐶昴㈶挲捦慤昰㉢愶㐹㤰〳㌰㝡㠹ㅤ㥣㌹㍡戸ㄷ晦㍢捤㍣慢〵〰㤱昹㌷㔴愸昵㐵㡥㑣㤵慤㔴㜹㍥㔵慥愴捡搵㔴㔹愶捡㜶慡㝣㍣㔵㕥㐸㤵㥤㔴昹㐴慡㝣ㄲ㘳ㅡ㈵摢搳㤳㑡捡敦㝦收て㍣㔸晥㑤改ㄳ慦㥢晥攳攸㤱㍦㕣㈹愸㌵㑡㝤晡㠱㤸㐵〰㘳ぢ㐰㡥ぢ㤹㥢㔴㉢搹捡㥥〱〰㈱㥥挷㑡戸㥡攷晥㌳戰戸敤攴户㙦㜹㘲㔲㕥㌳㌲昷晤㑦攷㉦㐰昷愱㘴㙦攳㠱㜵ㅡ〲戲㈲㝢搷て㙦攷摦搹㤵づ㍡㘷敦戴㙦戴㐷㐶慡㍢户㕢㍢㉣㥤搴㌹㔷㔶㙦挳搸扣㝤㥢攳㔵晤搳㡡昷㜹㝢挲㜱㈳ㄹ愸㑡扦㡤㐷㉣扦慡㕥戰昷㉥㐱昱㉢戱㤸㙣戳㑢㌲㠸愰㌰搱昲㡡散㕣㍡㘶㠵㜲愵㍡㤴捣㍤收搷扤㙡昸敡敥㥤戳㤱ㄵ挹㑢㍡晢㔶㈶㔹昵摡㉣㤴㐹㠶㙡㐹㤷㜵扥㜶搴㜲敢㜲㜴挹㠹扢㕦搳搱つ戵昲攷搷敥㥤〸攴摤捤摥㔵㉢ㅡ㠵攱㍤愵收㕥戵换戸㉢㕥搷㘰㘹挱て愵愷㤶㌷㔴㥢㜱㉡㈷㘵㌰㉢㘹戶㘵㔵㙤昵〲㜶㈵扡㍤㌴敤㘱愳搰搶敡ㄵ慤慤㈴戴昴慡戲㡡昵㉥㠲捡换㜳搶扣㉢㉦㙣ㅢㄲ㝦ㄳㅤㄷ户㌵㑦昸㤵㝡㔸昲扤㈸昰摤昶㥥搱敡㈹ぢ昶愴㝡挰慦捡㡣㉡㕡っ㠵㤶㑥ぢ愱㕤摢㑤㌱㌹㜷㐸搵㙤ㄱㄲㅡ㠸昵〷户〸ㄱ〷㜷㔵昹收捣㐰㕡㠴㡣攳㕦户敥㑡㕡㠵㤰愳户慦㍢扡㡢㤰昲愵㡢摡ㄵ㙦昸㌰昸〳㍥戸㤲㕡㤹扡㙡敤㈹㔷攴昲㉣㉢㙤攱ち扤㌴㐷慦㐳㌴㌵㙤㔳昶㕥搹挱愹搴㐰戲晢扤愷攰㌵昶㕢㕥搵㤵挱扡㌱㠶攰㡡捣ぢ〹㕥㐵㜰ㄱ挱挵〴㤷〰攸㝦㠳㝤㕢㤳愲㌴㤷㘲㐹㉣敢愷㥤㙡戴㘰㉣㐸攷昸㐲㠴㌶挴㈶搹㉣挹扤慡㤸㤷愲挹㝣つ挱㘵〰戹㥣㘶㕣捥㐱㐶捥ㅣ攴攳戵〰晤つ户㌹ㄸ㑢㘶㑥搳改ㄲ㕥扡攳㘲㐴㘴㉡㍦㠹㐰㈶搴㙢㤸㌷㑣愷扢㔱㘳扦ㄵ㉥㐴㔴挴㜵㍢㤵㡢扡㠲㤳㕥〹㤰扦ち攰攰㝥改㐲㡤捦㔷っ愴搳捦㥤搵搷搲〵㕤㔸㥢㕤昶㉡ぢ㠱敦㈱㉣ㅣ户㈲㙢戴㠲㠰㈲ㄴ㤶㔱㥢昲㑢昵挸愸敤㜷昰挸搷づ换㐵㘹㐵㈵㤸改愸㔰㥢㐲㌰愲散攸㘴㜵㐹慦挵㜱挴戸っ㉢㈶〳㡥㐹㤸愵㈵〳ㄸ散㙣扥㐶㐳㈳㤷㈲㑥摤㔳㥢戱㄰戰㐴㈶〶つ愹户㘲㡣㙦ㄶ㔴㕢攳敤㕣㔲挳っ㐵㠵戶捣搲慢ㅡ攲㤹㌴㑡づ㍣㈸扣㙤㈶㠱㥤ㅡ㜴㈴㜲摣㜰㌸㈱敦昰戸㡦㠰㔴慡挰㤸㘴㌷っ〸㤸戱㉥戳㍡ㄵ㥤ㄱ换㜴㘵㍥㥥ㄶ㑢搹ㄷ昸昵㐵㐶㉤攷㙢ㅥ捥愵㤹㔷〳㍣昶慦㉦摥㝣昵㈷扦晡㘲昲扣〷㉡愴㡡愹㠲ㅡ捡㍢慢ㅣ捥㘲㕥ぢ㤰㕢慦㑦㘷攰搳搵搲慥ㄱ㕣㔱㔰昳㌵散㜶㉥㤰㉡㕡捣慡捡昲愲㉣搴㙥昳㠳㤳昳扥㝦㤲捣敦㔳戵㜰㐱捡㠸㈱㔸㙦ㄲ㜱ㄲㄷ㐲愴搳㙤㘱㔶㑢慣挶攰捤戸づ愰㌰敡扡㠳㡤ㄹ㐳攳つ㘸㑡挳愳ㄸ挳㐰捣挳戳㤳户づ㉦戹攱㤲昸㈵戶换㐰改攷㥦㥤晣敤扥㐷㌲搳て㕤晦搳㌳㍢㍥戱攷㈱昱㡢愴㘳㔵㈰愶攲㉦㑥㌲㐲㜰㍤挱づ㠲ㅢ〸㜶〲㠸㘷昰㉡㡤㔳〶㕡㝥㉤〴㘹㉢㐴慡慥㌴晥㐶㡥搹㐵㜰ㄳ〰㑣㡣㐹㤲挳挲摣捣挷㥢〱㔶㕢ㄸ挱㔸㡦㔶挶摣㑤昰ㄶ〰㐱㌵愳㍥㙡收ㅥ㠰㌵㤹捡〰㔱㝤〱㡢㔹㘱敡ㄸ㕡㜳收㍡㝤㠲㌱㈴ㄹ㙢㤲㤰㈶㐹㘷㤲㙣攲摢㤸愶㉢戱扥㤵㜴㜴㠶㥢㍡㡤㜷愷晡愸搸扢改㠸㕢㕣㝣ㅦ〶ㅢ昶ㄱ捦㠹挲㕥㝢戴ㅥ昹ㄳ㑥㌴ㅥ㐶㜹ㅢ〰愸㝡攵ㄲ攵戳㕡㕥ㅡ戲㡦㍡昲昴ㅣ〴攸昲搵㕤㌸㤶㤴敡㘱攴㉢换㜰搹敡晥㜱晦愰ㅦ㡤㍢攱愲㙢㉤㕦搵愵㍢敥戹㙤㐱㝡〸愲〲挴㔲㘷ㅢ攴㉦㉥捡㙡㤷㌵捥晡昵愰㈲㈷挷㌷㐳ㄸ㈶㘲ㄳ愷㐱㡢㘰攰挴搵㙢㠷ㅤ㉤㜴愷㉢㑥㐱昳挴〶扤㌸攵㕣㌳愷〸昱㑤㠸扥㜹〰㈸㌴㐰愷㙢㕦㕦㐴㕡〲㍢㥡愹㥣つ戶挶㙤㠵攴攴㌰改㠵㑥㔵收㤲摡〱挷敢㑢搰改㝡搴搶㘳㉤つ㈴㍤㌰て搳ㅥ㔸㕦戱㠲敡㘶攰ち㌶㠶ㄲ戳㐴ㄸ昸摢ㄸ愱攳㘹㌴敤㠵㐶㉥攷㠵㝢愰散〷搱㑣㕡㌳㠲敡㙡慤㥢敡〸愴㈵㉥愶慤㉢㤰摣捤收㉣㙢〷愴攵㈹㉥捣㐶搵㜱㜹慡㑦㡤㤰㄰㜰㘴〳㕣㌹搰㕥㔵㑥摢戴㐷攷㐳摦慤㐷戲慦㠹㈹㐵㌷敤挳搲戵㜸挶挹㌷戱㤹㑡㠴㔳㘰㜳㍥㥥㕦㌶て㠷㐰㤱㑣挲㈵愱昸㘴慣㈳扣敤㥢愰づ㙤㤰慢昰㈲戶㉡晦摣㈳㍥晥〸换ㄳ㝢戴〶㤲㘳搱㜴㐶挶攷㝥㠸愱㈶つ㌴捥搶戱㠵㔳挶㉢摦㘸攳昹愱㘰㉢扢㠷㈴〱ㄳ㐱晤㔴ㅤㄷ㔹扡挸愹㔸慥扢摣㘷㑦㝡ㄵ户㕥㤵㔳搶扣㜴ㅢ㌶摢て㙡㥢㠴㕦㉡㡢ㄹ昳㙡ㅤ扡㈴㈷扢㐹愴㌲ㅢ㐷愶つ㥢㌹捤㥣〶㔹㤵换挵ㅣ㌹昳㄰㙡㘴つ捦㉢㉦昹挴㐸㥦扦㜵㈵摦愱昲㙢㌰㙤慢㥡㘸搳ㄸ㍤㌷て㥤㑡攳㕡㠶㑤昹㔳㍥ㄲ〲搵㤶愶晤㑥摣戴㘹昴㑡戱挹㌰㡣㡤㍡ㄸ搰ち攵㠵㈴捡㠱搱㡢敢㝢㐸㝦㜲㠰㠷扢捥戸扢㈵㄰㔱扥㕦ㄹ㐱㐶㕢晤戴㘰㜱攰㌰攷㐴慥散戵㔵扦挲戳㔴〹㔲戳挷㥥㕢㐰っ㍢㕥戰昷〵㑥搵㜵㍣挹㈰〴〹㉡收㌴愷攴㜱愴㔲㘶晣搰㘱摥扣㘰捦〵㤶ㄷ㉥昲愸㔲㔹摥摡㔶㔳捣搲敤㌱挷㠳〲挵摦㈴摥㙦捦㉥昸愷㤱㝡慦搷扣㝤搶㘲戸㈹ㄸ〵㉢㤴㤴㔸慢㔲㈲㤵ㄲ搹㔴㜶愳扥ちㄲ㡥㈹ㄹ㐲愷〸ㄲ㔶昱〸扥㡥扥㤲㑢㐹㈲㡢晡捡㌵戵㘵慥扢㥥愲㥢昷ㄶ㉡愵㜰㤸敦捣〲扣㜵摦㤱挹㤵昴攷换扡㜷搰㤹㌴㔸挷ㄵ㈸戱㘸收㕡㤸㠱攸㡢㐵㠵㙤㤴ㅣ㔳㜱㥣戵㑥昱换搹㙡っ㈵ㄱ摥㤳挳㠹㑥攰ㄴ㥣㠷攲挳昴㈲㝢〰㥢摢ㄷ㔷ㄸ捥搵㉣㌷㑣晡㑡㝥慤㘶㔱戴㈸㤶戳戰摢㌲慢㘲㙢㔸ㄲ搳〶㔰昲㤷㌴㔹㑢㘸戲㤶㔴ㄳ摣㌱昳愷ち攷㕣晥㜱㉢㜰愲㠵㥡㔳挹戲挲ㅣ攷愶㤰㐹㠸㤰㍡戱㠳愰㉣㑡㌰ㄱ愸㜶㘶㉡攲挳㌵搸㍤㡣戳〳㐹㐷昶㐳㜲㔳捡㠷㡢つ㈶愷㈰扥捡搸㥢㐷㌰㥢捥㈳ㅥ捣㍥㈰㑡㑢〰㠶ㄶ㘵㠴挴㈰摡搹㙤ㅥ〵㘸㤴捣ㄵ挰搶捤ㄷ昰昸㥥㥢昲慤敡〴搲攰㝥搰㤳摣㤳㘵挱㕡㥡㤴愰挸ㅣ㔱〹〹㔶㈴㙥㑦㈱づづ戲㙣㤸㐵昶㈵挳散㤲ㄱ昳㤰戴搱㜴扤㌷摢敤㕢㤳㡤戹慥㑡捥搲慤㤷㝥㤳慢收㝦晥搰㉥㔸㔶㙥㑢㕤㐹摣〶搴扣ㅤ㐰㌰晢挴晤㜴っ㜸ㅢ〷扣ㅤ㐰㘷ㄲ愲㔳㑢搶捣愷㜰㜲扤挶㍣㑦戶挶敤㈰摣㌰㤰晤㐱扥〸㈴㌱㝡戳捣户㤸㜷〰晣散搹㘷㜹㌸搶〴ㄳㄶ㡤敦㌳搵㤰换㤱㜸收㥤〴㜷〱〸ㅥ摡㔵㐶昱㜲㈰㥡㔹〶㐸㈷〷㤲㘳挰攱㉡〴㑤ㄱて㈵㡤搲挲㐹㠴搲ㄶ㥡㌹㡡㘷㝥㠶搳㘴攸搹㐲㌳挱摣〰挳㌳捤㥣㈷攰户㔵㝣㔰〵挲挹㤸㌶㘰㡣㄰㤷㠶ㄷ搳戴㍢㠲㝢扥㍢昶攷㕦敦搱㐴㉣㐰捣ㅦ搰㤳㘹㠶㈴㐰搶ㅦ㑡慤㤶搰㘱㐴〵㤳っ㌴愴愶つ㈰㤸㙤愰㝤㙡捡敢〲昰戳换㉢戳ㄲ㑡㕥㥤〴㘱㐵㤰搲つㅡ〳挵〶㤴㄰㥣〰㙡昲㌶㑢㌰㐵搱㘵㠰换〱㌵づ愰散㔰㄰㑣て愰挹扢㌱㔴ㅡ慦㌱ㄵ㤰昰捥攷挰㐵〰㥤愷挷㜳㍢慤㤲改挵㤶ㄴ〲敤㙢戸挵㍥㔴户㕣㕣㔷㑥㈳㡥㡤搸戴ㄹっ㔸㈶㍥㑤㜴㕥㥥戵摦㘲攲㈰慥戶㜰挷㕤摣㔹㈷つ摡挷㈶㝢ぢ㌹㜲㘳愷㡤㥣晥㈱攴㜳捥敤㉢㤴㠸㥥㔳捣换㤶换㕡㤶摦愴㌰攴捣㠰㄰㤲捤㔳扥ㄲ愱㔶㤳㈷㜸ㅥ㕤搵慡㌳㜶㕥挷昱㜷〴敡㝣㝦㘰挵㑣搱㈱つ戹晣㘵㐲㌷晢搶敥晦㜹ㄱ㈰ㄸ㥢慦㕡㠳㘰㘸愰㕡㑦㈵㠸戲㐱㌴敦㘷昵㈸㜴㐳㐸㐱搰户㐴换㉥晣㌹㔱收㌲㘳㡣〶㉣敥挶愲晤〰㠷㤳㑣攷敤㐵昳㕤㠶〷扤摢㍡㙥㡢搴㙢散愱敢搲ㅦ〲㡢搶㝣㥦㍢㔸攱ち摦㘱㌱㤶〰戶ㅤ㜰㉡㠱ㅦ晡㜶㌴㌸㡢㤸㜴㤰昷㠷戰ㄱ摢㐷昵昷㘱挶慥摦攴挶㌲ㅥ㙦昶ㄵ愳㜳㈷㍤晦戴愷㔶愳㠷扣㐶㔵昴敡改攱㘷㜸㘶㔱攵㑡㔰戱搸攰㜹㤱づ㠲愵㐸㈷挱㔲愴㐷㘰㈹搲㉢戰昴搳㡥昳㜵㐶㘸攷戵ㄴ㘹晤挹㐶攳㥤〰昹搲㔸㔹㌹挴挳戸㘳㌴摥㠵㤶㉤㘸㘹晦㍤㠳㜱〶捤㝤㘸㙥㠹㌵㡢㜴ㅦ捡搰㜱㤱收扢〹㜸敢㉤攸㐲㘸㤹㜲攲㕥㄰㤰㥡ㄳ㙢挰㝤㙣㠳〶ㅣ挳㔳㔱攸㍤〹挲㡡戰ㅡ慤昷〳㘹ㄴ㌱て㑣㥤㈰ㅦ〰㈲攸ㅤ搴㥢㙤㘳㤴㐱㐷㡦昹摥愴㥢㥦ㄳ㌴攸㐷㠸㉣㘳〱㤴つ攰㥡昱㈰挰㥡っㄷ愷㌱㡣㑣㙦㘷ㅡ㙤㍤㌹㙥㍥っ㔰㐸ㄷ㑦攰挱㔲愴㙤㘷㈹搲㤰戳ㄴ㘹捣㔹晡㘹挷㌹换昹攷ㅤ慤㍦㌷㘸扣ㅦ愰㠳㈵挶〷搰搶捥捦て愲㘵㌵㍦㡢㜴ㅦ㥣挵散㈷攰ㄱ捦晣㌰㠰愰㤵㔲ㄴ晥〸㄰づ㔰戴㔴收〱㤵㘶㤸挶㈱㐵ㅡ〴㐵㤷㡦〱㈹愴〵㈵愰㠰晦捥㈴戹〳㡡㜶㑤㤲㉦㈴ㅤ慢㙥ㄴ敥挳㉣㙡ㄵ㡦〰㘹慣愲㐸㜱㔱摦晢㌸㄰昰攱㝥㍣㔸挴〳〴昸㌷ㅢ㉤㈹㔴㡡㤴〶㌵晣㔱㈰㠵戴㑥敥摤扣㜶㙡户㐵戲㠷㘰㔸摢敥晤昷攲ㅥ㝦㤹㤳愶ㄱ㍥敡㑡㔹㌲愹㌷㙤㙣㉥扡㉤㑡〵晦昵ち㈸昰㌲收攱愶㔷慣ㅡ㘷㘴㈰㘵㝥ち㐰㤰㥤摤戸昱㡥戵戸㜱㔷搲搱㜹㘵㔱愴㈸㈸㐲㝥㤶㤳㝦㡥攰昳〰㌹㥤㝣㝦晤摡㔴㠸て㔸㉢扦ㄲ愱愸改㌶敤㝦慦ㅤ晦㐸㠳戴㔰㌹㙡㔷ㄹ捦㍣捥㕡〱㝥愷㌱㠵搴〱㑥㔸昸捤㔲㘲㠵㤰㔲㘰捣摢㠸收㑤㔵㔳㠴戴愷〳㠴昷㍤昶㘴㠸〴㐵㌵㡢换捦〸扦㥢昱㌶㐳ㅣ〳㜷挶晢㉥㤴昸〸搶搵㤳搰㐵㜴㐶晦㉤㔹㤸ㄵ㝡㌴㌲㜱㈹ㅥ搱㌶ㄶ挵ㄸ㕦挰挷㔶慥搳㤴敢ち㔳攲㜶昰㕤ㄹ扤㝦㕣㝦戱㌲㤲㌸〶㙡收ㄳㄸ慢㉥扡㐴扣〷㐴㌰㕦㘲㤳ㄲ㌰〲慤㐸攵㔴㜲昱㘵㜶㝣㠵攰慢〰㌹㐱晤愴戶㠹ㄹ㑣㑤ㄱ摦㠲㑡㌶㤵ㄶ搴㐴ち㡤昱㌵㠰搵㉢㌹搸㜵㈵㕦攷ぢ摦〰攰㙤㘵扣ㅡ㕣㤷㤸摦㐴㑢换㙡㜴ち㝤㈷㠹ㄹ㘱㑣㜰晤ㅤ㍦㝡攸敤㈵摤㥦搸昳昷㕢摥㝤换挳愳㠲㜲慤搶㍢㤹慣昷捤㘸挸愶っ㐱㔹㔷ㅤ晢㤳づ㐶晡㔹ㅣ愶㈹晦慡㘳㕦搲戱〷つ收㜷〱㜴ㄲ敥㥣㌹㑡〵摥㘰挸昶㍤扣㉡挸ㄲ㘵昹㥥㑣㄰㔶〴昹愱㔶㔷敡搸て㜹愴㍡挶㍡昶㐳扥愹㡥搱搶晤㍣㠵㔶㐱昲㉢㘱昸〱㙢愴扡晡攰てㄳ㠴㤵㝥㙥㥣ㄱ㑤㙡㐹㔴㡥㔵㡦ㅤ晢㙦㝦㘶昰㤲捣敤户攴ㅦ昹搳㌳㝦昹攸慦敥摣晤摣晦ㅥ㝤昴㔷㝦晤攸戳晦㝢㜲㝥昷㡦㍦昳㤹愷摦晡搸戳㝦搹㙡㍦㥥晡搶㝦愷ㅥ㍦㌳㜲昲捣摤昶㤱搷敦㍢昳戶ㄳ㠷㐶㘶戶っ愵搳㍤㍤搷っ晣攴愲㙢㡢昷摥晤ㅤ昱㠳摦扤捡ㄳ㙡戳昸㐰搳〱〱搷㡡摣戴ㄲ挰愷㠱ㄴ搲晤㑦攱昱㡡㉥㐳㤱〰ㅦ㘹㍡ㅡ攰㕡㤱愴㔰换昸ㄱ㄰昸㐱慥㐶ㄱ昳愶㠴㤸㘳㘸挸攲㑣捤㝥搵戱慢扤愳昷晦昸敢换㤴</t>
  </si>
  <si>
    <t>㜸〱捤㕢つ㜴㕣挵㜵摥㔹敤慥㜶㔶㤲戵㘰㠳昹㌱㐶㠰㡤晦挴愲㕦㑢〶㕣敢捦㌲〲换㝦ㄲ愶攱〰捡㤳昶慤戵㜸㝦㤴㝤㉢㕢愲戸㌸ㄴ㘸昸㐹㐸〹挹㐹〹〴〸愱攷㌴〵㐲㌹㄰㘸搲攰ㅣ㑥㕡㥡㈶ㄴ㐸㥡搲搳㌶挱㠴ㄲ㐲㠱〰㙤㐲㥡昰攳㝥摦㝤㙦愵户扢㙦㈵摢愱攷㌰昶扢㝢攷捥㥤㍢㜳敦捣㥢戹㜷收挹愷㝣㍥摦㈱㈴晥㌲〵㠸㉣ㄹ㥡戶昲㘶㍡搶㥢㑤愵捣戱㝣㌲㥢戱㘲摤戹㥣㌱扤㌹㘹攵慢挰㄰ㅡ㐹愲摣ち㡥㔸挹㉢捤昰挸ㅥ㌳㘷㠱㈹攸昳㠵挳摡㡦昲㙡攷㠹ㄶ㌲㥡戵㜴㠰〰㕣㍥ㅤ㈲㈰㤷づㄳ㘸㠰摡〸挰㜰㙦捦搶搱㉢搰收㔰㍥㥢㌳ㅢㅢ㜶摡㤲搷㌷㌷挷㥡㘳㙤ㅤ捤㙢㘳㑤㡤つ扤㤳愹晣㘴捥㕣㥦㌱㈷昳㌹㈳搵搸戰㙤㜲㌴㤵ㅣ扢搰㥣ㅥ捥敥㌶㌳敢捤搱愶搶㔱愳慤戳戹慤扤㍤戱㙥㕤㘷㙤つ㈴㙦改敤搹㤶㌳ㄳ搶㠷㈵戳㤶㌲户昶昶挴戶㤸昹て㑢㘶ㅤ㘴㐲㘴㕦㌶㙤㈴㌳ㅦ㤲搰㈰㉤摦摥㘷㡥㈵㌹㐴愶㤹㑢㘶㜶挵搰敤㈲㐳㈳搷ㄱ敢戶慣挹昴〴㐷扢搷㑣愵㜶㤸〹ㄹ㥡㜴㥦㤵摦㘶攴搲㔶㙤㥡昶㌳㜳㘶㘶捣戴ㄶ愴㌷㑥㡤㤹㈹㠷搱ち愷㜷ㅡ戹㉤㐶摡っ㄰愹㑦摢㘳㌸㄰㌷㌳昹㘴㝥扡㉥㝤㤱㘵敥㌰㌲扢㑣戲〴搳㥢㈶㤳㜱ㄵ〸攰扦慦㙡㠵㔷捦㘴愰搰㥦㜴敦戸㤱换㑢㡥㐳搸散挵敢㥡㉥愲㐵㔱扦㌸愵ㅡ㑡㙡㜱捣㠶㤲改ぢ捤㕣挶㑣戱ㄱ㡥攴㥡ㄲ㈶㌱㤰㍤づ㌳㤶㥡㔱〷晣慡挶㜹㐵愸ぢ㕢〹㉤〰㘸ㅢ捥㈵愱收㘴捡挸㌵づ㈶㌳敢㍢摡㕡摡㥢㥡㥡ㅡ㌷㈷㜷㥢愹愴㘹攵搷㜷ち愱愹㜱搰㤸㕡扦慥愹㠳愵扡ㅥ㌵㜵㤴㌲㡥㈱搸㙣㡣㘶㈷㜳晡㔸㔲ㄷ〲愸挰敢㜸㍦摤敤搱ㄶ晥ㄱ挳㍦㌲敡ㅦㄹ昳㡦挴晤㈳愶㝦㈴攱ㅦ搹攵ㅦㄹ昷㡦㈴晤㈳㔷昸㐷㜶㠳愷㤰挲搵搵㝥㈷摤㤳扢昸昶㡥て㙡扢慦昹攰扣㝦昹㡢㝤㤷㝣㑦昱㤵㤴㌷晡㌸㈰㍤㈵晤㙦㕥户戶㤵晦㘲㙢㕢㍢㕤㑡戴㌴㜷捡扦㔸㘷㡢㈸搲搲〶㌵㤰㘲㑤㑤㉤晡㜸挸搱㡢〱㐲㈷〰〴晡㈷捤㤴㍥㤱戴㤳〰㤴㝡ㄹ扡㔰㥦摦敥扢昱挶㙢愶捥戸攰㉢昷敥晤攱㤶〷㡥㝦㕦㜱㔹㤰㡥㉣〱戲戲愴㈳慤㥤ㅤ慥昶摢㕡㙤〳戶㜵戴敡㔳㈸㝡㈹㐰攸㔴㠰㘳晡㤳搶㜸摡㌴㔲つ㑦㍥搶戰㉤㤷ㅣ㌳㜵〳ㄹ㑥〳㔰敡愷㑥摢慦摥㝤摦扥㠷㠶摢㝢晥晣愶攳㈶㙥ㄸ㥤搸愹戸ㅡ㐹摢㘷〰㔹戲㈵㥢㑢㘳㔵ㄹ㌴㡤捣晡愶㔸㜳㑢攳㔰㍥摥㘷敥〱づ昵㤶㔱摣㜲㠰搰㤹〰搱捤㔹㈳挳戶〶㌲㜹扣ㄹ㔶㕥慦㘰昹㑡〰愵㥥㜷㥡ㅢ㑡扣㕣昷挵㘷扦㌶㜰晤㍢晦晡挶扡㉦晣晣㙦ㄵ搷㍤㘹㙥㌵㤰つ愵慡慥ㄵ攳挶㘰㘱户捡㑤敢昸㉦搶戴㑥㉣摥搶戶㡥㈹㠶㐷慦㘱㡢㡤〰愱戳〰敡〶㤳ㄶ㕥捣㤴㤱㌱戳㤳㤶㡥戱昰㙣〰愵㥥㜵扡㜳摤愹㍦㜸昴慡戶昷戶摣摣㜸昰㙦㝥㘴づ扦愲昸㥡㑢㜷㥡㠱慣㉡敤㑥㜳慣摤搵㡦搶㜶㘹扦戵㌳搶慥㕢㈸扢ㄵ㈰搴〶戰愸搷挸㘴捣㜸㐳㝥㌲㘳捣㕡扦㥤㍣㙢〱㤴晡㥥搳晥㠶挰昵摦扥晦㍢昷昶敥㍦ㄴ摡昶换昰㙢㔷㉡㉥晥搲㝥㈷㤰㔲㜳戴戵㜴戶㜷㌴户挵㕡㍡摢㕣摤㘸敢㔸摢扣慥愹㉤搶戱㔶扡搳摥搲摡搹戴慥㍤搶搲扡㔶慦㘳㡢攷〰㠴捥㈵㌶㘸㘰㘰㤲㐶捡搲攷㌱扢ㅥ㐰愹㈷㥤慥〴㤳慢㙥㍥㔰㤷敢戹敥㔷愳㉦摣昹晤捦㕣㔲扢〱挵摢㥤㌷扢㉦㘷散挵㕡㌹扢っ户挴㌰〳づ㘷晦挱昶㤳㘸㑦㜴㈴㥡㥢攳敤㑤㐶慢ㄱ攴ㅢ㝥戸ぢㅤㄷ㠲摡挴挵挹㑣㍣扢㔷㔶扥㈵㍤㠶㘵捥㉥㠴㙢㥣戲㥥散㘴㈶㙥㥤散㕤㌸㤴㠷摡㈷㤵㤶捤ち㈹慢㌶〴㈳㤹㤶戴户戴戴摡㑥㈳㌵㘹㜶㑦㈵敤攲㔳㑡㡡戱㉢㘴㐷㉢㤷昶攷捣㑦捣㤴㤶昵愸ㅢ捥挵ㅥ㤱㕤愶愵㕤㘴昷慢愱㜷㍣㙢㤹ㄹ改摥㥡昴戶攴搸㙥㌳㌷㘴搲㌵㌱攳愲敡㜱㉣㜲戶愶㌵㕢㌳㔰ㄴ㥢㑤晣㜴㌷㌵戱㜱㉡㙦㘶攲㘶ㅣ晤㥤㌰㜳昹改㘱㘳㌴㘵ㅥ㕦挴㘲户㠹㠲ㄳ㡢挸晤搹戱㐹慢㌷㥢挹攷戲愹攲㤲敥昸ㅥ〳摢㘱㝣㌰ㅢ㌷戱㥢〵㤸㝣捡㔷㔵愵㤴㙦戵搷㤶㐲戹㔶㑣〶挲㌵挴㕣搰㑦㈸㥥㜶戱ㅤ搰づ㕡愴㑣捥㐹晦戲㜹㠴㠹㕣㡡㔹㔵㤹搱愵ㄳ晤㌸㜲慦慣捣㉤㝤㥣ㄹ戹晦㕦㘶扦㝦愱愳晤挶㍤㜰ㄹ捥㌷㌲昱㤴㤹㥢搳ぢ㔵散㤱敥〲〸ㅥ挰摢㕣搱㝡摣摦搴㤴㥡づ敥㑤挶昳攳愱㜱㌳戹㙢㍣てㅡ㍣搵㜰㤸愶㉤㑢扡〷㈴摤㑢搰〷㄰㠹昸㐲ㅢ挹ㄴ㡡攸㝥㍢ㅦ攴㍢㝡攴捥〸㝤㘱㉤捥て㍣㔵㉢㤸敥捦收慣慡㉡㉦㉤捦㌷慣昱㍣愷攷㥣㠵㜴㍢昴㈶㠲昳〱㠲㜴ㄸ收昵㜵戸ㄲ〵攸搲搵愵晢捣㠴〱㐷㕡摥㙥㘵〴搳戶㙦搶㘷㕡㘳㥡㑥摣〰摥㤵愹㄰㌰扣晣戵㘹捥㝥㜳㉡摦㘷攴㡤敡㌴摣㐱㡣㤲〶搳ㅡ愹㘵㘳慣㔹㈷戴㐲敤㠸㤳㠳㠴愸愰㉥㈹㌵㐲戰㈵攱挵挱晢攲慢㜲攰摣㑡愰敦㜴搸㐲愵ㄳ扤搸慤㠳户ㄹ摦㘴㘶㠶愷㈷㑣㡢散攱搰㥣愶㉣㝤扤㈸㙣敢搸攸㐵昹㘴捡㡡愱愷㥢㜲搹挹㠹て㔳づ㘵改〱㠰㐲ち㝥〳戳昸昰㜵㘲㤴㔶扤㠷㘳㌳㌲攲ぢ㔳ㅡ㈹㥡づ愴收㙣㠵戰㐳昸㤱愴〷昱ㄳ㤹慢㉣㐸㍦昳㐸㕣㘰㍡㙢戵㘹㔸㘸㌸㘷㡡㔳ㅦ㤶っ慣㕤㤷扥㌸㥢摢㍤㥡捤敥收㝣㕡㈰㌹㙢摣㌴昳㜴㤴㙢㥣挰㐰〲〰愵慡慡㡡扣㕡㤷㐷捤㐰㈸戴ㅤ愰慥㍢㤵㙡㈸㐸戴㐲㍢㐰慡㠲换ㅥㅡ〲愲㜷っつ㕣ㄸ㥢㑡㔹㔳敡㝥愸㑢慦昲慥㤱㕤〱㙢㐵㔵敦㉤慦㕦昵昹㠳户晤攴㌹昵㔷㑥㐱㤹摦㑢㌷㔵ㅣ敦㥤㐰搴㕦㠲敤〰ㅥ攰挵㐹晦㈱昲晡㘳〴㤷〰㘰㌱㄰昳㘲㉤戸搴捥㉡扡扡㕣て昴㘵〴㤷〳㈸扡扢攲扥㡦〰㈹㈴㜵㌷攴㜳㤰㘵愰攸ㅢ㤷て搴ㄸ愸ㄱ㍤㐷㤹愲ㄳ捤挱搲㌴㡥愶㌹㌴㑤愱扥〰挱㥥〶昸扣㔳㔰收㙦搳㜱ㄶ〳愴㔸晦㜳㘰㍢㠰〷㜸㜱搲ㄹ攴㜵㤶㘰〲挰㘵㠰㥣㥤㔵㜴扥挵〰ㄶ㤹戸戶慡〶〰㌱挰㈴㤰㐲㔲㌷㐲晥㡣〱㑥〵戹摣〰搳愰㐶昴ㅣ㘵敡㌴㜰㜸ㄹ㘰㍦㠴㝢ㅡ攰㙡愷愰捣改愷㈷㉦〶戸〶㠸摡〷戶〳㜸㠰ㄷ㈷㝤㉤昲晡㍡㠲敢〱㕣〶昸㤴㥤㔵换昱㉢〶戸㠱㑣㌷〲㈸㐶〱㘲㠰㥢㠰ㄴ㤲捡㐳晥㡣〱ㄸ㍥㤴ㅢ攰ㄶ㔰㈳㝡㡥㌲挵搸挲换〰㔷㐰戸愷〱㤲㑥㐱㔹ㄸ戲〶㤲挴〰㕦〴愲㜶㠱敤〰ㅥ攰挵㐹摦㡥扣晥ㄲ挱ㅤ〰㉥〳㝣搹捥慡㐶晣㡡〱敥㈲搳摤〰㡡㜱㠷ㄸ攰ㅥ㈰㠵愴㉥㠷晣ㄹ〳㌰㕡㈹㌷挰㝤愰㐶昴ㅣ㘵敡㙣㜰㜸ㄹ㘰ㄸ挲㍤つ㌰攴ㄴ㤴〵㍥㉤㤰㈴〶㜸㄰㠸摡づ戶〳㜸㠰ㄷ㈷晤㄰昲晡慦〹ㅥ〶㜰ㄹ攰ㄱ㍢慢㕡昱㉢〶㜸㤴㑣摦〰㔰っ㝣挴〰㡦〱㈹㈴㜵㍥攴捦ㄸ㠰㔱㔳戹〱扥〵㙡㐴捦㔱愶ㄸ㑥㜹ㄹ攰て㈰摣搳〰敢㥤㠲戲挸㡢戱㤲ㄸ攰扢㐰搴戹㘰㍢㠰〷㜸㜱搲㝦㡦扣㝥㡡攰ㅦ〰㕣〶昸㐷㍢慢ㄸ㙦㠹〱扥㑦愶ㅦ〰㈸㠶㕢㘲㠰愷㠱ㄴ㤲㙡㠱晣ㄹ〳㐸㠰戶ㄱ㘵㈰捥戴慡㥦〳㈱愲攷㈸㔳っ攲扣っ戰ㄲ㘲㍣つ戰挲㈹㈸㡤昷㠲㕤㤰㜴㠴㝥扡㑥散㑣㥡㝢改㔸㉣㐸攰㔸慢㜷搲捡㘷挵ぢ慡㑢昴㘵户㘴昳㝤㐹㙢㈲㘵㑣㉦㑣㌸挸挵攳㘶〶㌱㑡づ愱㑡〹㉤㍢㌱㘱挶㜵㘲〸愷㍤㘳收㐰摦㐷㈱㠶㠱㌹㌰㜴ㄲ扥昸ㄵ搲搱戹攵㠸戰ㄵ㘶〹㤲㉦㐸㘷扡搴扢㤲挳㌵㔷㈴㈴㈸愷㑦晤慣㐵㠷㤳昹㤴㔹㤳㤰㈸㐴昰㜰〲㔶㐴攰ㄷ慦㑥っ㡦挳敢攸慢㑢㙣捡㈵攳愹㘴挶攴㘰㉣戲㔹㌷㥢扢㄰攴㙤换㕡㐹㥥㘳搶㈵㠶㜳㐶挶㥡愰扦㍡㌶㝤㙣㔱㑥ㅣ摢㘰愲㈷㤹戱搰㡣㡣㈲昱晡挴搰㜸㜶㉦づ扥㈷搳㤹㑤挶㠴昵㤱ㄸㄵ扡っ㜶㤲愱㔱㝥攵昷慢戰㍦㝣戴攳ㄳ晡㌷㐸㕢㍣㝢搲搳㠰戹㥡捦㈵㐷㈷㘹㌴㘹㠸㑢㘳㠰㐰挶搱ㄷ㘴㌸㔴敡㥤扡㠶戱㈴戴㘴㝦㡢㡥㡢㍤愳㥣㤹ㅢ㠵ㅡ戰敢㝦㘷㥤晦〰戸㘰搳㐵〳戳㠷㉥扦搷挱㝦㤰〱摣㘱挷戸挷㠱㜹㠱㍤㡤ㄸ昷㜲㔶攱敤挴㙣㘰慥㜴㙡㐶ㄲ挲挳㔹扡㘰ㄶ敤㐷㤸㔴㥢挰〹慥㤹㐲㜴㤷㌶昲ぢ散っ挳㙣㥣㈹㕡㑥㔹㙦㌶㥤㌶㌸敤㜸扣㍤㌴㘶愴捣㜰愲㝢㌲㥦挵㤹戱㑥〰挸摣㜴㐸挶ㄴ㐸挶㤴ㅤ㠷㈵㜶昰搴㐷㜰捡捡敥㌲㜲挹晣㜸㍡㌹ㄶ㘶㠶㈷㌳ㅦ㠹昹㡡㌵㈴〰㘳ㄶ㔲㘱㍤㈹つ散散昰ち挳ㅤ挳㔹〸㑤挷攱挷慣昶慢㄰晥愹愳㍣ㄴ挰敡㈳扢慡晥㈹愴〵ㄹ㜴㜳㌹㤲昴㔶攱㥡敢慤慢㐱㤱〵㑡昵㤳〱㡦㝥挱㐱㤸〹㌰慣㥥㌳㘲慣〶㐳〴愷扦昱㝥㘳っ㔷㔵搵捥㐵㔵ㄸ㐳换攵㈶ㄷ㘵っ摦㡢㘳㈱ㅣ㌷敤㐹挶捤㕣㤸㠴㈱㕣㤷〵ㄸ晤㠷散㌱㐴㌴㔳攵ぢ〶㙢挲㕥㙤つㄴ㘴㉤㜳㈲㈳昷㜵摣㐰㤹晣搷户㜷㙥㐰愷愰ㄶて㔳昵㐱㠲ㄷ〱ㄴ㑦〷愸㑦〹挳捦挸昰ㄲ㐰㤰㜱㘸改搸ㄴ㠷搳〸扡㜹㑡ㅢ㤰㉢ㅥ〶晡㘱〴挵㜲㐲㄰ㄴ㐵㙡㕣㤱㝤挸づ敡挳㠵㝢愳搰㄰㘶戹ㄹ㡦搸㙢㉣㑦㄰㌸ㅣ㝥㝦〰㐳ㅤ㉡㍤ㄵ㉤㙢ㄶ挲搲㐳愶㠴晣慡ㄶ㕤〸晤㈷挰ち扥㉣㤰㍦戲㜲㘰㔵㐳㝦㜲ち挷捥〳㤹㍤㌸㝥㑦攳㕣挲攲改㜳㐳㙦搶捡㕢㘵摥㔵㈴愲㝦㡥晡扥㠸ㅡ〴㉣ㄸ㠵㉥㔰㈴挲ㄱ搵慦㄰晣〲㐰㌱㉥散挲攳摡捣ㄴ㠳㐱㙥㘸扥搰慢〰㐷戲㠰㉡㠶㤰㕣㐴昵㝦〱愸㑢〰戸㌶捤捣搵搷㠱捦㍦㔷㉦㘵つ㍣晡つ〷㘱㐶㌱昰㉣愸〲戴㌰〱㝥〹㔴扦〹愰ㄸ㤴㝡㌰扣㐵㠶户挹㌰〲挰㐹㄰晡㙦㠰㔵〵攳昶㑣㈶㔳㜱㥣㠰㌷攰㉣愵〱搳㍣㤹挲愶㙡捥㘳摥㕦㐱〲捣㍢〶㔸㘸㤲㕥愰㘳摥㕦〳搵敦〰愸ㄴ㐰ㄷㅥ户㜹戹昵搸收晤つ戰㈳㌲㙦ㄶㄵ挴扣晦㑢㤱ㄳ〰㐵收晤ㅤ〸昳㥢㌷挷扡㜸昴扢づ㈲收戵㤰㈹愸〲戴㘰摥昷㠰敡昷〱㔴ㅥ挰㠳攱〳㌲搰慤㔵㤳〰㘲㕥㑡㍦戱㘰摥昲慢慡㔲㔷ㄸ戳搵捦㉥㐴ㄴ攳攲㐲ㄳ慥搹㕡㠵㔲捤ㅢ㝢㜵つㄸ扡昰戸捤㜹㉤戲戶㌹㠳㘰㔹㘸㕦㙢捤扢搵慢敢㔰㑤㑣ㄹ愲攰敢㤱㉢㌲㘵ㄸ搴昹㑤昹㈹㜶〵㡦搶ㄴ攲㘴搴つ㐰ち㙡〰㉤㤸㌲〲〶㕤㐳㐶〶捦ㅥっ戵㘴愸㈳〳攳㘹㌱攵〲攴㑥㈸㤸戲散ㄶ捥挳㤲㔱㔴㠰㈵㙦㜱戵攰戲攴㌱㙣攱㔸戶挰㘰戸ぢ㡦摢㤲户㈳㙢㕢㜲㈱㔸㡥㘸㘲㝥〹㔵挵㥡㡢㈸晣づ攴㡡慣㜹㍣愸昳㕢㤳㠱㌶ㄸ㜱慦㑡㈱㑥㐶摤〵挴挳㔸㈷㠰㐱㥦㐸挶扢扤ㄹ㑥㈲挳挹㘴戸〷っ㘲捤㈵挸㥤㔹戰收捡〱慣慡㍣㜳攳扢㍦㘶㑣㈴昳昶㝤㙡攵㌵㜵㈹慡挳戶昷戹摡㜳搹昶㔴㤴敡〶〰昵㈰ㄸ扡昰戸㙤晢㄰戲戶㙤㑦〳换ㄱ搹㤶㈱戹搸昶㜴ち㝦ㄸ戹㈲摢㉥〳㜵㝥摢㍥挲敥攰搱换㈹挴挹愸㐷㠱㜸搸昶㑣㌰攸ㄵ㘴㘴㤰敦挱戰㤲っ慢挸挰戸㕦㙣扢ㅡ戹㈵〵摢㝡㕥㤲㝡捣搶㐶㔴㠲㐵扦攵㙡挵㘵搱戳搸㑡㡣慤㝣ㄷっ㕤㜸摣ㄶ㘵戴㙥㕢昴㙣戰ㅣ㤱㐵㥦㐲㔵戱㘸ㄳ㠵㌳搸㉦戲㘸ぢ愸昳㕢㤴㠷〲㘰挴摤㌰㠵㌸ㄹ挵㤳〱て㠳戵㠱㐱户㤳㤱愷〶ㅥっ㙢挹搰㐱〶ㅥ㈴㠸㐵㍢㤱㥢㔹㐶㜷㥡㤶㘵愶收搹㤵捥㐱つ㤸㤳㐷ぢ㠵㈶㕣收㍣㤷㑤㥣挷㈶ㄸ㠴㤰㔵慦㘷づ㐸ㄵ㥥㈰ㅤ挹㔲晦愸捣㜷つ㠰㈹㤲愰ㄷ㍢㤴㥦㑥㈱㜲㈰㑡㝦挹挶攸昹搹挵昰攲戲㌹㉣摡㠱搲㍢慢㤹扡㜴攳㙡ㄶ㤵摣〷㑡㌵㤶搰㐹づ㍥昹㐱昹㥤搷㑣㝤㜶㝣昶㜲㠰㜵㤸㐲ㅢ㐰㕦㌴㤸ㅣ换㘵慤㙣㈲摦㌰㠴挸戸㠱昷慢〹㥦慦愹㍢昸ㅤ㐸昴㙣㤳㡡〵㌲晣㜰㘷て敦ㅢ㈲扢㌳搹扤ㄹ改㑤搰攲㌵㌳㕢搳搵搵㙣㈶㠲㐷搲ㄹ㌰㕥昴〵愰慣慣扢挱㔲㔷ㄵ㍤㈸㐵㌸㈸㝡戱㠰晣慣㠰扣攴㈰㐱㝡㘷㠷敢ㄳ㔲戶ㅡ㔵㘳㉡慥捣㐰㜵戵㕡㕥㜲㤹㔹收㑢捥摣〶㠵㐲㜴㈵㠳㑦㐰攵挳慢㐴ㅤ㘷㉤捡捡㝥㍣扡ㄷ㜴摤〷㄰㠹扥㠲㍣㍢ㄴ摡㠸散戱扤㍤㈳戸愵㈸摣㕢㜰ㄶ㠴晡㐱慦〵㕤晣㘵㝣㕣㘵㠵㌶㠱戲〰ㄴ㔷昰ㅣ㍡ㅦ戴㘳㐰㉢晥㠰㉡㑡㡦㔴㑣㌹挴㘶㜹㔴㘲㝦㌵戴ㄹ散㑡㍣㑡㤲〶㤹〳挲㐹慢㕥〷攰挴㔵て㐳㑢㑥ㄷ攰㍥捤㌹挰攱㔶て㠱挲㈱㉦ㅥ㌲晡㤵搲捥㜶昰㘱挸攸㐳㌲㐵摦戴㝦㝤㔱㍡㡤㑣㔱㍡㡥㑣㡡ㅥㅦ㠷㑤㍤〸㜱㌴愹㤸㘶〸〲昴㌰㐰㈴㑡愷㑦㠴搲㌴㥡㜶搰㔴㕤㔳搷㈸㥤挱㔹捤ㄶ㈳㘷㝦㐱㜴㈹ち㤵㌸㜳㈴㕤挶ㅣ㄰搱㡣捥㥣㘸昶ㄵ㌴㔶慥搹摤愰㤶㙢㐶㤷㑥摡㌱㈰〷㥡搱㝤㘳㡡搲㠵㘳㡡㝥㘰晦晡愲㘲㈹㘴㄰㠷㍡㥡㝤搹慤搹ㄸ愸㍡づ㄰㠹搲晦慡愸ㄹ㕥㜱㤷㘶㑢㈱搰晥㔸㈹〵㍡挲㕢㕢㈱㥤㜶㄰搱㡣扥㤵㘸㜶慢愷㘶㥦昵搴㡣ㅥ㤶㜴攲ㄳ㐰愰ㄹ扤㈹愶㈸㍤㉡㐱攸㍥〹㐲ㄷ㡡㐹搱ㄹ㤲㌱晢㡣愳ㄹ㥢搷ㄶ愸㍡て㄰㠹搲ㅦ慡愸ㄹ晤㈴㈹㤴搹戸㥣㔵㤷ㄱ㕣〵扡ㄲ㍦㠷戹㝤捣〱ㄱ捤攸攷㠸㘶搷㜸㙡戶摦㔳㌳㝡㍢搲捥㈷㠱㐰㌳㝡㌶㑣㔱㝡㌷㠲搰㤵ㄱ㠴敥っ㤳愲㉢㈲㥡晤戱愳㤹捣挶㍦〱㔵㕦ぢ㄰㠹搲ㅢ愹愸㔹㐳愱㔰㌴㙢㠴㐰晢昳慡㥢㐱㔷攲㘵㤰昴㘹收㠰㠸㘶换㠰㠹㘶㌹㑦捤㈶㍣㌵愳慦㈱㥤昸㌳㈰搰㡣㝥〵㔳㤴扥㠵㈰㜴㈴〴愱㌳挱愴ㅡ㠱㠸㘶ㄹ户㘶㥦〳㔵摦〶㄰㠹㥥〵㔸㔱㌳㝡ぢ㔲㈸㥡戵㐲愰晤晤搶ㅤ愰㉢搹敤㐹扡㤳㌹㈰愲ㄹ㜷㝢搱㙣搴㔳戳㡦㝢㙡挶㍤㕦摡戹〷〸㌴㙢愳㌸愴㈸昷㜸㐱戸愱ぢ挲㑤㥤㐹㜱㜷ㄶ捤㉥㜷㙢㜶㉦愸晡慢〰㤱㈸㌷攸㡡㥡㜱攳㥥搵散ㅣ〸戴扦〱扢ㅦ昴㈸昷㜱㈹㝣〰㐸㕤㔵㤰㕢搱戹㈵晢㠴昷㌹收㥡搲敦㠵㌶攲晢㥦㘹捥愶㉡ㅣ攰搸挷ㅥ〱晦㌹㐷㈷㡢㍢ㄱ㑦㍤昹〴㜷㐰敢摦㐳づ㌴㜲敤㑤㤴㜸㉡ㅥ晤㜵搰敢㝢〱㐲挸昱㜱愵户㌶㌸㤹㉥晢㌷散晣㐶㥤摦㐵㕤昵㝤㠵㥡㤷愹搳㙥敤づㅥ扣晡慥户扦㜶敥昲㍢扦㝥挸昹扤㥡㌵㝦户攳搲㙥晥㝥㜵㙡㐴㝥㔷㙣㌵扡搵㘶搴㕣〸㘲改ㄵ昵㈰搴昴扣㥤搹散ㄴ㤴摥搱㐷〷㈱㐹〶敦㔱㈰㜵㔵㡡㥢ㄲ〷㔰㕤㠰ㅡ戴㥡㈸晡ㄸ㈸昵摣㙥㡥㑥搱攱㐲捤㑡㡡敥摢搰晥捤昰㌷㜳摤㍢ㅥ㕦㝡搹㈳晦㤴敦㕥搱ㅣ昶㝤晣愵㍤摤㡡㕢㤴㤷愲ㅢ㉢㈹摡攷ㄴ㤴摥挵㐷㉦㠳㈴㔱昴摢㐰愰愸㠱ㅦ㔱戴挷慤攸〱㔰敢挷〰㡥㑥搱㜸愱㘶㈵㐵㌹㤲扥愶愹㉥昹㍤㜸愵晤晢搹㝤㕤㉡㠵㥡㕥㡡慥慦愴攸㜹㑥㐱改㥤㝢㌴つ㐹愲攸摦〱㠱愲摣戲㐴搱㜳摣㡡㍥〵㙡㍤㌷愳㈰扡㜲搸㔳户㍥㕦愸㔱㐹挱挷㤷㕥昷摡昶挷㥦搸昰㐷㡢ㅥ摣昴攲㤵户㙤㔰摣戰扣ㄴ㙢慦愴㔸㥢㔳㔰㝡㤷ㅥ摤〷㐹愲搸搳㐰愰搸㈷昱㈳㡡戵戸ㄵ㝢〶搴㝡敥㐵㐷㌷㠲搷ㄶ㙡㔶㔲戰搶扦㘶㜱摤攲捤摤㔰昴愶〵㙢户㜶㍦㝣攷㥢㠷晥㜴昵昶㙥㜵㌳㙡㝡㈹㝡㔶㈵㐵ㅢ㥤㠲搲㍢昳攸愷㈱㐹ㄴ晤㌱㄰㈸捡つ㑣ㄴ㕤敤㔶昴㜹㔰敢戹㌵ㅤ㥤愲摣捦愴㘶㈵㐵㘵㡡敥摦㘰㑦搱晤摤昶㙦㔷㙦㤷攲㜶收愵攸昲㑡㡡㉥㜳ち㑡敦挶愳㜷㐲㤲㈸晡ㄳ㈰㔰昴ㅥ晣㠸愲愷扢ㄵ㝤〱搴㝡敥㔴㐷愷㈸户户㌹ㄵ摤戹攰慣㕢晢㍥戶慤㍢昲晣扤㑤㥢㔷敦攸㝥攲慥㤳㥥ㄹ㝡㜷愸㕢㜱㜷昳㔲昴㤴㑡㡡㉥㜱ち捡敥挰ㅦ㠰愴昹敥挰㕤㥦〷㌳㙥づ㈶ㄸ搲搴㈴㙣㌲㌷㌳㠴戶挹㔴㑡愲挲㕡㕣㔷攵昰㠱敥㘶摣捣攲㤲ち㝦㙡攱〴㌳戸戱攵改㝦攱㐲㐴㑢㡥㤵㐳㠹慤㌹摣㤰㔴㈷〶㉣摣愸挷挳昸挰㌰㡦慦戶㌳ㅦ㠵扢㉣挴改〱㙥晡搸昶昹㔱慦摦㌳㐴收㜶㍡挷㌵攳慣㍤ち摦摤晡㜹换㜵㜴㤷敢愱㤷㌱㕥敥㐳㥤戸敢敥㌶愰㑥挲㌰摢搱捦㝥摦㈱改㌷㐲㔵晤ち攷搹㉦〰昸昱㥣㜸㜸〰ㄱ晤㉡㈸昶㕤ㄹ㡦愰㝣㐱晡っ愵ち昲攰愲㥦ㄶ㈸昹㠲戶愶㠶㕡ㄷ㤲攲ㄶ捤㤹ㄴ㝡つ愰㜲昷ㄶ㜹㜶敦つ搴搱散摥㙣搷摥㈴㠹扤ㄲ㠰攳㌴攴搹扤㐲㔲摣㉡愵挱户㠱㔴㙥㜰㠱㘷㠳晦㠳㍡㈵つ晥㥡㈴㔷㠳摣㙤㡢ㅡ攴㤶㈵つ晥〶㐸攱㌴扤搸昸㘱捦挶㝥㑢挹挵摡扤㑢㤲慢㌱敥㜸㐵㡤㍤つ㠲㌴昶㍥㤰捡摡昹㍤ㅢ㍣㐴改挵つ㉡㡣愰扢挱㘷㑡ㅢ攴㜲㉥つ㔶㠱戳㜲㠳敦扤敦㌵扤㜸㈶㔸搲㘰㜵㐹㠳摣ㄱ㡡㌴攴戲㉡つ昲て〶㉢㌷昸㡥㘷㠳㌵攵つ搶㤵㌴挸㤵搹摤㘰㤰敦挰㘱扦愴攰昵㉤挴㜲收晣昹㈳㙦搶搷愴昸挷㡦㕥ㄷ戵挵ㅦ㌲搴愳㈳㡡㙦ㄶ㘵㘸晥〵㈴ㄱ㜹摥〰㘴㌷昴㌱愴扥〹㡣㘴㝤慣㥢㠷㔳㔳㜸ㄶ㤲捡㔹㈹㍣㡢摣㍣㥣㔱挲㜳ㅣ愹㥣㑣挲㜳扣㥢㠷㤳㐰㜸ㄶ㤳捡昱ㄷ㥥ㄳ摣㍣ㅣ㌷攱㌹㤱㔴づ㤹昰㥣攴收愱愹㠵攷㘴㔲㘹㘵攱㔹攲收ㄱ㤵愹挹㈹愰ㄶ㔲㤴慡换づ扡ㄴ〸㜶㔰㔱扡㡣㡢捡ぢ㔷㠳捤㈵㙡㤷㜱㔱㝤攱㍡摤收ㄲ挵换戸㘸〰攱㕡㘶㜳㠹敡㘵㕣㌴㠱㜰㥤㘹㜳㠹昲㘵㕣㌴㠲㜰慤戴戹㐴晤㌲㉥㥡㐱戸㔶ぢ㔷戴㘰〰㐵㥤挵㕤昸㌱㈶㌰㘳㤵ㅥ搴つ㉢㥦愲㥡㔲昰捦㈵〵搴㑣ち㝥㔴㔲㐰㘵愴攰㠷㈵〵散扦ㄴ㍣㔷㔲挰㉥㑢挱戳㈵〵散愵ㄴ㍣㔳㕣㔰昳㝦收慥摡捦</t>
  </si>
  <si>
    <t>㜸〱捤㕡㕢㙣ㅣ㔷ㄹ㥥㌳扢㌳摥㔹敦摡㥢ぢ愵㉤愵㌵㙤㉡ち㉥㔶摣挶㙤㐲〹愹扤㡥ㄳ户㑥散挴㑥㕡㉥㘵㌳摥㍤ㄳ㑦㌲㍢攳捥捣㈶㌶㤴㑢〱㜱㈹㈰愰昰㐰慢㐲ㄱ攲愲㠲〰㈱敥㤷〷㐰〸㄰ㄴ〹愴扥㈰㕥㔰〵㐲〸㠴ち㑦㍣ㄴ㤵敦㍢㌳扢摥㕤慦㥤搴〴挹挷昲㍦晦戹捣㤹㜳晥晢昹捦㙡㐲搳戴ㄷ㔰昸㘴挹ㄲ戹㙥㝥㌵㡡㘵㝤愴ㅣ㜸㥥慣挶㙥攰㐷㈳攳㘱㘸慦捥戸㔱㥣挱〰戳攲愲㍦㌲㉡㤱晢㔶㤹慢㕣㤰㘱㠴㐱㠶愶攵㜲㤶㡥晥收㝦愹㠹㔸㝣换捡〲ㄴ㌰㑡㕢㈸㑦捣㉥㥥挳搴昳㜱㄰捡㕢㠷㑥㈷ㄳㅣㅣㅤㅤㄹㅤ搹㜷攷攸ㅤ㈳㝢㙦ㅤ㉡㌷扣戸ㄱ捡㠳扥㙣挴愱敤摤㍡㌴搷㔸昴摣敡扤㜲㜵㈱㌸㉦晤㠳㜲㜱敦敤㡢昶扥晤愳晢挶挶㥣〳〷昶ㄷ㑣捣㝣扣㍣㌱ㄷ㑡㈷扡㔲㜳昶㜱捥搹昲挴挸㜱ㄹ㕦愹㌹㜳㤸ㄳ㔳㑥〶㜵摢昵慦搰愴〶〹㝣晢愴慣扡攴㠴㤴愱敢㥦ㅤ挱戲㍢〸㡤摡㥤㈳㔳愰㜸搵㡥攲戲昴扣㤳搲攱〶ぢ㜵搲㑣㠶搲慦捡㘸愰㝥㜸愵㉡扤戴㍢捡搵㑦摢攱㜱扢㉥戳㐴〶敢〹摦愶㙢搲㡦摤㜸戵㔸㍦ㄵ挹㤳戶㝦㔶㜲㠸㔱㍦搲㜰㙢搹慣挸㘶戵捣㉢㝢㉤㐶昱㘶㘴㉡慣㤶㤷散㌰㔶㌵㜲㙤戴搷搸㌶〹㔱ぢ敦㔸ㄶ愵㘸愸敢㉤戲㘹摥慤摦㉢㐳㕦㝡晣〸昷㌶摣㌵㐸搱㈴㈱㝤㡢㌸捤摤㤰㌱愲㍦ㄵ㝥㙥㠵㕦戱㉣㠲㍣㠰搹㑦散昸摣改愱挳昸扦挳㉡戰㕡〴㄰搹㝦㐱㠵摡㕦攴㐸扤㘲敢㤵㐵扤㔲搵㉢㌵扤㈲昵㡡愳㔷捥敡㤵㈵扤攲敡㤵㜳㝡攵㍣挶㌴㑢慥慦㑦㑦换搸㌳㕦㔸㥣慢㝥㝦晡愹㘷て敤㤹㕦昹捦㜵㠲㕡愳搴㘷㄰㠸㔵〲㌰㜷〰攴戹㤰㠵㘹戵㤲㥤散搹〵㈰挴摦戱ㄲ慥挶晥摥扥㘵㌱㜳挳摤㕦捡摣昶昶㍦㝣昵㤳搵挲㑢搰㝤㈲摤摢㘴㘸㕦㠴㠰慣挹摥㙤㈳㝢昹㜷㘹愵㠳捥㌹㘳捥㥤捥攸㘸㙤㙣慦㝤扢㙤㤰㍡㤷换敡摤ㄸ㕢㜰敥㜳晤㕡㜰㔱昱扥攰㑣戹㕥㉣㐳㔵ㄹ㜴昰㐸攴㔷搵㡢捥攱ㄵ㈸㝥㌵ㄱ㤳摤㑥㔹㠶㌱ㄴ㈶㕥㕤㤳㥤敢㈶散㐸慥㔵㠷搳戹㈷㠲㠶㕦㡢㕥搶扢㜳㍥戶㘳㜹㙤㜷摦摡㈴敢㕥㥢㠷㌲挹㐸㉤改晡敥搷㑥摢㕥㐳㡥慦戸㐹昷换扢扡愱㔶挱攲挶扤㔳愱㝣戰搵扢㙥㐵攳㌰扣ㄷ搴摣敢㜶㤹㜴㈵敢ㅡ㉡㉦〵㤱昴搵昲㠶敢㜳㙥昵扣っ攷㈵捤戶慣愹慤扥㠴㕤愹㙥て捦晡搸㈸戴戵㜶㘳㝢㉢〹㉤晤㥡慣㘱扤换愰昲敡㠲扤攸挹慢㍡㠶㈴摦㐴挷㌵ㅤ捤㔳㐱戵ㄱ㤵〳㍦づ〳慦戳㘷扣㜶挱㠶㍤愹ㅤぢ㙡㌲慢㡡㤶㐰愱㘵㌲㐲㘸户昴㔲㑣捥ㅤ㔱㜵摢㠴㠴〶㘲昳挱㙤㐲挴挱㍤㔵扥㌵㌳㤰㌶㈱攳昸㔷㙤扡㤲㜶㈱攴攸扤㥢㡥敥㈱愴㝣改敡㑥挵ㅢ㌹〹晥㠰て㥥愴㔶敡㝢㌶㥥㜲㑤㉥㉦戱搲㌶慥搰㑢㜳昴㈶㐴㔳搳戶㘴敦晦㍢㔸搷㜷愵扢㍦㝣〱㕥攳愸敤搷㍣ㄹ㙥ㅡ㘳〸慥挸扡㡡攰愵〴㔷ㄳ㕣㐳㜰㉤㠰昱㘷搸户つ㈹㑡㜳㈹㔶挴慡㜱搱慤挵㑢收㤲㜴捦㉥挵㘸㐳㙣㤲换㤱摣敢㡡㜵ㅤ㥡慣㤷ㄳ㕣て㤰捦㙢收つㅣ㘴收慤㈱㍥㕥〱㌰搸㜴㥢㐳㠹㘴收㌵㠳㉥攱挵㍢㉥㐶㐴㤶昲㤳〸㘴㈲愳㡥㜹愳㑣愶ㄷ㌵㡥摡搱㔲㑣㐵摣戴㔳戹愸ㅢ㌹改㑤〰㠵㍤〰挷㡦㑡て㙡㝣愵㘲㈰㠳㝥敥㤲扥㤶㉥攸慡晡晣慡㕦㕤ち〳ㅦ㘱攱愴ㅤ摢攳㔵〴ㄴ㤱戰捤晡㑣㔰㙥挴㘶晤愸㡢㐷愱㝥㔲㉥㑢㍢㉥挳㑣挷挵晡っ㠲ㄱ㘵㐷愷㙢㉢㐶㍤㠹㈳㈶㘵㔴戵ㄸ㜰㑣挳㉣慤㤸挰㘰㘷ぢ㜵ㅡㅡ戹ㄲ㜳敡扥晡㥣㡤㠰㈵戶㌰㘸㔸扤㤵㘰㝣戳愸摡㥡㙦攷搳ㅡ㘶㈸㈹戴㙤㤶㝥搵㤰捣愴㔱㜲攰㐱攱㙤戳㈹散搶愰㔳戱敢㐵㈳㈹㜹㐷㈶〳〴愴㔲〵挶㈴扢㘹㐲挰捣㑤㤹搵慤攸㡣㔸㘶慢㡢挹戴㔸捡㤱㌰㘸㉣㌳㙡戹㔲昳㜰㉥捤扡ㄹ攰挹㝦㝥昹慥㥢㍦晤昵ㄷ搲攷㍢愱㐲慡㔸㉡愸愱扣戳捡攱㉣搶㉤〰昹捤晡っ〶㍥㍤㉤敤〶挱ㄵ〵戵㔰挷㙥ㄷ㐲愹愲挵㥣慡慣㉥换㘲晤扥㈰㍣扦ㄸ〴攷挹晣〱㔵㡢㤶愴㡣ㄹ㠲昵愷ㄱ㈷㜱㈱㐴㈶搳ㄱ㘶戵挵㙡っ摥捣㕢〱㡡攳㥥㌷搴㥣㌱㌲㕦㠳愶っ㍣㡡㌹〲挴㍡㌹㍦㝤敦挸㡡ㄷ慤㠸摦㘱扢っ㤴〶攵搸捦晦愹㝦㝥晡搱慢晥戱㍢㍡㈰㝥㉤㝥㥢㜶㡣㜵〷㘲㉡晥攲㈴愳〴户ㄱ摣㑥戰㡦㘰っ㐰晣ち慦搲㌸㐹挴㙢㥦㠲㈰敤㠴㐸㌵㤴挶摦挹㌱晢〹づ〰挰挴㔸㈴㌹㉣捣㕤㝣扣づ㘰扤㠵ㄱ㡣昵㘸㘵慣㠳〴慦〷㄰㔴㌳敡愳㘶ㅤ〲搸㤰愹っ㄰搵ㄷ戰㤸㌵愶㑥愰㌵㙦㙤搲㈷ㄸ㐳㤲戱ㄶ〹㘹㤱㜴ㄶ挹㈶扥㡢㘹㝡ㄲ敢㍢㘹㐷㜷戸㘹搰㜸㜷慢㡦㡡扤㕢㡥戸捤挵て㘰戰改㥣昲摤㌸敡㜷挶ㅢ㜱㌰攵挶㤳㔱㕣㜰〰㠰慡㔷慥㔵㍥慢敤愵㘱攷戴㉢㉦㉥㐰㠰㙥㔸摦㠵㘳㐹戹ㄱ挵㠱戲っ搷慦敦㥦っ㡥〷昱愴ㅢ㉤㝢昶敡㥥ㅥ摤㐹捦㝤㑢搲㐷㄰ㄵ㈲㤶扡搴愰㘰㜹㔹搶㝡慣㜱㍥㘸㠴㔵㌹㍤戹ㅤ挲㌰㤱㤸㌸つ㕡〴〳㈷㙥摥㌸散㘸愳㍢㕤戱づ捤ㄳ㕢昴攲㤴㜳捤㥡㈱挴㌷㈱晡搶㌱愰搰〰㠳慥㝤㜳ㄱ㘹ぢ散㘸愶昲づ搸㥡戴ㄵ搳㤳挳戴ㅦ戹㌵㤹㑦㙢挷㕣㝦㈰㐵㘷ㅢ㜱㐷㡦扤戲㉢敤㠱㜹㤸昵挱晡慡ㅤ搶戶〳㔷戰㌱㤴㠴㈵挲挴摦搶〸㥤㑣愳㘹捦㌵㜳㌹捦扤ㄳ捡㝥ㅣ捤愴㌵㈳愸㥥搶扡愵㡥㐰摡攲㘲摡扡㈲挹摤㙡捥戱㜶㑣摡扥攲挲㝣㕣㥢㤴ㄷ〶搴〸〹〱㐷㌶挰㤳扢㍡慢捡㘹㕢捥昸㘲ㄴ㜸㡤㔸づ戴㌰愵攸㤶㜳㔲㝡㌶捦㌸㠵ㄶ㌶㔷㡤㜱ち㙣捤挷昳换昶攱㄰㈸㤲㑤戹㈴ㄴ㥦捣㑤㠴户㜳ㄳ搴愱㉤㜲ㄵ㕥挴㔱攵ㅦ㠷挴攳㡦戱㍣㜵㐸㙢㈲㜹ㄶ捤㘰㘴㝣昹㠷ㄸ㙡搲慥收搹㍡戱㜰捡㜸ㄵ㥡㙤㍣㍦ㄴㅤ㘵昷㤰㈴㘰㈲㘸㤰慡攳㈱㑢ㄷ扢㔵摢昳㔶〷㥣㘹扦敡㌵㙡㜲挶㕥㤴㕥搳㘶〷㘱㝤㥢昰㑢㘵㌱ㄳ㕥㙤㐲㤷昴㘴㌷㡤㔴㘶昳挸戴㘵㌳愷㔹戳㈰慢㜲戹㤸㈳㙦㥤㐰㡤慣攱㜹攵㐵㥦ㄸ改昳㜷慥攵㍢㔴㝥つ愶㙤㕤ㄳ㙤ㅡ愳攷搶愱㔳㘹㕣摢戰㤹㘰㈶㐰㐲愰搶搶㜴搴㑤㥡戶㡤㕥㈹㌶㤹愶戹㔵〷〳㕡愱㍣㤷㐶㌹㌰㝡㐹晤㄰改㑦づ昰㜰搷ㅤ㜷户〵㈲捡昷㉢㈳挸㘸㙢㤰ㄶ㉣〹ㅣㄶ摣搸㤳晤㡥敡㔷㜸㡥㉡㐱㙡昶㌹ぢ㑢㠸㘱㈷㡢捥㤱搰慤㜹慥㉦ㄹ㠴㈰㐱挵㥣收㡣㍣㡢㔴捡㕣㄰戹捣㥢ㄷ㥤㠵搰昶愳㘵ㅥ㔵慡慢㍢㍢㙡㡡㔹㠶㌳攱晡㔰愰攴㥢挴〷㥤昹愵攰㈲㔲敦㡤扡㝦挴㕥㡥戶〵愳㘰㠵搲㤲㘸㤵㉥㜴㕤攴昴摣㔶㝤ㄵ㈴ㅣ㔳㌲㠴搶〹㔲㔶昱〸扥㠹扥㤲㑢㘹㈲㡢晡捡㌵㜵㘴慥㝢㥥愲㕢昷ㄶ㉡愵㜰㤲敦捣〳摣㜳攴搴昴㕡晡昳㝦扡㜷㌰㤸㌴搸挴ㄵ㈸戱㘸攵㕡㤸㠱ㄸ㐸㐴㠵㙤㤴ㅣ㑢㜱㥣戵㙥昱换㍢㙡っ㈵ㄱ摥㤳挳㠹㑥攱ㄴ㕣㠰攲挳昴㈲㝢〰㥢㍢㤰㔴ㄸ捥搵㙤㉦㑡晢捡㐱扤㙥㔳戴㈸㤶昳戰摢㌲愷㘲㙢㔸ㄲ换〱㔰昲㤷㌶搹㉢㘸戲㔷㔴ㄳ摣㌱昳愷ち攷㕣挱㔹㍢㜴攳愵扡㕢捤戱挲ㅣ攷戶㤰㐹㠸㤰㍡戱㠳愰㉣㑡㌰ㄱ愸㜶㘷㉡㤲挳㌵搸㍤㠲戳〳㐹㐷昶㐳㜲㜵攵挳挵ㄶ㤳㔳㄰㕦㘵散慤㔳㤸捤攰ㄱて㘶ㅦ㄰愵㉤〰㐳㡢㌲㐲㘲〸敤散戶㑥〳㌴㑢㤶㘹㥢㑤昳〵㍣扥攷㘷〲扢㌶㠵㌴㜸㄰昶愵昷㘴㌹戰㤶㈶㈵㉣㌱㐷㔴㐶㠲ㄵ㠹摢ぢ㠸㠳挳ㅣㅢ收㤱㝤挹㌲扢㘴㈶㍣㈴㙤㌴挳攸捦昵晡搶㜴㜳慥㍤改㔹扡晤搲㙦㝡摤晣㝦㍦戱ㅦ㤶㤵摢㔲㔷ㄲ昷〱戵敥〷㄰捣㍥㜱㍦㕤〳摥挰〱㙦〴㌰㤸㠴攸搶㤲つ昳㈹㥣摣愸㌳捦㤳慢㜳㍢〸㌷㑣㘴㝦㤰㉦〲㐹捣晥ㅣ昳㉤搶㥢〰㝥昳昴搳㍣ㅣ㙢㠲〹㡢收昷㤹㙡挸攷㐹㍣敢捤〴て〰〸ㅥ摡㔵㐶昱〶㈰㥡㔵〱挸愴〷㤲㌳挰攱㉡〴㑤ㄱて㈵捤搲挶㐹㠴搲㌶㥡㌹㡡㘷㝥㠶搳㘴攸愵㐲㌳挱摣〰挳㌳捤㕡㈴攰户㔵㝣㔰〳挲挹㤸㌶㘰㡣㤰㤴愶ㄷ㙢搶昱ㄴ㠹〰㌱㝦㐰㑦愶㤹㤲〰㔹㝦㈸戵㕡㐲㤷ㄱㄵ㑣㌲搰㤰㕡づ㠰㘰戶㠱昶愹㈵慦㑢挰㉦㉤慦捣㑡㈸㜹㜵㔳㠴ㄵ㐱㑡㌷㘹っㄴㅢ㔰㐲㜰づ愸挵摢㉣挱ㄴ㐵㡦〱ㅥ〷搴㌹㠰戲㐳㐱戰㝣㠰ㄶ敦㈶㔰㘹扥挶㔴㐰捡扢㠰〳㤷〱っ㥥ㅥ㉦敦戴㑡愶㤷摡㔲〸戴慦搱づ攷㐴挳昶㜰㕤㌹㡢㌸㌶㘶搳㜶㌰㘰搹攴㌴搱㝤㜹搶㜹㡢㠹㠳戸摡挲㥢ㅥ攰捥扡㘹搰㌹㌶摤㕢挴㤱㕢㍢㙤攴㡤㡦㈲㥦㜳㜹㕦愱㐴昴㕤㘰㕥戶㔲搱㜲晣㈶㠵㈱㙦㠵㠴㤰㙣㥥昲㤵〸戵㥢㍣挱昳攸扡㔶㠳戱昳㈶㡥扦㉢㔰攷晢扢搶捣ㄴㅤ搲戰挷㕦㈶昴戲㙦㥤晥㥦ㄷ〱㠲戱昹扡㌵〸㠶〶慡昵㐲㡡㈸ㅢ㐴昳㝥㐹㡦㐲㌷㠴ㄴ〴㝤㑢扣敡挱㥦ㄳ㘵㉥㌳挱㘸挰㤲㙥㉣㍡〸㜱㌸挹㜶摦㕥戴摥㘵㜸搰扦扢敢戶㐸扤挶ㅥ扡㉥攳㠳㘰搱㠶敦㜳〷㙢㕣攱㍢㉣收ち挰敥㘳㙥㌵っ愲挰㠹㠷收ㄱ㤳づ昱晥㄰㌶㘲敦戸昱㝥捣搸昳㥢摣㔸搶攷捤扥㘲㜴晥扣ㅦ㕣昴搵㙡㡣㠸搷愸㡡㕥㝤㝤晣っ捦㉣慡摣〴㉡㤶㥡㍣㉦搱㐱戰㤴攸㈴㔸㑡昴〸㉣㈵㝡〵㤶㐱摡㜱扥捥〸敤㡡㤶ㄲ慤㍦搹㘸扥ㄵ愰㔰㥥愸㈸㠷㜸ㄲ㜷㡣收摢搰戲〳㉤㥤扦㘷㌰ㅦ㐲昳〰㥡摢㘲捤ㄲ摤㠷㌲㜴㕣愴昵づ〲摥㝡ぢ扡㄰㕡愶扣㜸ㄷ〸㐸捤㐹㌴攰㘱戶㐱〳捥攰愹㈸昴敥ㄴ㘱㐵搸捤搶昷〰㘹ㄶ戱〸㑣㥤㈰摦ぢ㐴搰㍢愸㌷㍢挶㈸㠳㡥ㅥ敢㝤㘹㌷㍦㈷㘸搰㑦ㄱ㔹挵〲㈸ㅢ挰㌵昳〳〰ㅢ㌲㕣㕣挴㌰㌲扤㤳㘹戴昵攴戸昵〸㐰㌱㔳㍡㠷〷㑢㠹戶㥤愵㐴㐳捥㔲愲㌱㘷ㄹ愴ㅤ攷㉣㔷㥥㜷戴晥摣愰昹㈱㠰㉥㤶㤸ㅦ㐶㕢㈷㍦㍦㠲㤶昵晣㉣搱㝤㜰ㄶ㙢㤰㠰㐷㍣敢㘳〰㠲㔶㑡㔱昸攳㐰㌸㐰搱㔲㤹〷㔴㕡㘱ㅡ㠷㤴㘸㄰ㄴ㕤㍥〱愴㤸ㄱ㤴㠰㈲晥扢㤳攴㉥㈸摡㌳㐹扥㤴㜶㡣㜵摦㈸㍣㡣㔹搴㉡ㅥ〳搲㕣㐵㠹攲愲扥昷㌸㄰昰攱㍤㜸戰㠸昷ㄲ攰摦㙡戶昰㤵ㄲ愵㐱つ㝦〲㐸㌱㘳㤰㝢㜷㙤㥣摡㙤㤳散㘱ㄸ搶㡥㝢晦挳戸挷㕦搵昱㝥〶攱愳愱㤴㈵慢扦㜶㙢㜳搱㙤㔱㉡昸㙦㔴㐱㠱晦㘱ㅥ㙥㝡捤慡㜱㐶〶㔲搶㘷〰〴搹搹㡢ㅢ㙦搹㠸ㅢて愴ㅤ摤㔷ㄶ㈵㡡㠲㈲攴攷㌹昹ㄷ〸扥〸㤰㌷挸昷㔷㙦㑣㠵攴㠰戵昶㉢ㄱ㡡㥡攱搰晥昷㍢挹㡦㌴㐸ぢ㤵愳昶㤴昱㉣攰慣ㄵ攲㜷ㅡ㌳㐸ㅤ攰㠴㠵摦㉣愵㔶〸㈹〵挶扣捤㘸摥㔲㌵㐵㐸㘷㌶㐴㜸摦攷㑣㐷㐸㔰搴㜲戸晣㡣昱扢ㄹ㝦㍢挴㌱㜰㘷㔹捡っ愴㠶搷ち㝡㑦㑦㐲ㄷ搱ㅤ晤户㘵㘱搶攸搱捣挴改㍣愲㙤㉤㡡㌱扦㠴㡦慤㕤愷㈹搷ㄵ改攲㝥昰㕤ㄹ扤扦摤㜶㡤㌲㤲㌸〶㙡搶㔳ㄸ慢㉥扡㐴戲〷㐴㌰㕦㘱㤳ㄲ㌰〲慤㐴攵㔴㜲昱㔵㜶㝣㡤攰敢〰㜹㐱晤愴戶㠹㌹㑣㑤ㄱ摦㠱㑡㑥捦〸㙡㈲㠵挶晣〶挰晡㤵ㅣ敦戹㤲㙦昲㠵㙦〱昰戶㌲㔹つ慥㑢慣㙦愳愵㙤㌵〶㠵扥㥢挴㡣㌰愶戸晥慥ㅦ㍤昴昷㤳敥㑦ㅤ晡敢摤敦戸晢㤱㜱㐱戹㔶敢㥤㑥搷晢㍡㌴攴㜴㔳㔰搶㔵挷搱戴㠳㤱㝥づ㠷㘹捡扦敡㌸㤲㜶ㅣ㐲㠳昵〳〰㠳㠴扢㙣㡥㔲㠱户ㄸ戲晤㄰慦ち戲㐴㔹扥ㅦ愵〸㉢㠲晣㔰慢㉢㜷敤㠷㍣㔲ㅤㄳ㕤晢㈱摦㔴挷㜸晢㝥㝥㡣㔶㐱昲㉢㘱昸〹㙢愴扡晡攰㑦㔳㠴㤵㐱㙥㥣ㄱ㡤扥㈲慡㘷㙡㘷捥晣㝢㌰㍢㜴㙤昶晥扢ぢ㡦晤昱㔷捦㍥晡捣㥢て晥攵昹㈷㥥㜸收㑦㡦㍥晤晣㡦ㄶて晥攲㜳㥦晢搹㍤㑦㍥晤散㑥攷戳晡㜷晥㍤昳搹㠷㐶捦㍦昴愰㜳敡搵㐷ㅥ㝡挳戹ㄳ愳㜳㍢㠶㌳㤹扥扥㔷敥晡攵搵户㤴摥昵攰昷挴㑦㝥晦㔲㕦愸捤攲〳㉤〷〴㕣㉢㜱搳㑡〰㝦〶愴㤸ㄹ晣㌱ㅥ晦搷㘵㈸ㄲ攰㈳㉤㐷〳㕣㉢㤱ㄴ㙡ㄹ㍦〷〲㍦挸搵㈸㘲ㅥ㐸㠹㌹㠱㠶ㅣ捥搴散㔷ㅤ晢㍢㍢晡晦ぢ㕦㘴挱㔶</t>
  </si>
  <si>
    <t>Decisioneering:7.0.0.0</t>
  </si>
  <si>
    <t>㜸〱敤㕢〹㜰㥣挵㤵㥥ㅥ㘹㐶搳㈳挹ㅡ㝣摢㤸㔸㌶㠷つ㈲挲戲㉤㙥㐷搶㘱挹〲摢㤲㉤搹㑥㌶㄰㜹愴昹挷ㅡ㝢づ㌱㌳戲愵挴㔹っ㈴㌸〶戲ㅢ〸㐹㤶㘳ㄷ㘳㥣〰攱㉡㔲〹㠱〲㠲㈱㔴㐲㠱㐳戲㔵㔰搹㠵㈲敢㘴㔳ぢ㕢㘱戳㈴㝢ㄴ㐵戲敢晤扥昷昷㍦挷㍦㈳昹㠰愴扣㔵ㅥ㙢摥㜴昷敢㝥㝦昷敢搷㕦扦㝥㝦摢愳㍣ㅥ捦ㄱ㝣昸换㑦㈵ㄳ昳晡挶㌳㔹㉢搱搸㥥㡡挷慤愱㙣㉣㤵捣㌴戶愶搳攱昱㌵戱㑣戶〲ㄵ晣〳㌱昰㌳扥㠱㑣散戳㔶㘰㘰㠷㤵捥愰㤲捦攳〹〴戴㤷㔲捣㌷攴㘴㌴㕢㘹ㄶ㙢搴昲㘸㍦㐸㑤ㄵ㐸㝦㝢㕢捦攰㌶㍣愴㉦㥢㑡㕢攷搷㙦戲㐵慤㘸㙡㙡㙣㙡㕣㝥㔱搳㠵㡤㑢捥慦㙦ㅦ㡤㘷㐷搳搶㡡愴㌵㥡㑤㠷攳攷搷昷㡥づ挶㘳㐳㔷㕡攳晤愹敤㔶㜲㠵㌵戸㘴搹㘰㜸昹挵㑤换㥢㥢愳㤷㕣㜲㜱㑤〰㤲㝢摢摢㔶㕢昱ㄱ挸晢愸愴㙡㐸㕤搷摥搶㥢戶愲ㅦ㤵㑣ㅦ昵昲昱づ㙢㈸㐶〵㕡㔶㍡㤶摣摡搸摥㠶扦〲慤㈰㜷㔱㘳㑦㕦て搴ㅣて㡦㡢晥ㄲ㍤㐳㠳㥢挲昱㔱换㥦㤰敥〴ㄲ㥢挲改㜵攱㠴㔵㥢搸㤸戱㌶㠴㤳㕢㉤收㝣㠹慥搱㔸愴ㄲ㤳㕡㜱㙥戹㠷ㄸ〵㌵昶戴户戵て㠷搳㔹ㄱ㐹攵㌵㤴慢㉤㑦㙡㌴摤㤰晡㔲㐲戵愸㙡㘳㌲㝣ㅥ攷㔵〷㐹慡㐱晣㌵㈰㜵愶㔵扤㌴慢㕦慡㉡晦〳㐶㔷搸㠸㔵扤〳㘱敦挰愰㜷㘰挸㍢㄰昱づ㔸摥㠱愸㜷㘰慢㜷㘰搸㍢㄰昳づ㙣昳づ㙣㐷ㅤ攷ㄳ愸慡昲㥡捦攰ㅢ㑤搷摥搸昶㔲敢㥤㜷扤㜳捥㍢㌵㌷敦㔶戴㌳㌱戸㈹㐸攸㍡㄰㝦〸挴搵㠹㈶愵晥ㅤ㥤㘰㐷敥晣昲晢㜳敡㌷晥㑦搷搳㉦㡥捦摡昳摢攵扦昰㔱挹㘵㜵㔰㍡㉤晤㘹㉢ㄹ昹戳㑣㑡搹㈹戴㈷㐵㍡㜱戴㈹㤹㑡㙤㑣愳㌶愶㠳搴㑡ㅢ㌳㈱搰挵㙦㡣㉥捥搹昲摦搹㍤㔷愹戶攷敥㝤慢㝡㔹㔳挵ㅥㅦ搷㙡㔳㌹㝢㈸搵㐵㥦㤵捣挴戲戱ㅤ戱散㥦挷㑣㉦㈸搷㉤㕢㈳〵㕤㌹㥡㕥㘶㔲㉦戳愸㤷搹㈰搳ち㕡收戵昳戶搱捥㔳㕤捤㜷戶慣㝥戹昳㐰昳摢敢攷㉥扥㜰㔹捤㕣㌴㔹㠷昵搳戸捥捡㝥㐴㐰攳攳摡㈹㍢搹㘵搷㉢搷㤷㉦㘱㉦昷づ㉢㌳愴㠹〵摤挹㠸㌵收㐷ちㄸ㔱㤳㘸㑦㈵戳搶㔸戶㈳㥣つ㔷㈵㝡挳戰搸慣㐶愵〶㘹㘵愷搸戲㔶捡㥣搶㐱㤳㠳㠴㤰㈴ぢ愴㔴㑢㠱㉤㐹㘱换愸愸戴㘹挰㕦㙥敦㔸ㅤ捥っ㘷挳㠳㜱敢㉣搷㝣㔱㙦㐰戲㡤搹㔸㍣搳〸㤱㕤改搴攸〸㌵晡㤱挹㠱㉣㑤〵昹攷㠱挸㑥挷㕦㡦攷扤ㄶ㝤〶㝥㠲挲搴㘴㘲㠲㡦㤰㤳攷搵㉣㐰㘶扤〱戶㡥㜴㜸㈷挰㌹㍦挵㑢ㅢ㤷昰摦搱㜷㈷㙣㑥搱收攸㐵搱愶愶㐸昳㤲昰戲戰㡦㔰㔷ㄶ㕣㈶〰㔸㘲㔷㑤㜴㜳㉣ㄹ㐹敤㤴㉡昳摡挲ㄹ㉢㙦搵つ㠶搷㤶ㅡ㑤㐶㌲愷㤷㘷昶㘵挳㔹㙢慥㥢㤷ㄷ㔲搲慣て㥢㤱㤵㤱攷㝤捣摤㑣捣慡㜵㉣㘶戳捦㜰戱戱㈵愵〶㈷收㜶愶慤㙢㜲摣㤲ㅥ戵挲摦搸㘱㤱㕦㌲㑡㥢㘵昷ぢ㉢㌳㤵戱㤲搲扤㠶㐴㙦㙣㘸扢㤵敥戳攸慤㔸ㄱㄹ敡っ戲㉣㔸晡㤰㤵㘹攸㐹㘲愰搸ㄳ㈳ぢぢ㑢愳慢挶戲挰㙥㉢㠲晥挲㑦挸㡥昷搳㐶㘷ㄶ㔵戱㥦〹挶㥣愲攲捥搴搰㘸㠶敢㈱㥤㡡ㄷ㜳㕡㈳㍢挲㜸㘶㘴㙤㉡㘲㔵㔶㝡㉡昹昱㘰晦慤挰〲㌹摦㘵晥戲搱㔳㙥挶搹㔵ぢ㈶㤹摢敡散㘲攳㙢摣㠰昱㘱ㅣ㜱㡢㤶改㜵慦愶〲㜱昹㜹愵㤸戲㔸㘲㍦户㘰㔴㜴敥㔸㝢昱挴扤ㄴ戱戹戹晢搳㔶昶㝡愷㤹搱慦摡〱扣㕡ㅤ㑥㐶攲㔶扡ㅣ扣攴㕣㔳挵ㅥ改㠵㈰扥户戰㥡㈷搴ㅥ晤〳㌵愶挶㝤㍢㘳㤱散戰㝦搸㡡㙤ㅤ捥愲っ敥㙢㈰㐰搵搶挲㙦捤〲搶愶愲收㈸㝤㔸㝤ㄶ挹搹㈴攷㠰〴㠳ㅥ挱っ㝦㔰㉦戶戳㡡慥㠶昸㍣㕣慤愵㠰搲㐰戶㥥㠴愷攸愶㄰ㄹ昴〵㈰敡㘷攸扦㡣〱扤ㄸ㉥敡㐹ㄳ敢㉣㈵㔹〶㔲搰㤳㘶㍢慢戸捤㑢㑦戸换扢㝡ㄲ㕡愹㉦㈶㕢㑦挲昳搱㐵㤸挴㘴㕣扥〶㈵搵㈴ちっ户㍡㈱㌵摡㌰㘱㤹摡㐴㕦㑣戶愳づ㕡㔷㜵愲搷㑡て㘱㌲㘳㜱㉢㤸㄰㘳敡ㅦㅦ戱㑡ㄶ扡㉤散ㄴ㥣㥤㙣㜰㔶㔱㐱㌰㉢㠲戴昳㈶〶ぢ戱㠲〲扢攰攲㥣㜴昹㑥捡㥣〴㤵昲㐶㐵攴攷㘳ㄶ㑤摣慢㥣搵搱昲㔸㜷㐲㤴㈰㄰㥣挲㔸昷昱摦挶搸换愱ㅢ扤㠲攴ㄳ㈴㉤㈰扥㠳㠰慣㘳㔵㍣㄰捤㔳戵㠳捥改挰㠰㈷挰㘹㄰㑣㝥捥愰摥㜶昰て愳㌰㡦扦㙤挸改㜶㤲づ㤰〲搴敢戴戳㡡㑥扣愰ㅥ㝤㜸ㄷ敡〵㔶敡㙥戲昵㈴扣㥡戵愸〱㝦戴㈳㤵〸挷㤲㜹㌷敦㐳〵㈲㝣㍣㔵ㅣ敦㈱愵〴㔰愷㈶㜰㈴挹搹慤散摢㌵搱晥㜰㝡慢㠵〳㝢扡扢㘳㝡戴㍤㤵㑥㕢㜱㌸㜸ㄱ㈹㈰搶捥㉡㉥捣㜴愶㔳〹㤶㥦〲摢捣晦ㄳ摦搱㕢㠱㐵㔱〴戶㑢㈶㠶戵㠲㐳慢ぢ㜲㤷ㅤ㔳愳㘲昳攲㠲㥣ㄴ㡤搵㈹搴㘴㠰昴㌸㍤搳㜵㔰慢敥㈱改〵〹㝡搴㘳〶敦敡㠰㜷㉦愰㘸ㅦ㝣捤㕤攲㙦㙥㘰慤㍥搶㉡挰扡㡤㤲昷㔴昲攴㕡㙥㝡㜲攷㙣㐶攰㠲㙢㔲攱㐸㘷㜸〸㜱搵㉡ㄳ㔵つ戴愷ㄲ㈳㌸晤愷㐳慣搹㡥ㄳち㑥㍥㍢㘲ㄱ㉢ㅤ㘰㐱ㅦ㠲戹㤵〸慡㘶晣㜲扥换攰㔸㕦攱昱昹慡〳攵㥥搵敤挸㍡换㜸改㠵挱攲敥ㄲ昹敦慥扦戸㠵〳ぢ〶㈵㌰户〹㐹扤ㄹ挴户㄰攴戸捥㐵㜴戴晤搱㡤挹㔸㌶㔳ㅤ㙤ㅤ捤愶㍡㘳搹㡥㑣戶㈶ち㠲愴挰攳㕣㌱攷㠲㠵搰㄰摤ㄴ戳㜶㜲换㥦㕦捡㐲挴戴㝤㌴㤳㑤㐹㌴攴㘳愵晣㡥搴扡㔴戶㈳㤶ㄹ㐱昴昵慣㌲㙣㥢戳㜹搸㑡挲晦㐸〳㠴㡦㔶㈹㌵㌲㘲㐵捡昴戱㉦㌵ち昷戸扢攳㘴㌸扢㉡搹㤱㜱ㄲ㤱㤳慢㍡㝢㘲ㄴ㈹搰㍢㜱挳慢昰㌹挱愳㥢〴㘹昴愷㈰㠵づ㠲ち〶昵㕦攰ㄷ㉢挰挷昳搷㌱㥤㜷㜹挴慡㡢收愶戴㍦㤶㡤㕢搵㔱㤹㌵㐹〷愲㤸㈴㐴ぢ㈲㔵搱晥攱戴㘵㜵搴㐶扢搲戱㐸㍣㤶戴㘸ㅥ搸㑢ㄹ〸㕦㘳㙤㐵㘴愰㌷挵㘸㘶㉡㔹ㅢ敤㑦㠷㤳ㄹ㉥㥤攴搰昸搴愲㥣㉣ㄵ㕦戴㉤㤶㠴㌹摡㘶挴㜴㕤戴㙦㌸戵ㄳ㙢㘲㌴㤱散ち㡦㘴㑥㠶㈹ㄵ愵㐲㍤昸搸㤳敡㔵㕥慦ち㜸〳㈷㌸㕤㜶㘴㡤㈶攲攱㜹搴㑢㐲扣挲㜴昱愴㍣挹ㄱ搲ㄵ㜵攰㘴搷挸㡢っㄳ戰愹㈸㠷㌸戹㘳㍥慤㑣㕦挵㌶㔷㠳㕣搱戵戱晢愳㜲搷㜸戶㥦攴愰㈱愶㤱ぢ㝦捣㐰攵㈹戶戹戰㑣捥ㄳ㌲敢捣戹㑤㌰ㄸ㤵㍡戴挶㈹昹㘴㈷㈲㐸㌵搱㌵攱㐱㉢摥㤹㑡㈷挲搹㈹㜶㠶㡢㉤ㄱ㡥㘷って㔰㥢〸搳扣㘸㥡㝤㐳攱戸ㄵ㄰攴㕢ㅢ㑢敡㈸㠸搸愰㈹ち㡦愱㈸㍣㈶㐵㌵搱つっ〹摡㘸づ㔹愹慤攱㜴㉣㍢㥣㠸つ〵㤸㘱搸敥愴戰㑢㤸㄰摤㝦攷㈳挶〹ㄸ愹㜷㘱㡥ㅤ㈶挶㜴㌷〲搹愹㍡㑥㍦慣搷慢晣昸愷㑥㌰㕥攴㔱㑡㡥ぢ㝡〰搲㝣摣愳㠰㕦㜶㔷摥㜳㕥㡢扥㜷㉤㑡挴戲ㄵ攳㍤㘴敢㉤㈶挱㡣㘲㜸㠷扢戲㙢㥢ぢ愳㐸て戲〲㠳㍡摣敡攴㔱ㅥㅤ㘱ㄹ扦㠰㌸ぢ扦㔸㌳㡡㠱ㅤ挲㥣㐷挲㐴攰㤵㉣㉢挵ㄵ㈶㐱愸慤㐸㈸挶㝦㘸戱戹ㄱ挴㤰㍥晡〸ㄸ㈷㤲ㄱ㙣㌳〹改〸挳㐲㘵㐶戰ㅤ挵㍡づ攲攳㤱敦㌸㑥晢っ㘵㤵搹攲㑥㙤挳㈶㈴ㅤ㍤戶㄰㌲戴㐸㑢㘰昴昸㐳㙣慣㍣ㄸ搳搴ㄲ昸愵愹慤㘰ㅥ㕦㥤〴攱搲愳㔳愵㜸㤴㤷搲ㄴㄲ㜴㈱昹昵昱㙣㍦〹㈶ㄶ〷㕦昸愰摡㠴扤つ摡戰攳㑢㌰㈸ㄳ㑣慣㑡㡥摡㙦愳晣〹敥㡣挹愹㉣㙥㈸慡ㅡ戴㡢㐸敢散㘴慥㔱戵㘱戱攵ㅣ摢昳㘴慣㥥晣㠶扣攸ㄹ㙥㡥㍣愹ち〳攴ㄷ㙥攳挷㕣㠸㔲㄰㌱攷〳戸戱〴搴戱搵ち搸㠱㤰ㄱ㌴攱愰㍤㑡攷㤳㤲㔷㙤昸戱搷㌳㑦昴搸㜳扤敥㙤㔲㌱愰㈱敢㌹㡤㠴敡〰㈹㕡捦㔹ㄴㅣ㝤㍤㌳〲㈲搳㌶㙡ㄲ戲㥥扢㤱㈹戳㥥㜷愰㔸敦〴昱昱㌰㜲摣〷捡㍡㌴㥡㈹ㄳ戸ㅡ㌱㜳㉢㘳摦ㄸ挸戴㘳㕢㤹㔵㕡㡣昷㠳攱挴ㅣ㈹敦㑡㕢〸㑦愴晢昱ㅡ㐶散㠲㉤收㤶攵㐸愳㔳挸㠱户㔶搱て昵昲〹㌳㘵㝦㡣〷て挳晥㄰〸愲收㔰搸攷愶㍦摡昵换捦㝥愱挵㡦㌴昱㘴っ扦㜴昷㜸愶㍤搱㌸〳㕥ㄱㄴ㐴户㘶昰晥捡㕡摣昷㠹㡤挴慤戶㜰ㅡㅥ㜴㉡㥤搱〹㈷㘹ㅢ㕦㐱戴挳㐶㤹㤳挱㡤㐱戰挶昶慢ㅢ㈷㐱㤹晣〵〹晢㐸㘲㠲搰㙡扡敢㑤㥦㡣㝢〱搵㝣㘲㐷㈹摦ㅥ㠴ㄶ㡥戳㈳挴㡤攲愰㉣ち㍣捡㜷㈳㐴㤵敤ㅦ㐱戵㌲挹㝢㐶㍢ㄸ捡つ㙥㑦〲㥥愵攷扥っ攰搴ㄲ㔴慡慡攲㌰〴㈳㈹慥ㄹ㔸〵搳愱搵㌰〸㔲昶㍤戸ㅤ㠳捤㕤㠲敡㡥昰㤵㤱㝤愵愴㠶㌷㥦昰㘶㐱慥㌷〵㈴〳ㄵ搶㈶㌶愷搲摢〷㔳愹敤扣〶㌱㐵㜲㤹㘱换捡昲㍡㔲㜵挲扥愸挲㌴㕣扢㡡㡡愲㙢㐷㐶敦㘴㌲〲㉣晥㤹㝦ㄷ㔲ㄵ㥤改㈱挹愹敢㌱㝥摥ㄲ敡㌸戴㜷晦挱㙦扣摥㝥㝤敦㥥㐷ㅦ扢㝣昸㙣㜵㥤㘱晣㜸摡㔳ㅤ㠷敦㥥摥昳戴攷昷捦㝥晥㠳挱捤㙡〳摡ぢ昴晢㜷㈳㌵愵挰㕣㉦慤㕦〲㥦搵㉢换愹攰挰愴ㄸ敡㤱㥤攰㍡㈴ㄴ〳㍤愲扣敢㑤㠲㤹㄰㠳㈶㕥㝣晤㌷㠰㥣搶摥㌶㘰㡦换㔱㡦晦ぢ㈸㥥㠲攲㠲搳㔵㠸㌱ㄶ戶搱㕦㈴愱㔳收攳昱晡搸㡥昳摣晦㐳〵㌱ㄶㅥ㜱㌲愷㐵搷㡦㠶攳㤸㡥㥥㈸挲㉤㉣㍡㈹ㄶ㕦愵昸㐸敥昷て扣㘰㠲㌷㤰㔷㕡改愴ㄵ㙦㐴愴㐲㠶昰改慢㜹挷挴慤㠳攲扡㘶㙣ㄹ搶㍣戱㈵ㄸ昴㡤挳㍥㡥敤㈹㥣摦晣搲攳㌳ㄹ㈶ぢ敡㉦㤱挲㘱㘳ㄸ㐴っ㘲慦㐹㌰愳㜸〶㤶搲㥢㤰攰㘴搱㠱昱昱ㅣ㜳搴愳ㄳ㤷㙥㄰㍥㘸ㄲㄷ㉦挷攳㤶㤶㈴ㄷ㡦㥤㘲㈸搰㘶换㜲挶〵挲㑡㜷挴㌷搷㜶〱㐴㔵㤷挵〷㜲慥挶搷㌷ち㐵㑣搸㥥㈳挸㡦㥤㙤昸昱摦〲㌲㝤㙤㙣㈸㥤捡愴愲搹晡㍥〴㘰敡㜹昷㈳ち户愵㔵㘵㈰㤱戸㤴挳㤵㌳愱㠹搰ㄶ戴攱挸昴㕦㠱搴㔶㠴挲昸ㄱ敢攷㡡搱㕣ㅦ愱㐱愷攸㔶ㄶ搱㥦㔱ㄱ㄰㉥㡡愰㑡㐰㈲㈷捤㔶晥敤㉣㠳昲㉤㔶挲㔷㝦捤㈴㤸㔱㕢㥤搲慦㈳挱㠷昰挱㉡〶挲〹㔰㌱㠸攱戰㤱昶㘸㡥㐵扡扤ㄵ㈵愵摤摥〶愶㜴晢㑥㈴搰㙤ㅥ扡㕣摤收ㄱ㑣㡡晥ㄶ〹戹挴愷攸捣㑢户敥㌱〹㘶㐲㡥㐷慦昷㈱愷敦㈵搹㑦㜲ㅦ㐸㠸㡥㍤慦㜷敡〳㈴摦㈴昹ㄶ挹晤㈴て㤰㍣㐸昲㙤㤰㘰ㅤ晤㔹昶捡㝦攷ㅤ晣㍣搵㠲㌴㍥㍦㌳扦㠷㕢㝥㜲㠸㥦㜷㕢㤴㜸慦㘰改㠷愴㠶㑤ㄴ扤搷〱㝣㔵㝦㠱㉡晣㡦愰㘴攲㘹摤㔰㔶㍦㜴㙣㐵㍦㡦㈱〱晤搰㠹㜵改㠷㉥慤ㄴ㝤〷〹戹捣愷攸㥣㠸㝥扥㙢ㄲ捣愸敢㥣搲敦㈱攱㝣㐲搷㈳㈵㑦㜸〲㠹摡ち㐵戴攴昶攴晦㍥昳慤昱㜸扤戳挱㘴晣㑦戲〸㘰㈱ㅢ戸戸ㅦ晥愷㔰愴㌷昴㜵㕦搹㌸ㄶ捦㡣愹㑥㡣㠲ㅢ挶昴㜷㕥㝦攱摣㐵攷慦戹㘵搵慣㍦散摤晤收改㙡㤵㘱㤴摣㔸攵㍡㤷扥㍥㠳〴慤㡦摦㄰ㄷ扢昴敡㔹㈴㌰㙥㉥㜳㤹扥ㅦ㈰愱㥦㈳㌹㐸昲㍣挹ぢ㈴㍦㈴㜹ㄱ㈴攸攳ㄲ戸㙣㘲㑦愴㘰㤳㘸㜰摦㠳㕡㠵㝢㑤攳搴㘶〵摥〶昸㘴㠸㤵摥㑢㑦㑣㤶㠴挵搸㉢㝣㝤㤷㘱晣ㅦ㐲づ㌵㤴㐷ち㑡㥣㑦挹㍦〲㔱㕣捥㥣㌱捤ㄹ搳㥣㈳捤㔹㔱ㄷ㑥㌴ㄷ捤㠶攱扥晢慢戸散㘵㉥づ㈱㤱㥢ぢ慥㝤㤹㡢㥦㈰㠱戹攰慡㤷晣慢㐸攸㥦戲搰慢戸㝥愹㜷戵〴挲㌹㔸改摦摦戳㠴敢戶㕣晦ㅡ㈶敡摦㜹㠶攱扥㡦ㅢ扡〷㤲攴挹㍦㐷愲戶挲户て㍦㘷㑥㍣㌹戹换㌸戴ㅣ㍦慥㠲挲愱㌶ㄷ㐳〳戸ぢ㥡挵愹㉣㜹㔲散攰㔰㌶挳ㅣㄳ敥㈴晥ㄳっ昰愹挵搰愴㠰敥敡搵捥ㄵ㑦慦㈷〷㙡㜶㔸敦㕥㈸㠷㡡㔴㡢㥣捡㡦㍦攱㌹㠲〲㝣戸ㄲ昸〱昲搹㤵昷㈳戳て㕦㜵㡥㔳㜹改㤱昷㕣㤵て㍢㤵敦㜳㉡㥦敤㔴晥捤搲㌹戹捡づ㠶ㅡ挹〷㔰㔹慣㘴ㅥㄲ晥户㐰昲㙥攸〲戴㉦敢㠶搶ㅢ㐶㠹ㅢ㑡㠰捦㐹搳㤴㘶㍢戴㘷㌸つ捥扤昵捤㠳敦㕣搶㜵摦㘵㕤㌷捣扦㝤㜸户㥡㘷ㄸ戵〷戳㉢づ㝥攷敦摡ㅦ㝦㔳扦戶敢攷慦晦㤷攲㉥㔱㑥搲ㅣ搳㘰昶戶昵㑦㝢敥㑡戶㍤昸搲慦愳て㍣㝥昹㌴㌵摢㌰慡㍥㜳换㌹㤷晥㘱㘶搷㈳戳晦㘹搷晢晦扣晢㉢㡡㕢㑤㌹㐹㌳㑣㠳愵ぢ㕦改捡㝣戱㜵敤敥摦㡤晦攲摦ㅥ摡昳慣㥡㙥ㄸ㝢收㐵挶㉥敡搹搴晥搵㡤晢ㅦ晤捡〳㔵㈱挵晤慡㥣愴搳㑣㠳搷敡㉡㕢㤲㍦晤昶慡㘷㔶慥ㅡ㤸ㅦ晤愵㔷㠵っ挳昳捥ㄵぢ扦ㄹ扢慢昵收㔴昰㡤㈳ㄷㅥ㜸㐸㜱搳㉢㈷愹搶㌴㜸昵㐰昷㍦㜴摤㔱搹戳㜷改㉢扢㤶摤搵戲㔷搵ㄸ挶摢晦㌹㙤㘴晡昶敦慦㝣戰摢㕡搴搴晦散扤㡡㍢㘷㌹㐹摡㌴愸戳㥡㝦昴㍢敦㠱敥摢㘶晥㜶㝡收ㄲ昵㡡ちㄸ㐶昸挹攵㈳㙡捤晣㤵昷㔷㉣晤晣㥢㡦摣㍥ㄴ㜲戶㔲挵㍤㑦㌰愵ち㔵㜳㤸昲〱㑡ㄵ昷㍡㜹㥡ぢ昳扣㐶㘸挹晥愳っ挳㝤㡢㍤挴㉤㔲㌰㠵挸〷㜴㜳㌶㐷挵晤㔰㥥㝥攴㝦ぢ㥥敥㐵慤㄰户㉡㘹㔳㠱㥣收㝦ㅣ搲㍥㤰愰攲㙥㈵㙤㍥㌰㙤㍥㠹㠲㠰㔷昹戸㙤㑤ㄲ㐲戶㕦㙦攴慦ㅤ搷愱扡㉦㑡愷戴㍡㙡摦晡攵㘶〲户㌴ㄶ㡦ぢ㡣搵攰㑤㐷ㅡㄷ㝦搷攰攵ㅤ摥㤵挰搱㌷㈷㈲扣搴攳㕤㜷攷敤戶㤶ㅣㅢ晢愳㍤㘹扣敥慥㡡㜶㘷㄰㘷㠸㥣㔴〰〸ㅦ扢搲㠶ㅡ㍢摣㍢㈱㄰㑥ㄲ㡤捤敢挳戹捤敢攵ぢ㤲ㄳ㍢挰昸慢㌰㥤㙡㠹㔲敦㘳ㅥ〵㐰ぢ㤱㑢㙢捥㜸㤰㔵愴搷ち挷㤵㙡ㄶㄱ扡㠴㜸搴㜳㐸㜲搲晤戵㘰〴搷昵㙥慡敦敦〶挱晦㌶昹扤㈳戲㄰㤳㌵敦㐱攸㤰㠸〴㠱㉤〶昵㘹㉣㉡㄰㜹搰ㄱ㌹つ㡣扣挸愵㑡扤敢㠸㉣㐴㙥㍤㠳敤㘷㠲攰㕤愷ㄱ㌹换㈵昲㜹㐷攴ㅣ㌰昲㈲㤷㈹昵㉦㡥挸㐲㝣搷愷㑢㝢㄰㠵㉢㍡㜶㉦捦㤰㈲㘴捣挰㕦㜰㐴捥㉦ㄲ戹㕣愹挳㡥挸慦㌷攷昷ㄷ扤㠰敤ㄷ㡡㐸㉥㈹づ晣㑣㤷挸ㅦ㍡㈲捦㉥ㄲ搹慣搴ㅢ㡥挸㠷ㅦ㝥㌸户戱攸㐵㙣扦㔸㐴晡㡣挸㜳㕤㈲㕦㜴㐴㌶ㄴ㠹扣㔰愹搷ㅣ㤱ㅥㅣ㠷㔰ぢㅦ慦㐷㝦㥣敤ㅢ㐵愴ㅦ㈵散攵〵挵㈲㝤昴挵摣㠶换挳㘴㈷㤵敦扡㙦㕤㕤扤〰㠵て戶晣敢捡扦㕣㜹㔳㙢㠸敥㤶攰㐹ㄳ㘵㉥㈵㔹〶ㄲ㔴昴戸〴㑦づ愱㔷㐴㐰㠳㈷敡㔵㌰挴ㄵ愶㑡㤴㝡搹改㜴㤱㤹㕥㐴㐱ㄷ戳㐲捥㑣㉦㘱㔱㠱㑤搱㝢ㄳ㌹搴㠳㔲㉦㍡㜲㡡㙣㜳〵ㅢ㝤㐲攴㠰挸攰㕢㔸㔴㈰㠷㡥ㅥㄵ攰っ㐹搱㐳㤳㥥㍦攷敡㌹攱扢愸㈶攴搹㌵㝦攰慡㐹愸㉤慡㐹戴ㄵ㤹捦㥡㥡㤷㐳㔶挰敢㔷㐴㘰㘱㍣㘳ㄸ㉢㠴愱ㄴ㔱㔹ㄸ㑦ㅢ㐶ぢㄸ扡ㄳ愵㍥慥攱㘳㠶ㄳ搴昵㑣〳昰㥡晦ㄳ捡搷挷つ㜱㕣㈹㍣㠶户昵㕤㘸慢㠸ㄵ戹捤搱摦㡤㕣摥戹昹ㅥ扡㔶搶戹昹慥㘱㤴㌸㌷挴ㅡ晣㜹昴㕡㤳㘰㐶〹㠲㈰愵搷戱㤴㔰㤲㝢愲收ㄳ㘵扡搴愳㡥㔰户〳昴㠸㘱㤴㌸㐰㠴㈱晣㜹㜴扦㐹㌰愳〴㕣㤰搲ㅢ㔹㑡㤴㈹昷戴晢㡤搰ㄲ㈷改㕢㠶㔱攲㈴ㄱ愱昰攷搱㥦㌶〹㘶㤴攰づ㔲晡㉡㤶捥〳㈹昷戴㝤㐶㘸㠹㈳㜵㡦㘱㤴㌸㔲〴㉦晣攱㑤戵㐹㌰愳〴㤲㤰搲㐳㉣㈵㌶㤵㝢摡ㅤ㐶㘸㠹戳昵㌷㠶㔱攲㙣ㄱ搷昰攷搱㌱㤳㘰㐶〹㕡㈱愵户戱㤴戰㔵敥㘹户ㄹ愱㈵づ搹慤㠶㔱攲㤰㥤㑢㜱㝣摡㠸㐹㌰愳〴挸㤰搲搷戰㤴㠸㔶敥㘹㌷ㅢ愱㈵㑥摢㑤㠶攱㜶摡ㄴ搱㄰㝦㜸挳㘶ㄲ捣㈸攲㤹慣扦㉦愱ㅤ昱换㔹戱挴㌸㘱散㌱っ㘷挵ㄲ昷㠴㜱愳㘱挸㡡晤ㅣ㑡㤵挰ㄹㄲ㝡ㄷ㜳挴戵㜲㕤摦㙤㝡㔸愲愸㙢つ愳㐴㔱挴㐴晣㜹昴昵㈶挱㡣ㄲ搰㐳㑡摦挰㔲愲㕦戹愷㡤ㅢ愱㈵㡡ㅡ㌳㡣ㄲ㐵ㄱ㌹昱攷搱㝢㑤㠲㤹㍡㐲搲㘶㈴扣㘳㙡㘸㑢㘴换㤶昷敢㉡敢攷㔶㝥㜲㘵捤ㅤ㠷㕦晥搵㙤慦㕤戵攲敤㍦摥㝤昷㙢扦扥敤搰ㅦ㥦ㄹ㕣昱攳晤晢㕦扣攲㥥㐳扦㥡ㅡ摤攷㝤攲晤㌵晢㜶㌵㙤摦㜵㑤㜴攳㜹㕤扢㍥戵㙤㝤㔳敦㘹つㄵㄵ㔵㔵㡢愶扤㌴㝢㜱㘸昷㌵㑦慡攷晦㜱㔶㔲〹っ昱戱㡥㜷㡤戴㈷㐴〰㤱㡤攷㘶㈴㄰晣ㄱ攸㈸愹挵㠵㉦戵扥㙣搷㤲㈵㕦㔲㡢ぢ㔶㙡晤戵㕤㑢㤶㙡㐹㉤㉥㌴愹㜵慢㕤㑢㤶㔸㐹㉤㉥㄰愹昵㔵扢㤶㉣㡤㤲㕡㌴㙣愹昵㌵扢㤶㤸㜴㐹㉤ㅡ愴搴晡㠶搴慡愳㉤晤㐹㔵㉤收㔹搲つㅡ㤷㜴攳づ改㠶ㄲ戳㉡愹㐵愳㤰㕡㜷搹戵㌸㉦戲ㅣ㈲戰㈷㉥愰㌶㌴〹攰㍤ㄲ愷㐲ㄸ㐳㉥〶戵㉦㡣㐱ㄷ㠳ちㄷ㐶搸挵愰㡥㠵戱挵挵愰㕡㠵㌱攰㘲㔰㤳挲昸㡣㡢挱戱〹攳㙡ㄷ㠳挳ㄱ挶㔵挵㡣敡晦〳攷㍤㕢㘵</t>
  </si>
  <si>
    <t>㜸〱敤㕣㕢㙣ㅣ㔷ㄹ摥㌳㝢昱捥摡㡥摤㌸扤愴㤴搶㔰㑡愱づ㙥㥣㌶㤴〲㈱昸搲㕣㡡ㄳ扢戱㤳㠲〰㙤挶扢㘷攲㘹㜶㘶摣㤹㔹㈷㉥㤵㕡㐱换㐵摣愴〲ㄵ㠵㜲㔱㠵㤰㜸攱㈲㈱敥㉦㐸〸㄰㉡ㄲて昰㠰挴㐳㐱〸ㅥ㐰㈸ㄲ㍣昰㠰〴摦㜷㘶㘶㜷㘶搷㍢㜶户㉤戸挸㈷摤摦㘷捥㙤捥㌹晦昵晣晦㤹收㐴㉥㤷晢㌷ㄲ晦㌲ㄵ㤸戹㘱㘹挳て愴㍤㌹敢㌶ㅡ戲ㄶ㔸慥攳㑦㑥㝢㥥戱㌱㙦昹㐱ㅥつ㑡㔵ぢ昵㝥戱敡㕢て挹㜲㜵㕤㝡㍥ㅡㄵ㜳戹㜲㔹搷㔰捦㐱昸ㅢ㡤ㅦ㜴昶ㅡ㉡〰㉣捦捥㉣慣㍣㠰㔱㤷〲搷㤳〷挶捦㠵㝤㡦㑣㑤㑤㑥㑤摥㜹搷搴ㅢ㈷てㅥㄸ㥦㙤㌶㠲愶㈷㡦㌸戲ㄹ㜸㐶攳挰昸㘲㜳愵㘱搵摥㈱㌷㤶摤㡢搲㌹㈲㔷づ摥戱㘲摣昹愶愹㍢てㅦ㌶敦扥晢㑤㐳㜸㜵敥昴散捣愲㈷㑤晦㐵ㅡ戳挸㈹摦㌹㈷㙢ㄶ搷㈶愵㘷㌹ㄷ㈶㘷㘷昰㕦㘲晥㜸扡㙢㜲㘹㔵捡㠰慦㤶㥥㜴㙡搲搷搱㜱搰㥥昶晤愶扤挶捤搳敤㘳㔸㙡捤昰㠳愲㍤㉢ㅢつ摤㡥㐷㉤摢ぢ搸扢㠶戱㌱㘴㉦㐹挷户〲㙢摤ち㌶㑡昶㌲〶慡て摢㘷㝤㜹挶㜰㉥挸搳㠶㉤㡢昶昱愶㔵㉦㠴㈹㤷扦㌵ㅥ㈲㌹㌱戵晣挹㘹摦㥥㕤㌵㍣㌵㈳㥦ㅢ㤳搱昶㤸㔷㑢户扤戹昷戸㥣扡㝡〳挷扣愵㜷㍢搴㥣㌳扣㔶换㠹摥㉤愳挵愷㘷㜰㝢敦昶㠹㍤㑡昷㜹㝤敦㍥㙡㉢搳慤挵㘰㐴摦㙡㐷戱ㄸ扤㐴㌰㐰㔰㈶㈰〲昵ち挱㈰挱㄰㠰㈸晣ㅤ㕣㤲散挸㉡慤㙡㘸搵ㄵ慤㕡搳慡㜵慤㉡戵慡愹㔵㉦㘸搵㔵慤㙡㘹搵〷戴敡㐵戴㠹㔳㜹㘰㐰㡢搲昲摡户昷晦攲慦㑦㥥晡收挵㥦晥攳㘷㐷㠶昲㐳㝢搰攸扥㘸㔲㜳㥥㜱〹愴搶愶攲㐳㤳〷昹㙦㙢慥〰㔳㤸㠷捤扢捣愹愹晡攱㠳挶ㅤ㐶㤱换捡㐰㝥㡡㔰㐶搱㜶挸扣摦㜲敡敥㈵㠵扢ㅢ㘶っ㕦戶㌷㙥㈲慡㥢㜱㥢㑥摤㝦挵收㤵㑢㠱ㄱ挸敢㍢敢摡㠳㜴㜵㕢〲㕢㐹㕦扤敦挶捥㙥攷㡣㐶㔳㑥㕦戶挲敡㔷㜶㔴摢㡢㥥扢搲扢昶㤸㈷ㅦ㙣搵㜶捤㘸ㅡ㐲㙤㕤㡤摤戵捡戰㉡㥣搷昸散慡敢㑢㐷㑤㙦挲㕥戴㙡ㄷ愵户㈴㈹ㄲ㘵㕤㉤昵㙡㔶㐵㕣㍦戱攰㘰愱攰搶晡慢㤳愵收㍤㤷〳㌰戳慣㘳扥㙢搲ぢ㌶㤶㡤㤵㠶扣㈶搵㈴㝣㈷㉡昶愷㡡㡦戹戵愶㍦敢㍡㠱攷㌶搲㌵搳昵㜵〳㤲愶㝥捡慤换㐲㈱愷㠴〲〴㙥㍥㉦㐴敥戶摥扣愰㄰㤱㐰㌱ㄹ昹扡㌴搹㑤㥥挱敡戰㡡㠶㈴㑤㙡慦搹㘲㌰捥㔷挹㤸っづ㑣慣㠹晡㠳㉦㝤摤ㄶ挳戶㌰昷搲㌶搶戴戱㘸昵昷慣㑢㈷㌸㘱㌸昵㠶昴㌲戵㥦攰㡣昴ㄱ㠰攲ㄵ〸㠴㥥扢㐷㔵㈷㉥㡢㡤攲㈵慢ㅥ慣㤶㔶愵㜵㘱㌵㐰ㄹ㌴㘴戹捣慤敤㑡晡㔵㈸搲昷ㄲ㡣〱㔴㉡戹搲㍥㌶㉡㔵㤰㜲㐵㑡愷っ㕥㑥〹㜲昶㑢昱昲㤰㜹捣㙡〴㌲ㄴ捡㈳㈶㌰ㄲ㙡㌵㠵扥㘱㤲愸㘷搴㐲㠵戱捦㥣〵㤵ㅡ㤶ㄳ㙣戴昹戶㡢㑢㐲㈲摡㤵〵㍢㑥ㄶ㔰ㄴ愴攵㐱〶慦㠱㘸㍡愴㐱㜶攳〴ㄱ㤱つ㌲㌴㍢㐶㑥ㄳㄹ摢㘷挸〸戴㑦ㄲ㈱㕢ㅦ散㉤㈳㐸散摤㐴捡㑥㍤昹㜱㔷㥡㙤㘶换㠷搲散㙡㙣㥣㝥つ挱戵〴搷ㄱ散〷㄰㝦㠲㠴愳㤴㐳㍥㥤昴㔷攰㔹扦㠱攰㤵〰㤰㑦㍡㘵㑥㈴慡㘸㐳㙤挷㡥㘴扢㘱搸挹捡㈸づ㐵ㄱ㉤攳㤶㥤㌹㙣㉢㐴㐷㔶攷捥搰戵〵愵㘳㕦摢㥢㌶㤳换㈱㐵㘶㌴㑤慥㜵㡢愶挹㡤㘰搳㍥昵搶㑤攸慡㡦ㄳ扣ち愰愲扦㥡㄰捡㠵〶敦昶㉣㝡㥡㤴㉦ぢ戳㈸㌴㠶晡㔴昰ㄱ㈱昳〸㤰㈱攴扡㡥㉦扢㌶㌴捤挱〹昳㘵㙦㐳ㅦ攸捤摦ㄱ搲㍢昴收慥摥愱扦攸㜹㕡搱㌷㠳扤挴敦㝡敡㤸㕢㔰慤扦㤶攰㔶㠰づㅤ挳搳昷昳昵ㄴ㈸戳搸㑥㘰㙥㉦扤㉥捡捡㕤摥㔸㤳㑡〳つ㤹换㠶㜷㐱〶昰㘰㥣㥣㠳㉤散㝡㥥㙣攰㔰㕢㔷〵㍣扦㕣㥢㉥昴㡦㜹慥捤昲㕤ㅢ搹㝦㔹㈸㠶㐲㐱换攷㍡㙣攴っ㕢㌳攱㜳㑡㔰づ㜵昰ㅤ扤㠵㐴愲㔳㥡扣搸㉦晢㝣戹㉢㐹晡㤰㈴慦挷戶敡户〱㐰㑡㠸摦昴㤴㈸〷搸散つ慡㔹摡㘲愵㠷㉦攳㜴搲攱㐳散㤲㈳㠳愱挳㜶〶晥〳㝦搸㕥戲散㤶戰ㄸ戴ㄷ愵㔷㠳㙦挱㙡挸㑡攸㤶愵愸搹㤵ㄵ㉦ㄳ㔹㤱捦㜷㥤愷㌳晣㙢㡡㑥㍡愴㐴㈶户㘷㔶㘶㥣挵摢㐴㐵㌷㈴㠵㑡㠶㙢愸㈵㠱㐸㜹㙣扢㉢㘲晡㄰㌱户㘳攳昴㠳〴㔳〴㠷〰㡡扦㠴愴搹敥挶㌳ㅣ㌶戰㑥㤷㜶戵㥡㉢ㄳつ捡㐵昸㙣㑦㘱㜵㤸慦㜹㈳挱㕤〰ㅤ收てㅤ㤰ㄹ㠴愸㔰㥥㈰㐴ㄵ挶㌰捦㔹昲ㄲ㘹㘰㡦㠹挰搲㙣搳て㕣㥢㤱愵㘱㜳捥㍤敤〶㜳㤶扦㠶㐸搴㤸ㄹ㘵敥㕦㤵づ愸换㠳敤搳㔱收慥慤挹扡㙥㉥戹㑤㠸戶㤳㜳㍢攱㘰㡥敤㠰㉤愹捥收㥡㐰敡敦㝣㡣㈱〴㜶㕡昹㕢改㡤摤㤶昷㥢㠷扥㤱昶㡥㉥㕢㐱㐳づ㥡㈱搳㌱㕦㌶戱㡢㠸ㅣ搴〷捣攵㔵㑦捡戹㘱昳戸㘷搵ㅢ㤶㈳㠹っ搸㤸っ搶捤换ぢ㠸ㄲ㉣扡㡣〱扡捥戰戹散ㄹ㡥扦㘶㌰愰戸戱㌷昵愴挲㈲㐵㜳挶㜲㝣扣㐶㘱㤱昹ㄱ㜳㘹搵扤㠴㠸㙤搳㜶㡥ㅢ㙢晥㡥挰ち㠹㍥㑣ち㌵㐲ㄳ㥡㈶捡㕡戹㕦晣昰㐰㥥换㤱昷ち〴ち㔷戹㈲㝤收ㄹ摡㥢㜶㝤ㄴ愳愱㥤捥㌹つ㈱㝡搴㉡捣㘷㑡㘱㜲慡㝥㌷晢扣ㄹ攰摥攳㘷㑦戶㈳㜳㉦㈸㘶㕤愴㤷㍦㐳挶㉢戲㘸〵㐲攸愳摢ㄳ㤲ち换㐸㌹攰㐰㘰㥣㑦㥤攴㔷㌱㔵ㅢ㔲摦㥥㜶昶ㄸ㈲㐹㐳收扣戱㈲ㅢ㠸㐷摢㐶戰㈷㝣愰ㄹ㙢ㅢつ㍦慡㥢㜵㙤摢㈰㘹㤱㉣㤷㙡〶㈹㜸扡ㄹ戸愷㉣㐷㌷〱ㄴ晤㐵㐵挶㘵ㄴㄹ㤷㔵搱㤰㜹㠶愱㐱㤵攷㔸敥〵挳戳㠲㔵摢慡㤵昹挰昰摤㡥愰㐹㌰㌹㈵㙦㥣㘲㤹㌱摥㘱捤㥦㠵挹收㑦〲摤㤳㤰愳摣㍡愲ㅦ㤴慢㠹ㄲ晥㠹㍥ㅤ㑢㄰㌰捡㔳慡扦ㄵ愳ㄵ搵敤〸㠸ㅣ㤵慥挴㜷㌰慥㍣㠲㤲㔰〸ㄱ敢ㄹ㈴〲慦㘰㐲挸搳挵㕤㌲捦㍡㔶〰散ㄱ㘳挷慣㘰捥〷捡〱㤰㔵挷摢敢ㄵ㔶ㄳ㥤㈶㕡㕡攱愶敥慡㤴㥡戸戱扢㍥愹㌷㕥戳㐹㜵愸㔱ㄲ㡡㘴慢㐶㑡戳㙣㌲挷㥤愴㙡㠴㔲摣戱戶ㄱ㔹㙥搳昶扥㔳㡡扣〰挵愴㘸㈶愷扦㑤ㄱち〲扤㤱㡥愲捦㍥㥢㍣ㄲㄱㅢ摡〰ㄵ敡愹戰㙣㌸ち〹㥥挴戵㤳扡慣㐴㑦攰敦㍤㔱㜶愱ㄹ愴㙡㡣换㘳㔱捤㜴愳戱攰挰㑡愸ㄹ㕥㝤㠷戰㌴搶ㄶ㙡ㄸ挵㥤晤㙡晦㜰㝢ㄳ㡣ㄸ戱㈱挳㈲ㄹ㝥㘰戰㈱㤸㉢ㄱ㔱愵㜵㌶捣慤㙥ㄵ㤷昹㜴㑡ㅡ㡥挲挰㔲㔰㥦㤳敢捡っ㙢㕢昲㘳慡㐳敢戴愸攴愸㙥㑥慦昸㔰改〱攵㜸㤴㔳っ慥㥢㘷攸㤶挲㈵〶㠸摤㈸户㔸ぢ㄰摡㙤つ挰㤳挱捥挱づ㜶㈴っ㥤搰㍡愳〴㉤㘵㄰㙥㝡ㄱ攴㥤㍥㌱ち㐱㙡慡昴户愳攲㜳㑦㌱㝤敤㘸㉥捥㐴㑣挴㜰㔷㠶昵〰攴㈶㈳㤳攴愲戱㌸㘰ㅥ㑡㌶㈵戴㠶攲㌲㥡ㄸ挳㌴昹扣〰户㜸ㄸ换ㅡ㈱摢㌴㜰捦㉤戰愰㑤ㅢㅢ㝢捣㤳㑥慤搱慣㑢愵㡡㘳㔹慤㌴昲㡥挰㤷扡〲ㄸ㜲㔳挶扥㐴㥢㜲ㄲ㐷㈹㉥㤹㐸敡摦敥搶㡦愲扢ㄲ㜲ㄸ㈳㔴㝤っ㐰㘶戸攵㔴㐰慣敢㥥〲敤挳扤敤ぢっ敡昲ㅣ㐴㕡㔷ㄱ㘵搹㍣敥攳戵愲挸㡡摢ㄲ捤收摤㜹㤷㌶㝢愲攸㠴ㄵㄶ敤〸ㅣ㘱㥤愱挰㉢㤵㘰㡣昴挹ㅤㅣ㈴㜷㈵㡡敥㕥㜹㐴㍤收慥〰ㄵち〳㠲㌱㕥㥥㠲㜲搸㔵㌰ㄲつ㙥慤㙤㜵ぢ㐶㝦㘹㜹敢搳〰㠲㘱㘰ㅡ戴㘸ㄹㅡ㌸戳挸㙦㙤攰摣㠴㔶ㄹㄱ搲㘴㌰㤵㌱捡㌱㌸散㠱㌴㜰ㄳて搲换㉥㤴㔰戰㑦㕤っ㡢敦㈶㑥搸㌸〲戹摥㌵ㅤ㠵㡢㐶㠰敢㉦捥晥㡥攲改㝡㥤收㉥晣㜳㍢〲慢戸扡ㄱ㥡愳晢㍡㉥㘵愹㌵搱扥扢戹愳㈲扡㉣㜸㘸㙥昲㠴ㄱ搴㔶㤷㠲㡤昰攲㔶扦㈴㔱晣ㄱ晣ㄱ㥢扥㥤㌶㜳挱攱㐵搴㜵敥㝤攵愲攳㕥㜲搴扣㡡㍥㙦晤㠱㐲㜰㠵㜲㠰㤳慣攴晥㡤㝦㉡㘹戹攲て㌱攲㜶愶捤〱摡づㄲ㡥愳㔲㈸つ挶㤱捦愰ㄳ搸敥慤㕢〳愴㤳㝤ㅤ㜴愲〴挱㉥愱㌸ㄷ㕥㌴㐲ㄱ㍦〰㕡㐹㉣攱㤱ㅣ㝢晥㔵戰扥昸㍥㑡㠸㜰㍣㐷㘲愴昸㉡攴㌲㔰愷〴㜹㜴挵㠳ㄷ㐲晥㝦戰ㄴ㜳昳愶散昴㕦㘰㘶昱扤㑥ㄴ摤㐸ㄴ㝤户ぢ㐵㠲搷㐰ㄴ晦摥㡢㑣㥣㡡っ捦㍥慦㐰㌸搷戴㝢〰㝤挹㉦晣晥てて愰昳ㄱ㜱㈸ㅢつ愱戶㕢昰摣㌲ㄱ昲㕤㈶〲㠳昷捡㐴㌸㠵㡣㘰ㄴ㍦㌴ㄱ㈲ㅦ挸〲ち戶㌶ㄱㄸ摢换㌰〴ㄳ愱搶㠴㕢㠳㈷戰㙢㙣晡挷㑥攰攲慤昴ㄱ捦㠷搲昲㘷攱㤱扡戶扢㜸搱昰っ㝢扦㉡㍦敥㐹㈸㌳㙦ㄹ㌷戹㔵ㄷ昶戸㝥搳ㅡ搵㘹ㄳ㕦㐵散㘵摦昵愷㙣敦晥㍡㌰ㄵ愶搰㝤㉦捡愲昴〲㍣㈵㠲攷㠶摣晢昶㝤晤昸敦ㅦ㝡散㈸㙦慢㐵戴㕡扣つ昹㝥㐲昶戴㈷㄰搴㑤㕣ㄴ戹㥡ㅦ收㥣挲㈷㑡搶㕡㐳捥ㄸ㥥戲㠲㝣摤㡥戳㈱攱㈵〸㌳㈴扥㥤㘰㘲攲摥㐳㘸㘲㑥㜶戸㍢搵㠷㑤捡㐵㌸㤹㤸戸昲改挵㘱㐳搱㔳㤱昵㘹㙤ㄶ扦〹㔵昴㍣㈷㤲戶ㄲ㜹敡㘴ㄲ攲ㅢ㥤扡敥㌰㜵㕤㜸㤰㘱搸㍦㤶㔲㠸㍦㤰㐲㤲〷ㄹ㕥〸㔰㔲敡っ㌲挵摢〱㌲㈲㙢㥤㈱㕥晡〳㜶㠵㠰㙣㕤晡敢昳㈳ㄶ散㈲戰ㄸ晢攲晢㍤搱搲ㄶ㡤㔵ㄳ㐳戵捡愶㔹㐲㐶ㅤ㕥㔸㌰ㄵ㤷愶㉣㥤㐳㈸摤戶㍢㡡㉦ㄹ戶挳挰㕢挸搸㐵㥢扥戶㡡㝤㡦搳挴捤て攸㤹㤲㔲ㄸ捥㕥ㄶ攳㐰慡㘲㜴㘱搳㑡㔸㐴㌸ㄲ㘶㕢㥤〶愳㉡攸㉣㘷㍦㑥愵〸晥昱㑢㈱搶㑦戴㠷扥扡戳㠶㍡捥ㄹ挰〲昹㠳晤㜵㘳〶㘳攳慤攴ㄸ㐸搸㙤戵㉡㠷搷挳捦愲ぢㄷ㥤ㄳ㝡㍢慢㥥挵㘱晣㠹㌹㉢慦㜵改㝦㐶慦ㄵ㘷㥤㘳㙦㠶戱㔳晡晦㥤㈸搸㔲晦ぢ挶摥ㄴ㈲摦ㄵ㘵昸㔰㘴晣㘴换㤰つ㜷〴㥥㙤〴㙦搴挱㔸㔷㔹㠶扣挳摣ㄲ㍥㕥つ慢㤵〴㠷摦慢搰㜹㌵愲搵㤷戶敤㘰㑦〱挸搸㔰昱慢㄰㐱㍤晢愷攵㔶㝣扡㉤扤ㅢㅤ昷㥤戲㙡㥥敢扢㘶㌰扥㠴愰敦㌸扦㍤㌳㘱昳㑣㡢慦㜴ち戵㥢戱ㄳ㐳敦㐵㥦搳ぢ㄰搸愷㘵昰㘲挵㈲ㄹ㔹搸㕥㈴㠳摦㈱㡤㈶挲㑢搴づ晥㔵收㝤㑤愳㠱㑦㔷ㄷ攰敢っ㔸戴㈳㤴㕤攸㜱敥扣愱挱慤挳ㅤ慤㜷挰ㅦ㈴ㅢ㤳〸㡥愹㈵扣晢扤摣搷捥㍤㐸户㡤搶收戳㘵㝦㍥户㑡昱ㄹ攰㜴㝢㙦㐹㤳っ摦挹㉦㤲㉢㝡㤵㄰㤷昶㡦攲敦昶ㅤ戴ㅣ㙤っ㜴ㅥ㝤搰㑤㐷搸㐴〳敥戳㙤㐴扦捦愳慢㤸㈶挰㑦㌷愲っㅦ〴扤㝣㘴㐵昱㐵㉣㡢っ㠰㝣慥㔴〳攸㑤搵㑦㙦㐶搵愳戱㐰ㄶ㍣㘳㤰ㅣ㉢攲昳㘸挸敤ち㤷つ㤶攰戲㠵㍡㑢㈰慦挷㍤㤰捦〹㥥㈵搴㐴㍥㡢づ慤㠹㔸㈸敤㍤㤱㈷㌷㥢㠸愰ㄵ愰ㄶ㥡ㅣ㝦㌴搶㈲㝡〳搵扡㑤攰㄰戸〰㈳ㄴ㡢㤴㌵愵㌰戴昰㝤㘲〶改㔷搱摦攷㡥晥昲㔹愶扦ㅥㄵ㑡㄰愲㉡㍤㜹ち㐲㌵昹㑦㈶㈷敦愱戴昷攴㍦扥搹攴㐷㈹㈳㌹ㄳ㍤〰ㄸ捥㡢㉡晥愸挵㌴㤱攱㍥昲㈷捥ㄳ攰㤷㥡挵愸㠱ㄲ搵昷ㄲ㌲攸换つ㔷慤㉥㈳ㄳ昷㉤㜲晤ㄹㅦ昷㈸晢㠸ㄷ㈱改换㈹㠵捥搸㔲愸ㄵ换㜶攴㠵摤ㄱ戲〱㑢攲搷戲㍤㐵㝡愹捦〸扦昸㔰㡣㤸ㄳ㈷攲㉦愷戴㈸收〴挲〸㉤㔲搲て㌷㔲㝣㌰㙥晣慤敦戴㕤愶愸㐰〲昵㠴㡤㐹㘷慡昱攳㜱攳㐳昸㉡㑢戵挹昱〶〱搳㜳㜱㘳搲愳㙡晣㔸摣昸㉦㠷昶户ㅡ挷㜴ㄸ㡥㕣㈴㤱㘴搸扡捡晡㑦㝣愱㍤㠲收㐵㤳晡㜳搰っ㡢㈹㌹㔵攸戸愱㌴攸㄰㉥㠳㜸昸㐶㝡ㅥ㜷㥢㜰〵〴㐲㌶晣㕦㈵㥣挴㥤愷㌹㈳㌰昰〹昴㍡㠲捤㥥慥㥥搸戹㘴㉥㜸㈸ㄸ㌰㑦晡㌸㔳搵㜷ㄴ㠹挰ㅣ㈸㠴晢扢㠵㔳㍥挳㜴㙣敦㐷ㅣ㈴搳㜸㠷愴㍦攵愱〲㉢〵昱晥ㄸ戳戹㐷摢㌴愳㍦〲攴㐰㍡〲㌲愳㍦ちㄸ〶㘲㜸㕢㌹㌷㑡晥㔷捣晤㝥㔶㝣㠰攰㌱㠰㡡㈰戳㤳づ㑡㡦〳㡣挴晦愳㡡昱㜵攵㉦搱挴㐳昱换㤲㘴愴㝦㠸ㅤ㍥っ㤰㠷晢㔶㐴㐴㔸搱㍦㠲㤲攴㑢㈹㌸搴㑢㍦捡㡡㡦ㄱ㝣ㅣ愰㔲攴㘴户扤㙢㕣㔳㥦㥡敢ㄳ攸㉡ㅥ㈵挰㑦晦㘴㤴攱㐳㤱晢昰㤶摥戶㌲㡦挲昱㠷晤〸㜵愶扥攰扦〷㕦攴㙦㜰搱㜹晣て㐹㡡捡戰㉦㘸㙦敥㙦㉣㌲〱㙤㜲昵㕢挳㘶扦㠰㜱戸慥㜶〴㠵㈳㔲愹㤴戵㤲㈰扥戹㘰攱攲つ㝣换ㄱ㔵㈱〴㘹㐰㔵㌸㔱挵㔱ㄴ攸㥦㘲㔳攲㤸㜸搲㍦捤㈷愲㔶㙤攲㘷愲っㅦ〴昱慡扡㍦㄰㜵㡦㕦㐸㕣慢ち慢攳㠵挴扦慡㔸㑤扥昰㈹づ愶㤰㠵㑣㕡㉢ㄱ㘹㡡㠶㍥㡦捣㜰㝥㠴㜳扢ㅦ㍦敤戲愸㥤慦㥦㍦晦捦㤱挲昸昵㠵㜷扥㝤攸愹攷㝥昱㠷㈷㝥晤㥥㈳㝦晥搷搳㑦晦晡㡦㑦㍣晢慦ㅦ慤ㅣ昹搹㌳捦晣攴摥㉦㍤晢㠷扤收㤷戵敦晣㜳晥换て㑦㕤㝣昸㐱昳散㙤挷ㅦ㝥搷〳昷㑤㉤㕥㌵㤱捦てっ摣㍡昶昳敢㕥㌷晡攸㠳摦ㄳ㍦晥敤戵㡥㔰换挵ぢ搲搳攰戲搵㌴扥㠰っ愶挱ㄹ扦愴搳攰㜲搵㐶慤㐴ㅢ㌵㠳㠲㌲㝣ㅡ㥣㠰慡㌰搲ㄵ㠳晦〱㥦昵戳㕤</t>
  </si>
  <si>
    <t>㜸〱敤㕣㕢㙣ㅣ㔷ㄹ摥㌳摥㕤敦慣敤搸㡤搳㑢摡搲㥡㤶㔲愸㠳ㅢ愷㑤㙦㄰㔲㕦㥡㑢㜱㘲㌷㜶㔲㄰㔴㥢昱敥㤹㜸㥡㥤ㄹ㜷㘶搶㠹㑢愵㔶搰㔲㄰㌷㠹㥢㈸㤴㡢㉡㐰攲㠵换㑢戹ち〹〹〹㠴㡡挴〳㍣㈰㜸㈸〸挱〳〸㐵攲愵て㐸昰㝤㘷㘶㜶㘷㜶扤㘳㜷摢㠲㡢㝣搲晤㝤收摣收㥣昳㕦捦晦㥦㘹㑥攴㜲戹㝦㈳昱㉦㔳㥥㤹㙢ㄷ搷晤㐰摡ㄳ㌳㙥扤㉥慢㠱攵㍡晥挴㤴攷ㄹ敢㜳㤶ㅦ昴愱㐱戱㘲愱摥㉦㔴㝣敢㔱㔹慡慣㐹捦㐷愳㐲㉥㔷㉡改ㅡ敡㌹〸㝦㈳昱㠳捥㕥㠳㜹㠰愵㤹改昹攵㠷㌱敡㘲攰㝡㜲摦搸㤹戰敦愱挹挹㠹挹㠹摢敦㥣扣㘳㘲晦扥戱㤹㐶㍤㘸㜸昲㤰㈳ㅢ㠱㘷搴昷㡤㉤㌴㤶敢㔶昵㕤㜲㝤挹㍤㉦㥤㐳㜲㜹晦㙤换挶敤㜷㑤摥㝥昰愰㜹昷摤㜷つ攲搵戹㤳㌳搳ぢ㥥㌴晤㔷㘹捣〲愷㝣晢慣慣㕡㕣㥢㤴㥥攵㥣㥢㤸㤹挶㝦㠹昹攳改捥㠹挵ㄵ㈹〳扥㕡㝡搲愹㑡㕦㐷挷〱㝢捡昷ㅢ昶㉡㌷㑦户㡦㘰愹㔵挳てち昶㡣慣搷㜵㍢ㅥ戵㘴捦㘳敦敡挶晡愰扤㈸ㅤ摦ち慣㌵㉢㔸㉦摡㑢ㄸ愸㌶㘴㥦昶攵㈹挳㌹㈷㑦ㅡ戶㉣搸㐷ㅢ㔶㉤ㅦ愶㕣摦捤昱㄰挹㠹愹攵㑦㑣昹昶捣㡡攱愹ㄹ昹摣㤸㡣戶㐷扣㙡扡敤㡤摤挷攵搴搵ㅢ㌸收㑤摤摢愱收㡣攱㌵㕢㡥㜷㙦ㄹ㉤㍥㍤㠳㕢扢户㑦散㔱扡捦㕢扢昷㔱㕢㤹㙥㉤〶㈲晡㔶㍢㡡挵攸㐵㠲㝥㠲ㄲ〱ㄱ愸㤷〹〶〸〶〱㐴晥㥦攰㤲㘴㐷㔶㘹ㄵ㐳慢㉣㙢㤵慡㔶愹㘹ㄵ愹㔵㑣慤㜲㑥慢慣㘸ㄵ㑢慢㍣慣㔵捥愳㑤㥣㑡晤晤㕡㤴㥥戹攱收晡昳㥦扥晥摥㥦㔴摦晦昵㝤扦晦攰戳㠳扢搰攸㠱㘸㔲戳㥥㜱〱愴搶愲攲〳ㄳ晢昹㙦㜳慥〰㔳㤸〷捤㍢捤挹挹摡挱晤挶㙤㐶㠱换捡㐰㝥㡡㔰㐶搰㜶搰㝣搰㜲㙡敥〵㠵扢㙢愷つ㕦戶㌶㙥㍣慡㥢㜶ㅢ㑥捤扦㘶攳捡挵挰〸攴搵敤㜵慤㐱㍡扡㉤㠲慤愴慦摥㜷㕤㝢户㌳㐶扤㈱愷㉥㕡㘱昵ㅢ摡慡敤〵捦㕤敥㕥㝢挴㤳㡦㌴㙢㍢㘶㌴〵愱戶愶挶敥㔸㘵㔸ㄵ捥㙢㙣㘶挵昵愵愳愶㌷㙥㉦㔸搵昳搲㕢㤴ㄴ㠹戲愶㤶㝡㌹慢㈲慥ㅦ㥦㜷戰㔰㜰㙢敤㠶㘴愹㜹摦挵〰捣㉣㙢㤸敦慡昴㠲昵㈵㘳戹㉥慦㐸㌵〹摦㠹㡡扤愹攲㈳㙥戵攱捦戸㑥攰戹昵㜴捤㔴㙤捤㠰愴愹㥤㜰㙢㌲㥦捦㈹愱〰㠱摢搷㈷㐴敥㤶敥扣愰㄰㤱㐰㌱ㄹ昹慡㌴搹㑤㥣挲敡戰㡡扡㈴㑤㙡㙦摡㘴㌰捥㔷挹㤸っづ㑣慣㠹晡㠳㉦㝤换㈶挳㌶㌱昷摡㌶搶戴搱㘸昵昷慤㐹㈷㌸㘶㌸戵扡昴㌲戵㥦攰㡣昴㘱㠰挲㈵〸㠴慥扢㐷㔵㈷㉥㡡昵挲〵慢ㄶ慣ㄴ㔷愴㜵㙥㈵㐰ㄹ㌴㘴愹挴慤敤㐸晡㘵㈸搲㜷ㄳ㡣〲㤴换戹攲ㅥ㌶㉡㤶㤱㜲〵㑡愷っ㕥㑥〹㜲昶㑢昱昲愰㜹挴慡〷㌲ㄴ捡挳㈶㌰ㄲ㙡㌵㠵扥㈱㤲愸㘷㔴㐳㠵戱挷㥣〱㤵ㅡ㤶ㄳ慣户昸戶㠳㑢㐲㈲摡㤱〵摢㑥ㄶ㔰ㄴ愴攵㐱〶慦㠱㘸摡愴㐱㜶攳〴ㄱ㤱つ㌲㌴㍢㐶㑥ㄳㄹ摢㘷挸〸戴㑦ㄲ㈱㕢敦敦㉥㈳㐸散㥤㐴捡㑥㕤昹㜱㐷㥡㙤㘴换㠷搲散㜲㙣㥣㝥〵挱㤵〴㔷ㄱ散〵㄰㝦㠱㠴愳㤴㐳㍥㥤昴㙢昰慣㕦㑢昰〶〰挸㈷㥤㌲㈷ㄲ㔵戴愱戶㘲㐷戲摤㄰散㘴㘵ㄴ㠷愲㠸㤶㜱搳捥ㅣ戲ㄵ愲㈳慢㜳㝢攸摡扣搲戱㙦敥㑥㥢挹攵㤰㈲㌳㥡㈶搷扡㐹搳攴㐶戰㘹㡦㝡敢㝡㜴搵挷〸摥〸㔰搶㙦㈰㠴㜲愱挱扢㌵㡢㥥㈶攵敢挲㉣ち㡤愱ㅥㄵ㝣㐴挸㍣〲㘴〸戹㡥攳换㡥つ㑤㜳㜰摣㝣摤摢搰晢扡昳㜷㠴昴㌶扤戹愳㜷攸㉦㝡㤹㔶昴㡤㘰㉦昱㠷慥㍡收㈶㔴敢㙦㈶戸ㄹ愰㑤挷昰昴晤㜲㍤〵捡㉣戶ㄳ㤸摢㑤慦㡢戲㜲㤷搶㔷愵搲㐰㠳收㤲攱㥤㤳〱㍣ㄸ挷㘷㘱ぢ扢㥥㈷敢㌸搴搶㔴〱捦㉦㔷愶ぢ晤㈳㥥㙢戳㝣挷㐶昶㕦ㄷ㡡㈱㥦搷晡㜲㙤㌶㜲㠶慤㤹昰㌹㈵㈸㠷㍡昸戶敥㐲㈲搱㈹㑤㕥散㤷㝤扥摣㤱㈴㍤㐸㤲户㘲㕢昵㕢〰㈰㈵挴㙦扢㑡㤴㝤㙣昶㌶搵㉣㙤戱搲挳㤷㜱㍡㘹昳㈱㜶挸㤱㠱搰㘱㍢つ晦㠱㍦㘴㉦㕡㜶㔳㔸っ搸ぢ搲慢挲户㘰搵㘵㌹㜴换㔲搴散挸㡡搷㠹慣攸敢敢㌸㑦㘷昸搷ㄴ㥤戴㐹㠹㑣㙥捦慣捣㌸㡢户㠸㡡㙥㐸ち㤵っ搷㔰㔳〲㤱昲搸㜶㐷挴昴㈰㘲㙥挵挶改晢〹㈶〹づ〰ㄴ㝥〵㐹戳搵㡤㘷㌸慣㝦㡤㉥敤㑡㈵㔷㈲ㅡ㤴㡢昰㠵慥挲敡㈰㕦㜳〷挱㥤〰㙤收てㅤ㤰ㄹ㠴愸㔰㥥㈰㐴ㄵ挶㌰捦㔸昲〲㘹㘰㤷㠹挰搲㑣挳て㕣㥢㤱愵㈱㜳搶㍤改〶戳㤶扦㡡㐸搴愸ㄹ㘵ㅥ㕣㤱づ愸换㠳敤搳㔶收慥慥捡㥡㙥㉥扡つ㠸戶攳戳摢攱㘰㡥敤㠰㉤愹捥收㥡㐰敡敤㝣㡣㈱〴㜶㕡昹㕢改㡤摤㤲昷㥢㠷扥攱搶㡥㉥㔹㐱㕤づ㤸㈱搳㌱㕦㌲戱㡢㠸ㅣ搴晡捤愵ㄵ㑦捡搹㈱昳愸㘷搵敡㤶㈳㠹っ搸㤸っ搶捤挹㜳㠸ㄲ㉣戸㡣〱扡捥㤰戹攴ㄹ㡥扦㙡㌰愰戸扥㍢昵愴挲㈲〵㜳摡㜲㝣扣㐶㘱㤱昹㘱㜳㜱挵扤㠰㠸㙤挳㜶㡥ㅡ慢晥戶挰ち㠹㍥㑣ち㌵㐲ㄳ㥡㈶㑡㕡愹㔷晣昰㐰㥥换㤱昷昲〴ち㔷戹〲㝤收ㄹ摡㥢㜶㝤ㄴ愳愱㥤捥㌹つ㈲㝡搴㉣散换㤴挲攴㔴晤㙥昶戹〷攰晥愳愷㡦户㈲㜳慦㈸㘶㕤愰㤷㍦㐳挶㉢戲㘸〶㐲攸愳摢ㄵ㤲ち换㐸㌹攰㐰㘰㥣㑦敤攴㔷㌶㔵ㅢ㔲摦慥㔶昶〸㈲㐹㠳收㥣戱㉣敢㠸㐷摢㐶戰㉢㝣愰ㄹ㙢ㅢ㜵㍦慡㥢㜱㙤摢㈰㘹㤱㉣ㄷ慢〶㈹㜸慡ㄱ戸㈷㉣㐷㌷〱ㄴ晤㐵㐵挶㐵ㄴㄹㄷ㔵搱愰㜹㡡愱㐱㤵攷㔸敥㌹挳戳㠲ㄵ摢慡㤶昸挰昰摤戶愰㐹㌰㌹㈵㙦㥣㘲㤹㌱搶㘶捤㥦㠶挹收㑦〰摤ㄳ㤰愳摣㍡愲ㅦ㤴慢㠹㈲晥㠹ㅥㅤ㑢㄰㌰捡㔳慡扦〳愳ㄵ搴敤〸㠸ㅣ㤵㉥挵㜷㌰㉥㍤㡥㤲㔰〸ㄱ敢ㄹ㈴〲慦㘰㐲挸搳挵㕤㌴㑦㍢㔶〰散ㄱ㘳㐷慣㘰搶〷捡〱㤰㔵挷摢慢ㄵ㔶ㄳ㥤挶㥢㕡攱晡捥慡㤴㥡戸慥戳㍥愹㌷摥戴㐱㜵愸㔱ㄲ㡡㘴戳㐶㑡戳㙣㌰挷敤愴㙡㠴㔲摣戱戶ㄱ㔹㙥搳搶扥㔳㡡扣〲挵愴㘸㈶愷扦㔳ㄱち〲扤㤱㡥愲捦㍥㥢㍣ㄲㄱㅢ摡〰㘵敡愹戰㙣㈸ち〹ㅥ挷戵㤳㥡㉣㐷㑦攰敦㕤㔱㜶扥ㄱ愴㙡㡣㡢愳㔱捤㔴扤㍥敦挰㑡愸ㅡ㕥㙤㥢戰㌴搶ㄶ㙡ㄸ挵㥤扤㙡晦㜰㝢ㄳ㡣ㄸ戱㈱挳㈲ㄹ㝥㘰戰㈱㤸㉢ㄱ㔱愵㜵㌶挴慤㙥ㄶ㤷昸㜴㐲ㅡ㡥挲挰㘲㔰㥢㤵㙢捡っ㙢㔹昲愳慡㐳昳戴愸攴愸㙥㑥㉤晢㔰改〱攵㜸㤴㔳っ慥㥢愷攸㤶挲㈵〶㠸摤㈸户㔰つ㄰摡㙤づ挰㤳挱昶挱づ㜶㈴っ㥤搰㍡愳〴㉤㘶㄰㙥㝡ㄱ攴㥤ㅥ㌱ち㐱㙡慡昴㡦挳攲ぢ捦㌰㝤昳㜰㉥捥㐴㑣挴㜰㔷㠶昵〰攴㈶㈳㤳攴愲搱㌸㘰ㅥ㑡㌶㈵戴〶攳㌲㥡ㄸ㐳㌴昹扣〰户㜸ㄸ换ㅡ㈶摢搴㜱捦㉤戰愰㑤敢敢扢捣攳㑥戵摥愸㐹愵㡡㘳㔹慤㌴昲戶挰㤷扡〲ㄸ㜲㔳挶扥㐴㥢㜲ㅣ㐷㈹㉥㤹㐸敡摤敥搶て愳扢ㄲ㜲ㄸ㈳㔴㝤っ㐰㘶戸攵㔴㐰慣攳㥥〲敤挳摤慤ぢっ敡昲ㅣ㐴㕡㐷ㄱ㘵搹ㅣ敥攳㌵愳挸㡡摢ㄲ捤收摣㌹㤷㌶㝢愲攸㤸ㄵㄶ㙤ぢㅣ㘱㥤愱挰㉢ㄶ㘱㡣昴挸ㅤㅣ㈴㜷㈹㡡敥㕥㝡㕣㍤收㉥〱ㄵち〳㠲㌱㕥㥥㠲㜲搸㔵㌰ㄲつ㙥慤㘵㜵ぢ㐶㝦㘹㜹敢㔳〰㠲㘱㘰ㅡ戴㘸ㄹㅡ㌸㌳挸㙦㙥攰㕣㡦㔶ㄹㄱ搲㘴㌰㤵㌱捡㔱㌸散㠱㌴㜰ㄳて搲㑢㉥㤴㔰戰㐷㕤っ㡢敦㈶㡥摢㌸〲戹摥ㄵ㙤㠵ぢ㐶㠰敢㉦捥摥戶攲愹㕡㡤收㉥晣㜳摢〲慢戸扡ㄱ㥡愳㝢摡㉥㘵愹㌵搱扥扢戱慤㈲扡㉣㜸㘰㜶攲㤸ㄱ㔴㔷ㄶ㠳昵昰攲㔶慦㈴㔱昸㌱晣ㄱㅢ扥㥤㌶㜳摥攱㐵搴㌵敥㝤昹扣攳㕥㜰搴扣ち㍥㙦晤㠱㐲㜰㠵戲㥦㤳㉣攷晥㡤㝦㉡㘹戹挲㡦㌰攲㔶愶捤〱㕡づㄲ㡥愳㔲㈸つ挶㤰捦愰ㄳ搸敥捤㕢〳愴㤳㍤㙤㜴愲〴挱づ愱㌸攷㕥㌵㐲ㄱ㍦〴㕡㐹㉣攱㤱ㅣ㝢晥つ戰扥昸〱㑡㠸㜰㍣㐷㘲愴昰㐶攴㌲㔰愷〴㜹㜴挵㠳ㄷ㐲晥㝦戰ㄴ㜳昳㠶散昴㕦㘰㘶昱晤㜶ㄴ㕤㐷ㄴ㝤慦〳㐵㠲搷㐰ㄴ晦摥㡦㑣㥣ちっ捦扥慣㐰㌸搷戴㜳〰㝤捤㉦晣晥てて愰㜳ㄱ㜱㈸ㅢつ愱戶㥢昰摣㌴ㄱ晡㍡㑣〴〶敦㤵㠹㜰〲ㄹ挱㈸㝥㘸㈲㐴㍥㤰㜹ㄴ㙣㙥㈲㌰戶㤷㘱〸㈶㐲慤〹户〶㑦㘰㔷搸昴㡦ㅤ挳挵㕢改㈳㥥て愵攵捦挰㈳㜵㘵㘷昱㠲攱ㄹ昶㕥㔵㝥搴㤳㔰㘶摥ㄲ㙥㜲慢㉥散㜱昵㠶㌵慡搳〶扥㡡搸换扥攳㑦搹摡晤㜵㘰㉡㑣愱晢㕥㤴㐴昱ㄵ㜸㑡〴捦つ戹昷敦昹搶搱㍦㍥晡攴㘱摥㔶㡢㘸戵㜰ぢ昲扤㠴散㘹㑦㈰愸㥢戸㈸㜲㌹㍦捣㌹㠱㑦㤴慣搵扡㥣㌶㍣㘵〵昹扡ㅤ㘷㐳挲㑢㄰㘶㐸㝣摢挱挴挴扤㠷搰挴㥣㘸㜳㜷慡て㥢㤴㡢㜰㈲㌱㜱攵搳㡢挳㠶愲慢㈲敢搱摡㉣㝣〷慡攸㘵㑥㈴㙤㈵昲搴挹㈴挴户摢㜵摤㐱敡扡昰㈰挳戰㝦㉣愵㄰㝦㈰㠵㈴て㌲扣㄰愰愴搴㈹㘴ち户〲㘴㐴搶摡㐳扣昴〷散〸〱搹扣昴搷攳㐷㉣搸㐵㘰㌱昶挵昷㝡愲愵㉤ㅡ慢㈶㠶㙡㤵㑤戳㠸㡣㍡扣戰㘰㌲㉥㑤㔹㍡〷㔰扡㘵㜷ㄴ㕦㌲㘴㠷㠱户㤰戱ぢ㌶㝤㙤㘵晢㍥愷㠱㥢ㅦ搰㌳㐵愵㌰㥣摤㉣挶㠱㔴挵攸挲愶攵戰㠸㜰㌸捣㌶㍢つ㐴㔵搰㔹捥㕥㥣㑡ㄱ晣攳㤷㐲慣ㅦ㙦つ㝤㜹㝢つ㜵㥣搳㡦〵昲〷晢敢扡っ挶挶㕢挹㌱㤰戰㕢㙡㔵ち慦㠷㥦㐶ㄷ㉥㍡㈷昴㔶㔶㍤㡢㠳昸ㄳ㜳㔶㥦搶愱晦ㄹ扤㔶㥣㜵㠶扤ㄹ挶㑥改晦㜷愳㘰㔳晤㉦ㄸ㝢㔳㠸㝣㑦㤴攱㐳㠱昱㤳㑤㐳㌶摣ㄱ㜸戶ㄱ扣㔱〷㘳㕤㘵ㄹ昲づ㜳㡢昸㜸㌵慣㔶ㄲㅣ㝥慦㝣晢搵㠸㘶㕦摡戶〳㕤〵㈰㘳㐳㠵㙦㐰〴㜵敤㥦㤶㕢昱改戶昸㕥㜴摣㜳挲慡㝡慥敦㥡挱搸㈲㠲扥㘳晣昶捣㠴捤㌳㈵扥搶㉥搴㙥挴㑥っ㍥㠴㍥㈷攷㈱戰㑦捡攰搵㡡㐵㌲戲戰戵㐸〶扦㐳ㅡ㐹㠴㤷愸ㅤ晣换捣〷ㅡ㐶ㅤ㥦慥捥挳搷ㄹ戰㘸㕢㈸扢搰攳摣㝥㐳㠳㕢㠷㍢㕡敦㠲㍦㐸搶㈷㄰ㅣ㔳㑢㜸敦㐳摣搷昶㍤㐸户㡤搶收戳㘵㙦㍥户㜲攱㌹攰㜴㙢㙦㐹㤳っ摦挹㉦㤲换㝡㠵㄰㤷昶て攳敦搶ㅤ戴ㅣ㙤ㄴ㜴ㅥ㝤搰㑤㐷搸㜸ㅤ敥戳㉤㐴扦捦愲慢㤸㈲挰㑦㌷愲っㅦ〴扤㝣㘴㐵昱㘵㉣㡢っ㠰㝣慥㔸〵攸㑥搵捦㙥㐴搵㈳戱㐰ㄶ㍣㘳㤰ㅣ换攲㡢㘸挸敤ち㤷つ㤶攰戲㠵㍡㑢㈰慦挷㍤㤰捦〹㥥㈵搴㐴㍥㡦づ捤㠹㔸㈸敤㍥㤱捦㙤㌴ㄱ㐱㉢㐰㉤㌴㌹晥㐸慣㐵昴㍡慡㜵㥢挰㈱㜰〱㠶㈹ㄶ㈹㙢㡡㘱㘸攱〷挴っ搲慦愳扦㉦ㅥ晥搵ぢ㑣㝦㍦㉣㤴㈰㐴㔵㝡昲ㄴ㠴㙡昲㥦㑣㑥摥㐳㘹昷挹㝦㝣愳挹㡦㔰㐶㜲㈶㝡〰㌰搴㈷㉡昸愳ㄶ搳㐰㠶晢挸㥦㌸㑢㠰㕦㙡ㄶ㈳〶㑡㔴摦ぢ挸愰㉦㌷㕣戵扡㠸㑣摣户挰昵㘷㝣摣愳散㈳㕥㠴愴㉦愷ㄸ㍡㘳㡢愱㔶㉣搹㤱ㄷ㜶㕢挸〶㉣㠹㕦换㜶ㄵ改挵ㅥ㈳晣攲改ㄸ㌱挷㡥挵㕦㑥㘹㔱捣〹㠴ㄱ㕡愴愴ㅦ㙥愴昸㔰摣昸扢捦户㕣愶愸㐰〲昵㠴㡤㐹㘷慡昱㔳㜱攳〳昸㉡㑢戵挹昱〶〱搳㡢㜱㘳搲愳㙡晣㘴摣昸㙦〷昶㌶ㅢ挷㜴ㄸ㡥㕣㈰㤱㘴搸扡捡晡㑦㝣愱㍤㡣收〵㤳晡㜳挰っ㡢㈹㌹㔵攸戸慥㌴攸㈰㉥㠳㜸昸㐶㝡づ㜷㥢㜰〵〴㐲㌶晣㕦㈵ㅣ挷㥤愷㔹㈳㌰昰〹昴ㅡ㠲捤㥥慥㥥搸戹㘸捥㝢㈸攸㌷㡦晢㌸㔳搵戶ㄵ㠹挰ㅣ挸㠷晢扢㠹㔳㍥挳㜴㙣敤㐷ㅣ㈴搳㜸㠷愴㌷攵愱〲㉢㜹昱㠱ㄸ戳戹㈷㕡㌴愳㍦づ攴㐰㍡〲㌲愳㍦〱ㄸ〶㘲㜸㕢㌹㌷㐲晥㔷捣晤〱㔶㝣㤰攰㐹㠰戲㈰戳㤳づ㡡㑦〱っ挷晦愳㡡戱㌵攵㉦搱挴愳昱换㤲㘴愴㍦捤づㅦ〶攸㠳晢㔶㐴㐴㔸搶㍦㠲㤲攴㑢㈹㌸搴㑢㍦捡㡡㡦ㄱ㝣ㅣ愰㕣攰㘴户扣㙢㕣㔳㡦㥡敢ㄳ攸㉡㥥㈰挰㑦晦㘴㤴攱㐳㠱晢昰昶敥戶㌲㡦挲昱㠷晤〸㜵愶扥攰扦て㕦攴慦㜳搱㝤昸ㅦ㤲ㄴ㤴㘱㥦搷敥改㙤㉣㌲〱㙤㜲昵㕢挵㘶扦㠲㜱戸慥㔶〴㠵㈳㔲愹㤴戴愲㈰扥戹㘰攱攲つ㝣换㈱㔵㈱〴㘹㐰㔵㌸㔱挵㘱ㄴ攸㥦㘶㔳攲㤸㜸搲㍦挳㈷愲㔶㙤攲㘷愳っㅦ〴昱慡扡㍦ㅣ㜵㡦㕦㐸㕣慢ち慢敤㠵挴扦慡㔸㐹扥昰ㄹづ愶㤰㠵㑣㕡㉢ㄱ㘹㡡㠶扥㠸捣㔰摦㌰攷昶㈰㝥摡㐵㔱㍤㕢㍢㝢昶愵攱晣搸搵昹㜷摦㍢昸捣㡢扦晣搳愷㝥昳扥㐳㝦晤搷戳捦晥收捦㥦㝡攱㕦㍦㕥㍥昴昳攷㥥晢搹晤㕦㜹攱㑦扢捤慦㙡捦扦㌴昷搵挷㈶捦㍦昶㠸㜹晡㤶愳㡦扤攷攱〷㈶ㄷ㉥ㅢ敦敢敢敦扦㜹昴ㄷ㔷扤㘵攴㠹㐷扥㉦㝥晡扢㉢ㅤ愱㤶㡢ㄷ愴愷挱㘵慢㘹㝣〹ㄹ㑣㠳㌳㝥㑤愷挱攵慡㡤㕡㡥㌶㙡ㅡ〵㈵昸㌴㌸〱㔵㘱愴㉢〶晥〳㐷攸戲愸</t>
  </si>
  <si>
    <t>㜸〱敤㕣㕢㙣ㅣ㔷ㄹ摥㌳摥㕤敦慣敤搸㡤搳㑢摡搲ㅡ㑡㈹搴挱㡤搳㠶戶㐰〸扥㌴㤷攲挴㙥散愴㔴〵㙤挶扢㘷攲㘹㜶㘶摣㤹㔹㈷㉥㤵㕡㐱㑢㐱搰㈲㤵㡢㈸㉤ㄷ㔵〸㠹ㄷ㉥㉦㔰㉥㉦㐸㐸㈰㔴㈴ㅥ攰〱〹愴㠲㄰㍣㠰㔰㈴㕥晡㔰〹扥敦捣捣敥捣慥㜷散㙥㕢㜰㤱㑦扡扦捦㥣摢㥣㜳晥敢昹晦㌳捤㠹㕣㉥昷㙦㈴晥㘵捡㌳㜳敤攲扡ㅦ㐸㝢㘲挶慤搷㘵㌵戰㕣挷㥦㤸昲㍣㘳㝤捥昲㠳㍥㌴㈸㔶㉣搴晢㠵㡡㙦㍤㈴㑢㤵㌵改昹㘸㔴挸攵㑡㈵㕤㐳㍤〷攱㙦㈴㝥搰搹㙢㌰て戰㌴㌳㍤扦晣〰㐶㕤っ㕣㑦敥ㅢ㍢ㄳ昶㍤㌴㌹㌹㌱㌹㜱摢敤㤳敦㤹搸扦㙦㙣愶㔱てㅡ㥥㍣攴挸㐶攰ㄹ昵㝤㘳ぢ㡤攵扡㔵晤㤰㕣㕦㜲捦㑢攷㤰㕣摥㝦敢戲㜱摢ㅤ㤳户ㅤ㍣㘸摥㜹攷ㅤ㠳㜸㜵敥攴捣昴㠲㈷㑤晦㜵ㅡ戳挰㈹摦㌶㉢慢ㄶ搷㈶愵㘷㌹攷㈶㘶愶昱㕦㘲晥㜸扡㝤㘲㜱㐵捡㠰慦㤶㥥㜴慡搲搷搱㜱挰㥥昲晤㠶扤捡捤搳敤㈳㔸㙡搵昰㠳㠲㍤㈳敢㜵摤㡥㐷㉤搹昳搸扢扡戱㍥㘸㉦㑡挷户〲㙢捤ち搶㡢昶ㄲ〶慡つ搹愷㝤㜹捡㜰捥挹㤳㠶㉤ぢ昶搱㠶㔵换㠷㈹搷㜷㔳㍣㐴㜲㘲㙡昹ㄳ㔳扥㍤戳㘲㜸㙡㐶㍥㌷㈶愳敤ㄱ慦㥡㙥㝢㐳昷㜱㌹㜵昵〶㡥㜹㘳昷㜶愸㌹㘳㜸捤㤶攳摤㕢㐶㡢㑦捦攰㤶敥敤ㄳ㝢㤴敥昳慥敥㝤搴㔶愶㕢㡢㠱㠸扥搵㡥㘲㌱㝡㤱愰㥦愰㐴㐰〴敡㘵㠲〱㠲㐱〰㤱晦ㄷ戸㈴搹㤱㔵㕡挵搰㉡换㕡愵慡㔵㙡㕡㐵㙡ㄵ㔳慢㥣搳㉡㉢㕡挵搲㉡て㘸㤵昳㘸ㄳ愷㔲㝦扦ㄶ愵愷㙦昹搸㔳㌷㍥晢摤扢㕦㤸晦攳散㌷〷愶㥦ㄸ摣㠵㐶昷㐴㤳㥡昵㡣ぢ㈰戵ㄶㄵㅦ㤸搸捦㝦㥢㜳〵㤸挲㍣㘸摥㙥㑥㑥搶づ敥㌷㙥㌵ち㕣㔶〶昲㔳㠴㌲㠲戶㠳收扤㤶㔳㜳㉦㈸摣㕤㍢㙤昸戲戵㜱攳㔱摤戴摢㜰㙡晥㌵ㅢ㔷㉥〶㐶㈰慦㙥慦㙢つ搲搱㙤ㄱ㙣㈵㝤昵扥敢摡扢㥤㌱敡つ㌹㜵搱ち慢摦搲㔶㙤㉦㜸敥㜲昷摡㈳㥥㝣戰㔹摢㌱愳㈹〸戵㌵㌵㜶挷㉡挳慡㜰㕥㘳㌳㉢慥㉦ㅤ㌵扤㜱㝢挱慡㥥㤷摥愲愴㐸㤴㌵戵搴换㔹ㄵ㜱晤昸扣㠳㠵㠲㕢㙢㙦㑢㤶㥡㜷㕤っ挰捣戲㠶昹慥㑡㉦㔸㕦㌲㤶敢昲㡡㔴㤳昰㥤愸搸㥢㉡㍥攲㔶ㅢ晥㡣敢〴㥥㕢㑦搷㑣搵搶っ㐸㥡摡〹户㈶昳昹㥣ㄲち㄰戸㝤㝤㐲攴㙥敥捥ぢちㄱ〹ㄴ㤳㤱慦㑡㤳摤挴㈹慣づ慢愸㑢搲愴昶昶㑤〶攳㝣㤵㡣挹攰挰挴㥡愸㍦昸搲㜷㙥㌲㙣ㄳ㜳㙦㙣㘳㑤ㅢ㡤㔶㝦搷㥡㜴㠲㘳㠶㔳慢㑢㉦㔳晢〹捥㐸ㅦ〶㈸㕣㠲㐰攸扡㝢㔴㜵攲愲㔸㉦㕣戰㙡挱㑡㜱㐵㕡攷㔶〲㤴㐱㐳㤶㑡摣摡㡥愴㕦㠶㈲㝤㌷挱㈸㐰戹㥣㉢敥㘱愳㘲ㄹ㈹㔷愰㜴捡攰攵㤴㈰㘷扦ㄴ㉦て㥡㐷慣㝡㈰㐳愱㍣㙣〲㈳愱㔶㔳攸ㅢ㈲㠹㝡㐶㌵㔴ㄸ㝢捣ㄹ㔰愹㘱㌹挱㝡㡢㙦㍢戸㈴㈴愲ㅤ㔹戰敤㘴〱㐵㐱㕡ㅥ㘴昰ㅡ㠸愶㑤ㅡ㘴㌷㑥㄰ㄱ搹㈰㐳戳㘳攴㌴㤱戱㝤㠶㡣㐰晢㈴ㄱ戲昵晥敥㌲㠲挴摥㐹愴散搴㤵ㅦ㜷愴搹㐶戶㝣㈸捤㉥挷挶改㔷㄰㕣㐹㜰ㄵ挱㕥〰昱㔷㐸㌸㑡㌹攴搳㐹扦〶捦晡戵〴㙦〱㠰㝣搲㈹㜳㈲㔱㐵ㅢ㙡㉢㜶㈴摢つ挱㑥㔶㐶㜱㈸㡡㘸ㄹ㌷敤捣㈱㕢㈱㍡戲㍡户㠷慥捤㉢ㅤ晢㡥敥戴㤹㕣づ㈹㌲愳㘹㜲慤㥢㌴㑤㙥〴㥢昶愸户慥㐷㔷㝤㡣攰慤〰㘵晤㙤㠴㔰㉥㌴㜸户㘶搱搳愴㝣㔳㤸㐵愱㌱搴愳㠲㡦〸㤹㐷㠰っ㈱搷㜱㝣搹戱愱㘹づ㡥㥢㙦㝡ㅢ㝡㕦㜷晥㡥㤰摥愶㌷㜷昴づ晤㐵慦搲㡡扥〱散㈵晥搰㔵挷摣㠸㙡晤ㅤ〴㌷〱戴改ㄸ㥥扥㕦慤愷㐰㤹挵㜶〲㜳扢改㜵㔱㔶敥搲晡慡㔴ㅡ㘸搰㕣㌲扣㜳㌲㠰〷攳昸㉣㙣㘱搷昳㘴ㅤ㠷摡㥡㉡攰昹攵捡㜴愱㝦挴㜳㙤㤶敦搸挸晥㥢㐲㌱攴昳㕡㕦慥捤㐶捥戰㌵ㄳ㍥愷〴攵㔰〷摦摡㕤㐸㈴㍡愵挹㡢晤戲捦㤷㍢㤲愴〷㐹昲㉥㙣慢㝥㌳〰愴㠴昸㕤㔷㠹戲㡦捤摥慤㥡愵㉤㔶㝡昸㌲㑥㈷㙤㍥挴づ㌹㌲㄰㍡㙣愷攱㍦昰㠷散㐵换㙥ち㡢〱㝢㐱㝡㔵昸ㄶ慣扡㉣㠷㙥㔹㡡㥡ㅤ㔹昱㈶㤱ㄵ㝤㝤ㅤ攷改っ晦㥡愲㤳㌶㈹㤱挹敤㤹㤵ㄹ㘷昱ㄶ㔱搱つ㐹愱㤲攱ㅡ㙡㑡㈰㔲ㅥ摢敥㠸㤸ㅥ㐴捣㉤搸㌸㝤㍦挱㈴挱〱㠰挲慦㈱㘹戶扡昱っ㠷昵慦搱愵㕤愹攴㑡㐴㠳㜲ㄱ扥搸㔵㔸ㅤ攴㙢摥㐳㜰㍢㐰㥢昹㐳〷㘴〶㈱㉡㤴㈷〸㔱㠵㌱捣㌳㤶扣㐰ㅡ搸㘵㈲戰㌴搳昰〳搷㘶㘴㘹挸㥣㜵㑦扡挱慣攵慦㈲ㄲ㌵㙡㐶㤹㝢㔷愴〳敡昲㘰晢戴㤵戹慢慢戲愶㥢㡢㙥〳愲敤昸散㜶㌸㤸㘳㍢㘰㑢慡戳戹㈶㤰㝡㍢ㅦ㘳〸㠱㥤㔶晥㔶㝡㘳户攴晤收愱㙦戸戵愳㑢㔶㔰㤷〳㘶挸㜴捣㤷㑣散㈲㈲〷戵㝥㜳㘹挵㤳㜲㜶挸㍣敡㔹戵扡攵㐸㈲〳㌶㈶㠳㜵㜳昲ㅣ愲〴ぢ㉥㘳㠰慥㌳㘴㉥㜹㠶攳慦ㅡっ㈸慥敦㑥㍤愹戰㐸挱㥣戶ㅣㅦ慦㔱㔸㘴㝥搸㕣㕣㜱㉦㈰㘲摢戰㥤愳挶慡扦㉤戰㐲愲て㤳㐲㡤搰㠴愶㠹㤲㔶敡ㄵ㍦㍣㤰攷㜲攴扤㍣㠱挲㔵慥㐰㥦㜹㠶昶愶㕤ㅦ挵㘸㘸愷㜳㑥㠳㠸ㅥ㌵ぢ晢㌲愵㌰㌹㔵扦㤳㝤摥ぢ㜰昷搱搳挷㕢㤱戹搷ㄴ戳㉥搰换㥦㈱攳ㄵ㔹㌴〳㈱昴搱敤ち㐹㠵㘵愴ㅣ㜰㈰㌰捥愷㜶昲㉢㥢慡つ愹㙦㔷㉢㝢〴㤱愴㐱㜳捥㔸㤶㜵挴愳㙤㈳搸ㄵ㍥搰㡣戵㡤扡ㅦ搵捤戸戶㙤㤰戴㐸㤶㡢㔵㠳ㄴ㍣搵〸摣ㄳ㤶愳㥢〰㡡晥愲㈲攳㈲㡡㡣㡢慡㘸搰㍣挵搰愰捡㜳㉣昷㥣攱㔹挱㡡㙤㔵㑢㝣㘰昸㙥㕢搰㈴㤸㥣㤲㌷㑥戱捣ㄸ㙢戳收㑦挳㘴昳㈷㠰敥〹挸㔱㙥ㅤ搱て捡搵㐴ㄱ晦㐴㡦㡥㈵〸ㄸ攵㈹搵摦㡦搱ち敡㜶〴㐴㡥㑡㤷攲㍢ㄸ㤷ㅥ㐱㐹㈸㠴㠸昵っㄲ㠱㔷㌰㈱攴改攲㉥㥡愷ㅤ㉢〰昶㠸戱㈳㔶㌰敢〳攵〰挸慡攳敤搵ち慢㠹㑥攳㑤慤㜰㝤㘷㔵㑡㑤㕣搷㔹㥦搴ㅢ㙦摦愰㍡搴㈸〹㐵戲㔹㈳愵㔹㌶㤸攳㜶㔲㌵㐲㈹敥㔸摢㠸㉣户㘹㙢摦㈹㐵㕥㠳㘲㔲㌴㤳搳㍦愰〸〵㠱摥㐸㐷搱㘷㥦㑤ㅥ㠹㠸つ㙤㠰㌲昵㔴㔸㌶ㄴ㠵〴㡦攳摡㐹㑤㤶愳㈷昰昷慥㈸㍢摦〸㔲㌵挶挵搱愸㘶慡㕥㥦㜷㘰㈵㔴つ慦戶㑤㔸ㅡ㙢ぢ㌵㡣攲捥㕥戵㝦戸扤〹㐶㡣搸㤰㘱㤱っ㍦㌰搸㄰捣㤵㠸愸搲㍡ㅢ攲㔶㌷㡢㑢㝣㍡㈱つ㐷㘱㘰㌱愸捤捡㌵㘵㠶戵㉣昹㔱搵愱㜹㕡㔴㜲㔴㌷愷㤶㝤愸昴㠰㜲㍣捡㈹〶搷捤㔳㜴㑢攱ㄲ〳挴㙥㤴㕢愸〶〸敤㌶〷攰挹㘰晢㘰〷㍢ㄲ㠶㑥㘸㥤㔱㠲ㄶ㌳〸㌷扤〸昲㑥㡦ㄸ㠵㈰㌵㔵晡攷㘱昱㤵㘷㤸扥㝤㌸ㄷ㘷㈲㈶㘲戸㉢挳㝡〰㜲㤳㤱㐹㜲搱㘸ㅣ㌰て㈵㥢ㄲ㕡㠳㜱ㄹ㑤㡣㈱㥡㝣㕥㠰㕢㍣㡣㘵つ㤳㙤敡戸攷ㄶ㔸搰愶昵昵㕤收㜱愷㕡㙦搴愴㔲挵戱慣㔶ㅡ㜹㕢攰㑢㕤〱っ戹㈹㘳㕦愲㑤㌹㡥愳ㄴ㤷㑣㈴昵㙥㜷敢㠷搱㕤〹㌹㡣ㄱ慡㍥〶㈰㌳摣㜲㉡㈰搶㜱㑦㠱昶攱敥搶〵〶㜵㜹づ㈲慤愳㠸戲㙣づ昷昱㥡㔱㘴挵㙤㠹㘶㜳敥㥣㑢㥢㍤㔱㜴捣ち㡢戶〵㡥戰捥㔰攰ㄵ㡢㌰㐶㝡攴づづ㤲扢ㄴ㐵㜷㉦㍤愲ㅥ㜳㤷㠰ち㠵〱挱ㄸ㉦㑦㐱㌹散㉡ㄸ㠹〶户搶戲扡〵愳扦戴扣昵㈹〰挱㌰㌰つ㕡戴っつ㥣ㄹ攴㌷㌷㜰慥㐷慢㡣〸㘹㌲㤸捡ㄸ攵㈸ㅣ昶㐰ㅡ戸㠹〷改㈵ㄷ㑡㈸搸愳㉥㠶挵㜷ㄳ挷㙤ㅣ㠱㕣敦㡡戶挲〵㈳挰昵ㄷ㘷㙦㕢昱㔴慤㐶㜳ㄷ晥戹㙤㠱㔵㕣摤〸捤搱㍤㙤㤷戲搴㥡㘸摦摤搰㔶ㄱ㕤ㄶ㍣㌰㍢㜱捣〸慡㉢㡢挱㝡㜸㜱慢㔷㤲㈸晣ㄴ晥㠸つ摦㑥㥢㌹敦昰㈲敡ㅡ昷扥㝣摥㜱㉦㌸㙡㕥〵㥦户晥㐰㈱戸㐲搹捦㐹㤶㜳晦挶㍦㤵戴㕣攱㈷ㄸ㜱㉢搳收〰㉤〷〹挷㔱㈹㤴〶㘳挸㘷搰〹㙣昷收慤〱搲挹㥥㌶㍡㔱㠲㘰㠷㔰㥣㜳慦ㅢ愱㠸ㅦ〳慤㈴㤶昰㐸㡥㍤晦ㄶ㔸㕦晣〸㈵㐴㌸㥥㈳㌱㔲㜸㉢㜲ㄹ愸㔳㠲㍣扡攲挱ぢ㈱晦㍦㔸㡡戹㜹㐳㜶晡㉦㌰戳㜸愱ㅤ㐵搷ㄱ㐵㍦散㐰㤱攰㌵㄰挵扦㜷㈳ㄳ愷〲挳戳慦㉡㄰捥㌵敤ㅣ㐰摦昰ぢ扦晦挳〳攸㕣㐴ㅣ捡㐶㐳愸敤㐶㍣㌷㑤㠴扥づㄳ㠱挱㝢㘵㈲㥣㐰㐶㌰㡡ㅦ㥡〸㤱て㘴ㅥ〵㥢㥢〸㡣敤㘵ㄸ㠲㠹㔰㙢挲慤挱ㄳ搸ㄵ㌶晤㘳挷㜰昱㔶晡㠸攷㐳㘹昹㌳昰㐸㕤搹㔹扣㘰㜸㠶扤㔷㤵ㅦ昵㈴㤴㤹户㠴㥢摣慡ぢ㝢㕣扤㘱㡤敡戴㠱慦㈲昶戲敦昸㔳戶㜶㝦ㅤ㤸ち㔳攸扥ㄷ㈵㔱㝣つ㥥ㄲ挱㜳㐳敥㘳㝢扥㜳昴㑦て㍤㜶㤸户搵㈲㕡㉤摣㡣㝣㉦㈱㝢摡ㄳ〸敡㈶㉥㡡㕣捥て㜳㑥攰ㄳ㈵㙢戵㉥愷つ㑦㔹㐱扥㙥挷搹㤰昰ㄲ㠴ㄹㄲ摦㜶㌰㌱㜱敦㈱㌴㌱㈷摡摣㥤敡挳㈶攵㈲㥣㐸㑣㕣昹昴攲戰愱攸慡挸㝡戴㌶ぢ摦㠳㉡㝡㤵ㄳ㐹㕢㠹㍣㜵㌲〹昱摤㜶㕤㜷㤰扡㉥㍣挸㌰散ㅦ㑢㈹挴ㅦ㐸㈱挹㠳っ㉦〴㈸㈹㜵ち㤹挲㉤〰ㄹ㤱戵昶㄰㉦晤〱㍢㐲㐰㌶㉦晤昵昸ㄱぢ㜶ㄱ㔸㡣㝤昱扤㥥㘸㘹㡢挶慡㠹愱㕡㘵搳㉣㈲愳づ㉦㉣㤸㡣㑢㔳㤶捥〱㤴㙥搹ㅤ挵㤷っ搹㘱攰㉤㘴散㠲㑤㕦㕢搹扥换㘹攰收〷昴㑣㔱㈹っ㘷㌷㡢㜱㈰㔵㌱扡戰㘹㌹㉣㈲ㅣづ戳捤㑥〳㔱ㄵ㜴㤶戳ㄷ愷㔲〴晦昸愵㄰敢挷㕢㐳㕦摥㕥㐳ㅤ攷昴㘳㠱晣挱晥扡㉥㠳戱昱㔶㜲っ㈴散㤶㕡㤵挲敢攱愷搱㠵㡢捥〹扤㤵㔵捦攲㈰晥挴㥣搵愷㜵攸㝦㐶慦ㄵ㘷㥤㘱㙦㠶戱㔳晡晦挳㈸搸㔴晦ぢ挶摥ㄴ㈲敦㡢㌲㝣㈸㌰㝥戲㘹挸㠶㍢〲捦㌶㠲㌷敡㘰慣慢㉣㐳摥㘱㙥ㄱㅦ慦㠶搵㑡㠲挳敦㤵㙦扦ㅡ搱散㑢摢㜶愰慢〰㘴㙣愸昰㉤㠸愰慥晤搳㜲㉢㍥摤ㄶ敦㐷挷㍤㈷慣慡攷晡慥ㄹ㡣㉤㈲攸㍢挶㙦捦㑣搸㍣㔳攲㥢敤㐲敤〶散挴攰㐷搱攷攴㍣〴昶㐹ㄹ扣㕥戱㐸㐶ㄶ戶ㄶ挹攰㜷㐸㈳㠹昰ㄲ戵㠳㝦㤹㜹㑦挳愸攳搳搵㜹昸㍡〳ㄶ㙤ぢ㘵ㄷ㝡㥣摢㙦㘸㜰敢㜰㐷敢㐳昰〷挹晡〴㠲㘳㙡〹昷㝦㤴晢摡扥〷改戶搱摡㝣戶散捤攷㔶㉥㍣て㥣㙥敤㉤㘹㤲攱㍢昹㐵㜲㔹慦㄰攲搲晥㘱晣摤扡㠳㤶愳㡤㠲捥愳て扡改〸ㅢ慦挳㝤戶㠵攸昷㔹㜴ㄵ㔳〴昸改㐶㤴攱㠳愰㤷㡦慣㈸扥㠶㘵㤱〱㤰捦ㄵ慢〰摤愹晡戹㡤愸㝡㈴ㄶ挸㠲㘷っ㤲㘳㔹㍣㡢㠶摣慥㜰搹㘰〹㉥㕢愸戳〴昲㝡摣〳昹㥣攰㔹㐲㑤攴换攸搰㥣㠸㠵搲敥ㄳ昹搲㐶ㄳㄱ戴〲搴㐲㤳攳㡦挴㕡㐴慦愳㕡户〹ㅣ〲ㄷ㘰㤸㘲㤱戲愶ㄸ㠶ㄶ㝥㐴捣㈰晤㈶晡晢搲攱㕦扦挸昴㡦挳㐲〹㐲㔴愵㈷㑦㐱愸㈶晦戹攴攴㍤㤴㜶㥦晣㤳ㅢ㑤㝥㠴㌲㤲㌳搱〳㠰愱㍥㔱挱ㅦ戵㤸〶㌲摣㐷晥挴㔹〲晣㔲戳ㄸ㌱㔰愲晡㕥㐰〶㝤戹攱慡搵㐵㘴攲扥〵慥㍦攳攳ㅥ㘵ㅦ昱㈲㈴㝤㌹挵搰ㄹ㕢っ戵㘲挹㡥扣戰摢㐲㌶㘰㐹晣㕡戶慢㐸㉦昶ㄸ攱ㄷ㑦挴㠸㌹㜶㉣晥㜲㑡㡢㘲㑥㈰㡣搰㈲㈵晤㜰㈳挵㈷攳挶摦晦㐱换㘵㡡ち㈴㔰㑦搸㤸㜴愶ㅡ㍦ㅥ㌷㍥㠰慦戲㔴㥢ㅣ㙦㄰㌰扤ㄴ㌷㈶㍤慡挶㡦挵㡤晦㝥㘰㙦戳㜱㑣㠷攱挸〵ㄲ㐹㠶慤慢慣晦挴ㄷ摡挳㘸㕥㌰愹㍦〷捣戰㤸㤲㔳㠵㡥敢㑡㠳づ攲㌲㠸㠷㙦愴攷㜰户〹㔷㐰㈰㘴挳晦㔵挲㜱摣㜹㥡㌵〲〳㥦㐰慦㈱搸散改敡㠹㥤㡢收扣㠷㠲㝥昳戸㡦㌳㔵㙤㕢㤱〸捣㠱㝣戸扦㥢㌸攵㌳㑣挷搶㝥挴㐱㌲㡤㜷㐸㝡㔳ㅥ㉡戰㤲ㄷㅦ㡦㌱㥢㝢戴㐵㌳晡㈳㐰づ愴㈳㈰㌳晡愳㠰㘱㈰㠶户㤵㜳㈳攴㝦挵摣ㅦ㘷挵㈷〸ㅥ〳㈸ぢ㌲㍢改愰昸㌸挰㜰晣㍦慡ㄸ㕢㔳晥ㄲ㑤㍣ㄴ扦㉣㐹㐶晡ㄳ散昰㈹㠰㍥戸㙦㐵㐴㠴㘵晤搳㈸㐹扥㤴㠲㐳扤昴㌳慣昸㉣挱㤳〰攵〲㈷扢攵㕤攳㥡㝡搴㕣㑦愱慢㜸㤴〰㍦晤㜳㔱㠶て〵敥挳晢扡摢捡㍣ち挷ㅦ昶㈳搴㤹晡㠲晦㉥㝣㤱扦捥㐵昷攱㝦㐸㔲㔰㠶㝤㕥㝢㙦㙦㘳㤱〹㘸㤳慢摦㉡㌶晢㌵㡣挳㜵戵㈲㈸ㅣ㤱㑡愵愴ㄵ〵昱捤〵ぢㄷ㙦攰㕢づ愹ち㈱㐸〳慡挲㠹㉡づ愳㐰晦㍣㥢ㄲ挷挴㤳晥〵㍥ㄱ戵㙡ㄳ扦ㄸ㘵昸㈰㠸㔷搵晤㠱愸㝢晣㐲攲㕡㔵㔸㙤㉦㈴晥㔵挵㑡昲㠵捦㜰㌰㠵㉣㘴搲㕡㠹㐸㔳㌴昴㉣㌲㐳㝤挳㥣摢扤昸㘹ㄷ㐵昵㙣敤散搹㤷㠷昳㘳㔷攷㍦晣挱挱㘷㕥晡搵㥦㥦晥敤㐷づ晤敤㤵攷㥥晢敤㕦㥥㝥昱㤵㥦㉥ㅦ晡挵昳捦晦晣敥慦扦昸攷摤收㌷戴ㅦ扣㍣昷㡤㠷㈷捦㍦晣愰㜹晡收愳て摦昷挰㍤㤳ぢ㤷㡤昷昵昵昷摦㌴晡换慢摥㌹昲攸㠳㉦㠸㥦晤晥㑡㐷愸攵攲〵改㘹㜰搹㙡ㅡ㕦㐵〶搳攰㡣摦搰㘹㜰戹㙡愳㤶愳㡤㥡㐶㐱〹㍥つ㑥㐰㔵ㄸ改㡡㠱晦〰搳换戲㙥</t>
  </si>
  <si>
    <t>㜸〱敤㕣㕢㙣ㅣ㔷ㄹ摥㌳摥㕤敦慣敤搸㡤搳㑢㑡㘹つ愵ㄴ敡攰挶㘹㐳㈹㄰㠲㉦㑤攲攲挴㙥散愴㐵㉤摡㡣㜷捦挴搳散捣戸㌳戳㑥㕣㉡戵㠲㜲ㄳ㌷〹㕡㐴愱㕣㔴㈱〴㉦㕣㈴挴戵ㄲ㐲㐲〲愱㈲昱〰て㈰ㅥち㐲昰〰㐲㤱㜸攱〱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晢ㅤ㤳㙦㥥㌸㜸㘰㙣愶㔱てㅡ㥥㍣攲挸㐶攰ㄹ昵〳㘳㡢㡤㤵扡㔵㝤㤷摣㔸㜶㉦㐸攷㠸㕣㌹㜸摢㡡㜱晢㕢㈶㙦㍦㝣搸扣昳捥户っ攲搵戹㔳㌳搳㡢㥥㌴晤㤷㘸捣〲愷㝣晢慣慣㕡㕣㥢㤴㥥攵㥣㥦㤸㤹挶㝦㠹昹攳改㡥㠹愵㔵㈹〳扥㕡㝡搲愹㑡㕦㐷挷〱㝢捡昷ㅢ昶ㅡ㌷㑦户㡦㘱愹㔵挳てち昶㡣慣搷㜵㍢ㅥ戵㘴㉦㘰敦敡挶挶愰扤㈴ㅤ摦ち慣㜵㉢搸㈸摡换ㄸ愸㌶㘴㥦昱攵㘹挳㌹㉦㑦ㄹ戶㉣搸挷ㅢ㔶㉤ㅦ愶㕣摦捤昱㄰挹㠹愹攵㑦㑣昹昶捣慡攱愹ㄹ昹摣㤸㡣戶挷扣㙡扡敤㡤摤挷攵搴搵ㅢ㌸收㑤摤摢愱收慣攱㌵㕢㡥㜷㙦ㄹ㉤㍥㍤㠳㕢扢户㑦散㔱扡捦ㅢ扢昷㔱㕢㤹㙥㉤〶㈲晡㔶㍢㡡挵攸㐵㠲㝥㠲ㄲ〱ㄱ愸㤷〹〶〸〶〱㐴晥ㅦ攰㤲㘴㐷㔶㘹ㄵ㐳慢慣㘸㤵慡㔶愹㘹ㄵ愹㔵㑣慤㜲㕥慢慣㙡ㄵ㑢慢㍣愸㔵㉥愰㑤㥣㑡晤晤㕡㤴㥥㔸㝦攰挹晢㈶て捥㝤㘳昸㜷捦㝥敤㍢㍦㜶〷昷愰搱㍤搱愴㘶㍤攳㈲㐸慤㐵挵㠷㈶づ昲摦搶㕣〱愶㌰て㥢㜷㤸㤳㤳戵挳〷㡤摢㡣〲㤷㤵㠱晣ㄴ愱㡣愰敤愰㜹慦攵搴摣㡢ち㜷搷㑤ㅢ扥㙣㙤摣㜸㔴㌷敤㌶㥣㥡晦慡捤㉢㤷〲㈳㤰搷戶搷戵〶改攸戶〴戶㤲扥㝡摦昵敤摤捥ㅡ昵㠶㥣扡㘴㠵搵慦㙥慢戶ㄷ㍤㜷愵㝢敤㌱㑦㍥搴慣敤㤸搱ㄴ㠴摡扡ㅡ扢㘳㤵㘱㔵㌸慦戱㤹㔵搷㤷㡥㥡摥戸扤㘸㔵㉦㐸㙦㐹㔲㈴捡㥡㕡敡㤵慣㡡戸㝥㝣挱挱㐲挱慤戵搷㈶㑢捤扢㉥〵㘰㘶㔹挳㝣搷愴ㄷ㙣㉣ㅢ㉢㜵㜹㔵慡㐹昸㑥㔴散㑦ㄵㅦ㜳慢つ㝦挶㜵〲捦慤愷㙢愶㙡敢〶㈴㑤敤愴㕢㤳昹㝣㑥〹〵〸摣扥㍥㈱㜲户㜴攷〵㠵㠸〴㡡挹挸搷愴挹㙥攲㌴㔶㠷㔵搴㈵㘹㔲㝢摤ㄶ㠳㜱扥㑡挶㘴㜰㘰㘲㑤搴ㅦ㝣改ㅢ戶ㄸ戶㠹戹㤷户戱愶㡤㐶慢扦㙢㕤㍡挱〹挳愹搵愵㤷愹晤〴㘷愴て〳ㄴ㉥㐳㈰㜴摤㍤慡㍡㜱㐹㙣ㄴ㉥㕡戵㘰戵戸㉡慤昳慢〱捡愰㈱㑢㈵㙥㙤㐷搲慦㐰㤱扥㤷㘰ㄴ愰㕣捥ㄵ昷戱㔱戱㡣㤴㉢㔰㍡㘵昰㜲㑡㤰戳㕦㡡㤷〷捤㘳㔶㍤㤰愱㔰ㅥ㌶㠱㤱㔰慢㈹昴つ㤱㐴㍤愳ㅡ㉡㡣㝤收っ愸搴戰㥣㘰愳挵户ㅤ㕣ㄲㄲ搱慥㉣搸㜱戲㠰愲㈰㉤て㌲㜸つ㐴搳㈶つ戲ㅢ㈷㠸㠸㙣㤰愱搹㌱㜲㥡挸搸㍥㐳㐶愰㝤㤲〸搹晡㘰㜷ㄹ㐱㘲敦㈴㔲㜶敡捡㡦扢搲㙣㌳㕢㍥㤴㘶㔷㘲攳昴慢〸慥㈶戸㠶㘰㍦㠰昸㌳㈴ㅣ愵ㅣ昲改愴扦ち捦晡㜵〴慦〶㠰㝣搲㈹㜳㈲㔱㐵ㅢ㙡㍢㜶㈴摢つ挱㑥㔶㐶㜱㈸㡡㘸ㄹ㌷敤捣㈱㕢㈱㍡戲㍡㜷㠶慥捤㉢ㅤ晢晡敥戴㤹㕣づ㈹㌲愳㘹㜲慤㕢㌴㑤㙥〴㥢昶愸户㙥㐰㔷㝤㡣攰㌵〰㘵晤戵㠴㔰㉥㌴㜸户㘷搱搳愴㝣㐵㤸㐵愱㌱搴愳㠲㡦〸㤹㐷㠰っ㈱搷㜱㝣搹戵愱㘹づ㡥㥢慦㜸ㅢ晡㐰㜷晥㡥㤰摥愶㌷㜷昵づ晤㐵㉦搰㡡扥ㄱ散㈵㝥摦㔵挷摣㠴㙡晤昵〴㌷〳戴改ㄸ㥥扥㕦愸愷㐰㤹挵㜶〲㜳㝢改㜵㔱㔶敥昲挶㥡㔴ㅡ㘸搰㕣㌶扣昳㌲㠰〷㘳㙥ㄶ戶戰敢㜹戲㡥㐳㙤㑤ㄵ昰晣㜲㜵扡搰㍦收戹㌶换㜷㙤㘴晦ㄵ愱ㄸ昲㜹慤㉦搷㘶㈳㘷搸㥡〹㥦㔳㠲㜲愸㠳㙦敢㉥㈴ㄲ㥤搲攴挵㝥搹攷换㕤㐹搲㠳㈴㜹㈳戶㔵扦〵〰㔲㐲晣愶慢㐴㌹挰㘶㙦㔲捤搲ㄶ㉢㍤㝣ㄹ愷㤳㌶ㅦ㘲㠷ㅣㄹ〸ㅤ戶搳昰ㅦ昸㐳昶㤲㘵㌷㠵挵㠰扤㈸扤㉡㝣ぢ㔶㕤㤶㐳户㉣㐵捤慥慣㜸㠵挸㡡扥扥㡥昳㜴㠶㝦㑤搱㐹㥢㤴挸攴昶捣捡㡣戳㜸㡢愸攸㠶愴㔰挹㜰つ㌵㈵㄰㈹㡦㙤㜷㐵㑣て㈲收㔶㙣㥣㝥㤰㘰㤲攰㄰㐰攱㤷㤰㌴摢摤㜸㠶挳晡搷改搲慥㔴㜲㈵愲㐱戹〸㥦敢㉡慣づ昳㌵㙦㈶戸〳愰捤晣愱〳㌲㠳㄰ㄵ捡ㄳ㠴愸挲ㄸ收㔹㑢㕥㈴つ散㌱ㄱ㔸㥡㘹昸㠱㙢㌳戲㌴㘴捥扡愷摣㘰搶昲搷㄰㠹ㅡ㌵愳捣扤慢搲〱㜵㜹戰㝤摡捡摣戵㌵㔹搳捤㈵户〱搱㌶㌷扢ㄳづ收搸づ搸㤲敡㙣慥〹愴摥捥挷ㄸ㐲㘰愷㤵扦㤵摥搸㙤㜹扦㜹攸ㅢ㙥敤攸戲ㄵ搴攵㠰ㄹ㌲ㅤ昳㈵ㄳ扢㠸挸㐱慤摦㕣㕥昵愴㥣ㅤ㌲㡦㝢㔶慤㙥㌹㤲挸㠰㡤挹㘰摤扣㍣㡦㈸挱愲换ㄸ愰敢っ㤹换㥥攱昸㙢〶〳㡡ㅢ㝢㔳㑦㉡㉣㔲㌰愷㉤挷挷㙢ㄴㄶ㤹ㅦ㌶㤷㔶摤㡢㠸搸㌶㙣攷戸戱收敦〸慣㤰攸挳愴㔰㈳㌴愱㘹愲愴㤵㝡挵てて攴戹ㅣ㜹㉦㑦愰㜰㤵㉢搰㘷㥥愱扤㘹搷㐷㌱ㅡ摡改㥣搳㈰愲㐷捤挲扥㑣㈹㑣㑥搵敦㘴㥦户〲摣㝤晣捣㕣㉢㌲昷愲㘲搶〵㝡昹㌳㘴扣㈲㡢㘶㈰㠴㍥扡㍤㈱愹戰㡣㤴〳づ〴挶昹搴㑥㝥㘵㔳戵㈱昵敤㘹㘵㡦㈱㤲㌴㘸捥ㅢ㉢戲㡥㜸戴㙤〴㝢挲〷㥡戱戶㔱昷愳扡ㄹ搷戶つ㤲ㄶ挹㜲愹㙡㤰㠲愷ㅡ㠱㝢搲㜲㜴ㄳ㐰搱㕦㔴㘴㕣㐲㤱㜱㐹ㄵつ㥡愷ㄹㅡ㔴㜹㡥攵㥥㌷㍣㉢㔸戵慤㙡㠹てっ摦敤〸㥡〴㤳㔳昲挶㈹㤶ㄹ㘳㙤搶晣ㄹ㤸㙣晥〴搰㍤〱㌹捡慤㈳晡㐱戹㥡㈸攲㥦攸搱戱〴〱愳㍣愵晡摢㌱㕡㐱摤㡥㠰挸㔱改㜲㝣〷攳昲愳㈸〹㠵㄰戱㥥㐱㈲昰ち㈶㠴㍣㕤摣㐵昳㡣㘳〵挰ㅥ㌱㜶捣ち㘶㝤愰ㅣ〰㔹㜵扣扤㔶㘱㌵搱㘹扣愹ㄵ㙥攸慣㑡愹㠹敢㍢敢㤳㝡攳㜵㥢㔴㠷ㅡ㈵愱㐸戶㙡愴㌴换㈶㜳摣㐹慡㐶㈸挵ㅤ㙢ㅢ㤱攵㌶㙤敤㍢愵挸㡢㔰㑣㡡㘶㜲晡㍢ㄴ愱㈰搰ㅢ改㈸晡散戳挹㈳ㄱ戱愱つ㔰愶㥥ち换㠶愲㤰攰ㅣ慥㥤搴㘴㌹㝡〲㝦敦㠹戲ぢ㡤㈰㔵㘳㕣ㅡ㡤㙡愶敡昵〵〷㔶㐲搵昰㙡㍢㠴愵戱戶㔰挳㈸敥散㔵晢㠷摢㥢㘰挴㠸つㄹㄶ挹昰〳㠳つ挱㕣㠹㠸㉡慤戳㈱㙥㜵戳戸挴愷㤳搲㜰ㄴ〶㤶㠲摡慣㕣㔷㘶㔸换㤲ㅦ㔵ㅤ㥡愷㐵㈵㐷㜵㜳㙡挵㠷㑡て㈸挷愳㥣㘲㜰摤㍣㑤户ㄴ㉥㌱㐰散㐶戹挵㙡㠰搰㙥㜳〰㥥っ㜶づ㜶戰㈳㘱攸㠴搶ㄹ㈵㘸㌱㠳㜰搳㡢㈰敦昴㠸㔱〸㔲㔳愵扦ㅦㄵ㥦㝢㡡改敢㐷㜳㜱㈶㘲㈲㠶扢㌲慣〷㈰㌷ㄹ㤹㈴ㄷ㡤挶〱昳㔰戲㈹愱㌵ㄸ㤷搱挴ㄸ愲挹攷〵戸挵挳㔸搶㌰搹愶㡥㝢㙥㠱〵㙤㕡摦搸㘳捥㌹搵㝡愳㈶㤵㉡㡥㘵戵搲挸㍢〲㕦敡ち㘰挸㑤ㄹ晢ㄲ㙤捡ㅣ㡥㔲㕣㌲㤱搴扢摤慤ㅦ㐵㜷㈵攴㌰㐶愸晡ㄸ㠰捣㜰换愹㠰㔸挷㍤〵摡㠷㝢㕢ㄷㄸ搴攵㌹㠸戴㡥㈲捡戲㜹摣挷㙢㐶㤱ㄵ户㈵㥡捤扢昳㉥㙤昶㐴搱〹㉢㉣摡ㄱ㌸挲㍡㐳㠱㔷㉣挲ㄸ改㤱㍢㌸㐸敥㜲ㄴ摤扤晣愸㝡捣㕤〶㉡ㄴ〶〴㘳扣㍣〵攵戰慢㘰㈴ㅡ摣㕡换敡ㄶ㡣晥搲昲搶愷〰〴挳挰㌴㘸搱㌲㌴㜰㘶㤰摦摡挰戹〱慤㌲㈲愴挹㘰㉡㘳㤴愳㜰搸〳㘹攰㈶ㅥ愴㤷㕤㈸愱㘰㥦扡ㄸㄶ摦㑤ㅣ户㜱〴㜲扤慢摡ちㄷ㡤〰搷㕦㥣晤㙤挵㔳戵ㅡ捤㕤昸攷㜶〴㔶㜱㜵㈳㌴㐷昷戵㕤捡㔲㙢愲㝤㜷㘳㕢㐵㜴㔹昰搰散挴〹㈳愸慥㉥〵ㅢ攱挵慤㕥㐹愲昰㉣晣ㄱ㥢扥㥤㌶㜳摥攱㐵搴㜵敥㝤昹㠲攳㕥㜴搴扣ち㍥㙦晤㠱㐲㜰㠵戲㥦㤳㉣攷晥㡤㝦㉡㘹戹挲㡦㌰攲㜶愶捤〱㕡づㄲ㡥愳㔲㈸つ挶㤰捦愰ㄳ搸敥捤㕢〳愴㤳㝤㙤㜴愲〴挱㉥愱㌸攷㕦㌲㐲ㄱ㍦〴㕡㐹㉣攱㤱ㅣ㝢晥㔵戰扥昸〱㑡㠸㜰㍣㐷㘲愴昰ㅡ攴㌲㔰愷〴㜹㜴挵㠳ㄷ㐲晥㝦戰ㄴ㜳昳愶散昴㕦㘰㘶昱晤㜶ㄴ㕤㑦ㄴ㝤慦〳㐵㠲搷㐰ㄴ晦摥㡤㑣㥣ちっ捦扥愰㐰㌸搷戴㝢〰㝤搹㉦晣晥てて愰昳ㄱ㜱㈸ㅢつ愱戶㥢昰摣㌴ㄱ晡㍡㑣〴〶敦㤵㠹㜰ㄲㄹ挱㈸㝥㘸㈲㐴㍥㤰〵ㄴ㙣㙤㈲㌰戶㤷㘱〸㈶㐲慤〹户〶㑦㘰㔷搹昴㡦㥤挰挵㕢改㈳㥥て愵攵捦挰㈳㜵㜵㘷昱愲攱ㄹ昶㝥㔵㝥摣㤳㔰㘶摥㌲㙥㜲慢㉥散㜱敤愶㌵慡搳㈶扥㡡搸换扥敢㑦搹摥晤㜵㘰㉡㑣愱晢㕥㤴㐴昱㐵㜸㑡〴捦つ戹昷敥晢挶昱㍦㍣晣昸㔱摥㔶㡢㘸戵㜰ぢ昲扤㠴散㘹㑦㈰愸㥢戸㈸㜲㈵㍦捣㌹㠹㑦㤴慣戵扡㥣㌶㍣㘵〵昹扡ㅤ㘷㐳挲㑢㄰㘶㐸㝣㍢挱挴挴扤㠷搰挴㥣㘸㜳㜷慡て㥢㤴㡢㜰㈲㌱㜱攵搳㡢挳㠶愲慢㈲敢搱摡㉣㝣ぢ慡攸〵㑥㈴㙤㈵昲搴挹㈴挴㌷摢㜵摤㘱敡扡昰㈰挳戰㝦㉣愵㄰㝦㈰㠵㈴て㌲扣㄰愰愴搴㘹㘴ち户〲㘴㐴搶摡㐳扣昴〷散ち〱搹扣昴搷攳㐷㉣搸㐵㘰㌱昶挵昷㝡愲愵㉤ㅡ慢㈶㠶㙡㤵㑤戳㠴㡣㍡扣戰㘰㌲㉥㑤㔹㍡㠷㔰扡㙤㜷ㄴ㕦㌲㘴㠷㠱户㤰戱ぢ㌶㝤㙤㘵晢㉥愷㠱㥢ㅦ搰㌳㐵愵㌰㥣扤㉣挶㠱㔴挵攸挲愶攵戰㠸㜰㌸捣㌶㍢つ㐴㔵搰㔹捥㝥㥣㑡ㄱ晣攳㤷㐲慣ㅦ㙦つ㝤㘵㝢つ㜵㥣搳㡦〵昲〷晢敢晡っ挶挶㕢挹㌱㤰戰摢㙡㔵ち慦㠷㥦㐱ㄷ㉥㍡㈷昴㔶㔶㍤㡢挳昸ㄳ㜳㔶㥦搶愱晦ㄹ扤㔶㥣㜵㤶扤ㄹ挶㑥改晦晢㔰戰愵晥ㄷ㡣扤㈹㐴扥㍢捡昰愱挰昸挹㤶㈱ㅢ敥〸㍣摢〸摥愸㠳戱慥戲っ㜹㠷戹㈵㝣扣ㅡ㔶㉢〹づ扦㔷扥晤㙡㐴戳㉦㙤摢㠱慥〲㤰戱愱挲㔷㈱㠲扡昶㑦换慤昸㜴㕢扣ㅦㅤ昷㥤戴慡㥥敢扢㘶㌰戶㠴愰敦ㄸ扦㍤㌳㘱昳㑣㠹慦戴ぢ戵ㅢ戱ㄳ㠳敦㐱㥦㔳ぢ㄰搸愷㘴昰㔲挵㈲ㄹ㔹搸㕥㈴㠳摦㈱㡤㈴挲㑢搴づ晥ㄵ收㍤つ愳㡥㑦㔷ㄷ攰敢っ㔸戴㈳㤴㕤攸㜱㙥扦愱挱慤挳ㅤ慤㜷挱ㅦ㈴敢ㄳ〸㡥愹㈵摣晦ㅥ敥㙢晢ㅥ愴摢㐶㙢昳搹戲㌷㥦㕢戹昰っ㜰扡扤户愴㐹㠶敦攴ㄷ挹㘵扤㐲㠸㑢晢㐷昱㜷晢づ㕡㡥㌶ち㍡㡦㍥攸愶㈳㙣扣づ昷搹㌶愲摦攷搰㔵㑣ㄱ攰愷ㅢ㔱㠶て㠲㕥㍥戲愲昸㈲㤶㐵〶㐰㍥㔷慣〲㜴愷敡愷㌷愳敡㤱㔸㈰ぢ㥥㌱㐸㡥㘵昱㜹㌴攴㜶㠵换〶㑢㜰搹㐲㥤㈵㤰搷攳ㅥ挸攷〴捦ㄲ㙡㈲㥦㐵㠷收㐴㉣㤴㜶㥦挸㘷㌶㥢㠸愰ㄵ愰ㄶ㥡ㅣ㝦㈴搶㈲㝡ㅤ搵扡㑤攰㄰戸〰挳ㄴ㡢㤴㌵挵㌰戴昰〳㘲〶改㔷搱摦攷㡦晥昲㌹愶扦ㅤㄵ㑡㄰愲㉡㍤㜹ち㐲㌵昹㑦㈶㈷敦愱戴晢攴㍦扥搹攴㐷㈸㈳㌹ㄳ㍤〰ㄸ敡ㄳㄵ晣㔱㡢㘹㈰挳㝤攴㑦㥣㈳挰㉦㌵㡢ㄱ〳㈵慡敦㐵㘴搰㤷ㅢ慥㕡㕤㐲㈶敥㕢攰晡㌳㍥敥㔱昶ㄱ㉦㐲搲㤷㔳っ㥤戱挵㔰㉢㤶散挸ぢ扢㈳㘴〳㤶挴慦㘵扢㡡昴㘲㡦ㄱ㝥昱愱ㄸ㌱㈷㑥挴㕦㑥㘹㔱捣〹㠴ㄱ㕡愴愴ㅦ㙥愴昸㘰摣昸摢摦㙤戹㑣㔱㠱〴敡〹ㅢ㤳捥㔴攳て挴㡤て攱慢㉣搵㈶挷ㅢ〴㑣捦挷㡤㐹㡦慡昱攳㜱攳扦ㅥ摡摦㙣ㅣ搳㘱㌸㜲㠱㐴㤲㘱敢㉡敢㍦昱㠵昶㌰㥡ㄷ㑣敡捦〱㌳㉣愶攴㔴愱攳扡搲愰㠳戸っ攲攱ㅢ改㜹摣㙤挲ㄵ㄰〸搹昰㝦㤵㌰㠷㍢㑦戳㐶㘰攰ㄳ攸㜵〴㥢㍤㕤㍤戱㜳搱㕣昰㔰搰㙦捥昹㌸㔳搵㜶ㄴ㠹挰ㅣ挸㠷晢扢㠵㔳㍥挳㜴㙣敤㐷ㅣ㈴搳㜸㠷愴㌷攵愱〲㉢㜹昱扥ㄸ戳戹挷㕡㌴愳㍦ち攴㐰㍡〲㌲愳㍦〶ㄸ〶㘲㜸㕢㌹㌷㐲晥㔷捣晤㍥㔶扣㥦攰㜱㠰戲㈰戳㤳づ㡡ㅦ〰ㄸ㡥晦㐷ㄵ㘳敢捡㕦愲㠹㠷攳㤷㈵挹㐸晦㄰㍢㝣ㄸ愰て敥㕢ㄱㄱ㘱㔹晦〸㑡㤲㉦愵攰㔰㉦晤㈸㉢㍥㐶昰㜱㠰㜲㠱㤳摤昶慥㜱㑤㍤㙡慥㑦愰慢㜸㡣〰㍦晤㤳㔱㠶て〵敥挳摢扡摢捡㍣ち挷ㅦ昶㈳搴㤹晡㠲晦㉥㝣㤱扦挱㐵昷攱㝦㐸㔲㔰㠶㝤㕥㝢㙢㙦㘳㤱〹㘸㤳慢摦ㅡ㌶晢㐵㡣挳㜵戵㈲㈸ㅣ㤱㑡愵愴ㄵ〵昱捤〵ぢㄷ㙦攰㕢㡥愸ち㈱㐸〳慡挲㠹㉡㡥愲㐰晦㌴㥢ㄲ挷挴㤳晥〴㥦㠸㕡戵㠹㑦㐶ㄹ㍥〸攲㔵㜵㝦㌰敡ㅥ扦㤰戸㔶ㄵ㔶摢ぢ㠹㝦㔵戱㥡㝣攱㔳ㅣ㑣㈱ぢ㤹戴㔶㈲搲ㄴつ㝤ㅥ㤹愱扥㘱捥敤㕥晣戴㑢愲㝡慥㜶敥摣㍦㠷昳㘳搷收敦㝢攷攰㔳捦晦攲㡦㥦晡昵〳㐷晥昲慦愷㥦晥昵㥦㍥昵摣扦㥥㕤㌹昲戳㘷㥥昹改摤㕦㝡敥㡦㝢捤㉦㙢摦晤攷晣㤷ㅦ㤹扣昰挸㐳收㤹㕢㡥㍦昲敥〷敦㤹㕣扣㘲扣慦慦扦晦收搱㥦㕦昳㠶㤱挷ㅥ晡扥昸挹㙦慦㜶㠴㕡㉥㕥㤰㥥〶㤷慤愶昱〵㘴㌰つ捥昸㘵㥤〶㤷慢㌶㙡㈵摡愸㘹ㄴ㤴攰搳攰〴㔴㠵㤱慥ㄸ昸て愳愰戳㈵</t>
  </si>
  <si>
    <t>㜸〱敤㕣㕢㙣ㅣ搷㜹摥㌳㝢攱捥㤲ㄴ㘹㔱扥挸㜱㙣㍡㡥攳搸㔴搶愲㙣挵㜱㕡㔵攵挵扡㌸㤴㐸㡢㤴㙣挳つ㔶挳摤㌳攲㔸㍢㌳昴捣㉣㈵扡〶㙣愴㑥㤳㈰㜱〲攴㔲搴㡤搳〶㐶㘱㈰㉦㐹晡㤲㑢敢㤷〲〱ㄲ愴㜶㤱〰敥㐳㤱㍣㌸㐱㤱㍥戴㈸〴昴㈵て〱搲敦㍢㌳戳㍢戳换ㅤ搲㙢扢愵ぢㅥ㜹㝦㥥㌹户㌹攷晣搷昳晦㘷㥣ㄳ戹㕣敥昷㐸晣换㔴㘰收㤶攵㑤㍦㤰㜶㜵捥㙤㌶㘵㍤戰㕣挷慦捥㜸㥥戱戹㘰昹㐱ㅥつ㑡㌵ぢ昵㝥戱收㕢㑦换㜲㙤㐳㝡㍥ㅡㄵ㜳戹㜲㔹搷㔰捦㐱昸ㅢ㡦ㅦ㜴昶ㅡ㈹〰慣捣捤㉥慥㍥㠹㔱㤷〳搷㤳㠷㈶㉦㠴㝤㡦㑤㑦㔷愷慢昷㍦㌰晤搱敡攱㐳㤳㜳慤㘶搰昲攴㌱㐷戶〲捦㘸ㅥ㥡㕣㙡慤㌶慤晡㈷攴收㡡㝢㔹㍡挷攴敡攱晢㔶㡤晢㍦㌶㝤晦搱愳收㠳て㝥㙣〴慦捥㥤㥤㥢㕤昲愴改扦㐳㘳ㄶ㌹攵晢攷㘵摤攲摡愴昴㉣攷㔲㜵㙥ㄶ晦㈵收㡦愷〷慡换㙢㔲〶㝣戵昴愴㔳㤷扥㡥㡥挳昶㡣敦户散㜵㙥㥥㙥㥦挰㔲敢㠶ㅦㄴ敤㌹搹㙣敡㜶㍣㙡搹㕥挴摥㌵㡤捤ㄱ㝢㔹㍡扥ㄵ㔸ㅢ㔶戰㔹戲㔷㌰㔰㘳搴㍥敦换㜳㠶㜳㐹㥥㌵㙣㔹戴㑦戶慣㐶㈱㑣戹晣㕤昱㄰挹㠹愹攵㔷㘷㝣㝢㙥捤昰搴㡣㝣㙥㑣㐶摢ㄳ㕥㍤摤昶㡥晥攳㜲敡敡つㅣ昳捥晥敤㔰㜳挱昰摡㉤愷晡户㡣ㄶ㥦㥥挱扤晤摢㈷昶㈸摤攷敥晥㝤搴㔶愶㕢㡢攱㠸扥搵㡥㘲㌱㝡㠹㘰㠸愰㑣㐰〴敡ㄵ㠲㘱㠲ㄱ〰㔱昸㙦㜰㐹戲㈳慢戴㥡愱搵㔶戵㕡㕤慢㌵戴㥡搴㙡愶㔶扢愴搵搶戴㥡愵搵㥥搴㙡㤷搱㈶㑥攵愱㈱㉤㑡㍦晦搵㍦攵扦㜱散摣攲慢摦㝦攵捤㝦㥥慤晥㘲㘴ㅦㅡ㍤ㄲ㑤㙡摥㌳慥㠰搴㍡㔴㝣愴㝡㤸晦戶攷ち㌰㠵㜹搴㝣挰㥣㥥㙥ㅣ㍤㙣摣㘷ㄴ戹慣っ攴愷〸㘵ㅣ㙤㐷捣㐷㉤愷攱㕥㔱戸扢㘵搶昰㘵㘷攳愶愲扡㔹户攵㌴晣昷㙤㕤戹ㅣㄸ㠱扣戹扢慥㌳㐸㑦户㘵戰㤵昴搵晢㙥敤敥㜶挱㘸戶攴捣㔵㉢慣㝥㝦㔷戵扤攴戹慢晤㙢㑦㜸昲愹㜶㙤捦㡣㘶㈰搴㌶搴搸㍤慢っ慢挲㜹㑤捥慤戹扥㜴搴昴愶散㈵慢㝥㔹㝡换㤲㈲㔱㌶搴㔲慦㘷㔵挴昵㔳㡢づㄶち㙥㙤㝣㈰㔹㙡㍥㜴㌵〰㌳换〶收扢㉥扤㘰㜳挵㔸㙤捡ㅢ㔲㑤挲㜷愲攲㘰慡昸㠴㕢㙦昹㜳慥ㄳ㜸㙥㌳㕤㌳搳搸㌰㈰㘹ㅡ㘷摣㠶㉣ㄴ㜲㑡㈸㐰攰收昳㐲攴敥改捦ぢちㄱ〹ㄴ㤳㤱㙦㑡㤳㕤昵ㅣ㔶㠷㔵㌴㈵㘹㔲晢攰㌶㠳㜱扥㑡挶㘴㜰㘰㘲㑤搴ㅦ㝣改㠷户ㄹ戶㡤戹㜷户戱愶㑤㐴慢㝦㘸㐳㍡挱㈹挳㘹㌴愵㤷愹晤〴㘷愴㡦〱ㄴ慦㐱㈰昴摤㍤慡㍡㜱㔵㙣ㄶ慦㔸㡤㘰慤戴㈶慤㑢㙢〱捡愰㈱换㘵㙥㙤㑦搲慦㐳㤱扥㥦㘰〲愰㔲挹㤵づ戰㔱愹㠲㤴㉢㔲㍡㘵昰㜲㑡㤰戳㕦㡡㤷㐷捣ㄳ㔶㌳㤰愱㔰ㅥ㌳㠱㤱㔰慢㈹昴㡤㤲㐴㍤愳ㅥ㉡㡣〳收ㅣ愸搴戰㥣㘰戳挳户㍤㕣ㄲㄲ搱㥥㉣搸㜵戲㠰愲㈰㉤て㌲㜸つ㐴搳㈵つ戲ㅢ㈷㠸㠸㙣㤰愱搹㌱㜲㥡挸搸㍥㐳㐶愰㝤㤲〸搹晡㜰㝦ㄹ㐱㘲敦㈵㔲㜶敡换㡦㝢搲㙣㉢㕢㍥㤴㘶搷㘳攳昴ㅢ〸㙥㈴戸㠹攰㈰㠰昸つ㈴ㅣ愵ㅣ昲改愴扦て捦晡㉤〴敦〷㠰㝣搲㈹㜳㈲㔱㐵ㅢ㙡㈷㜶㈴摢㡤挲㑥㔶㐶㜱㈸㡡㘸ㄹ户敤捣㔱㕢㈱㍡戲㍡㜷㠷慥㉤㈸ㅤ晢愱晥戴㤹㕣づ㈹㌲愳㘹㜲慤摢㌴㑤㙥〴㥢づ愸户㙥㐳㔷㝤㤲攰㜶㠰㡡晥〱㐲㈸ㄷㅡ扣㍢戳攸㘹㔲扥㈷捣愲搰ㄸㅡ㔰挱㐷㠴捣㈳㐰㠶㤰敢㌹扥散搹搰㌴〷愷捣昷扣つ㝤愸㍦㝦㐷㐸敦搲㥢㝢㝡㠷晥愲户㘸㐵摦〱昶ㄲ扦散慢㘳敥㐴戵晥㈱㠲扢〰扡㜴っ㑦摦㙦搵㔳愰捣㘲㍢㠱戹晤昴扡㈸㉢㜷㘵㜳㕤㉡つ㌴㘲慥ㄸ摥㈵ㄹ挰㠳㜱㝡ㅥ戶戰敢㜹戲㠹㐳㙤㐳ㄵ昰晣㜲㘳扡搰㍦攱戹㌶换昷㙣㘴晦㍤愱ㄸち〵㉤㥦敢戲㤱㌳㙣捤㠴捦㈹㐱㌹搴挱昷昵ㄷㄲ㠹㑥㘹昲㘲扦散昳攵㥥㈴ㄹ㐰㤲摣㡤㙤搵敦〱㠰㤴㄰晦搲㔷愲ㅣ㘲戳㡦愸㘶㘹㡢㤵ㅥ扥㡣搳㐹㤷て戱㐷㡥っ㠷づ摢㔹昸て晣㔱㝢搹戲摢挲㘲搸㕥㤲㕥ㅤ扥〵慢㈹㉢愱㕢㤶愲㘶㑦㔶扣㐷㘴㐵㍥摦㜳㥥捥昰慦㈹㍡改㤲ㄲ㤹摣㥥㔹㤹㜱ㄶ敦㄰ㄵ摤㤰ㄴ㉡ㄹ慥愱戶〴㈲攵戱敤㥥㠸ㄹ㐰挴摣㡢㡤搳てㄳ㑣ㄳㅣ〱㈸扥づ㐹戳搳㡤㘷㌸㙣㘸㠳㉥敤㕡㉤㔷㈶ㅡ㤴㡢昰戵扥挲敡㈸㕦昳㔱㠲〷〰扡捣ㅦ㍡㈰㌳〸㔱愱㍣㐱㠸㉡㡣㘱㕥戰攴ㄵ搲挰㍥ㄳ㠱愵戹㤶ㅦ戸㌶㈳㑢愳收扣㝢搶つ收㉤㝦ㅤ㤱愸〹㌳捡㍣扡㈶ㅤ㔰㤷〷摢愷慢捣㕤㕦㤷つ摤㕣㜶㕢㄰㙤愷攷㜷挳挱ㅣ摢〱㕢㔲㥤捤㌵㠱㌴搸昹ㄸ㐳〸散戴昲户搲ㅢ扢㈳敦㌷て㝤㘳㥤ㅤ㕤戱㠲愶ㅣ㌶㐳愶㘳扥㙣㘲ㄷㄱ㌹㘸っ㤹㉢㙢㥥㤴昳愳收㐹捦㙡㌴㉤㐷ㄲㄹ戰㌱ㄹ慣㕢㤰㤷㄰㈵㔸㜲ㄹ〳㜴㥤㔱㜳挵㌳ㅣ㝦摤㘰㐰㜱㜳㝦敡㐹㠵㐵㡡收慣攵昸㜸㡤挲㈲昳㘳收昲㥡㝢〵ㄱ摢㤶敤㥣㌴搶晤㕤㠱ㄵㄲ㝤㤸ㄴ㙡㠴㈶㌴㑤㤴戵昲愰昸攱㠱㍣㤷㈳敦ㄵ〸ㄴ慥㜲㐵晡捣㌳戴㌷敤晡㈸㐶㐳㍢㥤㜳ㅡ㐱昴愸㕤㤸捦㤴挲攴㔴晤㐱昶昹㌸挰挳㈷捦㥦敥㐴收摥㔶捣扡㐸㉦㝦㠶㡣㔷㘴搱づ㠴搰㐷户㉦㈴ㄵ㤶㤱㜲挰㠱挰㌸㥦扡挹慦㘲慡㌶愴扥㝤㥤散〹㐴㤲㐶捣〵㘳㔵㌶ㄱ㡦戶㡤㘰㕦昸㐰㌳搶㌶㥡㝥㔴㌷攷摡戶㐱搲㈲㔹㉥搷つ㔲昰㑣㉢㜰捦㔸㡥㙥〲㈸晡㡢㡡㡣慢㈸㌲慥慡愲ㄱ昳ㅣ㐳㠳㉡捦戱摣㑢㠶㘷〵㙢戶㔵㉦昳㠱攱扢㕤㐱㤳㘰㜲㑡摥㌸挵㌲㘳戲换㥡㍦て㤳捤慦〲摤㔵挸㔱㙥ㅤ搱て捡搵㐴〹晦挴㠰㡥㈵〸ㄸ攵㈹搵晦㄰愳ㄵ搵敤〸㠸ㅣ㤵慥挵㜷㌰慥㍤㡢㤲㔰〸ㄱ敢ㄹ㈴〲慦㘰㐲挸搳挵㕤㌲捦㍢㔶〰散ㄱ㘳㈷慣㘰摥〷捡〱㤰㔵挷摢㥢ㄵ㔶ㄳ㥤愶摡㕡攱戶摥慡㤴㥡戸戵户㍥愹㌷㍥戸㐵㜵愸㔱ㄲ㡡㘴扢㐶㑡戳㙣㌱挷摤愴㙡㠴㔲摣戱戶ㄱ㔹㙥搳捥扥㔳㡡扣つ挵愴㘸㈶愷晦㤱㈲ㄴ〴㝡㈳ㅤ㐵㥦㝤㌶㜹㈴㈲㌶戴〱㉡搴㔳㘱搹㘸ㄴㄲ㍣㡤㙢㈷つ㔹㠹㥥挰摦晢愲散㘲㉢㐸搵ㄸ㔷㈷愲㥡㤹㘶㜳搱㠱㤵㔰㌷扣挶㉥㘱㘹慣㉤搴㌰㡡㍢〷搵晥攱昶㈶ㄸ㌱㘲㐳㠶㐵㌲晣挰㘰㐳㌰㔷㈲愲㑡敢㙣㤴㕢摤㉥㉥昳改㡣㌴ㅣ㠵㠱攵愰㌱㉦㌷㤴ㄹ搶戱攴㈷㔴㠷昶㘹㔱挹㔱摤㥣㔹昵愱搲〳捡昱㈸愷ㄸ㕣㌷捦搱㉤㠵㑢っ㄰扢㔱㙥愹ㅥ㈰戴摢ㅥ㠰㈷㠳摤㠳ㅤ散㐸ㄸ㍡愱㜵㐶〹㕡捡㈰摣昴㈲挸㍢〳㘲ㄴ㠲搴㔴改扦㡥㡢扦㝡㤱改㕢挷㜳㜱㈶㘲㈲㠶扢㌲慣〷㈰㌷ㄹ㤹㈴ㄷ㑤挴〱昳㔰戲㈹愱㌵ㄲ㤷搱挴ㄸ愵挹攷〵戸挵挳㔸搶ㄸ搹愶㠹㝢㙥㠱〵㙤摡摣摣㘷㥥㜶敡捤㔶㐳㉡㔵ㅣ换㙡愵㤱㜷〵扥搴ㄵ挰㤰㥢㌲昶㈵摡㤴搳㌸㑡㜱挹㐴搲攰㜶户㝥ㅣ摤㤵㤰挳ㄸ愱敡㘳〰㌲挳㉤愷〲㘲㍤昷ㄴ㘸ㅦ敥敦㕣㘰㔰㤷攷㈰搲㝡㡡㈸换ㄶ㜰ㅦ慦ㅤ㐵㔶摣㤶㘸戶攰㉥戸戴搹ㄳ㐵愷慣戰㘸㔷攰〸敢っ〵㕥愹〴㘳㘴㐰敥攰㈰戹㙢㔱㜴昷摡戳敡㌱㜷つ愸㔰ㄸ㄰㡣昱昲ㄴ㤴挳慥㠲㤱㘸㜰㙢ㅤ慢㕢㌰晡㑢换㕢㥦〱㄰っ〳搳愰㐵换搰挰㤹㐳㝥㝢〳攷㌶戴捡㠸㤰㈶㠳愹㡣㔱㑥挰㘱て愴㠱㥢㜸㤰㕥㜱愱㠴㠲〳敡㘲㔸㝣㌷㜱捡挶ㄱ挸昵㙥攸㉡㕣㌲〲㕣㝦㜱づ㜶ㄵ捦㌴ㅡ㌴㜷攱㥦摢ㄵ㔸挵搵㡤搰ㅣ㍤搰㜵㈹㑢慤㠹昶摤ㅤ㕤ㄵ搱㘵挱㈳昳搵㔳㐶㔰㕦㕢づ㌶挳㡢㕢㠳㤲㐴昱㔵昸㈳戶㝣㍢㙤收㠲挳㡢愸ㅢ摣晢捡㘵挷扤攲愸㜹ㄵ㝤摥晡〳㠵攰ち攵㄰㈷㔹挹晤ㅥ晦㔴搲㜲挵㝦挰㠸㍢㤹㌶〷攸㌸㐸㌸㡥㑡愱㌴㤸㐴㍥㠳㑥㘰扢户㙦つ㤰㑥づ㜴搱㠹ㄲ〴㝢㠴攲㕣㝡挷〸㐵晣㍤搰㑡㘲〹㡦攴搸昳㔷挰晡攲㠷㈸㈱挲昱ㅣ㠹㤱攲敤挸㘵愰㑥〹昲攸㡡〷㉦㠴晣晦挱㔲捣捤㕢戲搳晦〲㌳㡢ㅦ㜴愳攸㔶愲攸晢㍤㈸ㄲ扣〶愲昸昷㘱㘴攲㔴㘴㜸昶㉤〵挲戹愶扤〳攸扢㝥攱昷晦昰〰扡㄰ㄱ㠷戲搱㄰㙡扢ㄳ捦㙤ㄳ㈱摦㘳㈲㌰㜸慦㑣㠴㌳挸〸㐶昱㐳ㄳ㈱昲㠱㉣愲㘰㝢ㄳ㠱戱扤っ㐳㌰ㄱ㙡㑤戸㌵㜸〲扢挱愶㝦散ㄴ㉥摥㑡ㅦ昱㝣㈸㉤㝦づㅥ愹ㅢ㝢㡢㤷っ捦戰て慡昲㤳㥥㠴㌲昳㔶㜰㤳㕢㜵㘱㡦㥢户慣㔱㥤戶昰㔵挴㕥昶㍤㝦捡捥敥慦〳㔳㘱ち摤昷愲㉣㑡㙦挳㔳㈲㜸㙥挸晤改㠱㙦㥦晣搵搳捦ㅦ攷㙤戵㠸㔶㡢昷㈰㍦㐸挸㥥昶〴㠲扡㠹㡢㈲搷昳挳㥣㌳昸㐴挹㕡㙦捡㔹挳㔳㔶㤰慦摢㜱㌶㈴扣〴㘱㠶挴户ㅢ㑣㑣摣㝢〸㑤捣㙡㤷扢㔳㝤搸愴㕣㠴搵挴挴㤵㑦㉦づㅢ㡡扥㡡㙣㐰㙢戳昸㕤愸愲户㌸㤱戴㤵挸㔳㈷㤳㄰摦改搶㜵㐷愹敢挲㠳っ挳晥戱㤴㐲晣㠱ㄴ㤲㍣挸昰㐲㠰㤲㔲攷㤰㈹摥ぢ㤰ㄱ㔹敢づ昱搲ㅦ戰㈷〴㘴晢搲摦㠰ㅦ戱㘰ㄷ㠱挵搸ㄷ㍦攸㠹㤶戶㘸慣㥡ㄸ慡㔵㌶捤㌲㌲敡昰挲㠲改戸㌴㘵改ㅣ㐱改㡥摤㔱㝣挹愸ㅤ〶摥㐲挶㉥摡昴戵㔵散㠷㥣ㄶ㙥㝥㐰捦㤴㤴挲㜰昶戳ㄸ〷㔲ㄵ愳ぢ㥢㔶挲㈲挲戱㌰摢敥㌴ㅣ㔵㐱㘷㌹〷㜱㉡㐵昰㡦㕦ち戱㝥慡㌳昴昵摤㌵搴㜱捥㄰ㄶ挸ㅦ散慦㕢㌳ㄸㅢ㙦㈵挷㐰挲敥愸㔵㌹扣ㅥ㝥ㅥ㕤戸攸㥣搰㍢㔹昵㉣㡥攲㑦捣㔹㜹慤㐷晦㌳㝡慤㌸敢〲㝢㌳㡣㥤搲晦㡦愱㘰㕢晤㉦ㄸ㝢㔳㠸㝣㍣捡昰愱挸昸挹戶㈱ㅢ敥〸㍣摢〸摥愸㠳戱慥戲っ㜹㠷戹㘵㝣扣ㅡ㔶㉢〹づ扦㔷愱晢㙡㐴扢㉦㙤摢攱扥〲㤰戱愱攲㉢㄰㐱㝤晢愷攵㔶㝣扡㉤㍤㠱㡥〷捥㔸㜵捦昵㕤㌳㤸㕣㐶搰㜷㤲摦㥥㤹戰㜹㘶挴摦㜶ぢ戵㍢戰ㄳ㈳㥦㐴㥦戳㡢㄰搸㘷㘵昰㑥挵㈲ㄹ㔹搸㔹㈴㠳摦㈱㡤㈷挲㑢搴づ晥㜵收㈳㉤愳㠹㑦㔷ㄷ攱敢っ㔸戴㉢㤴㕤攸㜱敥扥愱挱慤挳ㅤ慤㑦挰ㅦ㈴㥢㔵〴挷搴ㄲ㥥昸㈴昷戵㝢て搲㙤愳戵昹㙣㌹㤸捦慤㔲㝣ㄹ㌸摤搹㕢搲㈴挳㜷昲㡢攴㡡㕥㈳挴愵晤攳昸扢㜳〷㉤㐷㥢〰㥤㐷ㅦ㜴搳ㄱ㌶搵㠴晢㙣〷搱敦㡢攸㉡㘶〸昰搳㡤㈸挳〷㐱㉦ㅦ㔹㔱晣㌵㤶㐵〶㐰㍥㔷慡〳昴愷敡㤷戶愲敡昱㔸㈰ぢ㥥㌱㐸㡥ㄵ昱㜵㌴攴㜶㠵换〶㑢㜰搹㐲㥤㈵㤰搷攳ㅥ挸攷〴捦ㄲ㙡㈲㝦㠹づ敤㠹㔸㈸敤㍦㤱扦搸㙡㈲㠲㔶㠰㕡㘸㜲晣昱㔸㡢攸㑤㔴敢㌶㠱㐳攰〲㡣㔱㉣㔲搶㤴挲搰挲て㠹ㄹ愴㥦㐵㝦摦㍣晥晡㙢㑣晦㜹㕣㈸㐱㠸慡昴攴㈹〸搵攴扦㤴㥣扣㠷搲晥㤳㝦㘱慢挹㡦㔳㐶㜲㈶㝡〰㌰㥡ㄷ㌵晣㔱㡢㘹㈱挳㝤攴㑦㕣㈴挰㉦㌵㡢㜱〳㈵慡敦ㄵ㘴搰㤷ㅢ慥㕡㕤㐵㈶敥㕢攴晡㌳㍥敥㔱昶ㄱ㉦㐲搲㤷㔳ち㥤戱愵㔰㉢㤶敤挸ぢ扢㉢㘴〳㤶挴慦㘵晢㡡昴搲㠰ㄱ㝥昱㤹ㄸ㌱愷㑥挵㕦㑥㘹㔱捣〹㠴ㄱ㕡愴愴ㅦ㙥愴昸昳戸昱摦㝤慦攳㌲㐵〵ㄲ愸㈷㙣㑣㍡㔳㡤㍦ㅤ㌷㍥㠲慦戲㔴㥢ㅣ㙦㄰㌰扤ㄹ㌷㈶㍤慡挶捦挷㡤晦攳挸挱㜶攳㤸づ挳㤱㡢㈴㤲っ㕢㔷㔹晦㠹㉦戴挷搰扣㘸㔲㝦づ㥢㘱㌱㈵愷ちㅤ㌷㤵〶ㅤ挱㘵㄰て摦㐸㉦攰㙥ㄳ慥㠰㐰挸㠶晦慢㠴搳戸昳㌴㙦〴〶㍥㠱摥㐰戰搹搳搵ㄳ㍢㤷捣㐵て〵㐳收㘹ㅦ㘷慡挶慥㈲ㄱ㤸〳㠵㜰㝦户㜱捡㘷㤸㡥㥤晤㠸㠳㘴ㅡ敦㤰っ愶㍣㔴㘰愵㈰㍥ㄵ㘳㌶昷㕣㠷㘶昴㘷㠱ㅣ㐸㐷㐰㘶昴攷〰挳㐰っ㙦㉢攷挶挹晦㡡戹㍦挵㡡㍦㈳㜸ㅥ愰㈲挸散愴㠳搲愷〱挶攲晦㔱挵攴㠶昲㤷㘸攲改昸㘵㐹㌲搲㍦挳づ㥦〵挸挳㝤㉢㈲㈲慣攸㥦㐳㐹昲愵ㄴㅣ敡愵㥦㘷挵ㄷ〸㕥〰愸ㄴ㌹搹ㅤ敦ㅡ搷㌴愰收晡㈲扡㡡攷〸昰搳扦ㄴ㘵昸㔰攴㍥晣㐱㝦㕢㤹㐷攱昸挳㝥㠴㍡㔳㕦昰㍦㠴㉦昲㌷戹攸㍣晥㠷㈴㐵㘵搸ㄷ戴㡦て㌶ㄶ㤹㠰㌶戹晡慤㘳戳摦挶㌸㕣㔷㈷㠲挲ㄱ愹㔴捡㕡㐹㄰摦㕣戰㜰昱〶扥攵㤸慡㄰㠲㌴愰㉡㥣愸攲㌸ち昴慦戰㈹㜱㑣㍣改㕦攵ㄳ㔱慢㌶昱㙢㔱㠶て㠲㜸㔵摤㥦㡣扡挷㉦㈴慥㔵㠵搵昵㐲攲㕦㔵慣㈵㕦昸㈲〷㔳挸㐲㈶慤㤵㠸㌴㐵㐳㕦㐷㘶㌴㍦挶戹㍤㡡㥦㜶㔵搴㉦㌶㉥㕥晣敤㔸㘱昲收挲㘳㝦㍣昲攲㥢㍦晤昵㤷摦昸㤳㘳晦晥扢㤷㕥㝡攳摦扥晣摡敦㕥㕤㍤昶攳㤷㕦晥搱挳㝦昳摡慦昷㥢摦搴扥昷摢㠵㙦㍥㌳㝤昹㤹愷捣昳昷㥣㝣收昱㈷ㅦ㤹㕥扡㙥㉡㥦ㅦㅡ扡㙢攲㈷㌷㝤㜸晣戹愷㝥㈰晥昱㕦㙦㜴㠴㕡㉥㕥㤰㥥〶㤷慤愶昱つ㘴㌰つ捥昸㕤㥤〶㤷慢㌶㙡㌵摡愸㔹ㄴ㤴攱搳攰〴㔴㠵㤱慥ㄸ晥ㅦ㤹㜷戴㔸</t>
  </si>
  <si>
    <t>㜸〱敤㕣㕢㙣ㅣ㔷ㄹ摥㌳摥㕤敦慣敤搸㡤搳㑢㑡㘹㑤㑢㈹搴挱㡤搳㠶㔲㈰〴㕦㥡挴挵㠹摤搸㐹㡢〰㙤挶扢㘷攲㘹㜶㘶摣㤹㔹㈷㉥㤵㕡㐱戹〹ち㔲愱㠸㐲戹愸㐲㐸扣㜰㜹攰捥ぢㄲㄲ〸戵ㄲて㈰㠱挴㐳愹㄰㍣㠰㔰㈴㕥㜸㐰㉡摦㜷㘶㘶㜷㘶搷㍢㜶户㉤戸挸㈷摤摦㘷捥㙤捥㌹晦昵晣晦㤹收㐴㉥㤷㝢ㄱ㠹㝦㤹昲捣㕣户戴攱〷搲㥥㤸㜱敢㜵㔹つ㉣搷昱㈷愶㍣捦搸㤸户晣愰てつ㡡ㄵぢ昵㝥愱攲㕢て挹㔲㘵㕤㝡㍥ㅡㄵ㜲戹㔲㐹搷㔰捦㐱昸ㅢ㠹ㅦ㜴昶ㅡ捣〳㉣捦㑣㉦慣㍣㠰㔱㤷〲搷㤳〷挶捥㠶㝤㡦㑣㑥㑥㑣㑥摣㜱攷攴摢㈶づㅥㄸ㥢㘹搴㠳㠶㈷㡦㌸戲ㄱ㜸㐶晤挰搸㘲㘳愵㙥㔵摦㉢㌷㤶摤ぢ搲㌹㈲㔷づ摥扥㘲摣昱昶挹㍢づㅦ㌶敦扡敢敤㠳㜸㜵敥搴捣昴愲㈷㑤晦ㄵㅡ戳挰㈹摦㌱㉢慢ㄶ搷㈶愵㘷㌹攷㈷㘶愶昱㕦㘲晥㜸扡㜳㘲㘹㔵捡㠰慦㤶㥥㜴慡搲搷搱㜱挰㥥昲晤㠶扤挶捤搳敤㘳㔸㙡搵昰㠳㠲㍤㈳敢㜵摤㡥㐷㉤搹ぢ搸扢扡戱㌱㘸㉦㐹挷户〲㙢摤ち㌶㡡昶㌲〶慡つ搹㘷㝣㜹摡㜰捥换㔳㠶㉤ぢ昶昱㠶㔵换㠷㈹搷㜷㑢㍣㐴㜲㘲㙡昹ㄳ㔳扥㍤戳㙡㜸㙡㐶㍥㌷㈶愳敤㌱慦㥡㙥㝢㔳昷㜱㌹㜵昵〶㡥㜹㜳昷㜶愸㌹㙢㜸捤㤶攳摤㕢㐶㡢㑦捦攰戶敥敤ㄳ㝢㤴敥昳㤶敥㝤搴㔶愶㕢㡢㠱㠸扥搵㡥㘲㌱㝡㤱愰㥦愰㐴㐰〴敡㘵㠲〱㠲㐱〰㤱晦㈷戸㈴搹㤱㔵㕡挵搰㉡㉢㕡愵慡㔵㙡㕡㐵㙡ㄵ㔳慢㥣搷㉡慢㕡挵搲㉡て㘸㤵ぢ㘸ㄳ愷㔲㝦扦ㄶ愵挷敦㝦攱昷ㅦ〸㝥㍥昷晤㈷㙦㜹敥㐳㌷㤶㕥ㅣ摣㠳㐶昷㐶㤳㥡昵㡣㡢㈰戵ㄶㄵㅦ㥡㌸挸㝦㕢㜳〵㤸挲㍣㙣摥㘹㑥㑥搶づㅦ㌴㙥㌷ち㕣㔶〶昲㔳㠴㌲㠲戶㠳收㝤㤶㔳㜳㉦㉡摣㕤㌷㙤昸戲戵㜱攳㔱摤戴摢㜰㙡晥敢㌶慦㕣ち㡣㐰㕥摢㕥搷ㅡ愴愳摢ㄲ搸㑡晡敡㝤搷户㜷㍢㙢搴ㅢ㜲敡㤲ㄵ㔶扦扥慤摡㕥昴摣㤵敥戵挷㍣昹㘰戳戶㘳㐶㔳㄰㙡敢㙡散㡥㔵㠶㔵攱扣挶㘶㔶㕤㕦㍡㙡㝡攳昶愲㔵扤㈰扤㈵㐹㤱㈸㙢㙡愹㔷戲㉡攲晡昱〵〷ぢ〵户搶㙥㑣㤶㥡㜷㕦ち挰捣戲㠶昹慥㐹㉦搸㔸㌶㔶敡昲慡㔴㤳昰㥤愸搸㥦㉡㍥收㔶ㅢ晥㡣敢〴㥥㕢㑦搷㑣搵搶つ㐸㥡摡㐹户㈶昳昹㥣ㄲち㄰戸㝤㝤㐲攴㙥敤捥ぢちㄱ〹ㄴ㤳㤱慦㐹㤳摤挴㘹慣づ慢愸㑢搲愴昶挶㉤〶攳㝣㤵㡣挹攰挰挴㥡愸㍦昸搲㌷㙦㌱㙣ㄳ㜳慦㙥㘳㑤ㅢ㡤㔶㝦昷扡㜴㠲ㄳ㠶㔳慢㑢㉦㔳晢〹捥㐸ㅦ〶㈸㕣㠶㐰攸扡㝢㔴㜵攲㤲搸㈸㕣戴㙡挱㙡㜱㔵㕡攷㔷〳㤴㐱㐳㤶㑡摣摡㡥愴㕦㠱㈲㝤㉦挱㈸㐰戹㥣㉢敥㘳愳㘲ㄹ㈹㔷愰㜴捡攰攵㤴㈰㘷扦ㄴ㉦て㥡挷慣㝡㈰㐳愱㍣㙣〲㈳愱㔶㔳攸ㅢ㈲㠹㝡㐶㌵㔴ㄸ晢捣ㄹ㔰愹㘱㌹挱㐶㡢㙦㍢戸㈴㈴愲㕤㔹戰攳㘴〱㐵㐱㕡ㅥ㘴昰ㅡ㠸愶㑤ㅡ㘴㌷㑥㄰ㄱ搹㈰㐳戳㘳攴㌴㤱戱㝤㠶㡣㐰晢㈴ㄱ戲昵挱敥㌲㠲挴摥㐹愴散搴㤵ㅦ㜷愵搹㘶戶㝣㈸捤慥挴挶改㔷ㄱ㕣㑤㜰つ挱㝥〰昱ㄷ㐸㌸㑡㌹攴搳㐹㝦ㅤ㥥昵敢〸㕥て〰昹愴㔳收㐴愲㡡㌶搴㜶散㐸戶ㅢ㠲㥤慣㡣攲㔰ㄴ搱㌲㙥摡㤹㐳戶㐲㜴㘴㜵敥っ㕤㥢㔷㍡昶㑤摤㘹㌳戹ㅣ㔲㘴㐶搳攴㕡户㘸㥡摣〸㌶敤㔱㙦摤㠰慥晡ㄸ挱ㅢ〰捡晡㡤㠴㔰㉥㌴㜸户㘷搱搳愴㝣㑤㤸㐵愱㌱搴愳㠲㡦〸㤹㐷㠰っ㈱搷㜱㝣搹戵愱㘹づ㡥㥢慦㜹ㅢ晡㐰㜷晥㡥㤰摥愶㌷㜷昵づ晤㐵㉦搱㡡扥〹散㈵晥搸㔵挷摣㡣㙡晤㑤〴户〰戴改ㄸ㥥扥㕦慡愷㐰㤹挵㜶〲㜳㝢改㜵㔱㔶敥昲挶㥡㔴ㅡ㘸搰㕣㌶扣昳㌲㠰〷㘳㙥ㄶ戶戰敢㜹戲㡥㐳㙤㑤ㄵ昰晣㜲㜵扡搰㍦收戹㌶换㜷㙤㘴晦㌵愱ㄸ昲㜹慤㉦搷㘶㈳㘷搸㥡〹㥦㔳㠲㜲愸㠳㙦敦㉥㈴ㄲ㥤搲攴挵㝥搹攷换㕤㐹搲㠳㈴㜹ぢ戶㔵扦ㄵ〰㔲㐲晣慥慢㐴㌹挰㘶㙦㔵捤搲ㄶ㉢㍤㝣ㄹ愷㤳㌶ㅦ㘲㠷ㅣㄹ〸ㅤ戶搳昰ㅦ昸㐳昶㤲㘵㌷㠵挵㠰扤㈸扤㉡㝣ぢ㔶㕤㤶㐳户㉣㐵捤慥慣㜸㡤挸㡡扥扥㡥昳㜴㠶㝦㑤搱㐹㥢㤴挸攴昶捣捡㡣戳㜸㡢愸攸㠶愴㔰挹㜰つ㌵㈵㄰㈹㡦㙤㜷㐵㑣て㈲收㌶㙣㥣㝥㤰㘰㤲攰㄰㐰攱㌹㐸㥡敤㙥㍣挳㘱晤敢㜴㘹㔷㉡戹ㄲ搱愰㕣㠴捦㜶ㄵ㔶㠷昹㥡户ㄱ摣〹搰㘶晥搰〱㤹㐱㠸ち攵〹㐲㔴㘱っ昳慣㈵㉦㤲〶昶㤸〸㉣捤㌴晣挰戵ㄹ㔹ㅡ㌲㘷摤㔳㙥㌰㙢昹㙢㠸㐴㡤㥡㔱收扥㔵改㠰扡㍣搸㍥㙤㘵敥摡㥡慣改收㤲摢㠰㘸㥢㥢摤〹〷㜳㙣〷㙣㐹㜵㌶搷〴㔲㙦攷㘳っ㈱戰搳捡摦㑡㙦散戶扣摦㍣昴つ户㜶㜴搹ち敡㜲挰っ㤹㡥昹㤲㠹㕤㐴攴愰搶㙦㉥慦㝡㔲捥づ㤹挷㍤慢㔶户ㅣ㐹㘴挰挶㘴戰㙥㕥㥥㐷㤴㘰搱㘵っ搰㜵㠶捣㘵捦㜰晣㌵㠳〱挵㡤扤愹㈷ㄵㄶ㈹㤸搳㤶攳攳㌵ち㡢捣て㥢㑢慢敥㐵㐴㙣ㅢ戶㜳摣㔸昳㜷〴㔶㐸昴㘱㔲愸ㄱ㥡搰㌴㔱搲㑡扤攲㠷〷昲㕣㡥扣㤷㈷㔰戸捡ㄵ攸㌳捦搰摥戴敢愳ㄸつ敤㜴捥㘹㄰搱愳㘶㘱㕦愶ㄴ㈶愷敡㜷戱捦㍢〰敥㌹㝥㘶慥ㄵ㤹㝢㔹㌱敢〲扤晣ㄹ㌲㕥㤱㐵㌳㄰㐲ㅦ摤㥥㤰㔴㔸㐶捡〱〷〲攳㝣㙡㈷扦戲愹摡㤰晡昶戴戲挷㄰㐹ㅡ㌴攷㡤ㄵ㔹㐷㍣摡㌶㠲㍤攱〳捤㔸摢愸晢㔱摤㡣㙢摢〶㐹㡢㘴戹㔴㌵㐸挱㔳㡤挰㍤㘹㌹扡〹愰攸㉦㉡㌲㉥愱挸戸愴㡡〶捤搳っつ慡㍣挷㜲捦ㅢ㥥ㄵ慣摡㔶戵挴〷㠶敦㜶〴㑤㠲挹㈹㜹攳ㄴ换㡣戱㌶㙢晥っ㑣㌶㝦〲攸㥥㠰ㅣ攵搶ㄱ晤愰㕣㑤ㄴ昱㑦昴攸㔸㠲㠰㔱㥥㔲晤㕤ㄸ慤愰㙥㐷㐰攴愸㜴㌹扥㠳㜱昹ㄱ㤴㠴㐲㠸㔸捦㈰ㄱ㜸〵ㄳ㐲㥥㉥敥愲㜹挶戱〲㘰㡦ㄸ㍢㘶〵戳㍥㔰づ㠰慣㍡摥㕥慢戰㥡攸㌴摥搴ち㌷㜴㔶愵搴挴昵㥤昵㐹扤昱挶㑤慡㐳㡤㤲㔰㈴㕢㌵㔲㥡㘵㤳㌹敥㈴㔵㈳㤴攲㡥戵㡤挸㜲㥢戶昶㥤㔲攴㘵㈸㈶㐵㌳㌹晤摤㡡㔰㄰攸㡤㜴ㄴ㝤昶搹攴㤱㠸搸搰〶㈸㔳㑦㠵㘵㐳㔱㐸㜰づ搷㑥㙡戲ㅣ㍤㠱扦昷㐴搹㠵㐶㤰慡㌱㉥㡤㐶㌵㔳昵晡㠲〳㉢愱㙡㜸戵ㅤ挲搲㔸㕢愸㘱ㄴ㜷昶慡晤挳敤㑤㌰㘲挴㠶っ㡢㘴昸㠱挱㠶㘰慥㐴㐴㤵搶搹㄰户扡㔹㕣攲搳㐹㘹㌸ち〳㑢㐱㙤㔶慥㉢㌳慣㘵挹㡦慡づ捤搳愲㤲愳扡㌹戵攲㐳愵〷㤴攳㔱㑥㌱戸㙥㥥愶㕢ち㤷ㄸ㈰㜶愳摣㘲㌵㐰㘸户㌹〰㑦〶㍢〷㍢搸㤱㌰㜴㐲敢㡣ㄲ戴㤸㐱戸改㐵㤰㜷㝡挴㈸〴愹愹搲㍦㡥㡡㉦㍤挵昴慤愳戹㌸ㄳ㌱ㄱ挳㕤ㄹ搶〳㤰㥢㡣㑣㤲㡢㐶攳㠰㜹㈸搹㤴搰ㅡ㡣换㘸㘲っ搱攴昳〲摣攲㘱㉣㙢㤸㙣㔳挷㍤户挰㠲㌶慤㙦散㌱攷㥣㙡扤㔱㤳㑡ㄵ挷戲㕡㘹攴ㅤ㠱㉦㜵〵㌰攴愶㡣㝤㠹㌶㘵づ㐷㈹㉥㤹㐸敡摤敥搶㡦愲扢ㄲ㜲ㄸ㈳㔴㝤っ㐰㘶戸攵㔴㐰慣攳㥥〲敤挳扤慤ぢっ敡昲ㅣ㐴㕡㐷ㄱ㘵搹㍣敥攳㌵愳挸㡡摢ㄲ捤收摤㜹㤷㌶㝢愲攸㠴ㄵㄶ敤〸ㅣ㘱㥤愱挰㉢ㄶ㘱㡣昴挸ㅤㅣ㈴㜷㌹㡡敥㕥㝥㐴㍤收㉥〳ㄵち〳㠲㌱㕥㥥㠲㜲搸㔵㌰ㄲつ㙥慤㘵㜵ぢ㐶㝦㘹㜹敢㔳〰㠲㘱㘰ㅡ戴㘸ㄹㅡ㌸㌳挸㙦㙤攰摣㠰㔶ㄹㄱ搲㘴㌰㤵㌱捡㔱㌸散㠱㌴㜰ㄳて搲换㉥㤴㔰戰㑦㕤っ㡢敦㈶㡥摢㌸〲戹摥㔵㙤㠵㡢㐶㠰敢㉦捥晥戶攲愹㕡㡤收㉥晣㜳㍢〲慢戸扡ㄱ㥡愳晢摡㉥㘵愹㌵搱扥扢愹慤㈲扡㉣㜸㘸㜶攲㠴ㄱ㔴㔷㤷㠲㡤昰攲㔶慦㈴㔱昸ㄹ晣ㄱ㥢扥㥤㌶㜳摥攱㐵搴㜵敥㝤昹㠲攳㕥㜴搴扣ち㍥㙦晤㠱㐲㜰㠵戲㥦㤳㉣攷㕥挴㍦㤵戴㕣攱愷ㄸ㜱㍢搳收〰㉤〷〹挷㔱㈹㤴〶㘳挸㘷搰〹㙣昷收慤〱搲挹扥㌶㍡㔱㠲㘰㤷㔰㥣昳慦ㄸ愱㠸㥦〰慤㈴㤶昰㐸㡥㍤晦㈶㔸㕦晣ㄸ㈵㐴㌸㥥㈳㌱㔲㜸〳㜲ㄹ愸㔳㠲㍣扡攲挱ぢ㈱晦㍦㔸㡡戹㜹㔳㜶晡㉦㌰戳昸㔱㍢㡡慥㈷㡡㝥搸㠱㈲挱㙢㈰㡡㝦敦㐱㈶㑥〵㠶㘷㕦㔲㈰㥣㙢摡㍤㠰扥敡ㄷ㝥晦㠷〷搰昹㠸㌸㤴㡤㠶㔰摢捤㜸㙥㥡〸㝤ㅤ㈶〲㠳昷捡㐴㌸㠹㡣㘰ㄴ㍦㌴ㄱ㈲ㅦ挸〲ち戶㌶ㄱㄸ摢换㌰〴ㄳ愱搶㠴㕢㠳㈷戰慢㙣晡挷㑥攰攲慤昴ㄱ捦㠷搲昲㘷攰㤱扡扡戳㜸搱昰っ㝢扦㉡㍦敥㐹㈸㌳㙦ㄹ㌷戹㔵ㄷ昶戸㜶搳ㅡ搵㘹ㄳ㕦㐵散㘵摦昵愷㙣敦晥㍡㌰ㄵ愶搰㝤㉦㑡愲昸㌲㍣㈵㠲攷㠶摣㠷昶㝤晢昸㥦ㅥ㝡散㈸㙦慢㐵戴㕡戸ㄵ昹㕥㐲昶戴㈷㄰搴㑤㕣ㄴ戹㤲ㅦ收㥣挴㈷㑡搶㕡㕤㑥ㅢ㥥戲㠲㝣摤㡥戳㈱攱㈵〸㌳㈴扥㥤㘰㘲攲摥㐳㘸㘲㑥戴戹㍢搵㠷㑤捡㐵㌸㤱㤸戸昲改挵㘱㐳搱㔵㤱昵㘸㙤ㄶ扥ぢ㔵昴ㄲ㈷㤲戶ㄲ㜹敡㘴ㄲ攲㍢敤扡敥㌰㜵㕤㜸㤰㘱搸㍦㤶㔲㠸㍦㤰㐲㤲〷ㄹ㕥〸㔰㔲敡㌴㌲㠵摢〰㌲㈲㙢敤㈱㕥晡〳㜶㠵㠰㙣㕥晡敢昱㈳ㄶ散㈲戰ㄸ晢攲㝢㍤搱搲ㄶ㡤㔵ㄳ㐳戵捡愶㔹㐲㐶ㅤ㕥㔸㌰ㄹ㤷愶㉣㥤㐳㈸摤戶㍢㡡㉦ㄹ戲挳挰㕢挸搸〵㥢扥戶戲㝤户搳挰捤て攸㤹愲㔲ㄸ捥㕥ㄶ攳㐰慡㘲㜴㘱搳㜲㔸㐴㌸ㅣ㘶㥢㥤〶愲㉡攸㉣㘷㍦㑥愵〸晥昱㑢㈱搶㡦户㠶扥戲扤㠶㍡捥改挷〲昹㠳晤㜵㝤〶㘳攳慤攴ㄸ㐸搸㙤戵㉡㠵搷挳捦愰ぢㄷ㥤ㄳ㝡㉢慢㥥挵㘱晣㠹㌹慢㑦敢搰晦㡣㕥㉢捥㍡换摥っ㘳愷昴晦晤㈸搸㔲晦ぢ挶摥ㄴ㈲摦ㄷ㘵昸㔰㘰晣㘴换㤰つ㜷〴㥥㙤〴㙦搴挱㔸㔷㔹㠶扣挳摣ㄲ㍥㕥つ慢㤵〴㠷摦㉢摦㝥㌵愲搹㤷戶敤㐰㔷〱挸搸㔰攱㥢㄰㐱㕤晢愷攵㔶㝣扡㉤扥ㅦㅤ昷㥤戴慡㥥敢扢㘶㌰戶㠴愰敦ㄸ扦㍤㌳㘱昳㑣㠹㙦戴ぢ戵㥢戰ㄳ㠳ㅦ㐴㥦㔳ぢ㄰搸愷㘴昰㑡挵㈲ㄹ㔹搸㕥㈴㠳摦㈱㡤㈴挲㑢搴づ晥ㄵ收扤つ愳㡥㑦㔷ㄷ攰敢っ㔸戴㈳㤴㕤攸㜱㙥扦愱挱慤挳ㅤ慤昷挲ㅦ㈴敢ㄳ〸㡥愹㈵扣晦㠳摣搷昶㍤㐸户㡤搶收戳㘵㙦㍥户㜲攱ㄹ攰㜴㝢㙦㐹㤳っ摦挹㉦㤲换㝡㠵㄰㤷昶㡦攲敦昶ㅤ戴ㅣ㙤ㄴ㜴ㅥ㝤搰㑤㐷搸㜸ㅤ敥戳㙤㐴扦捦愱慢㤸㈲挰㑦㌷愲っㅦ〴扤㝣㘴㐵昱㔵㉣㡢っ㠰㝣慥㔸〵攸㑥搵㑦㙦㐶搵㈳戱㐰ㄶ㍣㘳㤰ㅣ换攲换㘸挸敤ち㤷つ㤶攰戲㠵㍡㑢㈰慦挷㍤㤰捦〹㥥㈵搴㐴扥㠸づ捤㠹㔸㈸敤㍥㤱㉦㙣㌶ㄱ㐱㉢㐰㉤㌴㌹晥㐸慣㐵昴㍡慡㜵㥢挰㈱㜰〱㠶㈹ㄶ㈹㙢㡡㘱㘸攱挷挴っ搲㙦愲扦捦ㅦ㝤敥㔹愶扦ㅦㄵ㑡㄰愲㉡㍤㜹ち㐲㌵昹捦㈶㈷敦愱戴晢攴ㅦ摦㙣昲㈳㤴㤱㥣㠹ㅥ〰っ昵㠹ち晥愸挵㌴㤰攱㍥昲㈷捥ㄱ攰㤷㥡挵㠸㠱ㄲ搵昷㈲㌲攸换つ㔷慤㉥㈱ㄳ昷㉤㜰晤ㄹㅦ昷㈸晢㠸ㄷ㈱改换㈹㠶捥搸㘲愸ㄵ㑢㜶攴㠵摤ㄱ戲〱㑢攲搷戲㕤㐵㝡戱挷〸扦昸㜸㡣㤸ㄳ㈷攲㉦愷戴㈸收〴挲〸㉤㔲搲て㌷㔲㝣㉣㙥晣扤ㅦ戴㕣愶愸㐰〲昵㠴㡤㐹㘷慡昱㐷攳挶㠷昰㔵㤶㙡㤳攳つ〲愶攷攳挶愴㐷搵昸戱戸昱摦づ敤㙦㌶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㜰㡣搹摣愳㉤㥡搱ㅦ〱㜲㈰ㅤ〱㤹搱ㅦ〵っ〳㌱扣慤㥣ㅢ㈱晦㉢收晥㌰㉢㍥㐲昰ㄸ㐰㔹㤰搹㐹〷挵㡦〲っ挷晦愳㡡戱㜵攵㉦搱挴㐳昱换㤲㘴愴㝦㥣ㅤ㍥〱搰〷昷慤㠸㠸戰慣㝦ㄲ㈵挹㤷㔲㜰愸㤷㝥㡡ㄵ㥦㈶㜸ㅣ愰㕣攰㘴户扤㙢㕣㔳㡦㥡敢㌳攸㉡ㅥ㈵挰㑦晦㙣㤴攱㐳㠱晢昰捥敥戶㌲㡦挲昱㠷晤〸㜵愶扥攰扦ㅢ㕦攴㙦㜰搱㝤昸ㅦ㤲ㄴ㤴㘱㥦搷摥搱摢㔸㘴〲摡攴敡户㠶捤㝥ㄹ攳㜰㕤慤〸ち㐷愴㔲㈹㘹㐵㐱㝣㜳挱挲挵ㅢ昸㤶㈳慡㐲〸搲㠰慡㜰愲㡡愳㈸搰㍦挷愶挴㌱昱愴㝦㥥㑦㐴慤摡挴㈷愳っㅦ〴昱慡扡㍦㄰㜵㡦㕦㐸㕣慢ち慢敤㠵挴扦慡㔸㑤扥昰㈹づ愶㤰㠵㑣㕡㉢ㄱ㘹㡡㠶扥㡣捣㔰摦㌰攷㜶ㅦ㝥摡㈵㔱㍤㔷㍢㜷敥㕦挳昹戱㙢昳昷扦㘷昰愹攷㝦晤挲ㄳ扦晤挰㤱扦晥晢改愷㝦晢攷㈷㥥晤昷捦㔶㡥晣昲㤹㘷㝥㜱捦搷㥥㝤㘱慦昹㜵敤〷晦㥡晦晡挳㤳ㄷㅥ㝥搰㍣㜳敢昱㠷摦昷挰扤㤳㡢㔷㡣昷昵昵昷摦㌲晡慢㙢摥㍣昲攸㠳㍦ㄲ㍦晦挳搵㡥㔰换挵ぢ搲搳攰戲搵㌴扥㠲っ愶挱ㄹ扦慡搳攰㜲搵㐶慤㐴ㅢ㌵㡤㠲ㄲ㝣ㅡ㥣㠰慡㌰搲ㄵ〳晦〱ㅡ昴戳愶</t>
  </si>
  <si>
    <t>㜸〱敤㕣㕢㙣ㅣ㔷ㄹ摥㌳摥㕤敦慣敤搸㡤搳戴㈹㈵㜵㕢㑡愱づ㙥㥣㌶㤴〲㈱昸搲㕣㡡ㄳ扢戱㤳㠲〰㙤挶扢㘷攲㘹㜶㘶摣㤹㔹㈷㉥㤵㕡㐱换㐵㕣㉡㤵㡢㈸㤴㡢㕡㔴㠹ㄷ㉥㉦摣㕦㤰㤰㐰愸㐸㍣挰〳ㄲて〵㈱㜸〰愱〸㕥㐰㐲㠲敦㍢㌳戳㍢戳敢ㅤ扢摢ㄶ㕣攴㤳敥敦㌳攷㌶攷㥣晦㝡晥晦㑣㜳㈲㤷换晤ㅢ㠹㝦㤹昲捣㕣扦戸敥〷搲㥥㤸㜱敢㜵㔹つ㉣搷昱㈷愶㍣捦㔸㥦戳晣愰てつ㡡ㄵぢ昵㝥愱攲㕢て挹㔲㘵㑤㝡㍥ㅡㄵ㜲戹㔲㐹搷㔰捦㐱昸ㅢ㠹ㅦ㜴昶ㅡ捣〳㉣捤㑣捦㉦㍦㠰㔱ㄷ〳搷㤳〷挶捥㠵㝤㡦㑣㑥㑥㑣㑥摣㜹搷攴㥢㈷づㅥㄸ㥢㘹搴㠳㠶㈷㡦㌸戲ㄱ㜸㐶晤挰搸㐲㘳戹㙥㔵摦㈵搷㤷摣㡢搲㌹㈲㤷て摥戱㙣摣昹㤶挹㍢てㅦ㌶敦扥晢㉤㠳㜸㜵敥昴捣昴㠲㈷㑤晦㘵ㅡ戳挰㈹摦㌹㉢慢ㄶ搷㈶愵㘷㌹ㄷ㈶㘶愶昱㕦㘲晥㜸扡㙢㘲㜱㐵捡㠰慦㤶㥥㜴慡搲搷搱㜱挰㥥昲晤㠶扤捡捤搳敤㘳㔸㙡搵昰㠳㠲㍤㈳敢㜵摤㡥㐷㉤搹昳搸扢扡戱㍥㘸㉦㑡挷户〲㙢捤ち搶㡢昶ㄲ〶慡つ搹㘷㝤㜹挶㜰㉥挸搳㠶㉤ぢ昶昱㠶㔵换㠷㈹搷㜷㙢㍣㐴㜲㘲㙡昹ㄳ㔳扥㍤戳㘲㜸㙡㐶㍥㌷㈶愳敤㌱慦㥡㙥㝢㜳昷㜱㌹㜵昵〶㡥㜹㑢昷㜶愸㌹㘷㜸捤㤶攳摤㕢㐶㡢㑦捦攰昶敥敤ㄳ㝢㤴敥昳挶敥㝤搴㔶愶㕢㡢㠱㠸扥搵㡥㘲㌱㝡㤱愰㥦愰㐴㐰〴敡㘵㠲〱㠲㐱〰㤱晦㍢戸㈴搹㤱㔵㕡挵搰㉡换㕡愵慡㔵㙡㕡㐵㙡ㄵ㔳慢㕣搰㉡㉢㕡挵搲㉡て㘸㤵㡢㘸ㄳ愷㔲㝦扦ㄶ愵㕤㝦摢㝢㙥晦戳换㌳捦づ捤晤搳扥㜵昰户㠳扢搰攸扥㘸㔲戳㥥㜱〹愴搶愲攲㐳ㄳ〷昹㙦㜳慥〰㔳㤸㠷捤扢捣挹挹摡攱㠳挶ㅤ㐶㠱换捡㐰㝥㡡㔰㐶搰㜶搰扣摦㜲㙡敥㈵㠵扢敢愷つ㕦戶㌶㙥㍣慡㥢㜶ㅢ㑥捤㝦捤挶㤵㡢㠱ㄱ挸敢摡敢㕡㠳㜴㜴㕢〴㕢㐹㕦扤㙦㝦㝢户㜳㐶扤㈱愷㉥㕢㘱昵㙢摢慡敤〵捦㕤敥㕥㝢捣㤳て㌶㙢㍢㘶㌴〵愱戶愶挶敥㔸㘵㔸ㄵ捥㙢㙣㘶挵昵愵愳愶㌷㙥㉦㔸搵㡢搲㕢㤴ㄴ㠹戲愶㤶㝡㌵慢㈲慥ㅦ㥦㜷戰㔰㜰㙢敤愶㘴愹㜹捦攵〰捣㉣㙢㤸敦慡昴㠲昵㈵㘳戹㉥昷愶㥡㠴敦㐴挵扥㔴昱㌱户摡昰㘷㕣㈷昰摣㝡扡㘶慡戶㘶㐰搲搴㑥戹㌵㤹捦攷㤴㔰㠰挰敤敢ㄳ㈲㜷㕢㜷㕥㔰㠸㐸愰㤸㡣㝣㙤㥡散㈶捥㘰㜵㔸㐵㕤㤲㈶戵搷㙤㌲ㄸ攷慢㘴㑣〶〷㈶搶㐴晤挱㤷扥㘱㤳㘱㥢㤸㝢㘵ㅢ㙢摡㘸戴晡㝢搶愴ㄳ㥣㌰㥣㕡㕤㝡㤹摡㑦㜰㐶晡㌰㐰攱ち〴㐲搷摤愳慡ㄳ㤷挵㝡攱㤲㔵ぢ㔶㡡㉢搲扡戰ㄲ愰っㅡ戲㔴攲搶㜶㈴晤㉡ㄴ改扢〹㐶〱捡攵㕣㜱てㅢㄵ换㐸戹〲愵㔳〶㉦愷〴㌹晢愵㜸㜹搰㍣㘶搵〳ㄹち攵㘱ㄳㄸ〹戵㥡㐲摦㄰㐹搴㌳慡愱挲搸㘳捥㠰㑡つ换〹搶㕢㝣摢挱㈵㈱ㄱ敤挸㠲㙤㈷ぢ㈸ち搲昲㈰㠳搷㐰㌴㙤搲㈰扢㜱㠲㠸挸〶ㄹ㥡ㅤ㈳愷㠹㡣敤㌳㘴〴摡㈷㠹㤰慤て㜶㤷ㄱ㈴昶㑥㈲㘵愷慥晣戸㈳捤㌶戲攵㐳㘹㜶㌵㌶㑥摦㑢㜰つ挱戵〴晢〰挴ㅦ㈱攱㈸攵㤰㑦㈷晤㌵㜸搶慦㈷㜸㉤〰攴㤳㑥㤹ㄳ㠹㉡摡㔰㕢戱㈳搹㙥〸㜶戲㌲㡡㐳㔱㐴换戸㘹㘷づ搹ち搱㤱搵戹㍤㜴㙤㕥改搸搷㜷愷捤攴㜲㐸㤱ㄹ㑤㤳㙢摤愴㘹㜲㈳搸戴㐷扤㜵〳扡敡㘳〴㌷〲㤴昵㥢〸愱㕣㘸昰㙥捤愲愷㐹昹慡㌰㡢㐲㘳愸㐷〵ㅦㄱ㌲㡦〰ㄹ㐲慥攳昸戲㘳㐳搳ㅣㅣ㌷㕦昵㌶昴㠱敥晣ㅤ㈱扤㑤㙦敥攸ㅤ晡㡢㕥愴ㄵ㝤㌳搸㑢晣戶慢㡥戹〵搵晡敢〹㙥〵㘸搳㌱㍣㝤扦㔸㑦㠱㌲㡢敤〴收㜶搳敢愲慣摣愵昵㔵愹㌴搰愰戹㘴㜸ㄷ㘴〰て挶挹㔹搸挲慥攷挹㍡づ戵㌵㔵挰昳换㌵改㐲晦㤸攷摡㉣摦戱㤱晤㔷㠵㘲挸攷戵扥㕣㥢㡤㥣㘱㙢㈶㝣㑥〹捡愱づ扥愳扢㤰㐸㜴㑡㤳ㄷ晢㘵㥦㉦㜷㈴㐹て㤲攴㡤搸㔶晤㌶〰㐸〹昱敢慥ㄲ攵〰㥢扤㐹㌵㑢㕢慣昴昰㘵㥣㑥摡㝣㠸ㅤ㜲㘴㈰㜴搸㑥挳㝦攰て搹㡢㤶摤ㄴㄶ〳昶㠲昴慡昰㉤㔸㜵㔹づ摤戲ㄴ㌵㍢戲攲㔵㈲㉢晡晡㍡捥搳ㄹ晥㌵㐵㈷㙤㔲㈲㤳摢㌳㉢㌳捥攲㉤愲愲ㅢ㤲㐲㈵挳㌵搴㤴㐰愴㍣戶摤ㄱ㌱㍤㠸㤸摢戱㜱晡㐱㠲㐹㠲㐳〰㠵㕦㐰搲㙣㜵攳ㄹづ敢㕦愳㑢扢㔲挹㤵㠸〶攵㈲㝣扥慢戰㍡捣搷扣㤹攰㉥㠰㌶昳㠷づ挸っ㐲㔴㈸㑦㄰愲ち㘳㤸攷㉣㜹㠹㌴戰换㐴㘰㘹愶攱〷慥捤挸搲㤰㌹敢㥥㜶㠳㔹换㕦㐵㈴㙡搴㡣㌲昷慦㐸〷搴攵挱昶㘹㉢㜳㔷㔷㘵㑤㌷ㄷ摤〶㐴摢挹搹敤㜰㌰挷㜶挰㤶㔴㘷㜳㑤㈰昵㜶㍥挶㄰〲㍢慤晣慤昴挶㙥挹晢捤㐳摦㜰㙢㐷㤷慣愰㉥〷捣㤰改㤸㉦㤹搸㐵㐴づ㙡晤收搲㡡㈷攵散㤰㜹摣戳㙡㜵换㤱㐴〶㙣㑣〶敢收攴〵㐴〹ㄶ㕣挶〰㕤㘷挸㕣昲っ挷㕦㌵ㄸ㔰㕣摦㥤㝡㔲㘱㤱㠲㌹㙤㌹㍥㕥愳戰挸晣戰戹戸攲㕥㐲挴戶㘱㍢挷㡤㔵㝦㕢㘰㠵㐴ㅦ㈶㠵ㅡ愱〹㑤ㄳ㈵慤搴㉢㝥㜸㈰捦攵挸㝢㜹〲㠵慢㕣㠱㍥昳っ敤㑤扢㍥㡡搱搰㑥攷㥣〶ㄱ㍤㙡ㄶ昶㘵㑡㘱㜲慡㝥㌷晢扣ㄵ攰摥攳㘷㑦戶㈲㜳㉦㈹㘶㕤愰㤷㍦㐳挶㉢戲㘸〶㐲攸愳摢ㄵ㤲ち换㐸㌹攰㐰㘰㥣㑦敤攴㔷㌶㔵ㅢ㔲摦慥㔶昶ㄸ㈲㐹㠳收㥣戱㉣敢㠸㐷摢㐶戰㉢㝣愰ㄹ㙢ㅢ㜵㍦慡㥢㜱㙤摢㈰㘹㤱㉣ㄷ慢〶㈹㜸慡ㄱ戸愷㉣㐷㌷〱ㄴ晤㐵㐵挶㘵ㄴㄹ㤷㔵搱愰㜹㠶愱㐱㤵攷㔸敥〵挳戳㠲ㄵ摢慡㤶昸挰昰摤戶愰㐹㌰㌹㈵㙦㥣㘲㤹㌱搶㘶捤㥦㠵挹收㑦〰摤ㄳ㤰愳摣㍡愲ㅦ㤴慢㠹㈲晥㠹ㅥㅤ㑢㄰㌰捡㔳慡扦ㅤ愳ㄵ搴敤〸㠸ㅣ㤵慥挴㜷㌰慥㍣㠲㤲㔰〸ㄱ敢ㄹ㈴〲慦㘰㐲挸搳挵㕤㌴捦㍡㔶〰散ㄱ㘳挷慣㘰搶〷捡〱㤰㔵挷摢敢ㄴ㔶ㄳ㥤挶㥢㕡攱㠶捥慡㤴㥡搸摦㔹㥦搴ㅢ慦摢愰㍡搴㈸〹㐵戲㔹㈳愵㔹㌶㤸攳㜶㔲㌵㐲㈹敥㔸摢㠸㉣户㘹㙢摦㈹㐵㕥㠲㘲㔲㌴㤳搳摦愱〸〵㠱摥㐸㐷搱㘷㥦㑤ㅥ㠹㠸つ㙤㠰㌲昵㔴㔸㌶ㄴ㠵〴㑦攲摡㐹㑤㤶愳㈷昰昷慥㈸㍢摦〸㔲㌵挶攵搱愸㘶慡㕥㥦㜷㘰㈵㔴つ慦戶㑤㔸ㅡ㙢ぢ㌵㡣攲捥㕥戵㝦戸扤〹㐶㡣搸㤰㘱㤱っ㍦㌰搸㄰捣㤵㠸愸搲㍡ㅢ攲㔶㌷㡢㑢㝣㍡㈵つ㐷㘱㘰㌱愸捤捡㌵㘵㠶戵㉣昹㔱搵愱㜹㕡㔴㜲㔴㌷愷㤶㝤愸昴㠰㜲㍣捡㈹〶搷捤㌳㜴㑢攱ㄲ〳挴㙥㤴㕢愸〶〸敤㌶〷攰挹㘰晢㘰〷㍢ㄲ㠶㑥㘸㥤㔱㠲ㄶ㌳〸㌷扤〸昲㑥㡦ㄸ㠵㈰㌵㔵晡敢㔱昱㠵愷㤸扥㝥㌴ㄷ㘷㈲㈶㘲戸㉢挳㝡〰㜲㤳㤱㐹㜲搱㘸ㅣ㌰て㈵㥢ㄲ㕡㠳㜱ㄹ㑤㡣㈱㥡㝣㕥㠰㕢㍣㡣㘵つ㤳㙤敡戸攷ㄶ㔸搰愶昵昵㕤收㐹愷㕡㙦搴愴㔲挵戱慣㔶ㅡ㜹㕢攰㑢㕤〱っ戹㈹㘳㕦愲㑤㌹㠹愳ㄴ㤷㑣㈴昵㙥㜷敢㐷搱㕤〹㌹㡣ㄱ慡㍥〶㈰㌳摣㜲㉡㈰搶㜱㑦㠱昶攱敥搶〵〶㜵㜹づ㈲慤愳㠸戲㙣づ昷昱㥡㔱㘴挵㙤㠹㘶㜳敥㥣㑢㥢㍤㔱㜴挲ち㡢戶〵㡥戰捥㔰攰ㄵ㡢㌰㐶㝡攴づづ㤲扢ㄲ㐵㜷慦㍣愲ㅥ㜳㔷㠰ち㠵〱挱ㄸ㉦㑦㐱㌹散㉡ㄸ㠹〶户搶戲扡〵愳扦戴扣昵㈹〰挱㌰㌰つ㕡戴っつ㥣ㄹ攴㌷㌷㜰㙥㐰慢㡣〸㘹㌲㤸捡ㄸ攵㈸ㅣ昶㐰ㅡ戸㠹〷改㈵ㄷ㑡㈸搸愳㉥㠶挵㜷ㄳ挷㙤ㅣ㠱㕣㙦㙦㕢攱㠲ㄱ攰晡㡢戳慦慤㜸慡㔶愳戹ぢ晦摣戶挰㉡慥㙥㠴收攸㥥戶㑢㔹㙡㑤戴敦㙥㙥慢㠸㉥ぢㅥ㥡㥤㌸㘱〴搵㤵挵㘰㍤扣戸搵㉢㐹ㄴ㝥〴㝦挴㠶㙦愷捤㥣㜷㜸ㄱ㜵㡤㝢㕦扥攸戸㤷ㅣ㌵慦㠲捦㕢㝦愰㄰㕣愱散攷㈴换戹㝦攳㥦㑡㕡慥昰㐳㡣戸㤵㘹㜳㠰㤶㠳㠴攳愸ㄴ㑡㠳㌱攴㌳攸〴戶㝢昳搶〰改㘴㑦ㅢ㥤㈸㐱戰㐳㈸捥㠵㤷㡤㔰挴て㠰㔶ㄲ㑢㜸㈴挷㥥㍦〷搶ㄷ摦㐷〹ㄱ㡥攷㐸㡣ㄴ㙥㐴㉥〳㜵㑡㤰㐷㔷㍣㜸㈱攴晦〷㑢㌱㌷㙦挸㑥晦〵㘶ㄶ摦㙢㐷搱㝥愲攸扢ㅤ㈸ㄲ扣〶愲昸昷㕥㘴攲㔴㘰㜸昶㐵〵挲戹愶㥤〳攸㉢㝥攱昷㝦㜸〰㥤㡢㠸㐳搹㘸〸戵摤㠲攷愶㠹搰搷㘱㈲㌰㜸慦㑣㠴㔳挸〸㐶昱㐳ㄳ㈱昲㠱捣愳㘰㜳ㄳ㠱戱扤っ㐳㌰ㄱ㙡㑤戸㌵㜸〲摢㙢搳㍦㜶〲ㄷ㙦愵㡦㜸㍥㤴㤶㍦〳㡦搴㌵㥤挵ぢ㠶㘷搸晢㔴昹㜱㑦㐲㤹㜹㑢戸挹慤扡戰挷㜵ㅢ搶愸㑥ㅢ昸㉡㘲㉦晢㡥㍦㘵㙢昷搷㠱愹㌰㠵敥㝢㔱ㄲ挵㤷攰㈹ㄱ㍣㌷攴㍥戰攷ㅢ挷㝦昷搰㘳㐷㜹㕢㉤愲搵挲㙤挸昷ㄲ戲愷㍤㠱愰㙥攲愲挸搵晣㌰攷ㄴ㍥㔱戲㔶敢㜲摡昰㤴ㄵ攴敢㜶㥣つ〹㉦㐱㤸㈱昱㙤〷ㄳㄳ昷ㅥ㐲ㄳ㜳愲捤摤愹㍥㙣㔲㉥挲㠹挴挴㤵㑦㉦づㅢ㡡慥㡡慣㐷㙢戳昰㉤愸愲ㄷ㌹㤱戴㤵挸㔳㈷㤳㄰摦㙣搷㜵㠷愹敢挲㠳っ挳晥戱㤴㐲晣㠱ㄴ㤲㍣挸昰㐲㠰㤲㔲㘷㤰㈹摣づ㤰ㄱ㔹㙢て昱搲ㅦ戰㈳〴㘴昳搲㕦㡦ㅦ戱㘰ㄷ㠱挵搸ㄷ摦敢㠹㤶戶㘸慣㥡ㄸ慡㔵㌶捤㈲㌲敡昰挲㠲挹戸㌴㘵改ㅣ㐲改㤶摤㔱㝣挹㤰ㅤ〶摥㐲挶㉥搸昴戵㤵敤㝢㥣〶㙥㝥㐰捦ㄴ㤵挲㜰㜶戳ㄸ〷㔲ㄵ愳ぢ㥢㤶挳㈲挲攱㌰摢散㌴㄰㔵㐱㘷㌹晢㜰㉡㐵昰㡦㕦ち戱㝥扣㌵昴搵敤㌵搴㜱㑥㍦ㄶ挸ㅦ散慦晤ㄹ㡣㡤户㤲㘳㈰㘱户搴慡ㄴ㕥て㍦㡢㉥㕣㜴㑥攸慤慣㝡ㄶ㠷昱㈷收慣㍥慤㐳晦㌳㝡慤㌸敢ㅣ㝢㌳㡣㥤搲晦敦㐶挱愶晡㕦㌰昶愶㄰昹㥥㈸挳㠷〲攳㈷㥢㠶㙣戸㈳昰㙣㈳㜸愳づ挶扡捡㌲攴ㅤ收ㄶ昱昱㙡㔸慤㈴㌸晣㕥昹昶慢ㄱ捤扥戴㙤〷扡ち㐰挶㠶ち捦㐱〴㜵敤㥦㤶㕢昱改戶昸㕥㜴摣㜳捡慡㝡慥敦㥡挱搸㈲㠲扥㘳晣昶捣㠴捤㌳㈵扥搶㉥搴㙥挶㑥っ扥ㅦ㝤㑥捦㐳㘰㥦㤶挱换ㄵ㡢㘴㘴㘱㙢㤱っ㝥㠷㌴㤲〸㉦㔱㍢昸㔷㤹昷㌵㡣㍡㍥㕤㥤㠷慦㌳㘰搱戶㔰㜶愱挷戹晤㠶〶户づ㜷戴摥〵㝦㤰慣㑦㈰㌸愶㤶昰摥昷㜳㕦摢昷㈰摤㌶㕡㥢捦㤶扤昹摣捡㠵㘷㠰搳慤扤㈵㑤㌲㝣㈷扦㐸㉥敢ㄵ㐲㕣摡㍦㡡扦㕢㜷搰㜲戴㔱搰㜹昴㐱㌷ㅤ㘱攳㜵戸捦戶㄰晤㍥㡦慥㘲㡡〰㍦摤㠸㌲㝣㄰昴昲㤱ㄵ挵㤷戱㉣㌲〰昲戹㘲ㄵ愰㍢㔵㍦扤ㄱ㔵㡦挴〲㔹昰㡣㐱㜲㉣㡢㉦愲㈱户㉢㕣㌶㔸㠲换ㄶ敡㉣㠱扣ㅥ昷㐰㍥㈷㜸㤶㔰ㄳ昹㍣㍡㌴㈷㘲愱戴晢㐴㍥户搱㐴〴慤〰戵搰攴昸㈳戱ㄶ搱敢愸搶㙤〲㠷挰〵ㄸ愶㔸愴慣㈹㠶愱㠵敦ㄳ㌳㐸扦㡣晥扥㜰昴ㄷ捦㌳晤攵愸㔰㠲㄰㔵改挹㔳㄰慡挹㍦㤱㥣扣㠷搲敥㤳晦攴㐶㤳ㅦ愱㡣攴㑣昴〰㘰愸㑦㔴昰㐷㉤愶㠱っ昷㤱㍦㜱㥥〰扦搴㉣㐶っ㤴愸扥㤷㤰㐱㕦㙥戸㙡㜵ㄹ㤹戸㙦㠱敢捦昸戸㐷搹㐷扣〸㐹㕦㑥㌱㜴挶ㄶ㐳慤㔸戲㈳㉦散戶㤰つ㔸ㄲ扦㤶敤㉡搲㡢㍤㐶昸挵㐷㘲挴㥣㌸ㄱ㝦㌹愵㐵㌱㈷㄰㐶㘸㤱㤲㝥戸㤱攲挳㜱攳㙦㝦愷攵㌲㐵〵ㄲ愸㈷㙣㑣㍡㔳㡤ㅦ㡦ㅢㅦ挲㔷㔹慡㑤㡥㌷〸㤸㕥㠸ㅢ㤳ㅥ㔵攳挷攲挶㝦㍥戴慦搹㌸愶挳㜰攴〲㠹㈴挳搶㔵搶㝦攲ぢ敤㘱㌴㉦㤸搴㥦〳㘶㔸㑣挹愹㐲挷㜵愵㐱〷㜱ㄹ挴挳㌷搲㜳戸摢㠴㉢㈰㄰戲攱晦㉡攱㈴敥㍣捤ㅡ㠱㠱㑦愰搷㄰㙣昶㜴昵挴捥㐵㜳摥㐳㐱扦㜹搲挷㤹慡戶慤㐸〴收㐰㍥摣摦㑤㥣昲ㄹ愶㘳㙢㍦攲㈰㤹挶㍢㈴扤㈹てㄵ㔸挹㡢て挶㤸捤㍤摡愲ㄹ晤ㄱ㈰〷搲ㄱ㤰ㄹ晤㔱挰㌰㄰挳摢捡戹ㄱ昲扦㘲敥て戲攲㐳〴㡦〱㤴〵㤹㥤㜴㔰㝣ㅣ㘰㌸晥ㅦ㔵㡣慤㈹㝦㠹㈶ㅥ㡡㕦㤶㈴㈳晤㈳散昰㔱㠰㍥戸㙦㐵㐴㠴㘵晤㘳㈸㐹扥㤴㠲㐳扤昴攳慣昸〴挱㈷〱捡〵㑥㜶换扢挶㌵昵愸戹㍥㠵慥攲㔱〲晣昴㈷愲っㅦち摣㠷户㜵户㤵㜹ㄴ㡥㍦散㐷愸㌳昵〵晦㍤昸㈲㝦㥤㡢敥挳晦㤰愴愰っ晢扣昶搶摥挶㈲ㄳ搰㈶㔷扦㔵㙣昶㑢ㄸ㠷敢㙡㐵㔰㌸㈲㤵㑡㐹㉢ち攲㥢ぢㄶ㉥摥挰户ㅣ㔱ㄵ㐲㤰〶㔴㠵ㄳ㔵ㅣ㐵㠱晥㘹㌶㈵㡥㠹㈷晤㌳㝣㈲㙡搵㈶㝥㌶捡昰㐱㄰慦慡晢〳㔱昷昸㠵挴戵慡戰摡㕥㐸晣慢㡡㤵攴ぢ㥦攲㘰ち㔹挸愴戵ㄲ㤱愶㘸攸㡢挸っ昵つ㜳㙥昷攳愷㕤ㄶ搵昳戵昳攷晦㌱㥣ㅦ扢㉥晦敥㜷づ㍥昵挲捦㝦晦攴慦摥㜷攴㑦晦㝡晡改㕦晤攱挹攷晦昵愳攵㈳㍦㝤收㤹㥦摣晢㤵攷㝦扦摢晣慡昶㥤㝦捣㝤昵攱挹㡢て㍦㘸㥥扤敤昸挳敦㜹攰扥挹㠵慢挶晢晡晡晢㙦ㅤ晤搹戵㙦ㄸ㜹昴挱敦㠹ㅦ晦收ㅡ㐷愸攵攲〵改㘹㜰搹㙡ㅡ㕦㐲〶搳攰㡣㕦搱㘹㜰戹㙡愳㤶愳㡤㥡㐶㐱〹㍥つ㑥㐰㔵ㄸ改㡡㠱晦〰〷戶戱㡥</t>
  </si>
  <si>
    <t>㜸〱敤㕣㕢㙣ㅣ㔷ㄹ摥㌳摥㕤敦慣敤搸㡤搳㑢㑡㘹つ愵戴搴挱㡤搳㠶㔲㈰ㄸ㕦㥡挴挵㠹摤搸㐹㐱㠰㌶攳摤㌳昱㌴㍢㌳敥捣慣ㄳ㤷㑡㉤戴摣挴㑤攲㕥㈸ㄷ㔵〸㠹ㄷ㉥㉦摣㕦㐰㐸㈰搴㑡㍣挰〳ㄲて〵㈱㜸〰愱㐸扣昰㠰〴摦㜷㘶㘶㜷㘶搷㍢㜶户㉤戸挸㈷摤摦㘷捥㙤捥㌹晦昵晣晦㤹收㐴㉥㤷晢㌷ㄲ晦㌲攵㤹戹㘱㜹搳て愴㍤㌱敢搶敢戲ㅡ㔸慥攳㑦㑣㝢㥥戱戹㘰昹㐱ㅦㅡㄴ㉢ㄶ敡晤㐲挵户ㅥ㤶愵捡㠶昴㝣㌴㉡攴㜲愵㤲慥愱㥥㠳昰㌷ㄲ㍦攸散㌵㤸〷㔸㤹㥤㔹㕣㝤㄰愳㉥〷慥㈷て㡤㥤ぢ晢ㅥ㥢㥣㥣㤸㥣戸敢敥挹㌷㑣ㅣ㍥㌴㌶摢愸〷つ㑦ㅥ㜳㘴㈳昰㡣晡愱戱愵挶㙡摤慡扥㕤㙥慥戸ㄷ愵㜳㑣慥ㅥ扥㜳搵戸敢㡤㤳㜷ㅤ㍤㙡摥㜳捦ㅢ〷昱敡摣改搹㤹㈵㑦㥡晥㡢㌴㘶㠱㔳扥㙢㑥㔶㉤慥㑤㑡捦㜲㉥㑣捣捥攰扦挴晣昱㜴昷挴昲㥡㤴〱㕦㉤㍤改㔴愵慦愳攳㠰㍤敤晢つ㝢㥤㥢愷摢挷戱搴慡攱〷〵㝢㔶搶敢扡ㅤ㡦㕡戲ㄷ戱㜷㜵㘳㜳搰㕥㤶㡥㙦〵搶㠶ㄵ㙣ㄶ敤ㄵっ㔴ㅢ戲捦晡昲㡣攱㕣㤰愷つ㕢ㄶ散ㄳつ慢㤶て㔳慥敦搶㜸㠸攴挴搴昲㈷愶㝤㝢㜶捤昰搴㡣㝣㙥㑣㐶摢攳㕥㌵摤昶收敥攳㜲敡敡つㅣ昳㤶敥敤㔰㜳捥昰㥡㉤挷扢户㡣ㄶ㥦㥥挱ㅤ摤摢㈷昶㈸摤攷㜵摤晢愸慤㑣户ㄶ〳ㄱ㝤慢ㅤ挵㘲昴㈲㐱㍦㐱㠹㠰〸搴换〴〳〴㠳〰㈲晦て㜰㐹戲㈳慢戴㡡愱㔵㔶戵㑡㔵慢搴戴㡡搴㉡愶㔶戹愰㔵搶戴㡡愵㔵ㅥ搴㉡ㄷ搱㈶㑥愵晥㝥㉤㑡㥦晦搹晣㤱㍦攷㌶摥昶扥愹捦慥㍣晢昸㠱摢〶昷愱搱晤搱愴收㍣攳ㄲ㐸慤㐵挵㐷㈶づ昳摦昶㕣〱愶㌰㡦㥡㜷㥢㤳㤳戵愳㠷㡤㍢㡤〲㤷㤵㠱晣ㄴ愱㡣愰敤愰昹㠰攵搴摣㑢ち㜷㌷捣ㄸ扥㙣㙤摣㜸㔴㌷攳㌶㥣㥡晦㡡慤㉢㤷〳㈳㤰搷户搷戵〶改攸戶っ戶㤲扥㝡摦㡤敤摤捥ㄹ昵㠶㥣扥㙣㠵搵慦㙣慢戶㤷㍣㜷戵㝢敤㜱㑦㍥搴慣敤㤸搱㌴㠴摡㠶ㅡ扢㘳㤵㘱㔵㌸慦戱搹㌵搷㤷㡥㥡摥戸扤㘴㔵㉦㑡㙦㔹㔲㈴捡㥡㕡敡搵慣㡡戸㝥㝣搱挱㐲挱慤戵㔷㈷㑢捤㝢㉦〷㘰㘶㔹挳㝣搷愵ㄷ㙣慥ㄸ慢㜵㜹㑤慡㐹昸㑥㔴ㅣ㑣ㄵㅦ㜷慢つ㝦搶㜵〲捦慤愷㙢愶㙢ㅢ〶㈴㑤敤㤴㕢㤳昹㝣㑥〹〵〸摣扥㍥㈱㜲户㜷攷〵㠵㠸〴㡡挹挸搷愵挹㙥攲っ㔶㠷㔵搴㈵㘹㔲㝢捤㌶㠳㜱扥㑡挶㘴㜰㘰㘲㑤搴ㅦ㝣改㙤摢っ摢挴摣㑢摢㔸搳㐶愳搵摦扢㈱㥤攰愴攱搴敡搲换搴㝥㠲㌳搲㠷〱ち㔷㈰㄰扡敥ㅥ㔵㥤戸㉣㌶ぢ㤷慣㕡戰㔶㕣㤳搶㠵戵〰㘵搰㤰愵ㄲ户戶㈳改㔷愱㐸摦㑦㌰ち㔰㉥攷㡡〷搸愸㔸㐶捡ㄵ㈸㥤㌲㜸㌹㈵挸搹㉦挵换㠳收㜱慢ㅥ挸㔰㈸て㥢挰㐸愸搵ㄴ晡㠶㐸愲㥥㔱つㄵ挶〱㜳ㄶ㔴㙡㔸㑥戰搹攲摢づ㉥〹㠹㘸㑦ㄶ散㍡㔹㐰㔱㤰㤶〷ㄹ扣〶愲㘹㤳〶搹㡤ㄳ㐴㐴㌶挸搰散ㄸ㌹㑤㘴㙣㥦㈱㈳搰㍥㐹㠴㙣㝤戸扢㡣㈰戱㜷ㄲ㈹㍢㜵攵挷㍤㘹戶㤵㉤ㅦ㑡戳慢戱㜱晡㌵〴搷ㄲ㕣㐷㜰㄰㐰晣ㄹㄲ㡥㔲づ昹㜴搲㕦㠱㘷晤〶㠲㔷〲㐰㍥改㤴㌹㤱愸愲つ戵ㄳ㍢㤲敤㠶㘰㈷㉢愳㌸ㄴ㐵戴㡣㥢㜶收㤰慤㄰ㅤ㔹㥤扢㐳搷收㤵㡥㝤㙤㜷摡㑣㉥㠷ㄴ㤹搱㌴戹搶㙤㥡㈶㌷㠲㑤㝢搴㕢㌷愱慢㍥㐶昰㉡㠰戲晥㙡㐲㈸ㄷㅡ扣㍢戳攸㘹㔲扥㉣捣愲搰ㄸ敡㔱挱㐷㠴捣㈳㐰㠶㤰敢㌸扥散搹搰㌴〷挷捤㤷扤つ㝤愸㍢㝦㐷㐸㙦搳㥢㝢㝡㠷晥愲攷㘹㐵摦っ昶ㄲ扦敦慡㘳㙥㐱戵晥㕡㠲㕢〱摡㜴っ㑦摦捦搷㔳愰捣㘲㍢㠱戹晤昴扡㈸㉢㜷㘵㜳㕤㉡つ㌴㘸慥ㄸ摥〵ㄹ挰㠳㌱㍦〷㕢搸昵㍣㔹挷愱戶愶ち㜸㝥戹㌶㕤攸ㅦ昷㕣㥢攵㝢㌶戲晦戲㔰っ昹扣搶㤷㙢戳㤱㌳㙣捤㠴捦㈹㐱㌹搴挱㜷㜶ㄷㄲ㠹㑥㘹昲㘲扦散昳攵㥥㈴改㐱㤲扣づ摢慡摦づ〰㈹㈱㝥摢㔵愲ㅣ㘲戳搷慢㘶㘹㡢㤵ㅥ扥㡣搳㐹㥢て戱㐳㡥っ㠴づ摢ㄹ昸て晣㈱㝢搹戲㥢挲㘲挰㕥㤲㕥ㄵ扥〵慢㉥换愱㕢㤶愲㘶㑦㔶扣㑣㘴㐵㕦㕦挷㜹㍡挳扦愶攸愴㑤㑡㘴㜲㝢㘶㘵挶㔹扣㐵㔴㜴㐳㔲愸㘴戸㠶㥡ㄲ㠸㤴挷戶㝢㈲愶〷ㄱ㜳〷㌶㑥㍦㑣㌰㐹㜰〴愰昰㉣㈴捤㑥㌷㥥攱戰晥つ扡戴㉢㤵㕣㠹㘸㔰㉥挲㘷扡ち慢愳㝣捤ㅢ〸敥〶㘸㌳㝦攸㠰捣㈰㐴㠵昲〴㈱慡㌰㠶㜹捥㤲㤷㐸〳晢㑣〴㤶㘶ㅢ㝥攰摡㡣㉣つ㤹㜳敥㘹㌷㤸戳晣㜵㐴愲㐶捤㈸昳挰㥡㜴㐰㕤ㅥ㙣㥦戶㌲㜷㝤㕤搶㜴㜳搹㙤㐰戴捤捦敤㠶㠳㌹戶〳戶愴㍡㥢㙢〲愹户昳㌱㠶㄰搸㘹攵㙦愵㌷㜶㐷摥㙦ㅥ晡㠶㕢㍢扡㘲〵㜵㌹㘰㠶㑣挷㝣挹挴㉥㈲㜲㔰敢㌷㔷搶㍣㈹攷㠶捣ㄳ㥥㔵慢㕢㡥㈴㌲㘰㘳㌲㔸户㈰㉦㈰㑡戰攴㌲〶攸㍡㐳收㡡㘷㌸晥扡挱㠰攲收晥搴㤳ち㡢ㄴ捣ㄹ换昱昱ㅡ㠵㐵收㠷捤攵㌵昷ㄲ㈲戶つ摢㌹㘱慣晢扢〲㉢㈴晡㌰㈹搴〸㑤㘸㥡㈸㘹愵㕥昱挳〳㜹㉥㐷摥换ㄳ㈸㕣攵ち昴㤹㘷㘸㙦摡昵㔱㡣㠶㜶㍡攷㌴㠸攸㔱戳戰㉦㔳ち㤳㔳昵㝢搸攷㑤〰昷㥤㌸㍢摦㡡捣扤愰㤸㜵㠱㕥晥っㄹ慦挸愲ㄹ〸愱㡦㙥㕦㐸㉡㉣㈳攵㠰〳㠱㜱㍥戵㤳㕦搹㔴㙤㐸㝤晢㕡搹攳㠸㈴つ㥡ぢ挶慡慣㈳ㅥ㙤ㅢ挱扥昰㠱㘶慣㙤搴晤愸㙥搶戵㙤㠳愴㐵戲㕣慥ㅡ愴攰改㐶攰㥥戲ㅣ摤〴㔰昴ㄷㄵㄹ㤷㔱㘴㕣㔶㐵㠳收ㄹ㠶〶㔵㥥㘳戹ㄷっ捦ち搶㙣慢㕡攲〳挳㜷扢㠲㈶挱攴㤴扣㜱㡡㘵挶㔸㥢㌵㝦ㄶ㈶㥢㍦〱㜴㑦㐰㡥㜲敢㠸㝥㔰慥㈶㡡昸㈷㝡㜴㉣㐱挰㈸㑦愹晥ㄶ㡣㔶㔰户㈳㈰㜲㔴扡ㄲ摦挱戸昲㈸㑡㐲㈱㐴慣㘷㤰〸扣㠲〹㈱㑦ㄷ㜷搱㍣敢㔸〱戰㐷㡣ㅤ户㠲㌹ㅦ㈸〷㐰㔶ㅤ㙦慦㔷㔸㑤㜴ㅡ㙦㙡㠵㥢㍡慢㔲㙡攲挶捥晡愴摥㜸捤ㄶ搵愱㐶㐹㈸㤲敤ㅡ㈹捤戲挵ㅣ㜷㤳慡ㄱ㑡㜱挷摡㐶㘴戹㑤㕢晢㑥㈹昲〲ㄴ㤳愲㤹㥣晥㔶㐵㈸〸昴㐶㍡㡡㍥晢㙣昲㐸㐴㙣㘸〳㤴愹愷挲戲愱㈸㈴㌸㡦㙢㈷㌵㔹㡥㥥挰摦晢愲散㘲㈳㐸搵ㄸ㤷㐷愳㥡改㝡㝤搱㠱㤵㔰㌵扣摡㉥㘱㘹慣㉤搴㌰㡡㍢㝢搵晥攱昶㈶ㄸ㌱㘲㐳㠶㐵㌲晣挰㘰㐳㌰㔷㈲愲㑡敢㙣㠸㕢摤㉣㉥昱改㤴㌴ㅣ㠵㠱攵愰㌶㈷㌷㤴ㄹ搶戲攴㐷㔵㠷收㘹㔱挹㔱摤㥣㕥昵愱搲〳捡昱㈸愷ㄸ㕣㌷捦搰㉤㠵㑢っ㄰扢㔱㙥愹ㅡ㈰戴摢ㅣ㠰㈷㠳摤㠳ㅤ散㐸ㄸ㍡愱㜵㐶〹㕡捣㈰摣昴㈲挸㍢㍤㘲ㄴ㠲搴㔴改敦㔳攲㡢㑦㌲㝤㜳㉡ㄷ㘷㈲㈶㘲戸㉢挳㝡〰㜲㤳㤱㐹㜲搱㘸ㅣ㌰て㈵㥢ㄲ㕡㠳㜱ㄹ㑤㡣㈱㥡㝣㕥㠰㕢㍣㡣㘵つ㤳㙤敡戸攷ㄶ㔸搰愶昵捤㝤收扣㔳慤㌷㙡㔲愹攲㔸㔶㉢㡤扣㉢昰愵慥〰㠶摣㤴戱㉦搱愶捣攳㈸挵㈵ㄳ㐹扤摢摤晡ㄴ扡㉢㈱㠷㌱㐲搵挷〰㘴㠶㕢㑥〵挴㍡敥㈹搰㍥摣摦扡挰愰㉥捦㐱愴㜵ㄴ㔱㤶㉤攰㍥㕥㌳㡡慣戸㉤搱㙣挱㕤㜰㘹戳㈷㡡㑥㕡㘱搱慥挰ㄱ搶ㄹち扣㘲ㄱ挶㐸㡦摣挱㐱㜲㔷愲攸敥㤵㐷搵㘳敥ち㔰愱㌰㈰ㄸ攳攵㈹㈸㠷㕤〵㈳搱攰搶㕡㔶户㘰昴㤷㤶户㍥つ㈰ㄸ〶愶㐱㡢㤶愱㠱㌳㡢晣昶〶捥㑤㘸㤵ㄱ㈱㑤〶㔳ㄹ愳ㅣ㠵挳ㅥ㐸〳㌷昱㈰扤攲㐲〹〵〷搴挵戰昸㙥攲戸㡤㈳㤰敢㕤搳㔶戸㘴〴戸晥攲ㅣ㙣㉢㥥慥搵㘸敥挲㍦户㉢戰㡡慢ㅢ愱㌹㝡愰敤㔲㤶㕡ㄳ敤扢㥢摢㉡愲换㠲㐷收㈶㑥ㅡ㐱㜵㙤㌹搸っ㉦㙥昵㑡ㄲ㠵㥦挰ㅦ戱攵摢㘹㌳攷ㅤ㕥㐴摤攰摥㤷㉦㍡敥㈵㐷捤慢攰昳搶ㅦ㈸〴㔷㈸晢㌹挹㜲敥摦昸愷㤲㤶㉢晣ㄸ㈳敥㘴摡ㅣ愰攵㈰攱㌸㉡㠵搲㘰っ昹っ㍡㠱敤摥扣㌵㐰㍡㌹搰㐶㈷㑡㄰散ㄱ㡡㜳攱㐵㈳ㄴ昱㈳愰㤵挴ㄲㅥ挹戱攷摦〰敢㡢ㅦ愲㠴〸挷㜳㈴㐶ち慦㐲㉥〳㜵㑡㤰㐷㔷㍣㜸㈱攴晦〷㑢㌱㌷㙦挹㑥晦〵㘶ㄶ㍦㘸㐷搱㡤㐴搱昷㍢㔰㈴㜸つ㐴昱敦㝤挸挴愹挰昰散昳ち㠴㜳㑤㝢〷搰㤷晣挲敦晦昰〰扡㄰ㄱ㠷戲搱㄰㙡扢〵捦㑤ㄳ愱慦挳㐴㘰昰㕥㤹〸愷㤰ㄱ㡣攲㠷㈶㐲攴〳㔹㐴挱昶㈶〲㘳㝢ㄹ㠶㘰㈲搴㥡㜰㙢昰〴㜶㡤㑤晦搸㐹㕣扣㤵㍥攲昹㔰㕡晥㉣㍣㔲搷㜶ㄶ㉦ㄹ㥥㘱ㅦ㔴攵㈷㍣〹㘵收慤攰㈶户敡挲ㅥ搷㙦㔹愳㍡㙤攱慢㠸扤散㝢晥㤴㥤摤㕦〷愶挲ㄴ扡敦㐵㐹ㄴ㕦㠰愷㐴昰摣㤰㝢敦㠱㙦㥤昸挳挳㑦㑣昱戶㕡㐴慢㠵摢㤱敦㈵㘴㑦㝢〲㐱摤挴㐵㤱慢昹㘱捥㈹㝣愲㘴慤搷攵㡣攱㈹㉢挸搷敤㌸ㅢㄲ㕥㠲㌰㐳攲摢つ㈶㈶敥㍤㠴㈶收㐴㥢扢㔳㝤搸愴㕣㠴ㄳ㠹㠹㉢㥦㕥ㅣ㌶ㄴ㕤ㄵ㔹㡦搶㘶攱㍢㔰㐵捦㜳㈲㘹㉢㤱愷㑥㈶㈱扥摤慥敢㡥㔲搷㠵〷ㄹ㠶晤㘳㈹㠵昸〳㈹㈴㜹㤰攱㠵〰㈵愵捥㈰㔳戸〳㈰㈳戲搶ㅥ攲愵㍦㘰㑦〸挸收愵扦ㅥ㍦㘲挱㉥〲㡢戱㉦扥搷ㄳ㉤㙤搱㔸㌵㌱㔴慢㙣㥡㘵㘴搴攱㠵〵㤳㜱㘹捡搲㌹㠲搲ㅤ扢愳昸㤲㈱㍢っ扣㠵㡣㕤戰改㙢㉢摢昷㍡つ摣晣㠰㥥㈹㉡㠵攱散㘷㌱づ愴㉡㐶ㄷ㌶㉤㠷㐵㠴挳㘱戶搹㘹㈰慡㠲捥㜲づ攲㔴㡡攰ㅦ扦ㄴ㘲晤㜸㙢攸慢摢㙢愸攳㥣㝥㉣㤰㍦搸㕦㌷㘶㌰㌶摥㑡㡥㠱㠴摤㔱慢㔲㜸㍤晣㉣扡㜰搱㌹愱户戲敡㔹ㅣ挵㥦㤸戳晡戴づ晤捦攸戵攲慣㜳散捤㌰㜶㑡晦扦〳〵摢敡㝦挱搸㥢㐲攴㍢愳っㅦち㡣㥦㙣ㅢ戲攱㡥挰戳㡤攰㡤㍡ㄸ敢㉡换㤰㜷㤸㕢挶挷慢㘱戵㤲攰昰㝢攵摢慦㐶㌴晢搲戶ㅤ攸㉡〰ㄹㅢ㉡㝣〳㈲愸㙢晦戴摣㡡㑦户挵㜷愱攳㠱㔳㔶搵㜳㝤搷っ挶㤶ㄱ昴ㅤ攳户㘷㈶㙣㥥㘹昱昵㜶愱㜶㌳㜶㘲昰㍤攸㜳㝡ㄱ〲晢戴っ㕥慣㔸㈴㈳ぢ㍢㡢㘴昰㍢愴㤱㐴㜸㠹摡挱扦捡扣扦㘱搴昱改敡㈲㝣㥤〱㡢㜶㠵戲ぢ㍤捥敤㌷㌴戸㜵戸愳昵㜶昸㠳㘴㝤〲挱㌱戵㠴㜷扤㠷晢摡扥〷改戶搱摡㝣戶散捤攷㔶㉥㍣つ㥣敥散㉤㘹㤲攱㍢昹㐵㜲㔹慦㄰攲搲晥ㄴ晥敥摣㐱换搱㐶㐱攷搱〷摤㜴㠴㡤搷攱㍥摢㐱昴晢㍣扡㡡㘹〲晣㜴㈳捡昰㐱搰换㐷㔶ㄴ㕦挱戲挸〰挸攷㡡㔵㠰敥㔴晤搴㔶㔴㍤ㄲぢ㘴挱㌳〶挹戱㉣扥㠴㠶摣慥㜰搹㘰〹㉥㕢愸戳〴昲㝡摣〳昹㥣攰㔹㐲㑤攴ぢ攸搰㥣㠸㠵搲敥ㄳ昹摣㔶ㄳㄱ戴〲搴㐲㤳攳㡦挴㕡㐴慦愳㕡户〹ㅣ〲ㄷ㘰㤸㘲㤱戲愶ㄸ㠶ㄶ㝥㐸捣㈰晤㍡晡晢摣搴戳捦㌰晤㙤㑡㈸㐱㠸慡昴攴㈹〸搵攴㍦㤹㥣扣㠷搲敥㤳晦昸㔶㤳ㅦ愱㡣攴㑣昴〰㘰愸㑦㔴昰㐷㉤愶㠱っ昷㤱㍦㜱㥥〰扦搴㉣㐶っ㤴愸扥㤷㤰㐱㕦㙥戸㙡㜵ㄹ㤹戸㙦㠱敢捦昸戸㐷搹㐷扣〸㐹㕦㑥㌱㜴挶ㄶ㐳慤㔸戲㈳㉦散慥㤰つ㔸ㄲ扦㤶敤㉡搲㡢㍤㐶昸挵㠷㘲挴㥣㍣ㄹ㝦㌹愵㐵㌱㈷㄰㐶㘸㤱㤲㝥戸㤱攲㠳㜱攳敦㝥慦攵㌲㐵〵ㄲ愸㈷㙣㑣㍡㔳㡤㍦㄰㌷㍥㠲慦戲㔴㥢ㅣ㙦㄰㌰㍤ㄷ㌷㈶㍤慡挶㑦挴㡤晦㝡攴㘰戳㜱㑣㠷攱挸〵ㄲ㐹㠶慤慢慣晦挴ㄷ摡挳㘸㕥㌰愹㍦〷捣戰㤸㤲㔳㠵㡥敢㑡㠳づ攲㌲㠸㠷㙦愴ㄷ㜰户〹㔷㐰㈰㘴挳晦㔵挲㍣敥㍣捤ㄹ㠱㠱㑦愰㌷㄰㙣昶㜴昵挴捥㐵㜳搱㐳㐱扦㌹敦攳㑣㔵摢㔵㈴〲㜳㈰ㅦ敥敦㌶㑥昹っ搳戱戵ㅦ㜱㤰㑣攳ㅤ㤲摥㤴㠷ち慣攴挵晢㘳捣收ㅥ㙢搱㡣晥㈸㤰〳改〸挸㡣晥ㄸ㘰ㄸ㠸攱㙤攵摣〸昹㕦㌱昷晢㔹昱㌸挱ㄳ〰㘵㐱㘶㈷ㅤㄴ㍦〰㌰ㅣ晦㡦㉡挶㌶㤴扦㐴ㄳて挷㉦㑢㤲㤱晥㈱㜶昸㌰㐰ㅦ摣户㈲㈲挲戲晥ㄱ㤴㈴㕦㑡挱愱㕥晡㔱㔶㝣㡣攰攳〰攵〲㈷扢攳㕤攳㥡㝡搴㕣㥦㐰㔷昱ㄸ〱㝥晡㈷愳っㅦち摣㠷㌷㜷户㤵㜹ㄴ㡥㍦散㐷愸㌳昵〵晦扤昸㈲㝦㤳㡢敥挳晦㤰愴愰っ晢扣昶愶摥挶㈲ㄳ搰㈶㔷扦㜵㙣昶ぢㄸ㠷敢㙡㐵㔰㌸㈲㤵㑡㐹㉢ち攲㥢ぢㄶ㉥摥挰户ㅣ㔳ㄵ㐲㤰〶㔴㠵ㄳ㔵㑣愱㐰晦㌴㥢ㄲ挷挴㤳晥ㄹ㍥ㄱ戵㙡ㄳ㍦ㅢ㘵昸㈰㠸㔷搵晤挱愸㝢晣㐲攲㕡㔵㔸㙤㉦㈴晥㔵挵㕡昲㠵㑦㜲㌰㠵㉣㘴搲㕡㠹㐸㔳㌴昴㈵㘴㠶晡㠶㌹户〷昰搳㉥㡢敡昹摡昹昳晦ㅣ捥㡦㕤㥦㝦挷摢〶㥦㝣敥㔷㝦晣搴㙦摥㝤散㉦晦㝡敡愹摦晣改㔳捦晣敢㈷慢挷㝥昱昴搳㍦扦敦慢捦晣㜱扦昹㌵敤㝢晦㕣昸摡㈳㤳ㄷㅦ㜹挸㍣㝢晢㠹㐷摥昹攰晤㤳㑢㔷㡤昷昵昵昷摦㍡晡换敢㙥ㅢ㜹散愱ㅦ㠸㥦晥敥㕡㐷愸攵攲〵改㘹㜰搹㙡ㅡ㕦㐶〶搳攰㡣㕦搲㘹㜰戹㙡愳㔶愳㡤㥡㐱㐱〹㍥つ㑥㐰㔵ㄸ改㡡㠱晦〰㌶㠵戱昰</t>
  </si>
  <si>
    <t>㜸〱敤㕣㕢㙣ㅣ㔷ㄹ摥㌳摥㕤敦慣敤搸㡤搳㑢㑡㉦㉥愵ㄴ攲攰挶㘹搳㔲㈰〴㕦㥡㑢㜱㘲㌷㜶㔲㄰愰捤㜸昷㑣㍣捤捥㡣㍢㌳敢挴愵㔲㉢㈸㌷〱慤㔴ち愲㔰㉥慡㄰ㄲ㉦㕣㕥㑡戹扣㈰㈱㠱㔰㐰㍣挰〳ㄲて〵㈱㜸〰愱㐸扣昰㠰〴摦㜷㘶㘶㜷㘶搷㍢㜶户㉤戸挸㈷摤摦㘷捥㙤捥㌹晦昵晣晦㤹收㐴㉥㤷晢㌷ㄲ晦㌲攵㤹戹㘱㜱摤て愴㍤㌱攳搶敢戲ㅡ㔸慥攳㑦㑣㜹㥥戱㍥㘷昹㐱ㅦㅡㄴ㉢ㄶ敡晤㐲挵户ㅥ㤱愵捡㥡昴㝣㌴㉡攴㜲愵㤲慥愱㥥㠳昰㌷ㄲ㍦攸散㌵㤸〷㔸㥡㤹㥥㕦㝥〸愳㉥〶慥㈷昷㡦㥤つ晢ㅥ㥥㥣㥣㤸㥣戸敢㥥挹扢㈷づ散ㅦ㥢㘹搴㠳㠶㈷て㍢戲ㄱ㜸㐶㝤晦搸㐲㘳戹㙥㔵摦㉢搷㤷摣ぢ搲㌹㉣㤷て摣戹㙣摣昵昶挹扢づㅤ㌲敦扤昷敤㠳㜸㜵敥搴捣昴㠲㈷㑤晦㔵ㅡ戳挰㈹摦㌵㉢慢ㄶ搷㈶愵㘷㌹攷㈷㘶愶昱㕦㘲晥㜸扡㘷㘲㜱㐵捡㠰慦㤶㥥㜴慡搲搷搱㜱挰㥥昲晤㠶扤捡捤搳敤愳㔸㙡搵昰㠳㠲㍤㈳敢㜵摤㡥㐷㉤搹昳搸扢扡戱㍥㘸㉦㑡挷户〲㙢捤ち搶㡢昶ㄲ〶慡つ搹㘷㝣㜹摡㜰捥换㔳㠶㉤ぢ昶戱㠶㔵换㠷㈹搷㜷㝢㍣㐴㜲㘲㙡昹ㄳ㔳扥㍤戳㘲㜸㙡㐶㍥㌷㈶愳敤㔱慦㥡㙥㝢㙢昷㜱㌹㜵昵〶㡥㜹㕢昷㜶愸㌹㙢㜸捤㤶攳摤㕢㐶㡢㑦捦攰㡥敥敤ㄳ㝢㤴敥昳搶敥㝤搴㔶愶㕢㡢㠱㠸扥搵㡥㘲㌱㝡㤱愰㥦愰㐴㐰〴敡㘵㠲〱㠲㐱〰㤱晦〷戸㈴搹㤱㔵㕡挵搰㉡换㕡愵慡㔵㙡㕡㐵㙡ㄵ㔳慢㥣搷㉡㉢㕡挵搲㉡て㘹㤵ぢ㘸ㄳ愷㔲㝦扦ㄶ愵扢㍦戸昰攱捦晣敡㤶戹ㄷ㝦昸捣㡤㑦晥愳昲挲攰㉥㌴㝡㈰㥡搴慣㘷㕣〴愹戵愸昸攰挴〱晥摢㥣㉢挰ㄴ收㈱昳ㅥ㜳㜲戲㜶攸㠰㜱愷㔱攰戲㌲㤰㥦㈲㤴ㄱ戴ㅤ㌴ㅦ戴㥣㥡㝢㔱攱敥㠶㘹挳㤷慤㡤ㅢ㡦敡愶摤㠶㔳昳摦戰㜱攵㘲㘰〴昲晡昶扡搶㈰ㅤ摤ㄶ挱㔶搲㔷敦扢愹扤摢㔹愳摥㤰㔳㤷慣戰晡挶戶㙡㝢挱㜳㤷扢搷ㅥ昵攴挳捤摡㡥ㄹ㑤㐱愸慤愹戱㍢㔶ㄹ㔶㠵昳ㅡ㥢㔹㜱㝤改愸改㡤摢ぢ㔶昵㠲昴ㄶ㈵㐵愲慣愹愵㕥捤慡㠸敢挷攷ㅤ㉣ㄴ摣㕡㝢㘳戲搴扣敦㔲〰㘶㤶㌵捣㜷㔵㝡挱晡㤲戱㕣㤷搷愴㥡㠴敦㐴挵摥㔴昱㔱户摡昰㘷㕣㈷昰摣㝡扡㘶慡戶㘶㐰搲搴㑥扡㌵㤹捦攷㤴㔰㠰挰敤敢ㄳ㈲户慦㍢㉦㈸㐴㈴㔰㑣㐶扥㉥㑤㜶ㄳ愷戱㍡慣愲㉥㐹㤳摡㥢㌶ㄹ㡣昳㔵㌲㈶㠳〳ㄳ㙢愲晥攰㑢摦戲挹戰㑤捣扤戶㡤㌵㙤㌴㕡晤㝤㙢搲〹㡥ㅢ㑥慤㉥扤㑣敤㈷㌸㈳㝤ㄸ愰㜰〵〲愱敢敥㔱搵㠹㑢㘲扤㜰搱慡〵㉢挵ㄵ㘹㥤㕦〹㔰〶つ㔹㉡㜱㙢㍢㤲㝥ㄵ㡡昴摤〴愳〰攵㜲慥戸㠷㡤㡡㘵愴㕣㠱搲㈹㠳㤷㔳㠲㥣晤㔲扣㍣㘸ㅥ戵敡㠱っ㠵昲戰〹㡣㠴㕡㑤愱㙦㠸㈴敡ㄹ搵㔰㘱散㌱㘷㐰愵㠶攵〴敢㉤扥敤攰㤲㤰㠸㜶㘴挱戶㤳〵ㄴ〵㘹㜹㤰挱㙢㈰㥡㌶㘹㤰摤㌸㐱㐴㘴㠳っ捤㡥㤱搳㐴挶昶ㄹ㌲〲敤㤳㐴挸搶〷扡换〸ㄲ㝢㈷㤱戲㔳㔷㝥摣㤱㘶ㅢ搹昲愱㌴扢ㅡㅢ愷㕦㐳㜰㉤挱㜵〴㝢〱挴㥦㈱攱㈸攵㤰㑦㈷晤つ㜸搶㙦㈰戸ㄱ〰昲㐹愷捣㠹㐴ㄵ㙤愸慤搸㤱㙣㌷〴㍢㔹ㄹ挵愱㈸愲㘵摣戴㌳㠷㙣㠵攸挸敡摣ㅥ扡㌶慦㜴散㥢扢搳㘶㜲㌹愴挸㡣愶挹戵㙥搲㌴戹ㄱ㙣摡愳摥扡ㄹ㕤昵㌱㠲㕢〰捡晡ㅢ〹愱㕣㘸昰㙥捤愲愷㐹昹扡㌰㡢㐲㘳愸㐷〵ㅦㄱ㌲㡦〰ㄹ㐲慥攳昸戲㘳㐳搳ㅣㅣ㌷㕦昷㌶昴晥敥晣ㅤ㈱扤㑤㙦敥攸ㅤ晡㡢㕥愶ㄵ㝤㉢搸㑢晣扥慢㡥戹つ搵晡㥢〹㙥〷㘸搳㌱㍣㝤扦㕣㑦㠱㌲㡢敤〴收㜶搳敢愲慣摣愵昵㔵愹㌴搰愰戹㘴㜸攷㘵〰て挶㠹㔹搸挲慥攷挹㍡づ戵㌵㔵挰昳换戵改㐲晦愸攷摡㉣摦戱㤱晤搷㠵㘲挸攷戵扥㕣㥢㡤㥣㘱㙢㈶㝣㑥〹捡愱づ扥戳扢㤰㐸㜴㑡㤳ㄷ晢㘵㥦㉦㜷㈴㐹て㤲攴慤搸㔶㝤ㅦ〰愴㠴昸㙤㔷㠹戲㥦捤摥愶㥡愵㉤㔶㝡昸㌲㑥㈷㙤㍥挴づ㌹㌲㄰㍡㙣愷攱㍦昰㠷散㐵换㙥ち㡢〱㝢㐱㝡㔵昸ㄶ慣扡㉣㠷㙥㔹㡡㥡ㅤ㔹昱㍡㤱ㄵ㝤㝤ㅤ攷改っ晦㥡愲㤳㌶㈹㤱挹敤㤹㤵ㄹ㘷昱ㄶ㔱搱つ㐹愱㤲攱ㅡ㙡㑡㈰㔲ㅥ摢敥㠸㤸ㅥ㐴捣ㅤ搸㌸晤〰挱㈴挱㐱㠰挲㉦㈱㘹戶扡昱っ㠷昵慦搱愵㕤愹攴㑡㐴㠳㜲ㄱ㕥敥㉡慣づ昱㌵㜷ㄳ摣〳搰㘶晥搰〱㤹㐱㠸ち攵〹㐲㔴㘱っ昳慣㈵㉦㤲〶㜶㤹〸㉣捤㌴晣挰戵ㄹ㔹ㅡ㌲㘷摤㔳㙥㌰㙢昹慢㠸㐴㡤㥡㔱收挱ㄵ改㠰扡㍣搸㍥㙤㘵敥敡慡慣改收愲摢㠰㘸㍢㌱扢ㅤづ收搸づ搸㤲敡㙣慥〹愴摥捥挷ㄸ㐲㘰愷㤵扦㤵摥搸㉤㜹扦㜹攸ㅢ㙥敤攸㤲ㄵ搴攵㠰ㄹ㌲ㅤ昳㈵ㄳ扢㠸挸㐱慤摦㕣㕡昱愴㥣ㅤ㌲㡦㜹㔶慤㙥㌹㤲挸㠰㡤挹㘰摤㥣㍣㡦㈸挱㠲换ㄸ愰敢っ㤹㑢㥥攱昸慢〶〳㡡敢扢㔳㑦㉡㉣㔲㌰愷㉤挷挷㙢ㄴㄶ㤹ㅦ㌶ㄷ㔷摣㡢㠸搸㌶㙣攷㤸戱敡㙦ぢ慣㤰攸挳愴㔰㈳㌴愱㘹愲愴㤵㝡挵てて攴戹ㅣ㜹㉦㑦愰㜰㤵㉢搰㘷㥥愱扤㘹搷㐷㌱ㅡ摡改㥣搳㈰愲㐷捤挲扥㑣㈹㑣㑥搵敦㘵㥦㜷〰摣㝦散捣㠹㔶㘴敥ㄵ挵慣ぢ昴昲㘷挸㜸㐵ㄶ捤㐰〸㝤㜴扢㐲㔲㘱ㄹ㈹〷ㅣ〸㡣昳愹㥤晣捡愶㙡㐳敡摢搵捡ㅥ㐵㈴㘹搰㥣㌳㤶㘵ㅤ昱㘸摢〸㜶㠵て㌴㘳㙤愳敥㐷㜵㌳慥㙤ㅢ㈴㉤㤲攵㘲搵㈰〵㑦㌵〲昷愴攵攸㈶㠰愲扦愸挸戸㠴㈲攳㤲㉡ㅡ㌴㑦㌳㌴愸昲ㅣ换㍤㙦㜸㔶戰㘲㕢搵ㄲㅦㄸ扥摢ㄶ㌴〹㈶愷攴㡤㔳㉣㌳挶摡慣昹㌳㌰搹晣〹愰㝢〲㜲㤴㕢㐷昴㠳㜲㌵㔱挴㍦搱愳㘳〹〲㐶㜹㑡昵㜷㘱戴㠲扡ㅤ〱㤱愳搲㤵昸づ挶㤵挷㔰ㄲち㈱㘲㍤㠳㐴攰ㄵ㑣〸㜹扡戸㡢收ㄹ挷ち㠰㍤㘲散愸ㄵ捣晡㐰㌹〰戲敡㜸㝢扤挲㙡愲搳㜸㔳㉢摣摣㔹㤵㔲ㄳ㌷㜵搶㈷昵挶㥢㌶愸づ㌵㑡㐲㤱㙣搶㐸㘹㤶つ收戸㥤㔴㡤㔰㡡㍢搶㌶㈲换㙤摡摡㜷㑡㤱㔷愰㤸ㄴ捤攴昴㜷㉢㐲㐱愰㌷搲㔱昴搹㘷㤳㐷㈲㘲㐳ㅢ愰㑣㍤ㄵ㤶つ㐵㈱挱ㄳ戸㜶㔲㤳攵攸〹晣扤㉢捡捥㌷㠲㔴㡤㜱㘹㌴慡㤹慡搷攷ㅤ㔸〹㔵挳慢㙤ㄳ㤶挶摡㐲つ愳戸戳㔷敤ㅦ㙥㙦㠲ㄱ㈳㌶㘴㔸㈴挳てっ㌶〴㜳㈵㈲慡戴捥㠶戸搵捤攲ㄲ㥦㑥㑡挳㔱ㄸ㔸っ㙡戳㜲㑤㤹㘱㉤㑢㝥㔴㜵㘸㥥ㄶ㤵ㅣ搵捤愹㘵ㅦ㉡㍤愰ㅣ㡦㜲㡡挱㜵昳㌴摤㔲戸挴〰戱ㅢ攵ㄶ慡〱㐲扢捤〱㜸㌲搸㍥搸挱㡥㠴愱ㄳ㕡㘷㤴愰挵っ挲㑤㉦㠲扣搳㈳㐶㈱㐸㑤㤵晥㝥㐴㝣改㔹愶㙦ㅤ挹挵㤹㠸㠹ㄸ敥捡戰ㅥ㠰摣㘴㘴㤲㕣㌴ㅡ〷捣㐳挹愶㠴搶㘰㕣㐶ㄳ㘳㠸㈶㥦ㄷ攰ㄶて㘳㔹挳㘴㥢㍡敥戹〵ㄶ戴㘹㝤㝤㤷㜹挲愹搶ㅢ㌵愹㔴㜱㉣慢㤵㐶摥ㄶ昸㔲㔷〰㐳㙥捡搸㤷㘸㔳㑥攰㈸挵㈵ㄳ㐹扤摢摤晡ㄱ㜴㔷㐲づ㘳㠴慡㡦〱挸っ户㥣ち㠸㜵摣㔳愰㝤戸扢㜵㠱㐱㕤㥥㠳㐸敢㈸愲㉣㥢挳㝤扣㘶ㄴ㔹㜱㕢愲搹㥣㍢攷搲㘶㑦ㄴㅤ户挲愲㙤㠱㈳慣㌳ㄴ㜸挵㈲㡣㤱ㅥ戹㠳㠳攴慥㐴搱摤㉢㡦愹挷摣ㄵ愰㐲㘱㐰㌰挶换㔳㔰づ扢ち㐶愲挱慤戵慣㙥挱攸㉦㉤㙦㝤ち㐰㌰っ㑣㠳ㄶ㉤㐳〳㘷〶昹捤つ㥣㥢搱㉡㈳㐲㥡っ愶㌲㐶㌹ち㠷㍤㤰〶㙥攲㐱㝡挹㠵ㄲち昶愸㡢㘱昱摤挴㜱ㅢ㐷㈰搷扢愶慤㜰挱〸㜰晤挵搹摢㔶㍣㔵慢搱摣㠵㝦㙥㕢㘰ㄵ㔷㌷㐲㜳㜴㑦摢愵㉣戵㈶摡㜷户戶㔵㐴㤷〵て捥㑥ㅣ㌷㠲敡捡㘲戰ㅥ㕥摣敡㤵㈴ち㍦㠶㍦㘲挳户搳㘶捥㍢扣㠸扡挶扤㉦㕦㜰摣㡢㡥㥡㔷挱攷慤㍦㔰〸慥㔰昶㜳㤲攵摣扦昱㑦㈵㉤㔷昸ㄱ㐶摣捡戴㌹㐰换㐱挲㜱㔴ち愵挱ㄸ昲ㄹ㜴〲摢扤㜹㙢㠰㜴戲愷㡤㑥㤴㈰搸㈱ㄴ攷晣慢㐶㈸攲㠷㐰㉢㠹㈵㍣㤲㘳捦扦〹搶ㄷ㍦㐰〹ㄱ㡥攷㐸㡣ㄴ㙥㐱㉥〳㜵㑡㤰㐷㔷㍣㜸㈱攴晦〷㑢㌱㌷㙦挸㑥晦〵㘶ㄶ㉦戶愳攸㈶愲攸晢ㅤ㈸ㄲ扣〶愲昸昷㝥㘴攲㔴㘰㜸昶㘵〵挲戹愶㥤〳攸㙢㝥攱昷㝦㜸〰㥤㡢㠸㐳搹㘸〸戵摤㠶攷愶㠹搰搷㘱㈲㌰㜸慦㑣㠴㤳挸〸㐶昱㐳ㄳ㈱昲㠱捣愳㘰㜳ㄳ㠱戱扤っ㐳㌰ㄱ㙡㑤戸㌵㜸〲扢挶愶㝦散㌸㉥摥㑡ㅦ昱㝣㈸㉤㝦〶ㅥ愹㙢㍢㡢ㄷっ捦戰昷慡昲㘳㥥㠴㌲昳㤶㜰㤳㕢㜵㘱㡦敢㌷慣㔱㥤㌶昰㔵挴㕥昶ㅤ㝦捡搶敥慦〳㔳㘱ち摤昷愲㈴㡡慦挰㔳㈲㜸㙥挸㝤㜸捦户㡦晤攱㤱㈷㡥昰戶㕡㐴慢㠵㝤挸昷ㄲ戲愷㍤㠱愰㙥攲愲挸搵晣㌰攷㈴㍥㔱戲㔶敢㜲摡昰㤴ㄵ攴敢㜶㥣つ〹㉦㐱㤸㈱昱㙤〷ㄳㄳ昷ㅥ㐲ㄳ㜳愲捤摤愹㍥㙣㔲㉥挲㠹挴挴㤵㑦㉦づㅢ㡡慥㡡慣㐷㙢戳昰㕤愸愲㤷㌹㤱戴㤵挸㔳㈷㤳㄰摦㘹搷㜵㠷愸敢挲㠳っ挳晥戱㤴㐲晣㠱ㄴ㤲㍣挸昰㐲㠰㤲㔲愷㤱㈹摣〱㤰ㄱ㔹㙢て昱搲ㅦ戰㈳〴㘴昳搲㕦㡦ㅦ戱㘰ㄷ㠱挵搸ㄷ摦敢㠹㤶戶㘸慣㥡ㄸ慡㔵㌶捤㈲㌲敡昰挲㠲挹戸㌴㘵改ㅣ㐴改㤶摤㔱㝣挹㤰ㅤ〶摥㐲挶㉥搸昴戵㤵敤晢㥣〶㙥㝥㐰捦ㄴ㤵挲㜰㜶戳ㄸ〷㔲ㄵ愳ぢ㥢㤶挳㈲挲攱㌰摢散㌴㄰㔵㐱㘷㌹㝢㜱㉡㐵昰㡦㕦ち戱㝥扣㌵昴搵敤㌵搴㜱㑥㍦ㄶ挸ㅦ散慦㥢㌲ㄸㅢ㙦㈵挷㐰挲㙥愹㔵㈹扣ㅥ㝥〶㕤戸攸㥣搰㕢㔹昵㉣づ攱㑦捣㔹㝤㕡㠷晥㘷昴㕡㜱搶㔹昶㘶ㄸ㍢愵晦摦㠷㠲㑤昵扦㘰散㑤㈱昲晤㔱㠶て〵挶㑦㌶つ搹㜰㐷攰搹㐶昰㐶ㅤ㡣㜵㤵㘵挸㍢捣㉤攲攳搵戰㕡㐹㜰昸扤昲敤㔷㈳㥡㝤㘹摢づ㜴ㄵ㠰㡣つㄵ扥〹ㄱ搴戵㝦㕡㙥挵愷摢攲〷搰㜱捦㐹慢敡戹扥㙢〶㘳㡢〸晡㡥昱摢㌳ㄳ㌶捦㤴昸㐶扢㔰扢ㄵ㍢㌱昸㈱昴㌹㌵て㠱㝤㑡〶慦㔶㉣㤲㤱㠵慤㐵㌲昸ㅤ搲㐸㈲扣㐴敤攰㕦㘵㍥搰㌰敡昸㜴㜵ㅥ扥捥㠰㐵摢㐲搹㠵ㅥ攷昶ㅢㅡ摣㍡摣搱㝡㉦晣㐱戲㍥㠱攰㤸㕡挲〷㍥挴㝤㙤摦㠳㜴摢㘸㙤㍥㕢昶收㜳㉢ㄷ㥥〷㑥户昶㤶㌴挹昰㥤晣㈲戹慣㔷〸㜱㘹晦〸晥㙥摤㐱换搱㐶㐱攷搱〷摤㜴㠴㡤搷攱㍥摢㐲昴晢ㅣ扡㡡㈹〲晣㜴㈳捡昰㐱搰换㐷㔶ㄴ㕦挵戲挸〰挸攷㡡㔵㠰敥㔴晤摣㐶㔴㍤ㄲぢ㘴挱㌳〶挹戱㉣扥㡣㠶摣慥㜰搹㘰〹㉥㕢愸戳〴昲㝡摣〳昹㥣攰㔹㐲㑤攴㡢攸搰㥣㠸㠵搲敥ㄳ昹挲㐶ㄳㄱ戴〲搴㐲㤳攳㡦挴㕡㐴慦愳㕡户〹ㅣ〲ㄷ㘰㤸㘲㤱戲愶ㄸ㠶ㄶ㝥㐰捣㈰晤㍡晡晢搲㤱㕦㕥㘶晡摢ㄱ愱〴㈱慡搲㤳愷㈰㔴㤳㝦㉡㌹㜹て愵摤㈷晦搹㡤㈶㍦㐲ㄹ挹㤹攸〱挰㔰㥦愸攰㡦㕡㑣〳ㄹ敥㈳㝦攲ㅣ〱㝥愹㔹㡣ㄸ㈸㔱㝤㉦㈲㠳扥摣㜰搵敡ㄲ㌲㜱摦〲搷㥦昱㜱㡦戲㡦㜸ㄱ㤲扥㥣㘲攸㡣㉤㠶㕡戱㘴㐷㕥搸㙤㈱ㅢ戰㈴㝥㉤摢㔵愴ㄷ㝢㡣昰㡢㑦挴㠸㌹㝥㍣晥㜲㑡㡢㘲㑥㈰㡣搰㈲㈵晤㜰㈳挵挷攳挶摦㝢愱攵㌲㐵〵ㄲ愸㈷㙣㑣㍡㔳㡤㍦ㄶ㌷㍥㠸慦戲㔴㥢ㅣ㙦㄰㌰扤ㄴ㌷㈶㍤慡挶㑦挴㡤晦㝡㜰㙦戳㜱㑣㠷攱挸〵ㄲ㐹㠶慤慢慣晦挴ㄷ摡挳㘸㕥㌰愹㍦〷捣戰㤸㤲㔳㠵㡥敢㑡㠳づ攲㌲㠸㠷㙦愴攷㜰户〹㔷㐰㈰㘴挳晦㔵挲〹摣㜹㥡㌵〲〳㥦㐰慦㈱搸散改敡㠹㥤㡢收扣㠷㠲㝥昳㠴㡦㌳㔵㙤㕢㤱〸捣㠱㝣戸扦㥢㌸攵㌳㑣挷搶㝥挴㐱㌲㡤㜷㐸㝡㔳ㅥ㉡戰㤲ㄷㅦ㠹㌱㥢㝢扣㐵㌳晡㘳㐰づ愴㈳㈰㌳晡攳㠰㘱㈰㠶户㤵㜳㈳攴㝦挵摣ㅦ㘱挵㐷〹㥥〰㈸ぢ㌲㍢改愰昸㌱㠰攱昸㝦㔴㌱戶愶晣㈵㥡㜸㈴㝥㔹㤲㡣昴㑦戰挳㈷〱晡攰扥ㄵㄱㄱ㤶昵㑦愱㈴昹㔲ちづ昵搲㑦戳攲㌳〴㥦〵㈸ㄷ㌸搹㉤敦ㅡ搷搴愳收㝡ㄲ㕤挵攳〴昸改㑦㐵ㄹ㍥ㄴ戸て敦散㙥㉢昳㈸ㅣ㝦搸㡦㔰㘷敡ぢ晥晢昰㐵晥㍡ㄷ摤㠷晦㈱㐹㐱ㄹ昶㜹敤ㅤ扤㡤㐵㈶愰㑤慥㝥慢搸散㔷㌰づ搷搵㡡愰㜰㐴㉡㤵㤲㔶ㄴ挴㌷ㄷ㉣㕣扣㠱㙦㌹慣㉡㠴㈰つ愸ち㈷慡㌸㠲〲晤㜳㙣㑡ㅣㄳ㑦晡㌳㝣㈲㙡搵㈶㝥㍥捡昰㐱㄰慦慡晢㐳㔱昷昸㠵挴戵慡戰摡㕥㐸晣慢㡡㤵攴ぢ㥦攵㘰ち㔹挸愴戵ㄲ㤱愶㘸攸换挸っ昵つ㜳㙥て攲愷㕤ㄲ搵㜳戵㜳攷晥㌹㥣ㅦ扢㍥晦扥昷っ㍥晢搲㉦晥昸昴㙦㍥㜸昸㉦晦㝡敥戹摦晣改改换晦晡昱昲攱㥦㍤晦晣㑦敦晦摡攵㍦敥㌶扦慥扤昰捦戹慦㍦㍡㜹攱搱㠷捤㌳晢㡥㍤晡晥㠷ㅥ㤸㕣戸㙡扣慦慦扦晦昶搱㥦㕦昷㤶㤱挷ㅦ㝥㔱晣攴㜷搷㍡㐲㉤ㄷ㉦㐸㑦㠳换㔶搳昸ち㌲㤸〶㘷晣㥡㑥㠳换㔵ㅢ戵ㅣ㙤搴㌴ち㑡昰㘹㜰〲慡挲㐸㔷っ晣〷㙦敦戳㈸</t>
  </si>
  <si>
    <t>㜸〱敤㕣㕢㙣㈴㔷㤹敥㔳敥㙥㜷戵敤戱㌳㥥㕣㈶㠴挴㄰㤲㐰㍣㜴挶㤳っ㈱㉣挳攰换㜸㘶㠲㘷散㡣㍤ㄳ㄰㡢㝡捡摤愷挶㤵改慡㜲慡慡㍤攳㄰㈹ㄱ㠴㥢㐸㐰攲㈶〲攱ㄶ㈱愴扣㜰㜹㠰㠵〵ㅥ㤰㤰㜶㠵㠲挴〳晢戰ㄲて〱慤攰㠱搵㙡愴㝤攱㈱ㄲ晢㝤愷慡扡慢扡摤㘵愷㤳散㍡㉢㥦㐹晦㍥㜵㙥㜵捥昹慦攷晦㑦㈵㈷㜲戹摣摦㤱昸㤷㈹捦捣㉤换㥢㝥㈰敤捡慣摢㘸挸㕡㘰戹㡥㕦㤹昶㍣㘳㜳挱昲㠳〱㌴㈸㔶㉤搴晢㠵慡㙦㍤㈶㑢搵つ改昹㘸㔴挸攵㑡㈵㕤㐳㍤〷攱㙦㉣㝥搰搹㙢㌸て戰㌲㍢戳戸晡〸㐶㕤づ㕣㑦ㅥ㥡戸㄰昶㍤㌶㌵㔵㤹慡摣㜷晦搴扢㉡㠷て㑤捣㌶ㅢ㐱搳㤳挷ㅣ搹っ㍣愳㜱㘸㘲愹戹摡戰㙡ㅦ㤰㥢㉢敥㘵改ㅣ㤳慢㠷敦㕤㌵敥㝢昷搴㝤㐷㡦㥡て㍣昰敥㘱扣㍡㜷㜶㜶㘶挹㤳愶晦ㅡ㡤㔹攰㤴敦㥢㤳㌵㡢㙢㤳搲戳㥣㑢㤵搹ㄹ晣㤷㤸㍦㥥敥慦㉣慦㐹ㄹ昰搵搲㤳㑥㑤晡㍡㍡づ搹搳扥摦戴搷戹㜹扡㍤㡦愵搶っ㍦㈸搸戳戲搱搰敤㜸搴㤲扤㠸扤㙢ㄸ㥢挳昶戲㜴㝣㉢戰㌶慣㘰戳㘸慦㘰愰晡㠸㝤摥㤷攷っ攷㤲㍣㙢搸戲㘰㥦㙣㕡昵㝣㤸㜲〳㜷挵㐳㈴㈷愶㤶㕦㤹昶敤搹㌵挳㔳㌳昲戹㌱ㄹ㙤攷扤㕡扡敤敤扤挷攵搴搵ㅢ㌸收ㅤ扤摢愱收㠲攱戵㕡㑥昶㙥ㄹ㉤㍥㍤㠳㝢㝡户㑦散㔱扡捦㍢㝡昷㔱㕢㤹㙥㉤㠶㈲晡㔶㍢㡡挵攸㐵㠲㐱㠲ㄲ〱ㄱ愸㤷〹㠶〸㠶〱㐴晥扦挱㈵挹㡥慣搲慡㠶㔶㕤搵慡㌵慤㕡搷慡㔲慢㥡㕡昵㤲㔶㕤搳慡㤶㔶㝤㐴慢㕥㐶㥢㌸㤵〶〷戵㈸扤晣攵昹ㅦ㝦㘷㙣攱挴ぢ㤵愷㝦昹攰散㜵摡昰㍥㌴㝡㈸㥡搴㥣㘷㕣〱愹戵愹昸㐸攵㌰晦㙤捦ㄵ㘰ち昳愸㜹扦㌹㌵㔵㍦㝡搸戸搷㈸㜰㔹ㄹ挸㑦ㄱ捡ㄸ摡づ㥢て㕢㑥摤扤愲㜰㜷换㡣攱换昶挶㑤㐶㜵㌳㙥搳愹晢㙦摡扡㜲㌹㌰〲㜹㜳㘷㕤㝢㤰慥㙥换㘰㉢改慢昷摤摡搹敤㠲搱㘸捡改慢㔶㔸晤收㡥㙡㝢挹㜳㔷㝢搷捥㝢昲搱㔶㙤搷㡣愶㈱搴㌶搴搸㕤慢っ慢挲㜹㑤捣慥戹扥㜴搴昴㈶敤㈵慢㜶㔹㝡换㤲㈲㔱搶搵㔲慦㘷㔵挴昵㤳㡢づㄶち㙥慤扦㌵㔹㙡㥥戸ㅡ㠰㤹㘵ㅤ昳㕤㤷㕥戰戹㘲慣㌶攴つ愹㈶攱㍢㔱㜱㌰㔵㍣敦搶㥡晥慣敢〴㥥摢㐸搷㑣搷㌷っ㐸㥡晡ㄹ户㉥昳昹㥣ㄲち㄰戸〳〳㐲攴敥敥捤ぢちㄱ〹ㄴ㤳㤱㙦㑡㤳㕤攵ㅣ㔶㠷㔵㌴㈴㘹㔲㝢摢㌶㠳㜱扥㑡挶㘴㜰㘰㘲㑤搴ㅦ㝣改摢户ㄹ戶㠵戹搷户戱愶㡤㐷慢㍦戱㈱㥤攰㤴攱搴ㅢ搲换搴㝥㠲㌳搲㐷〱ち搷㈰㄰㝡敥ㅥ㔵㥤戸㉡㌶ぢ㔷慣㝡戰㔶㕣㤳搶愵戵〰㘵搰㤰愵ㄲ户戶㉢改搷愱㐸摦㑦㌰づ㔰㉥攷㡡〷搸愸㔸㐶捡ㄵ㈸㥤㌲㜸㌹㈵挸搹㉦挵换挳收扣搵〸㘴㈸㤴㐷㑤㘰㈴搴㙡ち㝤㈳㈴㔱捦愸㠵ち攳㠰㌹ぢ㉡㌵㉣㈷搸㙣昳㙤ㄷ㤷㠴㐴戴㈷ぢ㜶㥤㉣愰㈸㐸换㠳っ㕥〳搱㜴㐸㠳散挶〹㈲㈲ㅢ㘴㘸㜶㡣㥣㈶㌲戶捦㤰ㄱ㘸㥦㈴㐲戶㍥摣㕢㐶㤰搸扢㠹㤴㥤㝡昲攳㥥㌴摢捡㤶て愵搹昵搸㌸晤〶㠲ㅢ〹㙥㈲㌸〸㈰晥っ〹㐷㈹㠷㝣㍡改㙦挲戳㝥ぢ挱㥢〱㈰㥦㜴捡㥣㐸㔴搱㠶摡㠹ㅤ挹㜶㈳戰㤳㤵㔱ㅣ㡡㈲㕡挶㉤㍢㜳挴㔶㠸㡥慣捥摤愱㙢昳㑡挷摥搹㥢㌶㤳换㈱㐵㘶㌴㑤慥㜵㥢愶挹㡤㘰搳㍥昵搶㙤攸慡㑦㄰扣〵愰慣扦㤵㄰捡㠵〶敦捥㉣㝡㥡㤴㙦〸戳㈸㌴㠶晡㔴昰ㄱ㈱昳〸㤰㈱攴扡㡥㉦㝢㌶㌴捤挱㐹昳つ㙦㐳ㅦ敡捤摦ㄱ搲㍢昴收㥥摥愱扦攸ㄵ㕡搱户㠳扤挴ㅦ㝡敡㤸㍢㔰慤摦㐹㜰ㄷ㐰㠷㡥攱改晢㤵㝡ち㤴㔹㙣㈷㌰户㥦㕥ㄷ㘵攵慥㙣慥㑢愵㠱㠶捤ㄵ挳扢㈴〳㜸㌰㑥捦挱ㄶ㜶㍤㑦㌶㜰愸慤慢〲㥥㕦㙥㑣ㄷ晡昳㥥㙢戳㝣捦㐶昶摦㄰㡡㈱㥦搷〶㜲ㅤ㌶㜲㠶慤㤹昰㌹㈵㈸㠷㍡昸摥摥㐲㈲搱㈹㑤㕥散㤷㝤扥摣㤳㈴㝤㐸㤲㜷㘰㕢昵扢〱㈰㈵挴扦昵㤴㈸㠷搸散㥤慡㔹摡㘲愵㠷㉦攳㜴搲攱㐳散㤲㈳㐳愱挳㜶〶晥〳㝦挴㕥戶散㤶戰ㄸ戲㤷愴㔷㠳㙦挱㙡挸㜲攸㤶愵愸搹㤳ㄵ㙦㄰㔹㌱㌰搰㜵㥥捥昰慦㈹㍡改㤰ㄲ㤹摣㥥㔹㤹㜱ㄶ㙦ㄳㄵ摤㤰ㄴ㉡ㄹ慥愱㤶〴㈲攵戱敤㥥㠸改㐳挴摣㠳㡤搳てㄳ㑣ㄱㅣ〱㈸晣ㄶ㤲㘶愷ㅢ捦㜰搸攰〶㕤摡搵㙡慥㐴㌴㈸ㄷ攱㡢㍤㠵搵㔱扥收㕤〴昷〳㜴㤸㍦㜴㐰㘶㄰愲㐲㜹㠲㄰㔵ㄸ挳扣㘰挹㉢愴㠱㝤㈶〲㑢戳㑤㍦㜰㙤㐶㤶㐶捣㌹昷慣ㅢ捣㔹晥㍡㈲㔱攳㘶㤴㜹㜸㑤㍡愰㉥て戶㑦㐷㤹扢扥㉥敢扡戹散㌶㈱摡㑥捦敤㠶㠳㌹戶〳戶愴㍡㥢㙢〲愹扦昳㌱㠶㄰搸㘹攵㙦愵㌷㜶㐷摥㙦ㅥ晡㐶摢㍢扡㘲〵つ㌹㘴㠶㑣挷㝣挹挴㉥㈲㜲㔰ㅦ㌴㔷搶㍣㈹攷㐶捣㤳㥥㔵㙦㔸㡥㈴㌲㘰㘳㌲㔸户㈰㉦㈱㑡戰攴㌲〶攸㍡㈳收㡡㘷㌸晥扡挱㠰攲收晥搴㤳ち㡢ㄴ捣ㄹ换昱昱ㅡ㠵㐵收㐷捤攵㌵昷ち㈲戶㑤摢㌹㘹慣晢扢〲㉢㈴晡㌰㈹搴〸㑤㘸㥡㈸㘹愵㝥昱挳〳㜹㉥㐷摥换ㄳ㈸㕣攵ち昴㤹㘷㘸㙦摡昵㔱㡣㠶㜶㍡攷㌴㡣攸㔱慢㜰㈰㔳ち㤳㔳昵〷搸攷㍤〰て㥥㍣㝦扡ㅤ㤹㝢㔵㌱敢〲扤晣ㄹ㌲㕥㤱㐵㉢㄰㐲ㅦ摤扥㤰㔴㔸㐶捡〱〷〲攳㝣敡㈴扦戲愹摡㤰晡昶戵戳昳㠸㈴つ㥢ぢ挶慡㙣㈰ㅥ㙤ㅢ挱扥昰㠱㘶慣㙤㌴晣愸㙥搶戵㙤㠳愴㐵戲㕣慥ㄹ愴攰改㘶攰㥥戱ㅣ摤〴㔰昴ㄷㄵㄹ㔷㔱㘴㕣㔵㐵挳收㌹㠶〶㔵㥥㘳戹㤷っ捦ち搶㙣慢㔶攲〳挳㜷扢㠲㈶挱攴㤴扣㜱㡡㘵挶㐴㠷㌵㝦ㅥ㈶㥢㕦〱扡㉢㤰愳摣㍡愲ㅦ㤴慢㠹㈲晥㠹㍥ㅤ㑢㄰㌰捡㔳慡扦ㄷ愳ㄵ搴敤〸㠸ㅣ㤵慥挵㜷㌰慥㍤㠱㤲㔰〸ㄱ敢ㄹ㈴〲慦㘰㐲挸搳挵㕤㌴捦㍢㔶〰散ㄱ㘳昳㔶㌰攷〳攵〰挸慡攳敤捤ち慢㠹㑥㤳㉤慤㜰㕢㜷㔵㑡㑤摣摡㕤㥦搴ㅢ㙦摢愲㍡搴㈸〹㐵戲㕤㈳愵㔹戶㤸攳㙥㔲㌵㐲㈹敥㔸摢㠸㉣户㘹㝢摦㈹㐵㕥㠵㘲㔲㌴㤳搳摦愷〸〵㠱摥㐸㐷搱㘷㥦㑤ㅥ㠹㠸つ㙤㠰㌲昵㔴㔸㌶ㄲ㠵〴㑦攳摡㐹㕤㤶愳㈷昰昷扥㈸扢搸っ㔲㌵挶搵昱愸㘶扡搱㔸㜴㘰㈵搴っ慦扥㑢㔸ㅡ㙢ぢ㌵㡣攲捥㝥戵㝦戸扤〹㐶㡣搸㤰㘱㤱っ㍦㌰搸㄰捣㤵㠸愸搲㍡ㅢ攱㔶户㡡㑢㝣㍡㈳つ㐷㘱㘰㌹愸捦挹つ㘵㠶戵㉤昹㜱搵愱㜵㕡㔴㜲㔴㌷愷㔷㝤愸昴㠰㜲㍣捡㈹〶搷捤㜳㜴㑢攱ㄲ〳挴㙥㤴㕢慡〵〸敤戶〶攰挹㘰昷㘰〷㍢ㄲ㠶㑥㘸㥤㔱㠲ㄶ㌳〸㌷扤〸昲㑥㥦ㄸ㠵㈰㌵㔵晡慦攳攲㙢捦㌲扤㜰㍣ㄷ㘷㈲㈶㘲戸㉢挳㝡〰㜲㤳㤱㐹㜲搱㜸ㅣ㌰て㈵㥢ㄲ㕡挳㜱ㄹ㑤㡣ㄱ㥡㝣㕥㠰㕢㍣㡣㘵㡤㤲㙤ㅡ戸攷ㄶ㔸搰愶㡤捤㝤收㘹愷搶㘸搶愵㔲挵戱慣㔶ㅡ㜹㔷攰㑢㕤〱っ戹㈹㘳㕦愲㑤㌹㡤愳ㄴ㤷㑣㈴昵㙦㜷敢挷搱㕤〹㌹㡣ㄱ慡㍥〶㈰㌳摣㜲㉡㈰搶㜵㑦㠱昶攱晥昶〵〶㜵㜹づ㈲慤慢㠸戲㙣〱昷昱㕡㔱㘴挵㙤㠹㘶ぢ敥㠲㑢㥢㍤㔱㜴捡ち㡢㜶〵㡥戰捥㔰攰ㄵ㡢㌰㐶晡攴づづ㤲扢ㄶ㐵㜷慦㍤愱ㅥ㜳搷㠰ち㠵〱挱ㄸ㉦㑦㐱㌹散㉡ㄸ㠹〶户搶戶扡〵愳扦戴扣昵㘹〰挱㌰㌰つ㕡戴っつ㥣㔹攴户㌷㜰㙥㐳慢㡣〸㘹㌲㤸捡ㄸ攵㌸ㅣ昶㐰ㅡ戸㠹〷改ㄵㄷ㑡㈸㌸愰㉥㠶挵㜷ㄳ㈷㙤ㅣ㠱㕣敦㠶㡥挲㈵㈳挰昵ㄷ攷㘰㐷昱㜴扤㑥㜳ㄷ晥戹㕤㠱㔵㕣摤〸捤搱〳ㅤ㤷戲搴㥡㘸摦摤摥㔱ㄱ㕤ㄶ㍣㌲㔷㌹㘵〴戵戵攵㘰㌳扣戸搵㉦㐹ㄴ㝥〱㝦挴㤶㙦愷捤㥣㜷㜸ㄱ㜵㠳㝢㕦扥散戸㔷ㅣ㌵慦㠲捦㕢㝦愰㄰㕣愱ㅣ攴㈴换戹扦攳㥦㑡㕡慥昰㜳㡣戸㤳㘹㜳㠰戶㠳㠴攳愸ㄴ㑡㠳〹攴㌳攸〴戶㝢敢搶〰改攴㐰〷㥤㈸㐱戰㐷㈸捥愵搷㡣㔰挴㍦〳慤㈴㤶昰㐸㡥㍤晦ㅥ㔸㕦晣っ㈵㐴㌸㥥㈳㌱㔲㜸ぢ㜲ㄹ愸㔳㠲㍣扡攲挱ぢ㈱晦㝦戰ㄴ㜳昳㤶散昴扦挰捣攲愷㥤㈸扡㤵㈸晡愷㉥ㄴ〹㕥〳㔱晣晢㈰㌲㜱㉡㌰㍣晢㡡〲攱㕣搳摥〱昴㜵扦昰晢㝦㜸〰㕤㠸㠸㐳搹㘸〸戵摤㠱攷㤶㠹㌰搰㘵㈲㌰㜸慦㑣㠴㌳挸〸㐶昱㐳ㄳ㈱昲㠱㉣愲㘰㝢ㄳ㠱戱扤っ㐳㌰ㄱ㙡㑤戸㌵㜸〲扢挱愶㝦散ㄴ㉥摥㑡ㅦ昱㝣㈸㉤㝦ㄶㅥ愹ㅢ扢㡢㤷っ捦戰て慡昲㤳㥥㠴㌲昳㔶㜰㤳㕢㜵㘱㡦㥢户慣㔱㥤戶昰㔵挴㕥昶㍤㝦捡捥敥慦〳㔳㘱ち摤昷愲㈴㡡慦挲㔳㈲㜸㙥挸㝤昴挰昷㑦晥昱戱愷㡥昳戶㕡㐴慢㠵扢㤱敦㈷㘴㑦㝢〲㐱摤挴㐵㤱敢昹㘱捥ㄹ㝣愲㘴慤㌷攴㡣攱㈹㉢挸搷敤㌸ㅢㄲ㕥㠲㌰㐳攲摢つ㈶㈶敥㍤㠴㈶㘶愵挳摤愹㍥㙣㔲㉥挲㑡㘲攲捡愷ㄷ㠷つ㐵㑦㐵搶愷戵㔹昸㈱㔴搱㉢㥣㐸摡㑡攴愹㤳㐹㠸ㅦ㜴敡扡愳搴㜵攱㐱㠶㘱晦㔸㑡㈱晥㐰ち㐹ㅥ㘴㜸㈱㐰㐹愹㜳挸ㄴ敥〱挸㠸慣㜵㠶㜸改て搸ㄳ〲戲㜵改慦捦㡦㔸戰㡢挰㘲散㡢敦昷㐴㑢㕢㌴㔶㑤っ搵㉡㥢㘶ㄹㄹ㜵㜸㘱挱㔴㕣㥡戲㜴㡥愰㜴挷敥㈸扥㘴挴づ〳㙦㈱㘳ㄷ㙣晡摡捡昶〹愷㠹㥢ㅦ搰㌳㐵愵㌰㥣晤㉣挶㠱㔴挵攸挲愶攵戰㠸㜰㌴捣戶㍡つ㐵㔵搰㔹捥㐱㥣㑡ㄱ晣攳㤷㐲慣㥦㙣て㝤㝤㘷つ㜵㥣㌳㠸〵昲〷晢敢搶っ挶挶㕢挹㌱㤰戰㍢㙡㔵ち慦㠷㥦㐷ㄷ㉥㍡㈷昴㜶㔶㍤㡢愳昸ㄳ㜳搶㠰搶愵晦ㄹ扤㔶㥣㜵㠱扤ㄹ挶㑥改晦て愲㘰㕢晤㉦ㄸ㝢㔳㠸晣㔰㤴攱㐳㠱昱㤳㙤㐳㌶摣ㄱ㜸戶ㄱ扣㔱〷㘳㕤㘵ㄹ昲づ㜳换昸㜸㌵慣㔶ㄲㅣ㝥慦㝣攷搵㠸㔶㕦摡戶㐳㍤〵㈰㘳㐳㠵敦㐱〴昵散㥦㤶㕢昱改戶昸㘱㜴㍣㜰挶慡㜹慥敦㥡挱挴㌲㠲扥ㄳ晣昶捣㠴捤㌳㉤扥摢㈹搴㙥挷㑥っ㝦〴㝤捥㉥㐲㘰㥦㤵挱㙢ㄵ㡢㘴㘴㘱㘷㤱っ㝥㠷㌴㤶〸㉦㔱㍢昸搷㤹て㌵㡤〶㍥㕤㕤㠴慦㌳㘰搱慥㔰㜶愱挷戹昳㠶〶户づ㜷戴㍥〰㝦㤰㙣㔴㄰ㅣ㔳㑢昸昰㐷戸慦㥤㝢㤰㙥ㅢ慤捤㘷换晥㝣㙥攵挲昳挰改捥摥㤲㈶ㄹ扥㤳㕦㈴㤷昵㉡㈱㉥敤ㅦ挷摦㥤㍢㘸㌹摡㌸攸㍣晡愰㥢㡥戰挹〶摣㘷㍢㠸㝥㕦㐴㔷㌱㑤㠰㥦㙥㐴ㄹ㍥〸㝡昹挸㡡攲㥢㔸ㄶㄹ〰昹㕣戱〶搰㥢慡㥦摢㡡慡挷㘲㠱㉣㜸挶㈰㌹㤶挵搷搱㤰摢ㄵ㉥ㅢ㉣挱㘵ぢ㜵㤶㐰㕥㡦㝢㈰㥦ㄳ㍣㑢愸㠹㝣ㄵㅤ㕡ㄳ戱㔰摡㝢㈲㕦搹㙡㈲㠲㔶㠰㕡㘸㜲晣戱㔸㡢攸つ㔴敢㌶㠱㐳攰〲㡣㔲㉣㔲搶ㄴ挳搰挲捦㠸ㄹ愴摦㐵㝦㕦㍡晥摢ㄷ㤹晥昳戸㔰㠲㄰㔵改挹㔳㄰慡挹㝦㍥㌹㜹て愵扤㈷晦捣㔶㤳ㅦ愳㡣攴㑣昴〰㘰㘴㐰㔴昱㐷㉤愶㠹っ昷㤱㍦㜱㤱〰扦搴㉣挶っ㤴愸扥㔷㤰㐱㕦㙥戸㙡㜵ㄵ㤹戸㙦㠱敢捦昸戸㐷搹㐷扣〸㐹㕦㑥㌱㜴挶ㄶ㐳慤㔸戲㈳㉦散慥㤰つ㔸ㄲ扦㤶敤㈹搲㡢㝤㐶昸挵愷㘲挴㥣㍡ㄵ㝦㌹愵㐵㌱㈷㄰㐶㘸㤱㤲㝥戸㤱攲㤳㜱攳ㅦ晤愴敤㌲㐵〵ㄲ愸㈷㙣㑣㍡㔳㡤㍦ㄱ㌷㍥㠲慦戲㔴㥢ㅣ㙦㄰㌰扤ㄴ㌷㈶㍤慡挶㑦挵㡤晦㝡攴㘰慢㜱㑣㠷攱挸〵ㄲ㐹㠶慤慢慣晦挴ㄷ摡愳㘸㕥㌰愹㍦㠷捣戰㤸㤲㔳㠵㡥ㅢ㑡㠳づ攳㌲㠸㠷㙦愴ㄷ㜰户〹㔷㐰㈰㘴挳晦㔵挲㘹摣㜹㥡㌳〲〳㥦㐰㙦㈰搸散改敡㠹㥤㡢收愲㠷㠲㐱昳戴㡦㌳㔵㝤㔷㤱〸捣㠱㝣戸扦摢㌸攵㌳㑣挷昶㝥挴㐱㌲㡤㜷㐸晡㔳ㅥ㉡戰㤲ㄷㅦ㡢㌱㥢㝢戲㑤㌳晡ㄳ㐰づ愴㈳㈰㌳晡㤳㠰㘱㈰㠶户㤵㜳㘳攴㝦挵摣ㅦ㘳挵挷〹㥥〲㈸ぢ㌲㍢改愰昸〹㠰搱昸㝦㔴㌱戱愱晣㈵㥡㜸㉣㝥㔹㤲㡣昴㑦戱挳愷〱〶攰扥ㄵㄱㄱ㤶昵捦愰㈴昹㔲ちづ昵搲捦戲攲㘹㠲㘷〰捡〵㑥㜶挷扢挶㌵昵愹戹㍥㠷慥攲㐹〲晣昴捦㐷ㄹ㍥ㄴ戸て晦搰摢㔶收㔱㌸晥戰ㅦ愱捥搴ㄷ晣㈷昰㐵晥㈶ㄷ㍤㠰晦㈱㐹㐱ㄹ昶㜹敤㍤晤㡤㐵㈶愰㑤慥㝥敢搸散㔷㌱づ搷搵㡥愰㜰㐴㉡㤵㤲㔶ㄴ挴㌷ㄷ㉣㕣扣㠱㙦㌹愶㉡㠴㈰つ愸ち㈷慡㌸㡥〲晤㡢㙣㑡ㅣㄳ㑦晡㤷昸㐴搴慡㑤晣㜲㤴攱㠳㈰㕥㔵昷㐷愲敥昱ぢ㠹㙢㔵㘱㜵扣㤰昸㔷ㄵ㙢挹ㄷ㍥换挱ㄴ戲㤰㐹㙢㈵㈲㑤搱搰搷㤱ㄹㄹㄸ攵摣ㅥ挶㑦扢㉡㙡ㄷ敢ㄷ㉦晥㙤㌴㍦㜱㜳晥㠳敦ㅦ㝥昶愵摦晣改ぢ扦晦挷㘳㝦㜹昹戹攷㝥晦ㅦ㕦㜸昱攵㕦慣ㅥ晢㤷攷㥦晦昵㠳摦㝡昱㑦晢捤㙦㙢㍦昹摢挲户ㅦ㥦扡晣昸愳收昹扢㑦㍥晥愱㐷ㅥ㥡㕡扡㙥㜲㘰㘰㜰昰慥昱㝦扤改敤㘳㑦㍥晡㔳昱慢㝦扦搱ㄱ㙡戹㜸㐱㝡ㅡ㕣戶㥡挶㌷㤰挱㌴㌸攳搷㜵ㅡ㕣慥摡愸搵㘸愳㘶㔰㔰㠲㑦㠳ㄳ㔰ㄵ㐶扡㘲攸㝦〰ㄹ戰戱搹</t>
  </si>
  <si>
    <t>㜸〱敤㕣㕢㙣ㅣ㔷ㄹ摥㌳摥㕤敦慣敤搸㡤搳㑢㑡㘹つ愵ㄴ敡攰挶㘹㐳㈹㄰㠲㉦㜵攲攲挴㙥散愴愰㠲㌶攳摤㌳昱㌴㍢㌳敥捣慣ㄳ㤷㑡慤愰愵㈰㙥ㄲ㌷㔱㈸ㄷ㔵〸〹〹㜱㜹攰摥ㄷ㈴㈴㄰㉡ㄲて昰㠰挴㐳㐱〸ㅥ㐰㈸ㄲ㉦㍣㈰挱昷㥤㤹搹㥤搹昵㡥摤㙤ぢ㉥昲㐹昷昷㤹㜳㥢㜳捥㝦㍤晦㝦愶㌹㤱换攵晥㡤挴扦㑣㜹㘶㙥㔸摥昴〳㘹㑦捣戸昵扡慣〶㤶敢昸ㄳ㔳㥥㘷㙣㉥㔸㝥搰㠷〶挵㡡㠵㝡扦㔰昱慤㠷㘵愹戲㈱㍤ㅦ㡤ち戹㕣愹愴㙢愸攷㈰晣㡤挴て㍡㝢つ收〱㔶㘶愶ㄷ㔷ㅦ挴愸换㠱敢挹㐳㘳攷挲扥挷㈶㈷㈷㈶㈷敥扣㙢昲捤ㄳ㠷て㡤捤㌴敡㐱挳㤳挷ㅣ搹〸㍣愳㝥㘸㙣愹戱㕡户慡敦㤲㥢㉢敥㐵改ㅣ㤳慢㠷敦㔸㌵敥㝣换攴㥤㐷㡦㥡㜷摦晤㤶㐱扣㍡㜷㝡㘶㝡挹㤳愶晦ㄲ㡤㔹攰㤴敦㥣㤵㔵㡢㙢㤳搲戳㥣ぢㄳ㌳搳昸㉦㌱㝦㍣摤㌵戱扣㈶㘵挰㔷㑢㑦㍡㔵改敢攸㌸㘰㑦昹㝥挳㕥攷收改昶ㅣ㤶㕡㌵晣愰㘰捦挸㝡㕤户攳㔱㑢昶㈲昶慥㙥㙣づ摡换搲昱慤挰摡戰㠲捤愲扤㠲㠱㙡㐳昶㔹㕦㥥㌱㥣ぢ昲戴㘱换㠲㝤愲㘱搵昲㘱捡昵摤ㅡて㤱㥣㤸㕡晥挴㤴㙦捦慣ㄹ㥥㥡㤱捦㡤挹㘸㍢攷㔵搳㙤㙦敥㍥㉥愷慥摥挰㌱㙦改摥づ㌵攷っ慦搹㜲扣㝢换㘸昱改ㄹ摣摥扤㝤㘲㡦搲㝤摥搸扤㡦摡捡㜴㙢㌱㄰搱户摡㔱㉣㐶㉦ㄲ昴ㄳ㤴〸㠸㐰扤㑣㌰㐰㌰〸㈰昲晦〰㤷㈴㍢戲㑡慢ㄸ㕡㘵㔵慢㔴戵㑡㑤慢㐸慤㘲㙡㤵ぢ㕡㘵㑤慢㔸㕡攵㐱慤㜲ㄱ㙤攲㔴敡敦搷愲昴换戹㑦㔷慥㝡昶昰搴㤳摦扣敦㠱㑢昳摦晡摥攰㍥㌴扡㉦㥡搴慣㘷㕣〲愹戵愸昸挸挴㘱晥摢㥥㉢挰ㄴ收㔱昳㉥㜳㜲戲㜶昴戰㜱㠷㔱攰戲㌲㤰㥦㈲㤴ㄱ戴ㅤ㌴敦户㥣㥡㝢㐹攱敥㠶㘹挳㤷慤㡤ㅢ㡦敡愶摤㠶㔳昳㕦戵㜵攵㜲㘰〴昲晡昶扡搶㈰ㅤ摤㤶挱㔶搲㔷敦扢戱扤摢㌹愳摥㤰㔳㤷慤戰晡搵㙤搵昶㤲攷慥㜶慦㥤昳攴㐳捤摡㡥ㄹ㑤㐱愸㙤愸戱㍢㔶ㄹ㔶㠵昳ㅡ㥢㔹㜳㝤改愸改㡤摢㑢㔶昵愲昴㤶㈵㐵愲慣愹愵㕥捤慡㠸敢挷ㄷㅤ㉣ㄴ摣㕡㝢㙤戲搴扣攷㜲〰㘶㤶㌵捣㜷㕤㝡挱收㡡戱㕡㤷搷愴㥡㠴敦㐴挵挱㔴昱㥣㕢㙤昸㌳慥ㄳ㜸㙥㍤㕤㌳㔵摢㌰㈰㘹㙡愷摣㥡捣攷㜳㑡㈸㐰攰昶昵〹㤱扢慤㍢㉦㈸㐴㈴㔰㑣㐶扥㉥㑤㜶ㄳ㘷戰㍡慣愲㉥㐹㤳摡敢戶ㄹ㡣昳㔵㌲㈶㠳〳ㄳ㙢愲晥攰㑢摦戰捤戰㑤捣扤扣㡤㌵㙤㌴㕡晤㍤ㅢ搲〹㑥ㅡ㑥慤㉥扤㑣敤㈷㌸㈳㝤ㄸ愰㜰〵〲愱敢敥㔱搵㠹换㘲戳㜰挹慡〵㙢挵㌵㘹㕤㔸ぢ㔰〶つ㔹㉡㜱㙢㍢㤲㝥ㄵ㡡昴晤〴愳〰攵㜲慥㜸㠰㡤㡡㘵愴㕣㠱搲㈹㠳㤷㔳㠲㥣晤㔲扣㍣㘸捥㔹昵㐰㠶㐲㜹搸〴㐶㐲慤愶搰㌷㐴ㄲ昵㡣㙡愸㌰づ㤸㌳愰㔲挳㜲㠲捤ㄶ摦㜶㜰㐹㐸㐴㝢戲㘰搷挹〲㡡㠲戴㍣挸攰㌵㄰㑤㥢㌴挸㙥㥣㈰㈲戲㐱㠶㘶挷挸㘹㈲㘳晢っㄹ㠱昶㐹㈲㘴敢挳摤㘵〴㠹扤㤳㐸搹愹㉢㍦敥㐹戳慤㙣昹㔰㥡㕤㡤㡤搳慦㈱戸㤶攰㍡㠲㠳〰攲捦㤰㜰㤴㜲挸愷㤳晥㉡㍣敢㌷㄰扣ㅡ〰昲㐹愷捣㠹㐴ㄵ㙤愸㥤搸㤱㙣㌷〴㍢㔹ㄹ挵愱㈸愲㘵摣戴㌳㠷㙣㠵攸挸敡摣ㅤ扡㌶慦㜴散敢扢搳㘶㜲㌹愴挸㡣愶挹戵㙥搳㌴戹ㄱ㙣摡愳摥扡〹㕤昵㌱㠲搷〰㤴昵搷ㄲ㐲戹搰攰摤㤹㐵㑦㤳昲ㄵ㘱ㄶ㠵挶㔰㡦ち㍥㈲㘴ㅥ〱㌲㠴㕣挷昱㘵捦㠶愶㌹㌸㙥扥攲㙤攸㐳摤昹㍢㐲㝡㥢摥摣搳㍢昴ㄷ扤㐰㉢晡㘶戰㤷昸㝤㔷ㅤ㜳ぢ慡昵搷ㄳ摣ち搰愶㘳㜸晡㝥愱㥥〲㘵ㄶ摢〹捣敤愷搷㐵㔹戹㉢㥢敢㔲㘹愰㐱㜳挵昰㉥挸〰ㅥ㡣昹㔹搸挲慥攷挹㍡づ戵㌵㔵挰昳换戵改㐲㝦捥㜳㙤㤶敦搹挸晥㉢㐲㌱攴昳㕡㕦慥捤㐶捥戰㌵ㄳ㍥愷〴攵㔰〷摦搱㕤㐸㈴㍡愵挹㡢晤戲捦㤷㝢㤲愴〷㐹昲㐶㙣慢㝥ㅢ〰愴㠴昸㙤㔷㠹㜲㠸捤摥愴㥡愵㉤㔶㝡昸㌲㑥㈷㙤㍥挴づ㌹㌲㄰㍡㙣愷攱㍦昰㠷散㘵换㙥ち㡢〱㝢㐹㝡㔵昸ㄶ慣扡㉣㠷㙥㔹㡡㥡㍤㔹昱ち㤱ㄵ㝤㝤ㅤ攷改っ晦㥡愲㤳㌶㈹㤱挹敤㤹㤵ㄹ㘷昱ㄶ㔱搱つ㐹愱㤲攱ㅡ㙡㑡㈰㔲ㅥ摢敥㠹㤸ㅥ㐴捣敤搸㌸晤㌰挱㈴挱ㄱ㠰挲慦㈰㘹㜶扡昱っ㠷昵㙦搰愵㕤愹攴㑡㐴㠳㜲ㄱ㍥搷㔵㔸ㅤ攵㙢摥㑣㜰ㄷ㐰㥢昹㐳〷㘴〶㈱㉡㤴㈷〸㔱㠵㌱捣㜳㤶扣㐴ㅡ搸㘷㈲戰㌴搳昰〳搷㘶㘴㘹挸㥣㜵㑦扢挱慣攵慦㈳ㄲ㌵㙡㐶㤹晢搷愴〳敡昲㘰晢戴㤵戹敢敢戲愶㥢换㙥〳愲㙤㝥㜶㌷ㅣ捣戱ㅤ戰㈵搵搹㕣ㄳ㐸扤㥤㡦㌱㠴挰㑥㉢㝦㉢扤戱㍢昲㝥昳搰㌷摣摡搱ㄵ㉢愸换〱㌳㘴㍡收㑢㈶㜶ㄱ㤱㠳㕡扦戹戲收㐹㌹㍢㘴㥥昰慣㕡摤㜲㈴㤱〱ㅢ㤳挱扡〵㜹〱㔱㠲㈵㤷㌱㐰搷ㄹ㌲㔷㍣挳昱搷つ〶ㄴ㌷昷愷㥥㔴㔸愴㘰㑥㕢㡥㡦搷㈸㉣㌲㍦㙣㉥慦戹㤷㄰戱㙤搸捥〹㘳摤摦ㄵ㔸㈱搱㠷㐹愱㐶㘸㐲搳㐴㐹㉢昵㡡ㅦㅥ挸㜳㌹昲㕥㥥㐰攱㉡㔷愰捦㍣㐳㝢搳慥㡦㘲㌴戴搳㌹愷㐱㐴㡦㥡㠵㝤㤹㔲㤸㥣慡摦捤㍥㙦〵戸昷挴搹昹㔶㘴敥㐵挵慣ぢ昴昲㘷挸㜸㐵ㄶ捤㐰〸㝤㜴晢㐲㔲㘱ㄹ㈹〷ㅣ〸㡣昳愹㥤晣捡愶㙡㐳敡摢搷捡捥㈱㤲㌴㘸㉥ㄸ慢戲㡥㜸戴㙤〴晢挲〷㥡戱戶㔱昷愳扡ㄹ搷戶つ㤲ㄶ挹㜲戹㙡㤰㠲愷ㅡ㠱㝢捡㜲㜴ㄳ㐰搱㕦㔴㘴㕣㐶㤱㜱㔹ㄵつ㥡㘷ㄸㅡ㔴㜹㡥攵㕥㌰㍣㉢㔸戳慤㙡㠹てっ摦敤ち㥡〴㤳㔳昲挶㈹㤶ㄹ㘳㙤搶晣㔹㤸㙣晥〴搰㍤〱㌹捡慤㈳晡㐱戹㥡㈸攲㥦攸搱戱〴〱愳㍣愵晡摢㌱㕡㐱摤㡥㠰挸㔱改㑡㝣〷攳捡愳㈸〹㠵㄰戱㥥㐱㈲昰ち㈶㠴㍣㕤摣㐵昳慣㘳〵挰ㅥ㌱㌶㘷〵戳㍥㔰づ㠰慣㍡摥㕥慦戰㥡攸㌴摥搴ち㌷㜵㔶愵搴挴㡤㥤昵㐹扤昱扡㉤慡㐳㡤㤲㔰㈴摢㌵㔲㥡㘵㡢㌹敥㈶㔵㈳㤴攲㡥戵㡤挸㜲㥢戶昶㥤㔲攴㐵㈸㈶㐵㌳㌹晤ㅤ㡡㔰㄰攸㡤㜴ㄴ㝤昶搹攴㤱㠸搸搰〶㈸㔳㑦㠵㘵㐳㔱㐸㜰ㅥ搷㑥㙡戲ㅣ㍤㠱扦昷㐵搹挵㐶㤰慡㌱㉥㡦㐶㌵㔳昵晡愲〳㉢愱㙡㜸戵㕤挲搲㔸㕢愸㘱ㄴ㜷昶慡晤挳敤㑤㌰㘲挴㠶っ㡢㘴昸㠱挱㠶㘰慥㐴㐴㤵搶搹㄰户扡㔹㕣攲搳㈹㘹㌸ち〳换㐱㙤㔶㙥㈸㌳慣㘵挹㡦慡づ捤搳愲㤲愳扡㌹戵敡㐳愵〷㤴攳㔱㑥㌱戸㙥㥥愱㕢ち㤷ㄸ㈰㜶愳摣㔲㌵㐰㘸户㌹〰㑦〶扢〷㍢搸㤱㌰㜴㐲敢㡣ㄲ戴㤸㐱戸改㐵㤰㜷㝡挴㈸〴愹愹搲摦㡦㡢㉦㍣挵昴㡤攳戹㌸ㄳ㌱ㄱ挳㕤ㄹ搶〳㤰㥢㡣㑣㤲㡢㐶攳㠰㜹㈸搹㤴搰ㅡ㡣换㘸㘲っ搱攴昳〲摣攲㘱㉣㙢㤸㙣㔳挷㍤户挰㠲㌶慤㙦敥㌳攷㥤㙡扤㔱㤳㑡ㄵ挷戲㕡㘹攴㕤㠱㉦㜵〵㌰攴愶㡣㝤㠹㌶㘵ㅥ㐷㈹㉥㤹㐸敡摤敥搶㡦愳扢ㄲ㜲ㄸ㈳㔴㝤っ㐰㘶戸攵㔴㐰慣攳㥥〲敤挳晤慤ぢっ敡昲ㅣ㐴㕡㐷ㄱ㘵搹〲敥攳㌵愳挸㡡摢ㄲ捤ㄶ摣〵㤷㌶㝢愲攸愴ㄵㄶ敤ちㅣ㘱㥤愱挰㉢ㄶ㘱㡣昴挸ㅤㅣ㈴㜷㈵㡡敥㕥㜹㔴㍤收慥〰ㄵち〳㠲㌱㕥㥥㠲㜲搸㔵㌰ㄲつ㙥慤㘵㜵ぢ㐶㝦㘹㜹敢㔳〰㠲㘱㘰ㅡ戴㘸ㄹㅡ㌸㌳挸㙦㙦攰摣㠴㔶ㄹㄱ搲㘴㌰㤵㌱捡㔱㌸散㠱㌴㜰ㄳて搲㉢㉥㤴㔰㜰㐰㕤っ㡢敦㈶㡥摢㌸〲戹摥㌵㙤㠵㑢㐶㠰敢㉦捥挱戶攲愹㕡㡤收㉥晣㜳扢〲慢戸扡ㄱ㥡愳〷摡㉥㘵愹㌵搱扥扢戹慤㈲扡㉣㜸㘴㜶攲愴ㄱ㔴搷㤶㠳捤昰攲㔶慦㈴㔱㜸ㄶ晥㠸㉤摦㑥㥢㌹敦昰㈲敡〶昷扥㝣搱㜱㉦㌹㙡㕥〵㥦户晥㐰㈱戸㐲搹捦㐹㤶㜳晦挶㍦㤵戴㕣攱㈷ㄸ㜱㈷搳收〰㉤〷〹挷㔱㈹㤴〶㘳挸㘷搰〹㙣昷收慤〱搲挹㠱㌶㍡㔱㠲㘰㡦㔰㥣ぢ㉦ㄹ愱㠸ㅦ〳慤㈴㤶昰㐸㡥㍤晦㍡㔸㕦晣〸㈵㐴㌸㥥㈳㌱㔲㜸つ㜲ㄹ愸㔳㠲㍣扡攲挱ぢ㈱晦㍦㔸㡡戹㜹㑢㜶晡㉦㌰戳昸㘱㍢㡡㙥㈴㡡㝥搰㠱㈲挱㙢㈰㡡㝦敦㐵㈶㑥〵㠶㘷㕦㔰㈰㥣㙢摡㍢㠰扥散ㄷ㝥晦㠷〷搰㠵㠸㌸㤴㡤㠶㔰摢㉤㜸㙥㥡〸㝤ㅤ㈶〲㠳昷捡㐴㌸㠵㡣㘰ㄴ㍦㌴ㄱ㈲ㅦ挸㈲ち戶㌷ㄱㄸ摢换㌰〴ㄳ愱搶㠴㕢㠳㈷戰㙢㙣晡挷㑥攲攲慤昴ㄱ捦㠷搲昲㘷攰㤱扡戶戳㜸挹昰っ晢愰㉡㍦攱㐹㈸㌳㙦〵㌷戹㔵ㄷ昶戸㝥换ㅡ搵㘹ぢ㕦㐵散㘵摦昳愷散散晥㍡㌰ㄵ愶搰㝤㉦㑡愲昸㈲㍣㈵㠲攷㠶摣晢て㝣敢挴ㅦㅥ㝥晣㌸㙦慢㐵戴㕡戸つ昹㕥㐲昶戴㈷㄰搴㑤㕣ㄴ戹㥡ㅦ收㥣挲㈷㑡搶㝡㕤㑥ㅢ㥥戲㠲㝣摤㡥戳㈱攱㈵〸㌳㈴扥摤㘰㘲攲摥㐳㘸㘲㑥戴戹㍢搵㠷㑤捡㐵㌸㤱㤸戸昲改挵㘱㐳搱㔵㤱昵㘸㙤ㄶ扥〳㔵昴〲㈷㤲戶ㄲ㜹敡㘴ㄲ攲摢敤扡敥㈸㜵㕤㜸㤰㘱搸㍦㤶㔲㠸㍦㤰㐲㤲〷ㄹ㕥〸㔰㔲敡っ㌲㠵摢〱㌲㈲㙢敤㈱㕥晡〳昶㠴㠰㙣㕥晡敢昱㈳ㄶ散㈲戰ㄸ晢攲㝢㍤搱搲ㄶ㡤㔵ㄳ㐳戵捡愶㔹㐶㐶ㅤ㕥㔸㌰ㄹ㤷愶㉣㥤㈳㈸摤戱㍢㡡㉦ㄹ戲挳挰㕢挸搸〵㥢扥戶戲㝤㡦搳挰捤て攸㤹愲㔲ㄸ捥㝥ㄶ攳㐰慡㘲㜴㘱搳㜲㔸㐴㌸ㅣ㘶㥢㥤〶愲㉡攸㉣攷㈰㑥愵〸晥昱㑢㈱搶㡦户㠶扥扡扤㠶㍡捥改挷〲昹㠳晤㜵㘳〶㘳攳慤攴ㄸ㐸搸ㅤ戵㉡㠵搷挳捦愲ぢㄷ㥤ㄳ㝡㉢慢㥥挵㔱晣㠹㌹慢㑦敢搰晦㡣㕥㉢捥㍡挷摥っ㘳愷昴晦扢㔱戰慤晥ㄷ㡣扤㈹㐴扥㈷捡昰愱挰昸挹戶㈱ㅢ敥〸㍣摢〸摥愸㠳戱慥戲っ㜹㠷戹㘵㝣扣ㅡ㔶㉢〹づ扦㔷扥晤㙡㐴戳㉦㙤摢㠱慥〲㤰戱愱挲搷㈱㠲扡昶㑦换慤昸㜴㕢㝣〰ㅤて㥣戲慡㥥敢扢㘶㌰戶㡣愰敦ㄸ扦㍤㌳㘱昳㑣㠹慦戵ぢ戵㥢戱ㄳ㠳敦㐳㥦搳㡢㄰搸愷㘵昰㔲挵㈲ㄹ㔹搸㔹㈴㠳摦㈱㡤㈴挲㑢搴づ晥㔵收㝤つ愳㡥㑦㔷ㄷ攱敢っ㔸戴㉢㤴㕤攸㜱㙥扦愱挱慤挳ㅤ慤㜷挱ㅦ㈴敢ㄳ〸㡥愹㈵㍣昰㍥敥㙢晢ㅥ愴摢㐶㙢昳搹戲㌷㥦㕢戹昰っ㜰扡戳户愴㐹㠶敦攴ㄷ挹㘵扤㐲㠸㑢晢挷昱㜷攷づ㕡㡥㌶ち㍡㡦㍥攸愶㈳㙣扣づ昷搹づ愲摦攷搱㔵㑣ㄱ攰愷ㅢ㔱㠶て㠲㕥㍥戲愲昸㌲㤶㐵〶㐰㍥㔷慣〲㜴愷敡愷户愲敡㤱㔸㈰ぢ㥥㌱㐸㡥㘵昱㐵㌴攴㜶㠵换〶㑢㜰搹㐲㥤㈵㤰搷攳ㅥ挸攷〴捦ㄲ㙡㈲㥦㐷㠷收㐴㉣㤴㜶㥦挸攷戶㥡㠸愰ㄵ愰ㄶ㥡ㅣ㝦㈴搶㈲㝡ㅤ搵扡㑤攰㄰戸〰挳ㄴ㡢㤴㌵挵㌰戴昰㈳㘲〶改搷搱摦攷㡦晦敡㌹愶扦ㅤㄷ㑡㄰愲㉡㍤㜹ち㐲㌵昹㑦㈶㈷敦愱戴晢攴㍦扥搵攴㐷㈸㈳㌹ㄳ㍤〰ㄸ敡ㄳㄵ晣㔱㡢㘹㈰挳㝤攴㑦㥣㈷挰㉦㌵㡢ㄱ〳㈵慡敦㈵㘴搰㤷ㅢ慥㕡㕤㐶㈶敥㕢攰晡㌳㍥敥㔱昶ㄱ㉦㐲搲㤷㔳っ㥤戱挵㔰㉢㤶散挸ぢ扢㉢㘴〳㤶挴慦㘵扢㡡昴㘲㡦ㄱ㝥昱㘴㡣㤸㤳㈷攳㉦愷戴㈸收〴挲〸㉤㔲搲て㌷㔲㝣㈸㙥晣摤敦户㕣愶愸㐰〲昵㠴㡤㐹㘷慡昱ㄳ㜱攳㈳昸㉡㑢戵挹昱〶〱搳昳㜱㘳搲愳㙡晣㜸摣昸慦㐷づ㌶ㅢ挷㜴ㄸ㡥㕣㈰㤱㘴搸扡捡晡㑦㝣愱㍤㡣收〵㤳晡㜳挰っ㡢㈹㌹㔵攸戸慥㌴攸㈰㉥㠳㜸昸㐶㝡〱㜷㥢㜰〵〴㐲㌶晣㕦㈵捣攳捥搳慣ㄱㄸ昸〴㝡〳挱㘶㑦㔷㑦散㕣㌴ㄷ㍤ㄴ昴㥢昳㍥捥㔴戵㕤㐵㈲㌰〷昲攱晥㙥攳㤴捦㌰ㅤ㕢晢ㄱ〷挹㌴摥㈱改㑤㜹愸挰㑡㕥㝣㈰挶㙣敥戱ㄶ捤攸㡦〲㌹㤰㡥㠰捣攸㡦〱㠶㠱ㄸ摥㔶捥㡤㤰晦ㄵ㜳㝦㠰ㄵㅦ㈴㜸ㅣ愰㉣挸散愴㠳攲ㄳ〰挳昱晦愸㘲㙣㐳昹㑢㌴昱㜰晣戲㈴ㄹ改㑦戲挳㠷〱晡攰扥ㄵㄱㄱ㤶昵㡦愰㈴昹㔲ちづ昵搲㡦戲攲㘳〴ㅦ〷㈸ㄷ㌸搹ㅤ敦ㅡ搷搴愳收晡〴扡㡡挷〸昰搳㍦ㄹ㘵昸㔰攰㍥扣慤扢慤捣愳㜰晣㘱㍦㐲㥤愹㉦昸敦挱ㄷ昹㥢㕣㜴ㅦ晥㠷㈴〵㘵搸攷戵户昶㌶ㄶ㤹㠰㌶戹晡慤㘳戳㕦挴㌸㕣㔷㉢㠲挲ㄱ愹㔴㑡㕡㔱㄰摦㕣戰㜰昱〶扥攵㤸慡㄰㠲㌴愰㉡㥣愸攲㌸ち昴㑦戳㈹㜱㑣㍣改㥦攱ㄳ㔱慢㌶昱戳㔱㠶て㠲㜸㔵摤ㅦ㡣扡挷㉦㈴慥㔵㠵搵昶㐲攲㕦㔵慣㈵㕦昸ㄴ〷㔳挸㐲㈶慤㤵㠸㌴㐵㐳㕦㐴㘶愸㙦㤸㜳扢ㅦ㍦敤戲愸㥥慦㥤㍦晦捦攱晣搸昵昹㜷扦㜳昰愹攷㝦昹挷㑦晤收扤挷晥昲慦愷㥦晥捤㥦㍥昵摣扦㥥㕤㍤昶昳㘷㥥昹搹扤㕦㜹敥㡦晢捤慦㙡摦晦攷挲㔷ㅦ㤹扣昸挸㐳收搹摢㑥㍣昲㥥〷敦㥢㕣扡㙡扣慦慦扦晦搶搱㕦㕣昷㠶㤱挷ㅥ晡愱昸改敦慥㜵㠴㕡㉥㕥㤰㥥〶㤷慤愶昱㈵㘴㌰つ捥昸㘵㥤〶㤷慢㌶㙡㌵摡愸㘹ㄴ㤴攰搳攰〴㔴㠵㤱慥ㄸ昸てㄷ〰戲㡤</t>
  </si>
  <si>
    <t>㜸〱敤㕣㕢㙣ㅣ搷㜹摥㌳摣㔹敥㉣㐹㤱ㄶ攵㡢ㅣ挷愶攳㌸㑥㑣㤵ㄶ㘵㉢㡥搳慡㉡㉦搶挵愱㐴㕡愴攴〴㐹戰ㅡ敥㥥㈱挷摡㤹愱㘷㘶㈹搱㌵㘰㈳戵㤳〶㘹㙡㈰扤愰㙥㥣㌴㌰㡡〰㜹㐹搲ㄷ搷戹扣〴〸㤰㈰㜱㠰㍥愴て〵晡攰〶㐵ㄲ愰㐱㈰㈰て挹㐳㔰昷晢捥捣散捥散㜲㠷昴摡㙥改㠲㐷摥㥦㘷捥㙤捥㌹晦昵晣晦ㄹㄷ㐴愱㔰㜸ㅤ㠹㝦㤹㡡捣摣戶扣ㄵ㠴搲㤹㥡昳ㅡつ㔹ぢ㙤捦つ愶㘶㝣摦摣㕡戰㠳㜰〰つ㑡㔵ㅢ昵㠱㕥つ散㈷㘵戹扡㈹晤〰㡤昴㐲愱㕣㌶㌴搴㜳㄰晥挶㤲〷㠳扤㠶㡢〰㉢㜳戳㡢慢㡦㘳搴攵搰昳攵㤱㠹㑢㔱摦ㄳ搳搳㔳搳㔳て㍣㌸晤挱愹愳㐷㈶收㥡㡤戰改换ㄳ慥㙣㠶扥搹㌸㌲戱搴㕣㙤搸戵㡦挸慤ㄵ敦㡡㜴㑦挸搵愳昷慦㥡て㝣㘸晡㠱攳挷慤㠷ㅥ晡搰㌰㕥㕤㌸㍦㌷扢攴㑢㉢㜸㡢挶搴㌹攵〷收㘵捤收摡愴昴㙤㜷㙤㙡㙥ㄶ晦愵收㡦愷〷愷㤶搷愵っ昹㙡改㑢户㈶〳〳ㅤ㠷㥣㤹㈰㘸㍡ㅢ摣㍣挳㌹㠵愵搶捣㈰搴㥤㌹搹㘸ㄸ㑥㌲㙡搹㔹挴摥㌵捣慤㘱㘷㔹扡㠱ㅤ摡㥢㜶戸㔵㜲㔶㌰㔰㝤挴戹ㄸ挸ぢ愶扢㈶捦㥢㡥搴㥤搳㑤扢㕥㡣㔲㘱攰㥥㘴㠸昴挴搴昲愷㘶〲㘷㙥摤昴搵㡣〲㙥㑣㑥摢㔳㝥㉤摢昶慥摥攳㜲敡敡つㅣ昳敥摥敤㔰㜳挹昴㕢㉤㈷㝢户㡣ㄷ㥦㥤挱㝤扤摢愷昶㈸摢攷〳扤晢愸慤捣戶ㄶ㐳㌱㝤慢ㅤ挵㘲㡣ㄲ挱㈰㐱㤹㠰〸㌴㉡〴㐳〴挳〰愲昸ㅢ㜰㐹扡㈳慢戴慡愹㔵㔷戵㙡㑤慢搶戵慡搴慡㤶㔶㕤搳慡敢㕡搵搶慡㡦㙢搵㉢㘸㤳愴昲攰愰ㄶ愷摦㍥戱收攸㠳㜷捦㍥㜷昹扦㝦㝣摢㉦扤搷㠷て愰搱愳昱愴收㝤昳㉡㐸慤㑤挵挷愶㡥昲摦捥㕣〱愶戰㡥㕢て㕡搳搳昵攳㐷捤晢㑤㥤换捡㐱㝥㠶㔰挶搰㜶搸㝡捣㜶敢摥㔵㠵扢摢㘶捤㐰戶㌷㙥㌲慥㥢昵㥡㙥㍤㜸搷昶㤵换愱ㄹ捡㕢㍢敢摡㠳㜴㜵㕢〶㕢挹㐰扤敦昶捥㙥㤷捣㐶㔳捥㕣戳愳敡㜷㜷㔴㍢㑢扥户摡扢昶㤴㉦㥦㘸搵㜶捤㘸〶㐲㙤㔳㡤摤戵捡愸㉡㥡搷挴摣扡ㄷ㐸㔷㑤㙦搲㔹戲㙢㔷愴扦㉣㈹ㄲ㘵㕤㉤昵㐶㔶挵㕣㍦戹攸㘲愱攰搶晡㝢搲愵搶挳搷㐲㌰戳慣㘳扥ㅢ搲て户㔶捣搵㠶扣㈹搳㈴㝡㈷㉡づ㘷㡡㑦㜹戵㘶㌰攷戹愱敦㌵戲㌵㌳昵㑤ㄳ㤲愶㝥捥慢换㘲戱愰㠴〲〴敥挰㠰㄰㠵㝢㝢昳㠲㐲㐴ち挵㘴攴㕢戲㘴㌷㜵〱慢挳㉡ㅡ㤲㌴愹扤㜷㠷挱㌸㕦㈵㘳㜲㌸㌰戵㈶敡て扥昴晤㍢っ摢挲摣摢摢㔸搳挶攳搵㍦扣㈹摤昰㡣改搶ㅢ搲捦搵㝥㠲㌳㌲㐶〱昴敢㄰〸㍤㜷㡦慡㑥㕣ㄳ㕢晡㔵扢ㅥ慥㤷搶愵扤戶ㅥ愲っㅡ戲㕣收搶㜶㈵攳〶ㄴㄹ〷〹挶〱㉡㤵㐲改㄰ㅢ㤵㉡㐸〵㥤搲㈹㠷㤷㌳㠲㥣晤㌲扣㍣㙣㥤戲ㅢ愱㡣㠴昲愸〵㡣㐴㕡㑤愱㙦㠴㈴敡㥢戵㐸㘱ㅣ戲收㐰愵愶敤㠶㕢㙤扥敤攲㤲㠸㠸昶㘵挱㥥㤳〵ㄴ〵㔹㜹㤰挳㙢㈰㥡づ㘹㤰摦㌸㐵㐴㘴㠳ㅣ捤㡥㤱戳㐴挶昶㌹㌲〲敤搳㐴挸搶㐷㝢换〸ㄲ㝢㌷㤱戲㔳㑦㝥摣㤷㘶摢搹昲㤱㌴扢ㄱㅢ㘷摣㐴㜰㌳挱㉤〴㠷〱挴捦㈱攱㈸攵㤰捦㈶攳㕤㜸㌶㙥㈳㜸㌷〰攴㤳㐱㤹ㄳ㡢㉡摡㔰扢戱㈳搹㙥〴㜶戲㌲㡡㈳㔱㐴换戸㘵㘷㡥㌸ち搱戱搵戹㌷㜴㙤㔱改搸昷昵愶捤昴㜲㐸㤱㌹㑤搳㙢摤愱㘹㝡㈳搸戴㑦扤㜵〷扡ㅡㄳ〴㜷〲㔴㡣昷㄰㐲戹搰攰摤㥤㐵㑦㤳昲ㅤ㘱ㄶ㐵挶㔰㥦ち㍥㈶㘴ㅥ〱㜲㠴㕣搷昱㘵摦㠶愶㌹㌸㘹扤攳㙤攸㈳扤昹㍢㐶㝡㠷摥摣搷㍢昴ㄷ扤㐱㉢晡㉥戰㤷昸昷㥥㍡收㙥㔴ㅢ敦㈳戸〷愰㐳挷昰昴晤㐶㍤〵捡㉣㜶㔲㤸㍢㐸慦㡢戲㜲㔷戶㌶愴搲㐰挳搶㡡改慦挹㄰ㅥ㡣戳昳戰㠵㍤摦㤷つㅣ㙡敢慡㠰攷㤷㥢戳㠵挱㈹摦㜳㔸扥㙦㈳〷敦〸挵㔰㉣㙡〳㠵づㅢ㌹挷搶㑣昹㥣㔲㤴㐳ㅤ㝣㝦㙦㈱㤱敡㤴㈵㉦昶换㍦㕦敥㑢㤲㍥㈴挹〷戰慤挶扤〰㤰ㄲ攲㕦㝢㑡㤴㈳㙣昶〷慡㔹搶㘲愵㠷㉦攷㜴搲攱㐳散㤲㈳㐳㤱挳㜶ㄶ晥㠳㘰挴㔹戶㥤㤶戰ㄸ㜲㤶愴㕦㠳㙦挱㙥挸㑡攴㤶愵愸搹㤷ㄵ敦㄰㔹㌱㌰搰㜵㥥捥昱慦㈹㍡改㤰ㄲ戹摣㥥㕢㤹㜳ㄶ㙦ㄳㄵ摤㤰ㄴ㉡㌹慥愱㤶〴㈲攵戱敤扥㠸改㐳挴摣㠷㡤㌳㡥ㄲ㑣ㄳㅣ〳搰㝦〲㐹戳摢㡤㘷㌸㙣㜰㤳㉥敤㙡戵㔰㈶ㅡ㤴㡢昰搵㥥挲敡㌸㕦昳㐱㠲〷〱㍡捣ㅦ㍡㈰㜳〸㔱愱㍣㐵㠸㉡㡣㘱㕤戲攵㔵搲挰〱ぢ㠱愵戹㘶㄰㝡づ㈳㑢㈳搶扣㜷摥ぢ攷敤㘰〳㤱愸㜱㉢捥㍣戶㉥㕤㔰㤷て摢愷愳捣摢搸㤰㜵挳㕡昶㥡㄰㙤㘷攷昷挲挱ㅣ摢〱㕢㔲㥤捤㌵㠱搴摦昹ㄸ㐳〸散戴昲户搲ㅢ扢㉢敦㌷て㝤愳敤ㅤ㕤戱挳㠶ㅣ戲㈲愶㘳扥㙣㘱ㄷㄱ㌹愸て㕡㉢敢扥㤴昳㈳搶㘹摦慥㌷㙣㔷ㄲㄹ戰㌱ㄹ慣㕢㤰㙢㠸ㄲ㉣㜹㡣〱㝡敥㠸戵攲㥢㙥戰㘱㌲愰戸㜵㌰昳愴挲㈲扡㌵㙢扢〱㕥愳戰挸晣愸戵扣敥㕤㐵挴戶改戸愷捤㡤㘰㑦㘰㠵㐴ㅦ㈵㠵ㅡ愱〹㑤ㄳ㘵慤摣㉦㝥㜸㈰㉦ㄴ挸㝢㐵〲㠵慢㠲㑥㥦㜹㡥昶愶㕤ㅦ挷㘸㘸愷㜳㑥挳㠸ㅥ戵ち〷㜲愵㌰㌹搵㜸㠸㝤㍥っ昰挸改㡢㘷摢㤱戹㌷ㄵ戳搶改攵捦㤱昱㡡㉣㕡㠱㄰晡攸づ㐴愴挲㌲㔲づ㌸㄰ㄸ攷㔳㈷昹㔵㉣搵㠶搴㜷愰㥤㍤㠵㐸搲戰戵㘰慥捡〶攲搱㡥ㄹㅥ㠸ㅥ㘸挶㍡㘶㈳㠸敢收㍣挷㌱㐹㕡㈴换攵㥡㐹ち㥥㘹㠶摥㌹摢㌵㉣〰㐵㝦㜱㤱㜹つ㐵收㌵㔵㌴㙣㕤㘰㘸㔰攵㌹㤶户㘶晡㜶戸敥搸戵㌲ㅦㄸ扥摢ㄳ㌴〹㈶愷攴㑤㔲㈲㌳㈶㍡慣昹㡢㌰搹㠲㈹愰㝢ち㜲㤴㕢㐷昴㠳㜲㌵㔱挲㍦搱愷㘳〹〲㐶㜹㑡㡤㍦挲㘸扡扡ㅤ〱㤱愳搲昵攴づ挶昵愷㔱ㄲ〹㈱㘲㍤㠷㐴攰ㄵ㑣〹㜹扡戸㑢搶㐵搷づ㠱㍤㘲散㤴ㅤ捥〷㐰㌹〰戲敡㜸㝢慢挲㙡慡搳㘴㑢㉢摣搱㕤㤵㔱ㄳ户㜷搷愷昵挶㝢户愹㡥㌴㑡㑡㤱散搴㐸㘹㤶㙤收戸㤷㔴㡤㔰㡡㍢搱㌶㈲捦㙤摡摥㜷㑡㤱㌷愱㤸ㄴ捤ㄴ㡣㍦㔶㠴㠲㐰㙦慣愳攸戳捦㈷㡦㔴挴㠶㌶㐰㠵㝡㉡㉡ㅢ㠹㐳㠲㘷㜱敤愴㉥㉢昱ㄳ昸晢㐰㥣㕤㙣㠶㤹ㅡ昳摡㜸㕣㌳搳㘸㉣扡戰ㄲ㙡愶㕦摦㈳㉣㡤戵㐵ㅡ㐶㜱㘷扦摡㍦摡摥ㄴ㈳挶㙣挸戰㐸㡥ㅦㄸ㙣〸收㑡㐵㔴㘹㥤㡤㜰慢㕢挵㘵㍥㥤㤳愶慢㌰戰ㅣ搶攷攵愶㌲挳摡㤶晣戸敡搰㍡㉤㉡㌹㙡㔸㌳慢〱㔴㝡㐸㌹ㅥ攷ㄴ㠳ㅢ搶〵扡愵㜰㠹〱㘲㌷捥㉤搵㐲㠴㜶㕢〳昰㘴戰㜷戰㠳ㅤ㠹㐲㈷戴捥㈸㐱㑢㌹㠴㥢㕤〴㜹愷㑦㡣㐲㤰㕡㉡晤晡愴昸晢ㄷ㤸扥㜶戲㤰㘴㘲㈶㘲戸㉢挷㝡〰㜲搳㤱㐹㜲搱㜸ㄲ㌰㡦㈴㥢ㄲ㕡挳㐹ㄹ㑤㡣ㄱ㥡㝣㝥㠸㕢㍣㡣㘵㡤㤲㙤ㅡ戸攷ㄶ摡搰愶㡤慤〳搶㔹户搶㘸搶愵㔲挵㠹慣㔶ㅡ㜹㑦攰㑢㕤〱㡣戸㈹㘷㕦攲㑤㌹㡢愳ㄴ㤷㑣㈴昵㙦㜷ㅢ㈷搱㕤〹㌹㡣ㄱ愹㍥〶㈰㜳摣㜲㉡㈰搶㜵㑦㠱昶攱挱昶〵〶㜵㜹づ㈲慤慢㠸戲㙣〱昷昱㕡㔱㘴挵㙤愹㘶ぢ摥㠲㐷㥢㍤㔵㜴挶㡥㡡昶〴㡥戰捥㐸攰㤵㑡㌰㐶晡攴づづ㔲戸ㅥ㐷㜷慦㍦慤ㅥぢ搷㠱ち㠵〱挱ㄸ㉦㑦㐱〵散㉡ㄸ㠹〶户搶戶扡〵愳扦戴扣㡤ㄹ〰挱㌰㌰つ㕡戴㡣っ㥣㌹攴㜷㌶㜰敥㐰慢㥣〸㘹㍡㤸捡ㄸ攵㌸ㅣ昶㐰ㅡ戸㠹〷改ㄵて㑡㈸㍣愴㉥㠶㈵㜷ㄳ㈷ㅤㅣ㠱㍣晦愶㡥挲㈵㌳挴昵ㄷ昷㜰㐷昱㑣扤㑥㜳ㄷ晥戹㍤㠱㔵㕣摤㠸捣搱㐳ㅤ㤷戲搴㥡㘸摦摤搵㔱ㄱ㕦ㄶ㍣㌶㍦㜵挶っ㙢敢换攱㔶㜴㜱慢㕦㤲搰扦ぢ㝦挴戶㙦愷捤㕣㜴㜹ㄱ㜵㤳㝢㕦戹攲㝡㔷㕤㌵㉦㍤攰慤㍦㔰〸慥㔰づ㜲㤲㤵挲敢昸愷㤲㔶搰扦㠳ㄱ㜷㌳㙤づ搰㜶㤰㜰ㅣ㤵㈲㘹㌰㠱㝣づ㥤挰㜶㙦摤ㅡ㈰㥤ㅣ敡愰ㄳ㈵〸昶〹挵㕤㝢换〸㐵㝣ㅢ㘸㈵戱㐴㐷㜲散昹㔷挱晡攲㕢㈸㈱挲昱ㅣ㡢ㄱ晤㑥攴㜲㔰愷〴㜹㝣挵㠳ㄷ㐲晥晦㘰㈹攱收㙤搹改㝦㠱㤹挵㉢㥤㈸扡㥤㈸晡攷㉥ㄴ〹㕥〳㔱晣晢〸㌲㐹搲ㄹ㥥㝤㐳㠱㜰慥㘹晦〰晡戶㕦昸晤㍦㍣㠰㉥挴挴愱㙣㌴㠴摡敥挶㜳换㐴ㄸ攸㌲ㄱㄸ扣㔷㈶挲㌹㘴〴愳昸㤱㠹㄰晢㐰ㄶ㔱戰戳㠹挰搸㕥㡥㈱㤸ち戵愶摣ㅡ㍣㠱摤攴搰㍦㜶〶ㄷ㙦㘵㠰㜸㍥㤴㔶㌰〷㡦搴捤摤挵㑢愶㙦㍡㠷㔵昹㘹㕦㐲㤹昹㉢戸挹慤扡戰挷慤摢搶愸㑥摢昸㉡ㄲ㉦晢扥㍦㘵㜷昷搷㠱愹㈸㐵敥㝢㔱ㄶ愵㌷攱㈹ㄱ㍣㌷ㄴ晥昴搰搷㑦晦挷㤳捦㥥攴㙤戵㤸㔶昵㝢㤱敦㈷㘴㑦㝢〲㐱摤搴㐵㤱ㅢ昹㘱捥㌹㝣愲㘴㙦㌴攴慣改㉢㉢㈸㌰㥣㈴ㅢㄱ㕥㡡㌰㈳攲摢ぢ㈶㈶敥㍤㐴㈶收㔴㠷扢㔳㝤搸愴㕣㠴㔳愹㠹㉢㥦㕥ㄲ㌶ㄴ㍤ㄵ㔹㥦搶愶晥㑤愸愲㌷㌸㤱慣㤵挸㔳㈷㤳㄰摦攸搴㜵挷愹敢愲㠳っ挳晥㠹㤴㐲晣㠱ㄴ㤲㍥挸昰㐲㠰㤲㔲ㄷ㤰搱敦〳挸㠹慣㜵㠶㜸改て搸ㄷ〲戲㜵改慦捦㡦㔸戰㡢挰㘲攲㡢敦昷㐴㑢㕢㌴㔱㑤っ搵㉡㥢㘶ㄹㄹ㜵㜸㘱挱㜴㔲㥡戱㜴㡥愱㜴搷敥㈸扥㘴挴㠹〲㙦ㄱ㘳敢づ㝤㙤ㄵ攷㘱户㠹㥢ㅦ搰㌳㈵愵㌰摣㠳㉣挶㠱㔴挵攸愲愶㤵愸㠸㜰㌴捡戶㍡つ挵㔵搰㔹敥㘱㥣㑡ㄱ晣攳㤷㐲慣㥦㙣て㝤㘳㘷つ㜵㥣㍢㠸〵昲〷晢敢昶ㅣ挶挶㕢挹㌱㤰戰扢㙡㔵㡥慥㠷㕦㐴ㄷ㉥扡㈰㡣㜶㔶㍤㡢攳昸㤳㜰搶㠰搶愵晦ㄹ扤㔶㥣㜵㠹扤ㄹ挶捥攸晦㡦愲㘰㐷晤㉦ㄸ㝢㔳㠸晣㔸㥣攱㠳捥昸挹㡥㈱ㅢ敥〸㍣摢〸摥愸㠳戱愱戲っ㜹㐷戹㘵㝣扣ㅡ㔵㉢〹づ扦㔷戱昳㙡㐴慢㉦㙤摢愱㥥〲㤰戱㈱晤慢㄰㐱㍤晢㘷攵㔶㜲扡㉤㝤ㅣㅤて㥤戳㙢扥ㄷ㜸㔶㌸戱㡣愰敦〴扦㍤戳㘰昳捣㠸㝦散ㄴ㙡㜷㘱㈷㠶㍦㠹㍥攷ㄷ㈱戰捦换昰慤㡡㐵㌲戲戰扢㐸〶扦㐳ㅡ㑢㠵㤷愸ㅤ㠲ㅢ慣㐷㥢㘶〳㥦慥㉥挲搷ㄹ戲㘸㑦㈸扢挸攳摣㜹㐳㠳㕢㠷㍢㕡ㅦ㠱㍦㐸㌶愶㄰ㅣ㔳㑢昸昸㈷戹慦㥤㝢㤰㙤ㅢ慦㉤㘰换晥㝣㙥ㄵ晤㈵攰㜴㜷㙦挹㤲っ摦挹㉦㤲㉢㐶㤵㄰㤷昶㑦攲敦敥ㅤ戴ㅣ㙤ㅣ㜴ㅥ㝦搰㑤㐷搸㘴〳敥戳㕤㐴扦㉦愳慢㤸㈱挰捦㌰攳っㅦ〴扤㝣㘴㐵昱㘵㉣㡢っ㠰㝣愱㔴〳攸㑤搵㉦㙥㐷搵㘳㠹㐰ㄶ㍣㘳㤰ㅣ㉢攲㡢㘸挸敤㡡㤶つ㤶攰戲㠵㍡㑢㈰㙦㈴㍤㤰㉦〸㥥㈵搴㐴晥づㅤ㕡ㄳ戱㔱摡㝢㈲㝦扢摤㐴〴慤〰戵搰昴昸㘳㠹ㄶ㌱ㅡ愸㌶ㅣ〲㤷挰〳ㄸ愵㔸愴慣㈹㐵愱㠵㙦ㄱ㌳㐸晦ㄲ晦㝤敤攴㑦㕥㘵晡搵㐹愱〴㈱慡戲㤳愷㈰㔴㤳㝦㍥㍤㜹ㅦ愵扤㈷晦昹敤㈶㍦㐶ㄹ挹㤹ㄸ㈱挰挸㠰愸攲㡦㕡㑣ㄳㄹ敥㈳㝦攲㌲〱㝥㤹㔹㡣㤹㈸㔱㝤慦㈲㠳扥摣㜰搵敡ㅡ㌲㐹㕦㥤敢捦昹戸㐷搹㐷扣〸㐹㕦㑥㈹㜲挶㤶㈲慤㔸㜶㘲㉦散㥥㤰つ㔸ㄲ扦㤶敤㈹搲㑢㝤㐶昸挵㘷ㄲ挴㥣㌹㤳㝣㌹愵挵㌱㈷㄰㐶㘴㤱㤲㝥戸㤱攲搳㐹攳㝦㝡戹敤㌲㐵〵ㄲ愸㈷㙡㑣㍡㔳㡤㥦㑢ㅡㅦ挳㔷㔹慡㑤㠱㌷〸㤸㕥㑢ㅡ㤳ㅥ㔵攳㘷㤳挶晦㜵散㜰慢㜱㐲㠷搱挸㍡㠹㈴挷搶㔵搶㝦敡ぢ敤㔱㌴搷㉤敡捦㈱㉢㉡愶攴㔴愱攳㠶搲愰挳戸っ攲攳ㅢ改〵摣㙤挲ㄵ㄰〸搹攸㝦㤵㜰ㄶ㜷㥥收捤搰挴㈷搰㥢〸㌶晢㠶㝡㘲攷㤲戵攸愳㘰搰㍡ㅢ攰㑣㔵摦㔳㈴〲㜳愰ㄸ敤敦づ㑥昹ㅣ搳戱扤ㅦ㐹㤰㑣攳ㅤ㤲晥㤴㠷ち慣ㄴ挵愷ㄲ捣ㄶ㥥㘹搳㡣昱㌴㤰〳改〸挸㡣昱っ㘰ㄴ㠸攱㙤攵挲ㄸ昹㕦㌱昷愷㔸昱㘷〴捦〲㔴〴㤹㥤㜴㔰㝡づ㘰㌴昹ㅦ㔵㑣㙣㉡㝦㠹㈶㥥㑣㕥㤶㈶㈳攳㌳散昰攷〰〳㜰摦㡡㤸〸㉢挶㘷㔱㤲㝥㈹〵㠷㝡改攷㔸昱ㄷ〴㥦〷愸攸㥣散慥㜷㡤㙢敡㔳㜳晤㈵扡㡡㘷〸昰㌳㥥㡦㌳㝣搰戹て㝦搸摢㔶收㔱㌸昹戰ㅦ愱捥捣ㄷ晣て攳㡢晣㉤㉥㝡〰晦㐳ㄲ㕤ㄹ昶㐵敤挳晤㡤㐵㈶愰㑤慥㝥ㅢ搸散㌷㌱づ搷搵㡥愰㜰㐴㉡㤵戲㔶ㄲ挴㌷ㄷ㉣㍣扣㠱㙦㌹愱㉡㠴㈰つ愸ち㌷慥㌸㠹〲攳慦搸㤴㌸㈶㥥㡣扦收ㄳ㔱慢㌶昱㙦攲っㅦ〴昱慡扡㍦ㅥ㜷㑦㕥㐸㕣慢ち扢攳㠵挴扦慡㔸㑦扦昰〵づ愶㤰㠵㑣㔶㉢ㄱ㘹㡡㠶扥㠸捣挸挰㈸攷昶ㄸ㝥摡㌵㔱扢㕣扦㝣昹㜷愳挵㠹㕢㡢ㅦ晤㤳攱ㄷ㕥晢搱捦扥昰搳㑦㥣昸挵敦㕦㝣昱愷晦昹㠵㔷㝦晦摤搵ㄳ㍦㜸改愵敦㍦昲て慦晥散愰昵ㄵ敤攵摦㉤㝣攵愹改㉢㑦㍤㘱㕤扣昷昴㔳ㅦ㝢晣搱改愵ㅢ㈶〷〶〶〷敦ㄹ晦攱㉤敦ㅦ㝢收㠹㔷挴昷晥敤㘶㔷愸攵攲〵搹㘹㜰搹㙡ㅡ㕦㐲〶搳攰㡣摦搶㘹㜰戹㙡愳㔶攳㡤㥡㐵㐱ㄹ㍥つ㑥㐰㔵㤸搹㡡愱晦〱戲昷戳ㅡ</t>
  </si>
  <si>
    <t>㜸〱敤㕣㕢㙣ㅣ㔷ㄹ摥㌳摥㕤敦慣敤搸㡤搳㑢㑡㘹つ愵ㄴ敡攰挶㘹㐳㈸㄰㠲㉦捤愵㌸戱ㅢ㍢㈹〸搰㘶扣㝢挶㥥㘶㘷挶㥤㤹㜵攲㔲愹ㄵ戴㕣挴㑤㕣㐵愱㕣㔴㈱㈴㕥戸〹㜱㝦㐱㐲〲愱㈲昱㔰ㅥ㤰㜸㈸ㄵ〲㈱㄰㐴攲㠵〷㈴昸扥㌳㌳扢㌳扢摥戱扢㙤挱㐵㍥改晥㍥㜳㙥㜳捥昹慦攷晦捦㌴㈷㜲戹摣扦㤱昸㤷㈹捦捣つ㡢ㅢ㝥㈰敤㠹ㄹ户㕥㤷搵挰㜲ㅤ㝦㘲捡昳㡣㡤㌹换て晡搰愰㔸戱㔰敦ㄷ㉡扥昵愰㉣㔵搶愵攷愳㔱㈱㤷㉢㤵㜴つ昵ㅣ㠴扦㤱昸㐱㘷慦挱㍣挰搲捣昴晣昲晤ㄸ㜵㌱㜰㍤㜹㘰散㝣搸昷攸攴攴挴攴挴㥤㐷㈶㕦㍦㜱昰挰搸㑣愳ㅥ㌴㍣㜹搴㤱㡤挰㌳敡〷挶ㄶㅡ换㜵慢晡㌶戹戱攴㕥㤴捥㔱戹㝣昰㡥㘵攳捥㌷㑣摥㜹昸戰㜹搷㕤㙦ㄸ挴慢㜳㘷㘶愶ㄷ㍣㘹晡㉦搰㤸〵㑥昹捥㔹㔹戵戸㌶㈹㍤换㔹㤹㤸㤹挶㝦㠹昹攳改挸挴攲慡㤴〱㕦㉤㍤改㔴愵慦愳攳㠰㍤攵晢つ㝢㡤㥢愷摢挷戱搴慡攱〷〵㝢㐶搶敢扡ㅤ㡦㕡戲攷戱㜷㜵㘳㘳搰㕥㤴㡥㙦〵搶扡ㄵ㙣ㄴ敤㈵っ㔴ㅢ戲捦昹昲慣攱慣挸㌳㠶㉤ぢ昶㠹㠶㔵换㠷㈹搷㜷㙢㍣㐴㜲㘲㙡昹ㄳ㔳扥㍤戳㙡㜸㙡㐶㍥㌷㈶愳敤㜱慦㥡㙥㝢㜳昷㜱㌹㜵昵〶㡥㜹㑢昷㜶愸㌹㙦㜸捤㤶攳摤㕢㐶㡢㑦捦攰昶敥敤ㄳ㝢㤴敥昳摡敥㝤搴㔶愶㕢㡢㠱㠸扥搵㡥㘲㌱㝡㤱愰㥦愰㐴㐰〴敡㘵㠲〱㠲㐱〰㤱晦〷戸㈴搹㤱㔵㕡挵搰㉡换㕡愵慡㔵㙡㕡㐵㙡ㄵ㔳慢慣㘸㤵㔵慤㘲㘹㤵晢戵捡㐵戴㠹㔳愹扦㕦㡢搲戳㑦慣ㄴ㙦扤敥ㄳ㈷扥㜳愴昶昷敦晥昹㜷㑦て敥㐱愳㝢愳㐹捤㝡挶㈵㤰㕡㡢㡡て㑤ㅣ攴扦慤戹〲㑣㘱ㅥ㌶㡦㤸㤳㤳戵挳〷㡤㍢㡣〲㤷㤵㠱晣ㄴ愱㡣愰敤愰㜹㥦攵搴摣㑢ち㜷㌷㑣ㅢ扥㙣㙤摣㜸㔴㌷敤㌶㥣㥡晦戲捤㉢ㄷ〳㈳㤰搷户搷戵〶改攸戶〸戶㤲扥㝡摦㡤敤摤捥ㅢ昵㠶㥣扡㙣㠵搵㉦㙦慢戶ㄷ㍣㜷戹㝢敤㜱㑦㍥搰慣敤㤸搱ㄴ㠴摡扡ㅡ扢㘳㤵㘱㔵㌸慦戱㤹㔵搷㤷㡥㥡摥戸扤㘰㔵㉦㑡㙦㔱㔲㈴捡㥡㕡敡搵慣㡡戸㝥㝣摥挱㐲挱慤戵㔷㈶㑢捤扢㉦〷㘰㘶㔹挳㝣搷愴ㄷ㙣㉣ㄹ换㜵㜹㑤慡㐹昸㑥㔴散㑦ㄵㅦ㜷慢つ㝦挶㜵〲捦慤愷㙢愶㙡敢〶㈴㑤敤戴㕢㤳昹㝣㑥〹〵〸摣扥㍥㈱㜲户㜵攷〵㠵㠸〴㡡挹挸搷愵挹㙥攲㉣㔶㠷㔵搴㈵㘹㔲㝢搵ㄶ㠳㜱扥㑡挶㘴㜰㘰㘲㑤搴ㅦ㝣改㙢戶ㄸ戶㠹戹ㄷ户戱愶㡤㐶慢扦㝢㕤㍡挱㐹挳愹搵愵㤷愹晤〴㘷愴て〳ㄴ慥㐰㈰㜴摤㍤慡㍡㜱㔹㙣ㄴ㉥㔹戵㘰戵戸㉡慤㤵搵〰㘵搰㤰愵ㄲ户戶㈳改㔷愱㐸摦㑢㌰ち㔰㉥攷㡡晢搸愸㔸㐶捡ㄵ㈸㥤㌲㜸㌹㈵挸搹㉦挵换㠳收㜱慢ㅥ挸㔰㈸て㥢挰㐸愸搵ㄴ晡㠶㐸愲㥥㔱つㄵ挶㍥㜳〶㔴㙡㔸㑥戰搱攲摢づ㉥〹㠹㘸㔷ㄶ散㌸㔹㐰㔱㤰㤶〷ㄹ扣〶愲㘹㤳〶搹㡤ㄳ㐴㐴㌶挸搰散ㄸ㌹㑤㘴㙣㥦㈱㈳搰㍥㐹㠴㙣㝤戰扢㡣㈰戱㜷ㄲ㈹㍢㜵攵挷㕤㘹戶㤹㉤ㅦ㑡戳慢戱㜱晡㌵〴搷ㄲ㕣㐷戰ㅦ㐰晣ㄱㄲ㡥㔲づ昹㜴搲㕦㠶㘷晤〶㠲㤷〳㐰㍥改㤴㌹㤱愸愲つ戵ㅤ㍢㤲敤㠶㘰㈷㉢愳㌸ㄴ㐵戴㡣㥢㜶收㤰慤㄰ㅤ㔹㥤㍢㐳搷收㤵㡥㝤㜵㜷摡㑣㉥㠷ㄴ㤹搱㌴戹搶㉤㥡㈶㌷㠲㑤㝢搴㕢㌷愱慢㍥㐶昰ち㠰戲晥㑡㐲㈸ㄷㅡ扣摢戳攸㘹㔲扥㈴捣愲搰ㄸ敡㔱挱㐷㠴捣㈳㐰㠶㤰敢㌸扥散摡搰㌴〷挷捤㤷扣つ㝤愰㍢㝦㐷㐸㙦搳㥢扢㝡㠷晥愲攷㘸㐵摦っ昶ㄲ扦敢慡㘳㙥㐱戵晥㙡㠲㕢〱摡㜴っ㑦摦捦搵㔳愰捣㘲㍢㠱戹扤昴扡㈸㉢㜷㘹㘳㑤㉡つ㌴㘸㉥ㄹ摥㡡っ攰挱㌸㌵ぢ㕢搸昵㍣㔹挷愱戶愶ち㜸㝥戹㌶㕤攸ㅦ昷㕣㥢攵扢㌶戲晦㤲㔰っ昹扣搶㤷㙢戳㤱㌳㙣捤㠴捦㈹㐱㌹搴挱㜷㜴ㄷㄲ㠹㑥㘹昲㘲扦散昳攵慥㈴改㐱㤲扣ㄶ摢慡摦〶〰㈹㈱㝥搳㔵愲ㅣ㘰戳搷愹㘶㘹㡢㤵ㅥ扥㡣搳㐹㥢て戱㐳㡥っ㠴づ摢㘹昸て晣㈱㝢搱戲㥢挲㘲挰㕥㤰㕥ㄵ扥〵慢㉥换愱㕢㤶愲㘶㔷㔶扣㐴㘴㐵㕦㕦挷㜹㍡挳扦愶攸愴㑤㑡㘴㜲㝢㘶㘵挶㔹扣㐵㔴㜴㐳㔲愸㘴戸㠶㥡ㄲ㠸㤴挷戶扢㈲愶〷ㄱ㜳㍢㌶㑥㍦㐸㌰㐹㜰〸愰昰㉢㐸㥡敤㙥㍣挳㘱晤敢㜴㘹㔷㉡戹ㄲ搱愰㕣㠴㑦㜵ㄵ㔶㠷昹㥡搷ㄳㅣ〱㘸㌳㝦攸㠰捣㈰㐴㠵昲〴㈱慡㌰㠶㜹摥㤲㤷㐸〳㝢㑣〴㤶㘶ㅡ㝥攰摡㡣㉣つ㤹戳敥ㄹ㌷㤸戵晣㌵㐴愲㐶捤㈸㜳摦慡㜴㐰㕤ㅥ㙣㥦戶㌲㜷㙤㑤搶㜴㜳搱㙤㐰戴㥤㥡摤〹〷㜳㙣〷㙣㐹㜵㌶搷〴㔲㙦攷㘳っ㈱戰搳捡摦㑡㙦散戶扣摦㍣昴つ户㜶㜴挹ち敡㜲挰っ㤹㡥昹㤲㠹㕤㐴攴愰搶㙦㉥慤㝡㔲捥づ㤹㈷㍣慢㔶户ㅣ㐹㘴挰挶㘴戰㙥㑥慥㈰㑡戰攰㌲〶攸㍡㐳收㤲㘷㌸晥㥡挱㠰攲挶摥搴㤳ち㡢ㄴ捣㘹换昱昱ㅡ㠵㐵收㠷捤挵㔵昷ㄲ㈲戶つ摢㌹㘱慣昹㍢〲㉢㈴晡㌰㈹搴〸㑤㘸㥡㈸㘹愵㕥昱挳〳㜹㉥㐷摥换ㄳ㈸㕣攵ち昴㤹㘷㘸㙦摡昵㔱㡣㠶㜶㍡攷㌴㠸攸㔱戳戰㉦㔳ち㤳㔳昵扢搸攷㡤〰昷㥣㌸㜷慡ㄵ㤹㝢㕥㌱敢〲扤晣ㄹ㌲㕥㤱㐵㌳㄰㐲ㅦ摤㥥㤰㔴㔸㐶捡〱〷〲攳㝣㙡㈷扦戲愹摡㤰晡昶戴戲挷ㄱ㐹ㅡ㌴攷㡣㘵㔹㐷㍣摡㌶㠲㍤攱〳捤㔸摢愸晢㔱摤㡣㙢摢〶㐹㡢㘴戹㔸㌵㐸挱㔳㡤挰㍤㙤㌹扡〹愰攸㉦㉡㌲㉥愳挸戸慣㡡〶捤戳っつ慡㍣挷㜲㔷っ捦ち㔶㙤慢㕡攲〳挳㜷㍢㠲㈶挱攴㤴扣㜱㡡㘵挶㔸㥢㌵㝦づ㈶㥢㍦〱㜴㑦㐰㡥㜲敢㠸㝥㔰慥㈶㡡昸㈷㝡㜴㉣㐱挰㈸㑦愹晥㘶㡣㔶㔰户㈳㈰㜲㔴扡ㄲ摦挱戸昲㌰㑡㐲㈱㐴慣㘷㤰〸扣㠲〹㈱㑦ㄷ㜷搱㍣攷㔸〱戰㐷㡣ㅤ户㠲㔹ㅦ㈸〷㐰㔶ㅤ㙦慦㔷㔸㑤㜴ㅡ㙦㙡㠵㥢㍡慢㔲㙡攲挶捥晡愴摥㜸搵㈶搵愱㐶㐹㈸㤲慤ㅡ㈹捤戲挹ㅣ㜷㤲慡ㄱ㑡㜱挷摡㐶㘴戹㑤㕢晢㑥㈹昲㍣ㄴ㤳愲㤹㥣晥ㄶ㐵㈸〸昴㐶㍡㡡㍥晢㙣昲㐸㐴㙣㘸〳㤴愹愷挲戲愱㈸㈴㜸ち搷㑥㙡戲ㅣ㍤㠱扦昷㐴搹昹㐶㤰慡㌱㉥㡦㐶㌵㔳昵晡扣〳㉢愱㙡㜸戵ㅤ挲搲㔸㕢愸㘱ㄴ㜷昶慡晤挳敤㑤㌰㘲挴㠶っ㡢㘴昸㠱挱㠶㘰慥㐴㐴㤵搶搹㄰户扡㔹㕣攲搳㘹㘹㌸ち〳㡢㐱㙤㔶慥㉢㌳慣㘵挹㡦慡づ捤搳愲㤲愳扡㌹戵散㐳愵〷㤴攳㔱㑥㌱戸㙥㥥愵㕢ち㤷ㄸ㈰㜶愳摣㐲㌵㐰㘸户㌹〰㑦〶㍢〷㍢搸㤱㌰㜴㐲敢㡣ㄲ戴㤸㐱戸改㐵㤰㜷㝡挴㈸〴愹愹搲摦㡥㠹捦㍦捥昴昵㘳戹㌸ㄳ㌱ㄱ挳㕤ㄹ搶〳㤰㥢㡣㑣㤲㡢㐶攳㠰㜹㈸搹㤴搰ㅡ㡣换㘸㘲っ搱攴昳〲摣攲㘱㉣㙢㤸㙣㔳挷㍤户挰㠲㌶慤㙦散㌱㑦㌹搵㝡愳㈶㤵㉡㡥㘵戵搲挸㍢〲㕦敡ち㘰挸㑤ㄹ晢ㄲ㙤捡㈹ㅣ愵戸㘴㈲愹㜷扢㕢㍦㠶敥㑡挸㘱㡣㔰昵㌱〰㤹攱㤶㔳〱戱㡥㝢ち戴て昷戶㉥㌰愸换㜳㄰㘹ㅤ㐵㤴㘵㜳戸㡦搷㡣㈲㉢㙥㑢㌴㥢㜳攷㕣摡散㠹愲㤳㔶㔸戴㈳㜰㠴㜵㠶〲慦㔸㠴㌱搲㈳㜷㜰㤰摣㤵㈸扡㝢攵㘱昵㤸扢〲㔴㈸っ〸挶㜸㜹ち捡㘱㔷挱㐸㌴戸戵㤶搵㉤ㄸ晤愵攵慤㑦〱〸㠶㠱㘹搰愲㘵㘸攰捣㈰扦戵㠱㜳ㄳ㕡㘵㐴㐸㤳挱㔴挶㈸㐷攱戰〷搲挰㑤㍣㐸㉦戹㔰㐲挱㍥㜵㌱㉣扥㥢㌸㙥攳〸攴㝡搷戴ㄵ㉥ㄸ〱慥扦㌸晢摢㡡愷㙡㌵㥡扢昰捦敤〸慣攲敡㐶㘸㡥敥㙢扢㤴愵搶㐴晢敥收戶㡡攸戲攰愱搹㠹㤳㐶㔰㕤㕤っ㌶挲㡢㕢扤㤲㐴攱㈷昰㐷㙣晡㜶摡捣㜹㠷ㄷ㔱搷戹昷攵㡢㡥㝢挹㔱昳㉡昸扣昵〷ち挱ㄵ捡㝥㑥戲㥣晢㌷晥愹愴攵ち㍦挶㠸摢㤹㌶〷㘸㌹㐸㌸㡥㑡愱㌴ㄸ㐳㍥㠳㑥㘰扢㌷㙦つ㤰㑥昶戵搱㠹ㄲ〴扢㠴攲慣扣㘰㠴㈲㝥〴戴㤲㔸挲㈳㌹昶晣㙢㘰㝤昱㐳㤴㄰攱㜸㡥挴㐸攱ㄵ挸㘵愰㑥〹昲攸㡡〷㉦㠴晣晦㘰㈹收收㑤搹改扦挰捣攲〷敤㈸扡㤱㈸晡㝥〷㡡〴慦㠱㈸晥扤〷㤹㌸ㄵㄸ㥥㝤㑥㠱㜰慥㘹昷〰晡愲㕦昸晤ㅦㅥ㐰攷㈲攲㔰㌶ㅡ㐲㙤户攰戹㘹㈲昴㜵㤸〸っ摥㉢ㄳ攱㌴㌲㠲㔱晣搰㐴㠸㝣㈰昳㈸搸摡㐴㘰㙣㉦挳㄰㑣㠴㕡ㄳ㙥つ㥥挰慥戱改ㅦ㍢㠹㡢户搲㐷㍣ㅦ㑡换㥦㠱㐷敡摡捥攲〵挳㌳散晤慡晣㠴㈷愱捣扣㈵摣攴㔶㕤搸攳晡㑤㙢㔴愷㑤㝣ㄵ戱㤷㝤搷㥦戲扤晢敢挰㔴㤸㐲昷扤㈸㠹攲昳昰㤴〸㥥ㅢ㜲敦搹昷㡤ㄳ扦㝦昰搱㘳扣慤ㄶ搱㙡攱㌶攴㝢〹搹搳㥥㐰㔰㌷㜱㔱攴㙡㝥㤸㜳ㅡ㥦㈸㔹㙢㜵㌹㙤㜸捡ち昲㜵㍢捥㠶㠴㤷㈰捣㤰昸㜶㠲㠹㠹㝢て愱㠹㌹搱收敥㔴ㅦ㌶㈹ㄷ攱㐴㘲攲捡愷ㄷ㠷つ㐵㔷㐵搶愳戵㔹昸ㄶ㔴搱㜳㥣㐸摡㑡攴愹㤳㐹㠸㙦戶敢扡挳搴㜵攱㐱㠶㘱晦㔸㑡㈱晥㐰ち㐹ㅥ㘴㜸㈱㐰㐹愹戳挸ㄴ㙥〷挸㠸慣戵㠷㜸改て搸ㄵ〲戲㜹改慦挷㡦㔸戰㡢挰㘲散㡢敦昵㐴㑢㕢㌴㔶㑤っ搵㉡㥢㘶ㄱㄹ㜵㜸㘱挱㘴㕣㥡戲㜴づ愱㜴摢敥㈸扥㘴挸づ〳㙦㈱㘳ㄷ㙣晡摡捡昶摤㑥〳㌷㍦愰㘷㡡㑡㘱㌸㝢㔹㡣〳愹㡡搱㠵㑤换㘱ㄱ攱㜰㤸㙤㜶ㅡ㠸慡愰戳㥣晤㌸㤵㈲昸挷㉦㠵㔸㍦摥ㅡ晡敡昶ㅡ敡㌸愷ㅦぢ攴て昶搷㡤ㄹ㡣㡤户㤲㘳㈰㘱户搵慡ㄴ㕥て㍦㠷㉥㕣㜴㑥攸慤慣㝡ㄶ㠷昱㈷收慣㍥慤㐳晦㌳㝡慤㌸敢㍣㝢㌳㡣㥤搲晦㙦㐷挱㤶晡㕦㌰昶愶㄰昹㡥㈸挳㠷〲攳㈷㕢㠶㙣戸㈳昰㙣㈳㜸愳づ挶扡捡㌲攴ㅤ收ㄶ昱昱㙡㔸慤㈴㌸晣㕥昹昶慢ㄱ捤扥戴㙤〷扡ち㐰挶㠶ち㕦㠳〸敡摡㍦㉤户攲搳㙤昱㥤攸戸敦戴㔵昵㕣摦㌵㠳戱㐵〴㝤挷昸敤㤹〹㥢㘷㑡㝣戵㕤愸摤㡣㥤ㄸ㝣㌷晡㥣㤹㠷挰㍥㈳㠳ㄷ㉡ㄶ挹挸挲昶㈲ㄹ晣づ㘹㈴ㄱ㕥愲㜶昰慦㌲敦㙤ㄸ㜵㝣扡㍡て㕦㘷挰愲ㅤ愱散㐲㡦㜳晢つつ㙥ㅤ敥㘸扤つ晥㈰㔹㥦㐰㜰㑣㉤攱㥤敦收扥戶敦㐱扡㙤戴㌶㥦㉤㝢昳戹㤵ぢ㑦〲愷摢㝢㑢㥡㘴昸㑥㝥㤱㕣搶㉢㠴戸戴㝦っ㝦户敦愰攵㘸愳愰昳攸㠳㙥㍡挲挶敢㜰㥦㙤㈳晡㝤〱㕤挵ㄴ〱㝥扡ㄱ㘵昸㈰攸攵㈳㉢㡡㉦㘱㔹㘴〰攴㜳挵㉡㐰㜷慡㝥㘲㌳慡ㅥ㠹〵戲攰ㄹ㠳攴㔸ㄶ㕦㐰㐳㙥㔷戸㙣戰〴㤷㉤搴㔹〲㜹㍤敥㠱㝣㑥昰㉣愱㈶昲㌹㜴㘸㑥挴㐲㘹昷㠹㝣㜶戳㠹〸㕡〱㙡愱挹昱㐷㘲㉤愲搷㔱慤摢〴づ㠱ぢ㌰㑣戱㐸㔹㔳っ㐳ぢ㍦㈴㘶㤰㝥ㅤ晤㝤收搸慦㥥㘲晡敢㌱愱〴㈱慡搲㤳愷㈰㔴㤳晦㜸㜲昲ㅥ㑡扢㑦晥愳㥢㑤㝥㠴㌲㤲㌳搱〳㠰愱㍥㔱挱ㅦ戵㤸〶㌲摣㐷晥挴〵〲晣㔲戳ㄸ㌱㔰愲晡㕥㐲〶㝤戹攱慡搵㘵㘴攲扥〵慥㍦攳攳ㅥ㘵ㅦ昱㈲㈴㝤㌹挵搰ㄹ㕢っ戵㘲挹㡥扣戰㍢㐲㌶㘰㐹晣㕡戶慢㐸㉦昶ㄸ攱ㄷㅦ㠸ㄱ㜳昲㘴晣攵㤴ㄶ挵㥣㐰ㄸ愱㐵㑡晡攱㐶㡡昷挷㡤扦晤扤㤶换ㄴㄵ㐸愰㥥戰㌱改㑣㌵㝥㉣㙥㝣〸㕦㘵愹㌶㌹摥㈰㘰㝡㈶㙥㑣㝡㔴㡤ㅦ㡤ㅢ晦攵搰晥㘶攳㤸づ挳㤱ぢ㈴㤲っ㕢㔷㔹晦㠹㉦戴㠷搱扣㘰㔲㝦づ㤸㘱㌱㈵愷ちㅤ搷㤵〶ㅤ挴㘵㄰て摦㐸捦攱㙥ㄳ慥㠰㐰挸㠶晦慢㠴㔳戸昳㌴㙢〴〶㍥㠱㕥㐷戰搹搳搵ㄳ㍢ㄷ捤㜹て〵晤收㈹ㅦ㘷慡摡㡥㈲ㄱ㤸〳昹㜰㝦户㜰捡㘷㤸㡥慤晤㠸㠳㘴ㅡ敦㤰昴愶㍣㔴㘰㈵㉦摥ㅢ㘳㌶昷㐸㡢㘶昴㠷㠱ㅣ㐸㐷㐰㘶昴㐷〰挳㐰っ㙦㉢攷㐶挸晦㡡戹摦换㡡昷ㄱ㍣ち㔰ㄶ㘴㜶搲㐱昱㌱㠰攱昸㝦㔴㌱戶慥晣㈵㥡㜸㌰㝥㔹㤲㡣昴て戰挳〷〱晡攰扥ㄵㄱㄱ㤶昵て愱㈴昹㔲ちづ昵搲て戳攲㈳〴ㅦ〵㈸ㄷ㌸搹㙤敦ㅡ搷搴愳收晡ㄸ扡㡡㐷〸昰搳㍦ㅥ㘵昸㔰攰㍥扣愹扢慤捣愳㜰晣㘱㍦㐲㥤愹㉦昸敦挶ㄷ昹ㅢ㕣㜴ㅦ晥㠷㈴〵㘵搸攷戵㌷昶㌶ㄶ㤹㠰㌶戹晡慤㘱戳㥦挷㌸㕣㔷㉢㠲挲ㄱ愹㔴㑡㕡㔱㄰摦㕣戰㜰昱〶扥攵愸慡㄰㠲㌴愰㉡㥣愸攲ㄸち昴㑦戱㈹㜱㑣㍣改㥦收ㄳ㔱慢㌶昱㌳㔱㠶て㠲㜸㔵摤敦㡦扡挷㉦㈴慥㔵㠵搵昶㐲攲㕦㔵慣㈶㕦昸㌸〷㔳挸㐲㈶慤㤵㠸㌴㐵㐳㕦㐰㘶愸㙦㤸㜳扢て㍦敤戲愸㕥愸㕤戸昰捦攱晣搸昵昹户扦㜵昰昱㘷㝥昹散㈷㥦㝥搷搱㍦晤敢㠹㈷㥥晥挳㈷㥦晡搷㑦㤶㡦晥晣挹㈷㝦㜶捦㤷㥦㝡㜶慦昹ㄵ敤㝢晦㥣晢捡㐳㤳ㄷㅦ㝡挰㍣㜷摢㠹㠷摥㜱晦扤㤳ぢ㔷㡤昷昵昵昷摦㍡晡㡢敢㕥㌳昲挸〳㍦㄰㍦晤敤戵㡥㔰换挵ぢ搲搳攰戲搵㌴扥㠸っ愶挱ㄹ扦愸搳攰㜲搵㐶㉤㐷ㅢ㌵㡤㠲ㄲ㝣ㅡ㥣㠰慡㌰搲ㄵ〳晦〱摣㜲戳搶</t>
  </si>
  <si>
    <t>㜸〱敤㕣㕢㙣ㅣ㔷ㄹ摥㌳摥㕤敦慣敤搸㡤搳㑢㑡㘹㕤㑡㈹搴挱㡤搳㠶戶㐰〸扥㌴㤷搶㠹摤搸㐹㐱㠰㌶攳摤㌳昱㌴㍢㌳敥捣慣ㄳ㤷㑡慤㑡换㐵㔰㉡ㄵ㡡㈸㤴㡢㉡㠴攰㠵换㑢㈹㤷ㄷ㈴㈴㄰㉡ㄲて㈰〱攲愱㈰〴て㈰ㄴ㠹ㄷㅥ㤰攰晢捥捣散捥散㝡挷敥戶〵ㄷ昹愴晢晢捣戹捤㌹攷扦㥥晦㍦搳㥣挸攵㜲晦㐶攲㕦愶㍣㌳搷㉣慥晢㠱戴㈷㘶摣㝡㕤㔶〳换㜵晣㠹㈹捦㌳搶攷㉣㍦攸㐳㠳㘲挵㐲扤㕦愸昸搶㠳戲㔴㔹㤳㥥㡦㐶㠵㕣慥㔴搲㌵搴㜳㄰晥㐶攲〷㥤扤〶昳〰㑢㌳搳昳换昷㘳搴挵挰昵攴扥戱㌳㘱摦㐳㤳㤳ㄳ㤳ㄳ户摤㍥昹㡥㠹晤晢挶㘶ㅡ昵愰攱挹㐳㡥㙣〴㥥㔱摦㌷戶搰㔸慥㕢搵㝢攴晡㤲㝢㕥㍡㠷攴昲晥㕢㤷㡤摢敥㤸扣敤攰㐱昳捥㍢敦ㄸ挴慢㜳㈷㘷愶ㄷ㍣㘹晡慦搲㤸〵㑥昹戶㔹㔹戵戸㌶㈹㍤换㌹㌷㌱㌳㡤晦ㄲ昳挷搳敤ㄳ㡢㉢㔲〶㝣戵昴愴㔳㤵扥㡥㡥〳昶㤴敦㌷散㔵㙥㥥㙥ㅦ挱㔲慢㠶ㅦㄴ散ㄹ㔹慦敢㜶㍣㙡挹㥥挷摥搵㡤昵㐱㝢㔱㍡扥ㄵ㔸㙢㔶戰㕥戴㤷㌰㔰㙤挸㍥敤换㔳㠶㜳㑥㥥㌴㙣㔹戰㡦㌶慣㕡㍥㑣戹扥㥢攲㈱㤲ㄳ㔳换㥦㤸昲敤㤹ㄵ挳㔳㌳昲戹㌱ㄹ㙤㡦㜸搵㜴摢ㅢ扡㡦换愹慢㌷㜰捣ㅢ扢户㐳捤ㄹ挳㙢戶ㅣ敦摥㌲㕡㝣㝡〶户㜴㙦㥦搸愳㜴㥦户㜵敦愳戶㌲摤㕡っ㐴昴慤㜶ㄴ㡢搱㡢〴晤〴㈵〲㈲㔰㉦ㄳっ㄰っ〲㠸晣㍦挰㈵挹㡥慣搲㉡㠶㔶㔹搶㉡㔵慤㔲搳㉡㔲慢㤸㕡攵㥣㔶㔹搱㉡㤶㔶戹㕦慢㥣㐷㥢㌸㤵晡晢戵㈸晤愶昴攸㌷敥㜸晡晣㠹愷㍥昱㍢昳㥥㐳挳ぢ㠳扢搰攸摥㘸㔲戳㥥㜱〱愴搶愲攲〳ㄳ晢昹㙦㜳慥〰㔳㤸〷捤摢捤挹挹摡挱晤挶慤㐶㠱换捡㐰㝥㡡㔰㐶搰㜶搰扣捦㜲㙡敥〵㠵扢㙢愶つ㕦戶㌶㙥㍣慡㥢㜶ㅢ㑥捤㝦挳挶㤵㡢㠱ㄱ挸慢摢敢㕡㠳㜴㜴㕢〴㕢㐹㕦扤敦摡昶㙥㘷㡣㝡㐳㑥㕤戴挲敡㌷戶㔵摢ぢ㥥扢摣扤昶㠸㈷ㅦ㘸搶㜶捣㘸ち㐲㙤㑤㡤摤戱捡戰㉡㥣搷搸捣㡡敢㑢㐷㑤㙦摣㕥戰慡攷愵户㈸㈹ㄲ㘵㑤㉤昵㜲㔶㐵㕣㍦㍥敦㘰愱攰搶摡㥢㤲愵收㕤ㄷ〳㌰戳慣㘱扥慢搲ぢ搶㤷㡣攵扡扣㈲搵㈴㝣㈷㉡昶愶㡡㡦戸搵㠶㍦攳㍡㠱攷搶搳㌵㔳戵㌵〳㤲愶㜶挲慤挹㝣㍥愷㠴〲〴㙥㕦㥦㄰戹㥢扢昳㠲㐲㐴〲挵㘴攴慢搲㘴㌷㜱ち慢挳㉡敡㤲㌴愹扤㜹㤳挱㌸㕦㈵㘳㌲㌸㌰戱㈶敡て扥昴慤㥢っ摢挴摣㙢摢㔸搳㐶愳搵摦戵㈶㥤攰㤸攱搴敡搲换搴㝥㠲㌳搲㠷〱ち㤷㈰㄰扡敥ㅥ㔵㥤戸㈸搶ぢㄷ慣㕡戰㔲㕣㤱搶戹㤵〰㘵搰㤰愵ㄲ户戶㈳改㤷愱㐸摦㑤㌰ち㔰㉥攷㡡㝢搸愸㔸㐶捡ㄵ㈸㥤㌲㜸㌹㈵挸搹㉦挵换㠳收ㄱ慢ㅥ挸㔰㈸て㥢挰㐸愸搵ㄴ晡㠶㐸愲㥥㔱つㄵ挶ㅥ㜳〶㔴㙡㔸㑥戰摥攲摢づ㉥〹㠹㘸㐷ㄶ㙣㍢㔹㐰㔱㤰㤶〷ㄹ扣〶愲㘹㤳〶搹㡤ㄳ㐴㐴㌶挸搰散ㄸ㌹㑤㘴㙣㥦㈱㈳搰㍥㐹㠴㙣扤扦扢㡣㈰戱㜷ㄲ㈹㍢㜵攵挷ㅤ㘹戶㤱㉤ㅦ㑡戳换戱㜱晡ㄵ〴㔷ㄲ㕣㐵戰ㄷ㐰晣ㄹㄲ㡥㔲づ昹㜴搲摦㠰㘷晤ㅡ㠲㌷〲㐰㍥改㤴㌹㤱愸愲つ戵ㄵ㍢㤲敤㠶㘰㈷㉢愳㌸ㄴ㐵戴㡣㥢㜶收㤰慤㄰ㅤ㔹㥤摢㐳搷收㤵㡥㝤㑢㜷摡㑣㉥㠷ㄴ㤹搱㌴戹搶㑤㥡㈶㌷㠲㑤㝢搴㕢搷愱慢㍥㐶㜰㍤㐰㔹㝦ㄳ㈱㤴ぢつ摥慤㔹昴㌴㈹㕦ㄷ㘶㔱㘸っ昵愸攰㈳㐲收ㄱ㈰㐳挸㜵ㅣ㕦㜶㙣㘸㥡㠳攳收敢摥㠶摥搷㥤扦㈳愴户改捤ㅤ扤㐳㝦搱换戴愲㙦〰㝢㠹摦㜷搵㌱㌷愲㕡㝦ぢ挱㑤〰㙤㍡㠶愷敦㤷敢㈹㔰㘶戱㥤挰摣㙥㝡㕤㤴㤵扢戴扥㉡㤵〶ㅡ㌴㤷っ敦㥣っ攰挱㌸㍥ぢ㕢搸昵㍣㔹挷愱戶愶ち㜸㝥戹㌲㕤攸ㅦ昱㕣㥢攵㍢㌶戲晦扡㔰っ昹扣搶㤷㙢戳㤱㌳㙣捤㠴捦㈹㐱㌹搴挱户㜶ㄷㄲ㠹㑥㘹昲㘲扦散昳攵㡥㈴改㐱㤲扣つ摢慡摦っ〰㈹㈱㝥摤㔵愲散㘳戳户慢㘶㘹㡢㤵ㅥ扥㡣搳㐹㥢て戱㐳㡥っ㠴づ摢㘹昸て晣㈱㝢搱戲㥢挲㘲挰㕥㤰㕥ㄵ扥〵慢㉥换愱㕢㤶愲㘶㐷㔶扣㑥㘴㐵㕦㕦挷㜹㍡挳扦愶攸愴㑤㑡㘴㜲㝢㘶㘵挶㔹扣㐵㔴㜴㐳㔲愸㘴戸㠶㥡ㄲ㠸㤴挷戶㍢㈲愶〷ㄱ㜳ぢ㌶㑥摦㑦㌰㐹㜰〰愰昰ぢ㐸㥡慤㙥㍣挳㘱晤㙢㜴㘹㔷㉡戹ㄲ搱愰㕣㠴㉦㜶ㄵ㔶〷昹㥡㜷㄰摣づ搰㘶晥搰〱㤹㐱㠸ち攵〹㐲㔴㘱っ昳㡣㈵㉦㤰〶㜶㤹〸㉣捤㌴晣挰戵ㄹ㔹ㅡ㌲㘷摤㤳㙥㌰㙢昹慢㠸㐴㡤㥡㔱收扥ㄵ改㠰扡㍣搸㍥㙤㘵敥敡慡慣改收愲摢㠰㘸㍢㍥扢ㅤづ收搸づ搸㤲敡㙣慥〹愴摥捥挷ㄸ㐲㘰愷㤵扦㤵摥搸㉤㜹扦㜹攸ㅢ㙥敤攸㤲ㄵ搴攵㠰ㄹ㌲ㅤ昳㈵ㄳ扢㠸挸㐱慤摦㕣㕡昱愴㥣ㅤ㌲㡦㝡㔶慤㙥㌹㤲挸㠰㡤挹㘰摤㥣㍣㠷㈸挱㠲换ㄸ愰敢っ㤹㑢㥥攱昸慢〶〳㡡敢扢㔳㑦㉡㉣㔲㌰愷㉤挷挷㙢ㄴㄶ㤹ㅦ㌶ㄷ㔷摣ぢ㠸搸㌶㙣攷愸戱敡㙦ぢ慣㤰攸挳愴㔰㈳㌴愱㘹愲愴㤵㝡挵てて攴戹ㅣ㜹㉦㑦愰㜰㤵㉢搰㘷㥥愱扤㘹搷㐷㌱ㅡ摡改㥣搳㈰愲㐷捤挲扥㑣㈹㑣㑥搵敦㘴㥦㜷〲摣㝤昴昴昱㔶㘴敥ㄵ挵慣ぢ昴昲㘷挸㜸㐵ㄶ捤㐰〸㝤㜴扢㐲㔲㘱ㄹ㈹〷ㅣ〸㡣昳愹㥤晣捡愶㙡㐳敡摢搵捡ㅥ㐱㈴㘹搰㥣㌳㤶㘵ㅤ昱㘸摢〸㜶㠵て㌴㘳㙤愳敥㐷㜵㌳慥㙤ㅢ㈴㉤㤲攵㘲搵㈰〵㑦㌵〲昷㠴攵攸㈶㠰愲扦愸挸戸㠸㈲攳愲㉡ㅡ㌴㑦㌱㌴愸昲ㅣ换㍤㘷㜸㔶戰㘲㕢搵ㄲㅦㄸ扥摢ㄶ㌴〹㈶愷攴㡤㔳㉣㌳挶摡慣昹搳㌰搹晣〹愰㝢〲㜲㤴㕢㐷昴㠳㜲㌵㔱挴㍦搱愳㘳〹〲㐶㜹㑡昵㜷㘳戴㠲扡ㅤ〱㤱愳搲愵昸づ挶愵㠷㔱ㄲち㈱㘲㍤㠳㐴攰ㄵ㑣〸㜹扡戸㡢收㘹挷ち㠰㍤㘲散㠸ㄵ捣晡㐰㌹〰戲敡㜸㝢戵挲㙡愲搳㜸㔳㉢㕣搷㔹㤵㔲ㄳ搷㜶搶㈷昵挶㥢㌷愸づ㌵㑡㐲㤱㙣搶㐸㘹㤶つ收戸㥤㔴㡤㔰㡡㍢搶㌶㈲换㙤摡摡㜷㑡㤱㔷愰㤸ㄴ捤攴昴昷㈸㐲㐱愰㌷搲㔱昴搹㘷㤳㐷㈲㘲㐳ㅢ愰㑣㍤ㄵ㤶つ㐵㈱挱攳戸㜶㔲㤳攵攸〹晣扤㉢捡捥㌷㠲㔴㡤㜱㜱㌴慡㤹慡搷攷ㅤ㔸〹㔵挳慢㙤ㄳ㤶挶摡㐲つ愳戸戳㔷敤ㅦ㙥㙦㠲ㄱ㈳㌶㘴㔸㈴挳てっ㌶〴㜳㈵㈲慡戴捥㠶戸搵捤攲ㄲ㥦㑥㐸挳㔱ㄸ㔸っ㙡戳㜲㑤㤹㘱㉤㑢㝥㔴㜵㘸㥥ㄶ㤵ㅣ搵捤愹㘵ㅦ㉡㍤愰ㅣ㡦㜲㡡挱㜵昳ㄴ摤㔲戸挴〰戱ㅢ攵ㄶ慡〱㐲扢捤〱㜸㌲搸㍥搸挱㡥㠴愱ㄳ㕡㘷㤴愰挵っ挲㑤㉦㠲扣搳㈳㐶㈱㐸㑤㤵晥㝥㔸㝣攱ㄹ愶㙦ㅥ捥挵㤹㠸㠹ㄸ敥捡戰ㅥ㠰摣㘴㘴㤲㕣㌴ㅡ〷捣㐳挹愶㠴搶㘰㕣㐶ㄳ㘳㠸㈶㥦ㄷ攰ㄶて㘳㔹挳㘴㥢㍡敥戹〵ㄶ戴㘹㝤㝤㤷㜹摣愹搶ㅢ㌵愹㔴㜱㉣慢㤵㐶摥ㄶ昸㔲㔷〰㐳㙥捡搸㤷㘸㔳㡥攳㈸挵㈵ㄳ㐹扤摢摤晡㘱㜴㔷㐲づ㘳㠴慡㡦〱挸っ户㥣ち㠸㜵摣㔳愰㝤戸扢㜵㠱㐱㕤㥥㠳㐸敢㈸愲㉣㥢挳㝤扣㘶ㄴ㔹㜱㕢愲搹㥣㍢攷搲㘶㑦ㄴㅤ戳挲愲㙤㠱㈳慣㌳ㄴ㜸挵㈲㡣㤱ㅥ戹㠳㠳攴㉥㐵搱摤㑢て慢挷摣㈵愰㐲㘱㐰㌰挶换㔳㔰づ扢ち㐶愲挱慤戵慣㙥挱攸㉦㉤㙦㝤ち㐰㌰っ㑣㠳ㄶ㉤㐳〳㘷〶昹捤つ㥣敢搰㉡㈳㐲㥡っ愶㌲㐶㌹ち㠷㍤㤰〶㙥攲㐱㝡挹㠵ㄲち昶愸㡢㘱昱摤挴㜱ㅢ㐷㈰搷扢愲慤㜰挱〸㜰晤挵搹摢㔶㍣㔵慢搱摣㠵㝦㙥㕢㘰ㄵ㔷㌷㐲㜳㜴㑦摢愵㉣戵㈶摡㜷㌷戴㔵㐴㤷〵て捣㑥ㅣ㌳㠲敡捡㘲戰ㅥ㕥摣敡㤵㈴ち㍦㠲㍦㘲挳户搳㘶捥㍢扣㠸扡挶扤㉦㥦㜷摣ぢ㡥㥡㔷挱攷慤㍦㔰〸慥㔰昶㜳㤲攵摣扦昱㑦㈵㉤㔷昸㈱㐶摣捡戴㌹㐰换㐱挲㜱㔴ち愵挱ㄸ昲ㄹ㜴〲摢扤㜹㙢㠰㜴戲愷㡤㑥㤴㈰搸㈱ㄴ攷摣慢㐶㈸攲〷㐰㉢㠹㈵㍣㤲㘳捦扦づ搶ㄷ摦㐷〹ㄱ㡥攷㐸㡣ㄴ慥㐷㉥〳㜵㑡㤰㐷㔷㍣㜸㈱攴晦〷㑢㌱㌷㙦挸㑥晦〵㘶ㄶ㉦戴愳攸㕡愲攸㝢ㅤ㈸ㄲ扣〶愲昸昷㙥㘴攲㔴㘰㜸昶㘵〵挲戹愶㥤〳攸㙢㝥攱昷㝦㜸〰㥤㡢㠸㐳搹㘸〸戵摤㠸攷愶㠹搰搷㘱㈲㌰㜸慦㑣㠴ㄳ挸〸㐶昱㐳ㄳ㈱昲㠱捣愳㘰㜳ㄳ㠱戱扤っ㐳㌰ㄱ㙡㑤戸㌵㜸〲扢挲愶㝦散ㄸ㉥摥㑡ㅦ昱㝣㈸㉤㝦〶ㅥ愹㉢㍢㡢ㄷっ捦戰昷慡昲愳㥥㠴㌲昳㤶㜰㤳㕢㜵㘱㡦慢㌷慣㔱㥤㌶昰㔵挴㕥昶ㅤ㝦捡搶敥慦〳㔳㘱ち摤昷愲㈴㡡慦挰㔳㈲㜸㙥挸㝤㜸捦户㡥晥攱挱挷づ昳戶㕡㐴慢㠵㥢㤱敦㈵㘴㑦㝢〲㐱摤挴㐵㤱换昹㘱捥〹㝣愲㘴慤搶攵戴攱㈹㉢挸搷敤㌸ㅢㄲ㕥㠲㌰㐳攲摢づ㈶㈶敥㍤㠴㈶收㐴㥢扢㔳㝤搸愴㕣㠴ㄳ㠹㠹㉢㥦㕥ㅣ㌶ㄴ㕤ㄵ㔹㡦搶㘶攱㍢㔰㐵㉦㜳㈲㘹㉢㤱愷㑥㈶㈱扥摤慥敢づ㔲搷㠵〷ㄹ㠶晤㘳㈹㠵昸〳㈹㈴㜹㤰攱㠵〰㈵愵㑥㈱㔳戸〵㈰㈳戲搶ㅥ攲愵㍦㘰㐷〸挸收愵扦ㅥ㍦㘲挱㉥〲㡢戱㉦扥搷ㄳ㉤㙤搱㔸㌵㌱㔴慢㙣㥡㐵㘴搴攱㠵〵㤳㜱㘹捡搲㌹㠰搲㉤扢愳昸㤲㈱㍢っ扣㠵㡣㕤戰改㙢㉢摢㜷㌹つ摣晣㠰㥥㈹㉡㠵攱散㘶㌱づ愴㉡㐶ㄷ㌶㉤㠷㐵㠴挳㘱戶搹㘹㈰慡㠲捥㜲昶攲㔴㡡攰ㅦ扦ㄴ㘲晤㜸㙢攸换摢㙢愸攳㥣㝥㉣㤰㍦搸㕦搷㘶㌰㌶摥㑡㡥㠱㠴摤㔲慢㔲㜸㍤晣㌴扡㜰搱㌹愱户戲敡㔹ㅣ挴㥦㤸戳晡戴づ晤捦攸戵攲慣㌳散捤㌰㜶㑡晦扦て〵㥢敡㝦挱搸㥢㐲攴晢愳っㅦち㡣㥦㙣ㅡ戲攱㡥挰戳㡤攰㡤㍡ㄸ敢㉡换㤰㜷㤸㕢挴挷慢㘱戵㤲攰昰㝢攵摢慦㐶㌴晢搲戶ㅤ攸㉡〰ㄹㅢ㉡㝣ㅤ㈲愸㙢晦戴摣㡡㑦户挵て愰攳㥥ㄳ㔶搵㜳㝤搷っ挶ㄶㄱ昴ㅤ攳户㘷㈶㙣㥥㈹昱戵㜶愱㜶〳㜶㘲昰㐳攸㜳㜲ㅥ〲晢愴っ㕥慤㔸㈴㈳ぢ㕢㡢㘴昰㍢愴㤱㐴㜸㠹摡挱扦捣扣户㘱搴昱改敡㍣㝣㥤〱㡢戶㠵戲ぢ㍤捥敤㌷㌴戸㜵戸愳㜵て晣㐱戲㍥㠱攰㤸㕡挲〷㍥挴㝤㙤摦㠳㜴摢㘸㙤㍥㕢昶收㜳㉢ㄷ㥥〳㑥户昶㤶㌴挹昰㥤晣㈲戹慣㔷〸㜱㘹晦㌰晥㙥摤㐱换搱㐶㐱攷搱〷摤㜴㠴㡤搷攱㍥摢㐲昴晢㉣扡㡡㈹〲晣㜴㈳捡昰㐱搰换㐷㔶ㄴ㕦挶戲挸〰挸攷㡡㔵㠰敥㔴晤散㐶㔴㍤ㄲぢ㘴挱㌳〶挹戱㉣扥㠸㠶摣慥㜰搹㘰〹㉥㕢愸戳〴昲㝡摣〳昹㥣攰㔹㐲㑤攴昳攸搰㥣㠸㠵搲敥ㄳ昹摣㐶ㄳㄱ戴〲搴㐲㤳攳㡦挴㕡㐴慦愳㕡户〹ㅣ〲ㄷ㘰㤸㘲㤱戲愶ㄸ㠶ㄶ扥㑦捣㈰晤㌲晡晢搲攱㕦扣挸昴户挳㐲〹㐲㔴愵㈷㑦㐱愸㈶晦㘴㜲昲ㅥ㑡扢㑦晥㠹㡤㈶㍦㐲ㄹ挹㤹攸〱挰㔰㥦愸攰㡦㕡㑣〳ㄹ敥㈳㝦攲㉣〱㝥愹㔹㡣ㄸ㈸㔱㝤㉦㈰㠳扥摣㜰搵敡㈲㌲㜱摦〲搷㥦昱㜱㡦戲㡦㜸ㄱ㤲扥㥣㘲攸㡣㉤㠶㕡戱㘴㐷㕥搸㙤㈱ㅢ戰㈴㝥㉤摢㔵愴ㄷ㝢㡣昰㡢㡦挵㠸㌹㜶㉣晥㜲㑡㡢㘲㑥㈰㡣搰㈲㈵晤㜰㈳挵㐷攳挶摦㝤扥攵㌲㐵〵ㄲ愸㈷㙣㑣㍡㔳㡤ㅦ㡦ㅢㅦ挰㔷㔹慡㑤㡥㌷〸㤸㕥㡡ㅢ㤳ㅥ㔵攳挷攲挶㝦㍤戰户搹㌸愶挳㜰攴〲㠹㈴挳搶㔵搶㝦攲ぢ敤㘱㌴㉦㤸搴㥦〳㘶㔸㑣挹愹㐲挷㜵愵㐱〷㜱ㄹ挴挳㌷搲㜳戸摢㠴㉢㈰㄰戲攱晦㉡攱㌸敥㍣捤ㅡ㠱㠱㑦愰搷㄰㙣昶㜴昵挴捥㐵㜳摥㐳㐱扦㜹摣挷㤹慡戶慤㐸〴收㐰㍥摣摦㑤㥣昲ㄹ愶㘳㙢㍦攲㈰㤹挶㍢㈴扤㈹てㄵ㔸挹㡢㐷㘳捣收ㅥ㘹搱㡣晥㌰㤰〳改〸挸㡣晥〸㘰ㄸ㠸攱㙤攵摣〸昹㕦㌱昷愳慣昸〸挱㘳〰㘵㐱㘶㈷ㅤㄴㅦ〷ㄸ㡥晦㐷ㄵ㘳㙢捡㕦愲㠹〷攳㤷㈵挹㐸晦ㄸ㍢㝣ㅣ愰て敥㕢ㄱㄱ㘱㔹晦〴㑡㤲㉦愵攰㔰㉦晤㈴㉢㍥㐵昰〴㐰戹挰挹㙥㜹搷戸愶ㅥ㌵搷愷搱㔵㍣㐲㠰㥦晥㘴㤴攱㐳㠱晢昰慥敥戶㌲㡦挲昱㠷晤〸㜵愶扥攰扦ぢ㕦攴慦㜳搱㝤昸ㅦ㤲ㄴ㤴㘱㥦搷摥搹摢㔸㘴〲摡攴敡户㡡捤㝥〵攳㜰㕤慤〸ち㐷愴㔲㈹㘹㐵㐱㝣㜳挱挲挵ㅢ昸㤶㐳慡㐲〸搲㠰慡㜰愲㡡挳㈸搰㍦挳愶挴㌱昱愴㝦㤶㑦㐴慤摡挴愷愳っㅦ〴昱慡扡摦ㅦ㜵㡦㕦㐸㕣慢ち慢敤㠵挴扦慡㔸㐹扥昰ㄹづ愶㤰㠵㑣㕡㉢ㄱ㘹㡡㠶扥㠸捣㔰摦㌰攷㜶ㅦ㝥摡㐵㔱㍤㕢㍢㝢昶㥦挳昹戱慢昳敦㝢敦攰㌳㉦晤晣㡦㑦晤敡㠳㠷晥昲慦㘷㥦晤搵㥦㥥㝡昱㕦㍦㕡㍥昴搳攷㥥晢挹摤㕦㜹昱㡦扢捤慦㙡捦晦㜳敥慢て㑤㥥㝦攸〱昳昴捤㐷ㅦ㝡晦晤昷㑥㉥㕣㌶摥搷搷摦㝦搳攸捦慥㝡敢挸㈳て扣㈰㝥晣摢㉢ㅤ愱㤶㡢ㄷ愴愷挱㘵慢㘹㝣〹ㄹ㑣㠳㌳㝥㑤愷挱攵慡㡤㕡㡥㌶㙡ㅡ〵㈵昸㌴㌸〱㔵㘱愴㉢〶晥〳昵㠸戲ㅣ</t>
  </si>
  <si>
    <t>OPTION 0: NO CONCESSION</t>
  </si>
  <si>
    <t>KEY VARIABLES</t>
  </si>
  <si>
    <t>Market Pricing</t>
  </si>
  <si>
    <t>Efficiency Pricing</t>
  </si>
  <si>
    <t>Investment Costs</t>
  </si>
  <si>
    <t>No</t>
  </si>
  <si>
    <t>Price</t>
  </si>
  <si>
    <t>Cost</t>
  </si>
  <si>
    <t>Costs</t>
  </si>
  <si>
    <t>Operating Costs</t>
  </si>
  <si>
    <t>%</t>
  </si>
  <si>
    <t>(I) Fixed Investments</t>
  </si>
  <si>
    <t>Labour</t>
  </si>
  <si>
    <t>Labour opportunity costs</t>
  </si>
  <si>
    <t>Vessels</t>
  </si>
  <si>
    <t>Materials</t>
  </si>
  <si>
    <t>Materials before Import duty</t>
  </si>
  <si>
    <t>Land and Improvements</t>
  </si>
  <si>
    <t>Maintenance</t>
  </si>
  <si>
    <t>Building and Facilities</t>
  </si>
  <si>
    <t>Fuel</t>
  </si>
  <si>
    <t>Fuel tax</t>
  </si>
  <si>
    <t>Equipment</t>
  </si>
  <si>
    <t>Electricity</t>
  </si>
  <si>
    <t xml:space="preserve">Total </t>
  </si>
  <si>
    <t>Insurance</t>
  </si>
  <si>
    <t>(II) Working capital</t>
  </si>
  <si>
    <t>Miscellaneous</t>
  </si>
  <si>
    <t>Miscellaneous before VAT</t>
  </si>
  <si>
    <t>Domestic Vessels Annual Fee</t>
  </si>
  <si>
    <t>(III) Salvage Value</t>
  </si>
  <si>
    <t>Total (Market prices)</t>
  </si>
  <si>
    <t>Total (Shadow prices)</t>
  </si>
  <si>
    <t>Tax payment for Labour</t>
  </si>
  <si>
    <t>Income tax</t>
  </si>
  <si>
    <t>No.</t>
  </si>
  <si>
    <t>Local labour</t>
  </si>
  <si>
    <t>Cost of pollution</t>
  </si>
  <si>
    <t>Foreign labour</t>
  </si>
  <si>
    <t>Working capital</t>
  </si>
  <si>
    <t>Depreciation</t>
  </si>
  <si>
    <t>Life(yrs)</t>
  </si>
  <si>
    <t>Amount p.a</t>
  </si>
  <si>
    <t>Revenues</t>
  </si>
  <si>
    <t xml:space="preserve">Price </t>
  </si>
  <si>
    <t>Sales</t>
  </si>
  <si>
    <t>Revenues before tax</t>
  </si>
  <si>
    <t>Canned tuna (USD/case)</t>
  </si>
  <si>
    <t xml:space="preserve">Canned tuna </t>
  </si>
  <si>
    <t>Fishmeal (USD/mt)</t>
  </si>
  <si>
    <t xml:space="preserve">Fishmeal </t>
  </si>
  <si>
    <t>Total</t>
  </si>
  <si>
    <t>Tax On Costs</t>
  </si>
  <si>
    <t>Tax On Revenues</t>
  </si>
  <si>
    <t>Revenues without Import Tax</t>
  </si>
  <si>
    <t>Replacement Costs</t>
  </si>
  <si>
    <t>Import duty</t>
  </si>
  <si>
    <t>Annual Royalty</t>
  </si>
  <si>
    <t>Value Added Tax</t>
  </si>
  <si>
    <t>Export Duty</t>
  </si>
  <si>
    <t>Fuel Tax</t>
  </si>
  <si>
    <t>Import Duty</t>
  </si>
  <si>
    <t xml:space="preserve">                               Capacity Output</t>
  </si>
  <si>
    <t>Financing</t>
  </si>
  <si>
    <t>Amount</t>
  </si>
  <si>
    <t>Interest</t>
  </si>
  <si>
    <t>Life (yrs)</t>
  </si>
  <si>
    <t>Year</t>
  </si>
  <si>
    <t>2010+</t>
  </si>
  <si>
    <t>Loan</t>
  </si>
  <si>
    <t>Discount rate</t>
  </si>
  <si>
    <t>Conversion factor</t>
  </si>
  <si>
    <t>Tax rate on profit</t>
  </si>
  <si>
    <t>Non-Resident company</t>
  </si>
  <si>
    <t>Opportunity cost of Equity</t>
  </si>
  <si>
    <t>Income Tax</t>
  </si>
  <si>
    <r>
      <rPr>
        <b/>
        <sz val="20"/>
        <color rgb="FFED7D31"/>
        <rFont val="Arial"/>
        <family val="2"/>
        <charset val="163"/>
      </rPr>
      <t>WESTERN PACIFIC TUNA PRODUCTS</t>
    </r>
    <r>
      <rPr>
        <b/>
        <sz val="20"/>
        <color rgb="FFFFFFFF"/>
        <rFont val="Arial"/>
        <family val="2"/>
        <charset val="163"/>
      </rPr>
      <t xml:space="preserve">  - OPTION 0: NO CONCESSION</t>
    </r>
  </si>
  <si>
    <t>@ GROUP 3, VAC01, UEH.</t>
  </si>
  <si>
    <t>FINANCIAL ANALYSIS</t>
  </si>
  <si>
    <t>Sales/Revenues</t>
  </si>
  <si>
    <t>Production capacity</t>
  </si>
  <si>
    <t>Operating costs</t>
  </si>
  <si>
    <t>Insurance (100%)</t>
  </si>
  <si>
    <t>Replacement costs</t>
  </si>
  <si>
    <t>Depreciation schedule</t>
  </si>
  <si>
    <t>Buildings and Facilities</t>
  </si>
  <si>
    <t xml:space="preserve">Equipment </t>
  </si>
  <si>
    <t>Total Depreciation</t>
  </si>
  <si>
    <t>Loan schedule</t>
  </si>
  <si>
    <t>Beginning debt</t>
  </si>
  <si>
    <t xml:space="preserve">Interest charges </t>
  </si>
  <si>
    <t>Debt payments</t>
  </si>
  <si>
    <t>Principal</t>
  </si>
  <si>
    <t>Ending debt</t>
  </si>
  <si>
    <t>Debt finance flow</t>
  </si>
  <si>
    <t>Loan receipts</t>
  </si>
  <si>
    <t>Loan repayments</t>
  </si>
  <si>
    <t>Changes in working capital</t>
  </si>
  <si>
    <t>Income statement</t>
  </si>
  <si>
    <t>EBITDA</t>
  </si>
  <si>
    <t>EBIT</t>
  </si>
  <si>
    <t>Interest expenses</t>
  </si>
  <si>
    <t>EBT</t>
  </si>
  <si>
    <t>Market cash flows</t>
  </si>
  <si>
    <t>Receipts</t>
  </si>
  <si>
    <t>VAT @0%</t>
  </si>
  <si>
    <t>Liquidation value</t>
  </si>
  <si>
    <t>Expenditures</t>
  </si>
  <si>
    <t>Fixed investment cost</t>
  </si>
  <si>
    <t>Replacement cost</t>
  </si>
  <si>
    <t>VAT @10%</t>
  </si>
  <si>
    <t>Market net cash flow</t>
  </si>
  <si>
    <t xml:space="preserve">VAT </t>
  </si>
  <si>
    <t>Royalty tax</t>
  </si>
  <si>
    <t>Total tax payment</t>
  </si>
  <si>
    <t>MARKET NET CASH FLOW (TIPV)</t>
  </si>
  <si>
    <t>Private cash flows</t>
  </si>
  <si>
    <t>Market net cash flow (TIPV)</t>
  </si>
  <si>
    <t>PRIVATE NET CASH FLOW (EPV)</t>
  </si>
  <si>
    <t>Lenders cash flows</t>
  </si>
  <si>
    <t>LENDERS NET CASH FLOW</t>
  </si>
  <si>
    <t>CAPITAL STRUCTURE</t>
  </si>
  <si>
    <t>Value</t>
  </si>
  <si>
    <t>Opportunity cost</t>
  </si>
  <si>
    <t>Weight</t>
  </si>
  <si>
    <t>Investment financing</t>
  </si>
  <si>
    <t>Equity</t>
  </si>
  <si>
    <t>Total investment</t>
  </si>
  <si>
    <t xml:space="preserve">WACC </t>
  </si>
  <si>
    <t>Discount rates</t>
  </si>
  <si>
    <t>NPV (mil USD)</t>
  </si>
  <si>
    <t>TOTAL INVESTMENT POINT OF VIEW</t>
  </si>
  <si>
    <t>EQUITY POINT OF VIEW</t>
  </si>
  <si>
    <t>NPV(PROJECT)</t>
  </si>
  <si>
    <t>NPV(TIPV)</t>
  </si>
  <si>
    <t>NPV(EPV)</t>
  </si>
  <si>
    <t>NPV(LENDERS)</t>
  </si>
  <si>
    <t>NPV(TAXES)</t>
  </si>
  <si>
    <t>CHECK FOR CONSISTENCY</t>
  </si>
  <si>
    <t>FINANCIAL CONSISTENCY</t>
  </si>
  <si>
    <t xml:space="preserve">Year </t>
  </si>
  <si>
    <t>NCF - TIPV</t>
  </si>
  <si>
    <t>Project Value</t>
  </si>
  <si>
    <t>Debt Value</t>
  </si>
  <si>
    <t>Equity Value</t>
  </si>
  <si>
    <t>%D</t>
  </si>
  <si>
    <t>%E</t>
  </si>
  <si>
    <t>D/E</t>
  </si>
  <si>
    <t>re (dn)</t>
  </si>
  <si>
    <t>WACC (dn)</t>
  </si>
  <si>
    <t>DF-EPV</t>
  </si>
  <si>
    <t>DF-TIPV</t>
  </si>
  <si>
    <t>PV-TIPV</t>
  </si>
  <si>
    <t>PV-EPV</t>
  </si>
  <si>
    <t>POINT OF VIEW</t>
  </si>
  <si>
    <t>NPV</t>
  </si>
  <si>
    <t>BCR-TIPV</t>
  </si>
  <si>
    <t>Economic resources statement</t>
  </si>
  <si>
    <t>BENEFITS</t>
  </si>
  <si>
    <t>Salvage value</t>
  </si>
  <si>
    <t>Total economic benefit</t>
  </si>
  <si>
    <t>COSTS</t>
  </si>
  <si>
    <t>Fixed investment costs</t>
  </si>
  <si>
    <t>Working capital costs</t>
  </si>
  <si>
    <t>Replacment costs</t>
  </si>
  <si>
    <t>Nonmarket costs (Pollution cost)</t>
  </si>
  <si>
    <t>Total economic cost</t>
  </si>
  <si>
    <t>NET BENEFIT FLOW</t>
  </si>
  <si>
    <t>Total referent group net benefit</t>
  </si>
  <si>
    <t>METHOD 1:  AGGREGATED NET BENEFITS</t>
  </si>
  <si>
    <t>AGGREGATED NET BENEFITS</t>
  </si>
  <si>
    <t>METHOD 2: DISAGGREGATED NET BENEFITS</t>
  </si>
  <si>
    <t>Local bank</t>
  </si>
  <si>
    <t xml:space="preserve">Government </t>
  </si>
  <si>
    <t>Loss of import tax from liquidation value</t>
  </si>
  <si>
    <t>Import Tax on Fixed Investment</t>
  </si>
  <si>
    <t>Import Tax on Materials</t>
  </si>
  <si>
    <t>Income Tax on Labour</t>
  </si>
  <si>
    <t>Import Tax on Working Captial</t>
  </si>
  <si>
    <t>Export Tax</t>
  </si>
  <si>
    <t>Royalty Tax</t>
  </si>
  <si>
    <t>Local community</t>
  </si>
  <si>
    <t>VAT transfer</t>
  </si>
  <si>
    <t>Check for consistency</t>
  </si>
  <si>
    <t>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</si>
</sst>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1"/>
      <color theme="1"/>
      <name val="Calibri"/>
      <charset val="134"/>
      <scheme val="minor"/>
    </font>
    <font>
      <sz val="12"/>
      <color theme="1"/>
      <name val="Arial"/>
      <family val="2"/>
      <charset val="163"/>
    </font>
    <font>
      <b/>
      <sz val="20"/>
      <color rgb="FFFFFFFF"/>
      <name val="Arial"/>
      <family val="2"/>
      <charset val="163"/>
    </font>
    <font>
      <b/>
      <sz val="12"/>
      <color rgb="FFFFFFFF"/>
      <name val="Arial"/>
      <family val="2"/>
      <charset val="163"/>
    </font>
    <font>
      <b/>
      <sz val="12"/>
      <color theme="1"/>
      <name val="Arial"/>
      <family val="2"/>
      <charset val="163"/>
    </font>
    <font>
      <b/>
      <sz val="12"/>
      <color rgb="FF9C0006"/>
      <name val="Arial"/>
      <family val="2"/>
      <charset val="163"/>
    </font>
    <font>
      <b/>
      <sz val="12"/>
      <color rgb="FF005F69"/>
      <name val="Arial"/>
      <family val="2"/>
      <charset val="163"/>
    </font>
    <font>
      <sz val="12"/>
      <color rgb="FFFFFFFF"/>
      <name val="Arial"/>
      <family val="2"/>
      <charset val="163"/>
    </font>
    <font>
      <sz val="12"/>
      <color rgb="FF980000"/>
      <name val="Arial"/>
      <family val="2"/>
      <charset val="163"/>
    </font>
    <font>
      <i/>
      <sz val="12"/>
      <color theme="1"/>
      <name val="Arial"/>
      <family val="2"/>
      <charset val="163"/>
    </font>
    <font>
      <b/>
      <sz val="12"/>
      <color theme="0"/>
      <name val="Arial"/>
      <family val="2"/>
      <charset val="163"/>
    </font>
    <font>
      <b/>
      <sz val="12"/>
      <color rgb="FF980000"/>
      <name val="Arial"/>
      <family val="2"/>
      <charset val="163"/>
    </font>
    <font>
      <b/>
      <sz val="12"/>
      <color rgb="FF6AA84F"/>
      <name val="Arial"/>
      <family val="2"/>
      <charset val="163"/>
    </font>
    <font>
      <sz val="12"/>
      <color rgb="FF000000"/>
      <name val="Arial"/>
      <family val="2"/>
      <charset val="163"/>
    </font>
    <font>
      <sz val="12"/>
      <color theme="1"/>
      <name val="Calibri"/>
      <family val="2"/>
      <charset val="163"/>
      <scheme val="minor"/>
    </font>
    <font>
      <b/>
      <sz val="11"/>
      <color rgb="FFFFFFFF"/>
      <name val="Arial"/>
      <family val="2"/>
      <charset val="163"/>
    </font>
    <font>
      <sz val="12"/>
      <color rgb="FFF26F33"/>
      <name val="Arial"/>
      <family val="2"/>
      <charset val="163"/>
    </font>
    <font>
      <sz val="12"/>
      <color theme="0"/>
      <name val="Arial"/>
      <family val="2"/>
      <charset val="163"/>
    </font>
    <font>
      <sz val="12"/>
      <color theme="0"/>
      <name val="Calibri"/>
      <family val="2"/>
      <charset val="163"/>
      <scheme val="minor"/>
    </font>
    <font>
      <b/>
      <sz val="12"/>
      <color rgb="FF000000"/>
      <name val="Arial"/>
      <family val="2"/>
      <charset val="163"/>
    </font>
    <font>
      <sz val="12"/>
      <color rgb="FF000000"/>
      <name val="Calibri"/>
      <family val="2"/>
      <charset val="163"/>
    </font>
    <font>
      <b/>
      <i/>
      <sz val="12"/>
      <color rgb="FF000000"/>
      <name val="Arial"/>
      <family val="2"/>
      <charset val="163"/>
    </font>
    <font>
      <sz val="11"/>
      <color rgb="FF9C0006"/>
      <name val="Arial"/>
      <family val="2"/>
      <charset val="163"/>
    </font>
    <font>
      <b/>
      <sz val="11"/>
      <color rgb="FF005F69"/>
      <name val="Arial"/>
      <family val="2"/>
      <charset val="163"/>
    </font>
    <font>
      <sz val="11"/>
      <color rgb="FFFFFFFF"/>
      <name val="Arial"/>
      <family val="2"/>
      <charset val="163"/>
    </font>
    <font>
      <b/>
      <u/>
      <sz val="12"/>
      <color rgb="FF000000"/>
      <name val="Arial"/>
      <family val="2"/>
      <charset val="163"/>
    </font>
    <font>
      <sz val="11"/>
      <color rgb="FF000000"/>
      <name val="Arial"/>
      <family val="2"/>
      <charset val="163"/>
    </font>
    <font>
      <b/>
      <sz val="14"/>
      <color rgb="FFFF9900"/>
      <name val="Arial"/>
      <family val="2"/>
      <charset val="163"/>
    </font>
    <font>
      <sz val="11"/>
      <name val="Calibri"/>
      <family val="2"/>
      <charset val="163"/>
    </font>
    <font>
      <b/>
      <sz val="14"/>
      <color rgb="FFFFFFFF"/>
      <name val="Arial"/>
      <family val="2"/>
      <charset val="163"/>
    </font>
    <font>
      <b/>
      <u/>
      <sz val="12"/>
      <color theme="1"/>
      <name val="Arial"/>
      <family val="2"/>
      <charset val="163"/>
    </font>
    <font>
      <b/>
      <sz val="14"/>
      <color theme="0"/>
      <name val="Arial"/>
      <family val="2"/>
      <charset val="163"/>
    </font>
    <font>
      <u/>
      <sz val="12"/>
      <color theme="1"/>
      <name val="Arial"/>
      <family val="2"/>
      <charset val="163"/>
    </font>
    <font>
      <b/>
      <sz val="12"/>
      <color rgb="FFC55A11"/>
      <name val="Arial"/>
      <family val="2"/>
      <charset val="163"/>
    </font>
    <font>
      <sz val="14"/>
      <color theme="1"/>
      <name val="Arial"/>
      <family val="2"/>
      <charset val="163"/>
    </font>
    <font>
      <sz val="12"/>
      <color rgb="FFC55A11"/>
      <name val="Arial"/>
      <family val="2"/>
      <charset val="163"/>
    </font>
    <font>
      <b/>
      <sz val="11"/>
      <color theme="1"/>
      <name val="Calibri"/>
      <family val="2"/>
      <charset val="163"/>
      <scheme val="minor"/>
    </font>
    <font>
      <b/>
      <sz val="12"/>
      <color rgb="FF005F69"/>
      <name val="Calibri"/>
      <family val="2"/>
      <charset val="163"/>
      <scheme val="minor"/>
    </font>
    <font>
      <b/>
      <sz val="12"/>
      <color theme="0"/>
      <name val="Calibri"/>
      <family val="2"/>
      <charset val="163"/>
      <scheme val="minor"/>
    </font>
    <font>
      <b/>
      <sz val="12"/>
      <color rgb="FF9C0006"/>
      <name val="Calibri"/>
      <family val="2"/>
      <charset val="163"/>
      <scheme val="minor"/>
    </font>
    <font>
      <b/>
      <sz val="12"/>
      <color rgb="FFFFFFFF"/>
      <name val="Calibri"/>
      <family val="2"/>
      <charset val="163"/>
      <scheme val="minor"/>
    </font>
    <font>
      <b/>
      <sz val="12"/>
      <color theme="1"/>
      <name val="Calibri"/>
      <family val="2"/>
      <charset val="163"/>
      <scheme val="minor"/>
    </font>
    <font>
      <b/>
      <sz val="20"/>
      <color theme="0"/>
      <name val="Calibri"/>
      <family val="2"/>
      <charset val="163"/>
    </font>
    <font>
      <sz val="11"/>
      <color rgb="FF000000"/>
      <name val="Calibri"/>
      <family val="2"/>
      <charset val="163"/>
    </font>
    <font>
      <b/>
      <sz val="11"/>
      <color rgb="FFFFFFFF"/>
      <name val="Calibri"/>
      <family val="2"/>
      <charset val="163"/>
    </font>
    <font>
      <b/>
      <sz val="11"/>
      <color rgb="FF000000"/>
      <name val="Calibri"/>
      <family val="2"/>
      <charset val="163"/>
    </font>
    <font>
      <b/>
      <sz val="20"/>
      <color rgb="FFED7D31"/>
      <name val="Arial"/>
      <family val="2"/>
      <charset val="163"/>
    </font>
    <font>
      <b/>
      <sz val="11"/>
      <color rgb="FF000000"/>
      <name val="Calibri, sans-serif"/>
      <charset val="134"/>
    </font>
    <font>
      <sz val="11"/>
      <color rgb="FF000000"/>
      <name val="Calibri, sans-serif"/>
      <charset val="134"/>
    </font>
  </fonts>
  <fills count="21">
    <fill>
      <patternFill patternType="none"/>
    </fill>
    <fill>
      <patternFill patternType="gray125"/>
    </fill>
    <fill>
      <patternFill patternType="solid">
        <fgColor rgb="FF000000"/>
        <bgColor rgb="FF000000"/>
      </patternFill>
    </fill>
    <fill>
      <patternFill patternType="solid">
        <fgColor rgb="FFF26F33"/>
        <bgColor rgb="FFF26F33"/>
      </patternFill>
    </fill>
    <fill>
      <patternFill patternType="solid">
        <fgColor rgb="FF005F69"/>
        <bgColor rgb="FF005F69"/>
      </patternFill>
    </fill>
    <fill>
      <patternFill patternType="solid">
        <fgColor rgb="FFFFC7CE"/>
        <bgColor rgb="FFFFC7CE"/>
      </patternFill>
    </fill>
    <fill>
      <patternFill patternType="solid">
        <fgColor rgb="FFFFFFFF"/>
        <bgColor rgb="FFFFFFFF"/>
      </patternFill>
    </fill>
    <fill>
      <patternFill patternType="solid">
        <fgColor rgb="FFB7B7B7"/>
        <bgColor rgb="FFB7B7B7"/>
      </patternFill>
    </fill>
    <fill>
      <patternFill patternType="solid">
        <fgColor rgb="FFFFF2CC"/>
        <bgColor rgb="FFFFF2CC"/>
      </patternFill>
    </fill>
    <fill>
      <patternFill patternType="solid">
        <fgColor theme="0"/>
        <bgColor theme="0"/>
      </patternFill>
    </fill>
    <fill>
      <patternFill patternType="solid">
        <fgColor rgb="FFF4CCCC"/>
        <bgColor rgb="FFF4CCCC"/>
      </patternFill>
    </fill>
    <fill>
      <patternFill patternType="solid">
        <fgColor rgb="FF7030A0"/>
        <bgColor rgb="FF7030A0"/>
      </patternFill>
    </fill>
    <fill>
      <patternFill patternType="solid">
        <fgColor rgb="FF00FFFF"/>
        <bgColor indexed="64"/>
      </patternFill>
    </fill>
    <fill>
      <patternFill patternType="solid">
        <fgColor rgb="FFDAEEF3"/>
        <bgColor rgb="FFDAEEF3"/>
      </patternFill>
    </fill>
    <fill>
      <patternFill patternType="solid">
        <fgColor rgb="FFD9E1F2"/>
        <bgColor rgb="FFD9E1F2"/>
      </patternFill>
    </fill>
    <fill>
      <patternFill patternType="solid">
        <fgColor theme="1"/>
        <bgColor theme="1"/>
      </patternFill>
    </fill>
    <fill>
      <patternFill patternType="solid">
        <fgColor rgb="FFC55A11"/>
        <bgColor rgb="FFC55A11"/>
      </patternFill>
    </fill>
    <fill>
      <patternFill patternType="solid">
        <fgColor rgb="FF00FF00"/>
        <bgColor indexed="64"/>
      </patternFill>
    </fill>
    <fill>
      <patternFill patternType="solid">
        <fgColor theme="7" tint="0.79992065187536243"/>
        <bgColor indexed="64"/>
      </patternFill>
    </fill>
    <fill>
      <patternFill patternType="solid">
        <fgColor rgb="FFFFFF00"/>
        <bgColor rgb="FFFFFF00"/>
      </patternFill>
    </fill>
    <fill>
      <patternFill patternType="solid">
        <fgColor rgb="FFFFFF00"/>
        <bgColor rgb="FFFCE5CD"/>
      </patternFill>
    </fill>
  </fills>
  <borders count="27">
    <border>
      <left/>
      <right/>
      <top/>
      <bottom/>
      <diagonal/>
    </border>
    <border>
      <left/>
      <right/>
      <top/>
      <bottom style="thin">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top/>
      <bottom/>
      <diagonal/>
    </border>
    <border>
      <left/>
      <right style="thin">
        <color auto="1"/>
      </right>
      <top/>
      <bottom/>
      <diagonal/>
    </border>
    <border>
      <left style="medium">
        <color rgb="FF000000"/>
      </left>
      <right/>
      <top/>
      <bottom style="thin">
        <color rgb="FF000000"/>
      </bottom>
      <diagonal/>
    </border>
    <border>
      <left/>
      <right style="medium">
        <color rgb="FF000000"/>
      </right>
      <top/>
      <bottom style="thin">
        <color rgb="FF000000"/>
      </bottom>
      <diagonal/>
    </border>
  </borders>
  <cellStyleXfs count="1">
    <xf numFmtId="0" fontId="0" fillId="0" borderId="0"/>
  </cellStyleXfs>
  <cellXfs count="210">
    <xf numFmtId="0" fontId="0" fillId="0" borderId="0" xfId="0"/>
    <xf numFmtId="0" fontId="1" fillId="0" borderId="0" xfId="0" applyFont="1"/>
    <xf numFmtId="0" fontId="3" fillId="3" borderId="0" xfId="0" applyFont="1" applyFill="1" applyAlignment="1">
      <alignment horizontal="center" vertical="center"/>
    </xf>
    <xf numFmtId="0" fontId="3" fillId="3" borderId="0" xfId="0" applyFont="1" applyFill="1" applyAlignment="1">
      <alignment vertical="center"/>
    </xf>
    <xf numFmtId="0" fontId="4" fillId="0" borderId="0" xfId="0" applyFont="1" applyAlignment="1">
      <alignment vertical="center"/>
    </xf>
    <xf numFmtId="0" fontId="3" fillId="4" borderId="0" xfId="0" applyFont="1" applyFill="1" applyAlignment="1">
      <alignment vertical="center"/>
    </xf>
    <xf numFmtId="0" fontId="5" fillId="5" borderId="0" xfId="0" applyFont="1" applyFill="1"/>
    <xf numFmtId="0" fontId="6" fillId="6" borderId="0" xfId="0" applyFont="1" applyFill="1" applyAlignment="1">
      <alignment horizontal="center"/>
    </xf>
    <xf numFmtId="0" fontId="7" fillId="4" borderId="0" xfId="0" applyFont="1" applyFill="1"/>
    <xf numFmtId="9" fontId="1" fillId="0" borderId="0" xfId="0" applyNumberFormat="1" applyFont="1"/>
    <xf numFmtId="0" fontId="1" fillId="0" borderId="1" xfId="0" applyFont="1" applyBorder="1"/>
    <xf numFmtId="2" fontId="1" fillId="0" borderId="1" xfId="0" applyNumberFormat="1" applyFont="1" applyBorder="1"/>
    <xf numFmtId="2" fontId="1" fillId="0" borderId="0" xfId="0" applyNumberFormat="1" applyFont="1"/>
    <xf numFmtId="0" fontId="6" fillId="0" borderId="1" xfId="0" applyFont="1" applyBorder="1"/>
    <xf numFmtId="2" fontId="6" fillId="0" borderId="1" xfId="0" applyNumberFormat="1" applyFont="1" applyBorder="1"/>
    <xf numFmtId="0" fontId="1" fillId="0" borderId="0" xfId="0" applyFont="1" applyAlignment="1">
      <alignment vertical="center"/>
    </xf>
    <xf numFmtId="0" fontId="1" fillId="0" borderId="1" xfId="0" applyFont="1" applyBorder="1" applyAlignment="1">
      <alignment vertical="center"/>
    </xf>
    <xf numFmtId="0" fontId="3" fillId="4" borderId="0" xfId="0" applyFont="1" applyFill="1"/>
    <xf numFmtId="0" fontId="5" fillId="0" borderId="0" xfId="0" applyFont="1"/>
    <xf numFmtId="2" fontId="8" fillId="0" borderId="0" xfId="0" applyNumberFormat="1" applyFont="1"/>
    <xf numFmtId="2" fontId="8" fillId="0" borderId="1" xfId="0" applyNumberFormat="1" applyFont="1" applyBorder="1"/>
    <xf numFmtId="0" fontId="4" fillId="0" borderId="0" xfId="0" applyFont="1"/>
    <xf numFmtId="0" fontId="9" fillId="7" borderId="0" xfId="0" applyFont="1" applyFill="1" applyAlignment="1">
      <alignment horizontal="center"/>
    </xf>
    <xf numFmtId="0" fontId="1" fillId="7" borderId="0" xfId="0" applyFont="1" applyFill="1"/>
    <xf numFmtId="2" fontId="9" fillId="7" borderId="0" xfId="0" applyNumberFormat="1" applyFont="1" applyFill="1" applyAlignment="1">
      <alignment horizontal="center"/>
    </xf>
    <xf numFmtId="2" fontId="1" fillId="7" borderId="0" xfId="0" applyNumberFormat="1" applyFont="1" applyFill="1"/>
    <xf numFmtId="0" fontId="6" fillId="8" borderId="1" xfId="0" applyFont="1" applyFill="1" applyBorder="1"/>
    <xf numFmtId="2" fontId="6" fillId="8" borderId="1" xfId="0" applyNumberFormat="1" applyFont="1" applyFill="1" applyBorder="1"/>
    <xf numFmtId="0" fontId="4" fillId="9" borderId="0" xfId="0" applyFont="1" applyFill="1"/>
    <xf numFmtId="0" fontId="6" fillId="9" borderId="0" xfId="0" applyFont="1" applyFill="1"/>
    <xf numFmtId="0" fontId="10" fillId="4" borderId="0" xfId="0" applyFont="1" applyFill="1"/>
    <xf numFmtId="0" fontId="11" fillId="10" borderId="0" xfId="0" applyFont="1" applyFill="1"/>
    <xf numFmtId="0" fontId="6" fillId="9" borderId="0" xfId="0" applyFont="1" applyFill="1" applyAlignment="1">
      <alignment horizontal="center"/>
    </xf>
    <xf numFmtId="0" fontId="6" fillId="8" borderId="0" xfId="0" applyFont="1" applyFill="1" applyAlignment="1">
      <alignment horizontal="center"/>
    </xf>
    <xf numFmtId="2" fontId="1" fillId="8" borderId="0" xfId="0" applyNumberFormat="1" applyFont="1" applyFill="1"/>
    <xf numFmtId="0" fontId="3" fillId="11" borderId="0" xfId="0" applyFont="1" applyFill="1" applyAlignment="1">
      <alignment horizontal="left"/>
    </xf>
    <xf numFmtId="0" fontId="3" fillId="11" borderId="0" xfId="0" applyFont="1" applyFill="1" applyAlignment="1">
      <alignment horizontal="center"/>
    </xf>
    <xf numFmtId="0" fontId="7" fillId="11" borderId="0" xfId="0" applyFont="1" applyFill="1" applyAlignment="1">
      <alignment horizontal="left"/>
    </xf>
    <xf numFmtId="2" fontId="7" fillId="11" borderId="0" xfId="0" applyNumberFormat="1" applyFont="1" applyFill="1" applyAlignment="1">
      <alignment horizontal="center"/>
    </xf>
    <xf numFmtId="9" fontId="7" fillId="11" borderId="0" xfId="0" applyNumberFormat="1" applyFont="1" applyFill="1" applyAlignment="1">
      <alignment horizontal="center"/>
    </xf>
    <xf numFmtId="0" fontId="7" fillId="11" borderId="0" xfId="0" applyFont="1" applyFill="1" applyAlignment="1">
      <alignment horizontal="center"/>
    </xf>
    <xf numFmtId="0" fontId="12" fillId="0" borderId="0" xfId="0" applyFont="1" applyAlignment="1">
      <alignment horizontal="center"/>
    </xf>
    <xf numFmtId="0" fontId="3" fillId="3" borderId="0" xfId="0" applyFont="1" applyFill="1" applyAlignment="1">
      <alignment horizontal="center"/>
    </xf>
    <xf numFmtId="0" fontId="7" fillId="0" borderId="0" xfId="0" applyFont="1" applyAlignment="1">
      <alignment horizontal="center"/>
    </xf>
    <xf numFmtId="0" fontId="7" fillId="4" borderId="0" xfId="0" applyFont="1" applyFill="1" applyAlignment="1">
      <alignment horizontal="center"/>
    </xf>
    <xf numFmtId="9" fontId="7" fillId="4" borderId="0" xfId="0" applyNumberFormat="1" applyFont="1" applyFill="1" applyAlignment="1">
      <alignment horizontal="center"/>
    </xf>
    <xf numFmtId="2" fontId="7" fillId="4" borderId="0" xfId="0" applyNumberFormat="1" applyFont="1" applyFill="1" applyAlignment="1">
      <alignment horizontal="center"/>
    </xf>
    <xf numFmtId="0" fontId="3" fillId="0" borderId="0" xfId="0" applyFont="1"/>
    <xf numFmtId="2" fontId="7" fillId="12" borderId="0" xfId="0" applyNumberFormat="1" applyFont="1" applyFill="1" applyAlignment="1">
      <alignment horizontal="center"/>
    </xf>
    <xf numFmtId="0" fontId="13" fillId="0" borderId="0" xfId="0" applyFont="1"/>
    <xf numFmtId="0" fontId="7" fillId="4" borderId="2" xfId="0" applyFont="1" applyFill="1" applyBorder="1" applyAlignment="1">
      <alignment horizontal="center"/>
    </xf>
    <xf numFmtId="9" fontId="7" fillId="4" borderId="3" xfId="0" applyNumberFormat="1" applyFont="1" applyFill="1" applyBorder="1" applyAlignment="1">
      <alignment horizontal="center"/>
    </xf>
    <xf numFmtId="9" fontId="7" fillId="4" borderId="4" xfId="0" applyNumberFormat="1" applyFont="1" applyFill="1" applyBorder="1" applyAlignment="1">
      <alignment horizontal="center"/>
    </xf>
    <xf numFmtId="0" fontId="7" fillId="4" borderId="5" xfId="0" applyFont="1" applyFill="1" applyBorder="1" applyAlignment="1">
      <alignment horizontal="center"/>
    </xf>
    <xf numFmtId="2" fontId="7" fillId="4" borderId="6" xfId="0" applyNumberFormat="1" applyFont="1" applyFill="1" applyBorder="1" applyAlignment="1">
      <alignment horizontal="center"/>
    </xf>
    <xf numFmtId="0" fontId="1" fillId="8" borderId="0" xfId="0" applyFont="1" applyFill="1"/>
    <xf numFmtId="0" fontId="1" fillId="9" borderId="0" xfId="0" applyFont="1" applyFill="1"/>
    <xf numFmtId="0" fontId="3" fillId="3" borderId="7" xfId="0" applyFont="1" applyFill="1" applyBorder="1" applyAlignment="1">
      <alignment horizontal="center"/>
    </xf>
    <xf numFmtId="2" fontId="3" fillId="3" borderId="8" xfId="0" applyNumberFormat="1" applyFont="1" applyFill="1" applyBorder="1" applyAlignment="1">
      <alignment horizontal="center"/>
    </xf>
    <xf numFmtId="2" fontId="3" fillId="3" borderId="9" xfId="0" applyNumberFormat="1" applyFont="1" applyFill="1" applyBorder="1" applyAlignment="1">
      <alignment horizontal="center"/>
    </xf>
    <xf numFmtId="0" fontId="14" fillId="0" borderId="0" xfId="0" applyFont="1"/>
    <xf numFmtId="0" fontId="1" fillId="0" borderId="0" xfId="0" applyFont="1" applyAlignment="1">
      <alignment horizontal="center"/>
    </xf>
    <xf numFmtId="0" fontId="14" fillId="0" borderId="0" xfId="0" applyFont="1" applyAlignment="1">
      <alignment horizontal="center"/>
    </xf>
    <xf numFmtId="0" fontId="15" fillId="4" borderId="10" xfId="0" applyFont="1" applyFill="1" applyBorder="1" applyAlignment="1">
      <alignment horizontal="center"/>
    </xf>
    <xf numFmtId="0" fontId="11" fillId="10" borderId="11" xfId="0" applyFont="1" applyFill="1" applyBorder="1"/>
    <xf numFmtId="0" fontId="6" fillId="9" borderId="12" xfId="0" applyFont="1" applyFill="1" applyBorder="1" applyAlignment="1">
      <alignment horizontal="center"/>
    </xf>
    <xf numFmtId="0" fontId="1" fillId="0" borderId="12" xfId="0" applyFont="1" applyBorder="1" applyAlignment="1">
      <alignment horizontal="center"/>
    </xf>
    <xf numFmtId="2" fontId="1" fillId="0" borderId="0" xfId="0" applyNumberFormat="1" applyFont="1" applyAlignment="1">
      <alignment horizontal="center"/>
    </xf>
    <xf numFmtId="0" fontId="16" fillId="0" borderId="12" xfId="0" applyFont="1" applyBorder="1" applyAlignment="1">
      <alignment horizontal="center"/>
    </xf>
    <xf numFmtId="10" fontId="1" fillId="0" borderId="0" xfId="0" applyNumberFormat="1" applyFont="1" applyAlignment="1">
      <alignment horizontal="center"/>
    </xf>
    <xf numFmtId="4" fontId="1" fillId="0" borderId="0" xfId="0" applyNumberFormat="1" applyFont="1" applyAlignment="1">
      <alignment horizontal="center"/>
    </xf>
    <xf numFmtId="9" fontId="1" fillId="0" borderId="0" xfId="0" applyNumberFormat="1" applyFont="1" applyAlignment="1">
      <alignment horizontal="center"/>
    </xf>
    <xf numFmtId="0" fontId="6" fillId="13" borderId="12" xfId="0" applyFont="1" applyFill="1" applyBorder="1" applyAlignment="1">
      <alignment horizontal="center"/>
    </xf>
    <xf numFmtId="2" fontId="1" fillId="13" borderId="0" xfId="0" applyNumberFormat="1" applyFont="1" applyFill="1" applyAlignment="1">
      <alignment horizontal="center"/>
    </xf>
    <xf numFmtId="0" fontId="6" fillId="13" borderId="13" xfId="0" applyFont="1" applyFill="1" applyBorder="1" applyAlignment="1">
      <alignment horizontal="center"/>
    </xf>
    <xf numFmtId="2" fontId="1" fillId="13" borderId="1" xfId="0" applyNumberFormat="1" applyFont="1" applyFill="1" applyBorder="1" applyAlignment="1">
      <alignment horizontal="center"/>
    </xf>
    <xf numFmtId="0" fontId="3" fillId="2" borderId="0" xfId="0" applyFont="1" applyFill="1" applyAlignment="1">
      <alignment horizontal="center"/>
    </xf>
    <xf numFmtId="2" fontId="17" fillId="2" borderId="0" xfId="0" applyNumberFormat="1" applyFont="1" applyFill="1" applyAlignment="1">
      <alignment horizontal="center"/>
    </xf>
    <xf numFmtId="9" fontId="7" fillId="2" borderId="0" xfId="0" applyNumberFormat="1" applyFont="1" applyFill="1" applyAlignment="1">
      <alignment horizontal="center"/>
    </xf>
    <xf numFmtId="10" fontId="18" fillId="2" borderId="0" xfId="0" applyNumberFormat="1" applyFont="1" applyFill="1"/>
    <xf numFmtId="0" fontId="14" fillId="2" borderId="0" xfId="0" applyFont="1" applyFill="1"/>
    <xf numFmtId="0" fontId="3" fillId="2" borderId="1" xfId="0" applyFont="1" applyFill="1" applyBorder="1" applyAlignment="1">
      <alignment horizontal="center"/>
    </xf>
    <xf numFmtId="2" fontId="7" fillId="2" borderId="0" xfId="0" applyNumberFormat="1" applyFont="1" applyFill="1" applyAlignment="1">
      <alignment horizontal="center"/>
    </xf>
    <xf numFmtId="0" fontId="3" fillId="3" borderId="0" xfId="0" applyFont="1" applyFill="1"/>
    <xf numFmtId="0" fontId="5" fillId="5" borderId="0" xfId="0" applyFont="1" applyFill="1" applyAlignment="1">
      <alignment horizontal="right"/>
    </xf>
    <xf numFmtId="0" fontId="3" fillId="4" borderId="0" xfId="0" applyFont="1" applyFill="1" applyAlignment="1">
      <alignment horizontal="right"/>
    </xf>
    <xf numFmtId="2" fontId="13" fillId="0" borderId="0" xfId="0" applyNumberFormat="1" applyFont="1" applyAlignment="1">
      <alignment horizontal="right"/>
    </xf>
    <xf numFmtId="0" fontId="13" fillId="0" borderId="1" xfId="0" applyFont="1" applyBorder="1"/>
    <xf numFmtId="2" fontId="13" fillId="0" borderId="1" xfId="0" applyNumberFormat="1" applyFont="1" applyBorder="1" applyAlignment="1">
      <alignment horizontal="right"/>
    </xf>
    <xf numFmtId="0" fontId="19" fillId="0" borderId="0" xfId="0" applyFont="1"/>
    <xf numFmtId="0" fontId="20" fillId="0" borderId="0" xfId="0" applyFont="1"/>
    <xf numFmtId="0" fontId="21" fillId="0" borderId="0" xfId="0" applyFont="1"/>
    <xf numFmtId="2" fontId="13" fillId="0" borderId="0" xfId="0" applyNumberFormat="1" applyFont="1"/>
    <xf numFmtId="0" fontId="13" fillId="0" borderId="0" xfId="0" applyFont="1" applyAlignment="1">
      <alignment horizontal="right"/>
    </xf>
    <xf numFmtId="0" fontId="6" fillId="14" borderId="1" xfId="0" applyFont="1" applyFill="1" applyBorder="1"/>
    <xf numFmtId="2" fontId="6" fillId="14" borderId="1" xfId="0" applyNumberFormat="1" applyFont="1" applyFill="1" applyBorder="1" applyAlignment="1">
      <alignment horizontal="right"/>
    </xf>
    <xf numFmtId="0" fontId="11" fillId="10" borderId="14" xfId="0" applyFont="1" applyFill="1" applyBorder="1"/>
    <xf numFmtId="0" fontId="3" fillId="4" borderId="15" xfId="0" applyFont="1" applyFill="1" applyBorder="1"/>
    <xf numFmtId="2" fontId="1" fillId="0" borderId="15" xfId="0" applyNumberFormat="1" applyFont="1" applyBorder="1" applyAlignment="1">
      <alignment horizontal="center"/>
    </xf>
    <xf numFmtId="10" fontId="1" fillId="0" borderId="15" xfId="0" applyNumberFormat="1" applyFont="1" applyBorder="1" applyAlignment="1">
      <alignment horizontal="center"/>
    </xf>
    <xf numFmtId="4" fontId="1" fillId="0" borderId="15" xfId="0" applyNumberFormat="1" applyFont="1" applyBorder="1" applyAlignment="1">
      <alignment horizontal="center"/>
    </xf>
    <xf numFmtId="9" fontId="1" fillId="0" borderId="15" xfId="0" applyNumberFormat="1" applyFont="1" applyBorder="1" applyAlignment="1">
      <alignment horizontal="center"/>
    </xf>
    <xf numFmtId="2" fontId="1" fillId="13" borderId="15" xfId="0" applyNumberFormat="1" applyFont="1" applyFill="1" applyBorder="1" applyAlignment="1">
      <alignment horizontal="center"/>
    </xf>
    <xf numFmtId="2" fontId="1" fillId="13" borderId="16" xfId="0" applyNumberFormat="1" applyFont="1" applyFill="1" applyBorder="1" applyAlignment="1">
      <alignment horizontal="center"/>
    </xf>
    <xf numFmtId="0" fontId="3" fillId="4" borderId="11" xfId="0" applyFont="1" applyFill="1" applyBorder="1" applyAlignment="1">
      <alignment horizontal="center"/>
    </xf>
    <xf numFmtId="0" fontId="22" fillId="5" borderId="11" xfId="0" applyFont="1" applyFill="1" applyBorder="1" applyAlignment="1">
      <alignment horizontal="center"/>
    </xf>
    <xf numFmtId="0" fontId="23" fillId="0" borderId="0" xfId="0" applyFont="1" applyAlignment="1">
      <alignment horizontal="center"/>
    </xf>
    <xf numFmtId="0" fontId="24" fillId="4" borderId="0" xfId="0" applyFont="1" applyFill="1" applyAlignment="1">
      <alignment horizontal="center"/>
    </xf>
    <xf numFmtId="0" fontId="25" fillId="0" borderId="0" xfId="0" applyFont="1" applyAlignment="1">
      <alignment horizontal="center"/>
    </xf>
    <xf numFmtId="0" fontId="26" fillId="0" borderId="0" xfId="0" applyFont="1" applyAlignment="1">
      <alignment horizontal="center"/>
    </xf>
    <xf numFmtId="0" fontId="13" fillId="0" borderId="0" xfId="0" applyFont="1" applyAlignment="1">
      <alignment horizontal="center"/>
    </xf>
    <xf numFmtId="2" fontId="13" fillId="0" borderId="0" xfId="0" applyNumberFormat="1" applyFont="1" applyAlignment="1">
      <alignment horizontal="center"/>
    </xf>
    <xf numFmtId="0" fontId="6" fillId="0" borderId="0" xfId="0" applyFont="1" applyAlignment="1">
      <alignment horizontal="center"/>
    </xf>
    <xf numFmtId="0" fontId="27" fillId="0" borderId="0" xfId="0" applyFont="1" applyAlignment="1">
      <alignment horizontal="center"/>
    </xf>
    <xf numFmtId="0" fontId="3" fillId="3" borderId="1" xfId="0" applyFont="1" applyFill="1" applyBorder="1" applyAlignment="1">
      <alignment horizontal="center"/>
    </xf>
    <xf numFmtId="2" fontId="3" fillId="3" borderId="1" xfId="0" applyNumberFormat="1" applyFont="1" applyFill="1" applyBorder="1" applyAlignment="1">
      <alignment horizontal="center"/>
    </xf>
    <xf numFmtId="0" fontId="4" fillId="8" borderId="10" xfId="0" applyFont="1" applyFill="1" applyBorder="1" applyAlignment="1">
      <alignment horizontal="center" vertical="center"/>
    </xf>
    <xf numFmtId="0" fontId="4" fillId="8" borderId="11" xfId="0" applyFont="1" applyFill="1" applyBorder="1" applyAlignment="1">
      <alignment horizontal="center" vertical="center"/>
    </xf>
    <xf numFmtId="0" fontId="29" fillId="16" borderId="12" xfId="0" applyFont="1" applyFill="1" applyBorder="1" applyAlignment="1">
      <alignment horizontal="center" vertical="center"/>
    </xf>
    <xf numFmtId="0" fontId="30" fillId="8" borderId="0" xfId="0" applyFont="1" applyFill="1" applyAlignment="1">
      <alignment horizontal="center"/>
    </xf>
    <xf numFmtId="0" fontId="30" fillId="8" borderId="0" xfId="0" applyFont="1" applyFill="1" applyAlignment="1">
      <alignment horizontal="center" vertical="center"/>
    </xf>
    <xf numFmtId="0" fontId="30" fillId="8" borderId="12" xfId="0" applyFont="1" applyFill="1" applyBorder="1" applyAlignment="1">
      <alignment horizontal="center" vertical="center"/>
    </xf>
    <xf numFmtId="0" fontId="31" fillId="16" borderId="12" xfId="0" applyFont="1" applyFill="1" applyBorder="1" applyAlignment="1">
      <alignment horizontal="center" vertical="center"/>
    </xf>
    <xf numFmtId="0" fontId="32" fillId="8" borderId="12" xfId="0" applyFont="1" applyFill="1" applyBorder="1" applyAlignment="1">
      <alignment horizontal="center" vertical="center"/>
    </xf>
    <xf numFmtId="0" fontId="1" fillId="8" borderId="0" xfId="0" applyFont="1" applyFill="1" applyAlignment="1">
      <alignment horizontal="center" vertical="center"/>
    </xf>
    <xf numFmtId="0" fontId="1" fillId="8" borderId="12" xfId="0" applyFont="1" applyFill="1" applyBorder="1" applyAlignment="1">
      <alignment horizontal="center" vertical="center"/>
    </xf>
    <xf numFmtId="1" fontId="1" fillId="8" borderId="0" xfId="0" applyNumberFormat="1" applyFont="1" applyFill="1" applyAlignment="1">
      <alignment horizontal="center" vertical="center"/>
    </xf>
    <xf numFmtId="1" fontId="1" fillId="8" borderId="12" xfId="0" applyNumberFormat="1" applyFont="1" applyFill="1" applyBorder="1" applyAlignment="1">
      <alignment horizontal="center" vertical="center"/>
    </xf>
    <xf numFmtId="0" fontId="33" fillId="8" borderId="12" xfId="0" applyFont="1" applyFill="1" applyBorder="1" applyAlignment="1">
      <alignment horizontal="center" vertical="center"/>
    </xf>
    <xf numFmtId="0" fontId="33" fillId="8" borderId="0" xfId="0" applyFont="1" applyFill="1" applyAlignment="1">
      <alignment horizontal="center" vertical="center"/>
    </xf>
    <xf numFmtId="1" fontId="33" fillId="8" borderId="0" xfId="0" applyNumberFormat="1" applyFont="1" applyFill="1" applyAlignment="1">
      <alignment horizontal="center" vertical="center"/>
    </xf>
    <xf numFmtId="1" fontId="33" fillId="8" borderId="12" xfId="0" applyNumberFormat="1" applyFont="1" applyFill="1" applyBorder="1" applyAlignment="1">
      <alignment horizontal="center" vertical="center"/>
    </xf>
    <xf numFmtId="1" fontId="4" fillId="8" borderId="0" xfId="0" applyNumberFormat="1" applyFont="1" applyFill="1" applyAlignment="1">
      <alignment horizontal="center" vertical="center"/>
    </xf>
    <xf numFmtId="0" fontId="1" fillId="8" borderId="15" xfId="0" applyFont="1" applyFill="1" applyBorder="1" applyAlignment="1">
      <alignment horizontal="center" vertical="center"/>
    </xf>
    <xf numFmtId="9" fontId="1" fillId="8" borderId="0" xfId="0" applyNumberFormat="1" applyFont="1" applyFill="1" applyAlignment="1">
      <alignment horizontal="center" vertical="center"/>
    </xf>
    <xf numFmtId="0" fontId="34" fillId="8" borderId="12" xfId="0" applyFont="1" applyFill="1" applyBorder="1" applyAlignment="1">
      <alignment horizontal="center" vertical="center"/>
    </xf>
    <xf numFmtId="0" fontId="31" fillId="16" borderId="12" xfId="0" applyFont="1" applyFill="1" applyBorder="1" applyAlignment="1">
      <alignment horizontal="center"/>
    </xf>
    <xf numFmtId="0" fontId="4" fillId="8" borderId="0" xfId="0" applyFont="1" applyFill="1" applyAlignment="1">
      <alignment horizontal="center" vertical="center"/>
    </xf>
    <xf numFmtId="0" fontId="4" fillId="8" borderId="12" xfId="0" applyFont="1" applyFill="1" applyBorder="1" applyAlignment="1">
      <alignment horizontal="center" vertical="center"/>
    </xf>
    <xf numFmtId="9" fontId="1" fillId="17" borderId="0" xfId="0" applyNumberFormat="1" applyFont="1" applyFill="1" applyAlignment="1">
      <alignment horizontal="center" vertical="center"/>
    </xf>
    <xf numFmtId="0" fontId="1" fillId="8" borderId="13" xfId="0" applyFont="1" applyFill="1" applyBorder="1" applyAlignment="1">
      <alignment horizontal="center" vertical="center"/>
    </xf>
    <xf numFmtId="0" fontId="1" fillId="8" borderId="1" xfId="0" applyFont="1" applyFill="1" applyBorder="1" applyAlignment="1">
      <alignment horizontal="center" vertical="center"/>
    </xf>
    <xf numFmtId="9" fontId="1" fillId="8" borderId="1" xfId="0" applyNumberFormat="1" applyFont="1" applyFill="1" applyBorder="1" applyAlignment="1">
      <alignment horizontal="center" vertical="center"/>
    </xf>
    <xf numFmtId="0" fontId="30" fillId="8" borderId="15" xfId="0" applyFont="1" applyFill="1" applyBorder="1" applyAlignment="1">
      <alignment horizontal="center" vertical="center"/>
    </xf>
    <xf numFmtId="0" fontId="1" fillId="17" borderId="0" xfId="0" applyFont="1" applyFill="1" applyAlignment="1">
      <alignment horizontal="center" vertical="center"/>
    </xf>
    <xf numFmtId="1" fontId="1" fillId="17" borderId="0" xfId="0" applyNumberFormat="1" applyFont="1" applyFill="1" applyAlignment="1">
      <alignment horizontal="center" vertical="center"/>
    </xf>
    <xf numFmtId="1" fontId="1" fillId="8" borderId="15" xfId="0" applyNumberFormat="1" applyFont="1" applyFill="1" applyBorder="1" applyAlignment="1">
      <alignment horizontal="center" vertical="center"/>
    </xf>
    <xf numFmtId="0" fontId="13" fillId="8" borderId="0" xfId="0" applyFont="1" applyFill="1" applyAlignment="1">
      <alignment horizontal="center" vertical="center"/>
    </xf>
    <xf numFmtId="1" fontId="33" fillId="8" borderId="15" xfId="0" applyNumberFormat="1" applyFont="1" applyFill="1" applyBorder="1" applyAlignment="1">
      <alignment horizontal="center" vertical="center"/>
    </xf>
    <xf numFmtId="0" fontId="35" fillId="8" borderId="0" xfId="0" applyFont="1" applyFill="1" applyAlignment="1">
      <alignment horizontal="center" vertical="center"/>
    </xf>
    <xf numFmtId="0" fontId="10" fillId="16" borderId="12" xfId="0" applyFont="1" applyFill="1" applyBorder="1" applyAlignment="1">
      <alignment horizontal="center" vertical="center"/>
    </xf>
    <xf numFmtId="2" fontId="1" fillId="17" borderId="0" xfId="0" applyNumberFormat="1" applyFont="1" applyFill="1" applyAlignment="1">
      <alignment horizontal="center" vertical="center"/>
    </xf>
    <xf numFmtId="0" fontId="33" fillId="8" borderId="15" xfId="0" applyFont="1" applyFill="1" applyBorder="1" applyAlignment="1">
      <alignment horizontal="center" vertical="center"/>
    </xf>
    <xf numFmtId="0" fontId="31" fillId="16" borderId="0" xfId="0" applyFont="1" applyFill="1" applyAlignment="1">
      <alignment horizontal="center"/>
    </xf>
    <xf numFmtId="0" fontId="3" fillId="16" borderId="12" xfId="0" applyFont="1" applyFill="1" applyBorder="1" applyAlignment="1">
      <alignment horizontal="center" vertical="center"/>
    </xf>
    <xf numFmtId="0" fontId="35" fillId="8" borderId="15" xfId="0" applyFont="1" applyFill="1" applyBorder="1" applyAlignment="1">
      <alignment horizontal="center" vertical="center"/>
    </xf>
    <xf numFmtId="0" fontId="1" fillId="8" borderId="16" xfId="0" applyFont="1" applyFill="1" applyBorder="1" applyAlignment="1">
      <alignment horizontal="center" vertical="center"/>
    </xf>
    <xf numFmtId="0" fontId="36" fillId="0" borderId="0" xfId="0" applyFont="1"/>
    <xf numFmtId="0" fontId="1" fillId="18" borderId="0" xfId="0" applyFont="1" applyFill="1" applyAlignment="1">
      <alignment horizontal="center" vertical="center"/>
    </xf>
    <xf numFmtId="0" fontId="3" fillId="4" borderId="0" xfId="0" applyFont="1" applyFill="1" applyAlignment="1">
      <alignment horizontal="center"/>
    </xf>
    <xf numFmtId="0" fontId="38" fillId="3" borderId="20" xfId="0" applyFont="1" applyFill="1" applyBorder="1" applyAlignment="1">
      <alignment horizontal="center"/>
    </xf>
    <xf numFmtId="9" fontId="39" fillId="5" borderId="11" xfId="0" applyNumberFormat="1" applyFont="1" applyFill="1" applyBorder="1" applyAlignment="1">
      <alignment horizontal="center"/>
    </xf>
    <xf numFmtId="9" fontId="39" fillId="5" borderId="14" xfId="0" applyNumberFormat="1" applyFont="1" applyFill="1" applyBorder="1" applyAlignment="1">
      <alignment horizontal="center"/>
    </xf>
    <xf numFmtId="0" fontId="37" fillId="0" borderId="21" xfId="0" applyFont="1" applyBorder="1" applyAlignment="1">
      <alignment horizontal="center"/>
    </xf>
    <xf numFmtId="2" fontId="14" fillId="0" borderId="0" xfId="0" applyNumberFormat="1" applyFont="1" applyAlignment="1">
      <alignment horizontal="center"/>
    </xf>
    <xf numFmtId="2" fontId="14" fillId="0" borderId="15" xfId="0" applyNumberFormat="1" applyFont="1" applyBorder="1" applyAlignment="1">
      <alignment horizontal="center"/>
    </xf>
    <xf numFmtId="2" fontId="0" fillId="0" borderId="12" xfId="0" applyNumberFormat="1" applyBorder="1" applyAlignment="1">
      <alignment horizontal="center"/>
    </xf>
    <xf numFmtId="0" fontId="37" fillId="0" borderId="22" xfId="0" applyFont="1" applyBorder="1" applyAlignment="1">
      <alignment horizontal="center"/>
    </xf>
    <xf numFmtId="2" fontId="14" fillId="0" borderId="1" xfId="0" applyNumberFormat="1" applyFont="1" applyBorder="1" applyAlignment="1">
      <alignment horizontal="center"/>
    </xf>
    <xf numFmtId="2" fontId="14" fillId="0" borderId="16" xfId="0" applyNumberFormat="1" applyFont="1" applyBorder="1" applyAlignment="1">
      <alignment horizontal="center"/>
    </xf>
    <xf numFmtId="0" fontId="40" fillId="3" borderId="10" xfId="0" applyFont="1" applyFill="1" applyBorder="1" applyAlignment="1">
      <alignment horizontal="center"/>
    </xf>
    <xf numFmtId="0" fontId="39" fillId="5" borderId="10" xfId="0" applyFont="1" applyFill="1" applyBorder="1" applyAlignment="1">
      <alignment horizontal="center"/>
    </xf>
    <xf numFmtId="0" fontId="39" fillId="5" borderId="20" xfId="0" applyFont="1" applyFill="1" applyBorder="1" applyAlignment="1">
      <alignment horizontal="center"/>
    </xf>
    <xf numFmtId="0" fontId="39" fillId="5" borderId="14" xfId="0" applyFont="1" applyFill="1" applyBorder="1" applyAlignment="1">
      <alignment horizontal="center"/>
    </xf>
    <xf numFmtId="0" fontId="37" fillId="0" borderId="12" xfId="0" applyFont="1" applyBorder="1" applyAlignment="1">
      <alignment horizontal="center"/>
    </xf>
    <xf numFmtId="9" fontId="14" fillId="0" borderId="12" xfId="0" applyNumberFormat="1" applyFont="1" applyBorder="1" applyAlignment="1">
      <alignment horizontal="center"/>
    </xf>
    <xf numFmtId="9" fontId="14" fillId="0" borderId="21" xfId="0" applyNumberFormat="1" applyFont="1" applyBorder="1" applyAlignment="1">
      <alignment horizontal="center"/>
    </xf>
    <xf numFmtId="9" fontId="14" fillId="0" borderId="15" xfId="0" applyNumberFormat="1" applyFont="1" applyBorder="1" applyAlignment="1">
      <alignment horizontal="center"/>
    </xf>
    <xf numFmtId="0" fontId="37" fillId="0" borderId="13" xfId="0" applyFont="1" applyBorder="1" applyAlignment="1">
      <alignment horizontal="center"/>
    </xf>
    <xf numFmtId="9" fontId="14" fillId="0" borderId="13" xfId="0" applyNumberFormat="1" applyFont="1" applyBorder="1" applyAlignment="1">
      <alignment horizontal="center"/>
    </xf>
    <xf numFmtId="9" fontId="14" fillId="0" borderId="22" xfId="0" applyNumberFormat="1" applyFont="1" applyBorder="1" applyAlignment="1">
      <alignment horizontal="center"/>
    </xf>
    <xf numFmtId="9" fontId="14" fillId="0" borderId="16" xfId="0" applyNumberFormat="1" applyFont="1" applyBorder="1" applyAlignment="1">
      <alignment horizontal="center"/>
    </xf>
    <xf numFmtId="2" fontId="0" fillId="0" borderId="0" xfId="0" applyNumberFormat="1" applyAlignment="1">
      <alignment horizontal="center"/>
    </xf>
    <xf numFmtId="2" fontId="0" fillId="0" borderId="23" xfId="0" applyNumberFormat="1" applyBorder="1" applyAlignment="1">
      <alignment horizontal="center"/>
    </xf>
    <xf numFmtId="0" fontId="41" fillId="0" borderId="0" xfId="0" applyFont="1"/>
    <xf numFmtId="2" fontId="0" fillId="0" borderId="24" xfId="0" applyNumberFormat="1" applyBorder="1" applyAlignment="1">
      <alignment horizontal="center"/>
    </xf>
    <xf numFmtId="0" fontId="43" fillId="0" borderId="0" xfId="0" applyFont="1"/>
    <xf numFmtId="0" fontId="44" fillId="16" borderId="22" xfId="0" applyFont="1" applyFill="1" applyBorder="1" applyAlignment="1">
      <alignment horizontal="center"/>
    </xf>
    <xf numFmtId="0" fontId="43" fillId="19" borderId="16" xfId="0" applyFont="1" applyFill="1" applyBorder="1" applyAlignment="1">
      <alignment horizontal="center"/>
    </xf>
    <xf numFmtId="0" fontId="45" fillId="20" borderId="16" xfId="0" applyFont="1" applyFill="1" applyBorder="1" applyAlignment="1">
      <alignment horizontal="center"/>
    </xf>
    <xf numFmtId="0" fontId="45" fillId="19" borderId="16" xfId="0" applyFont="1" applyFill="1" applyBorder="1" applyAlignment="1">
      <alignment horizontal="center"/>
    </xf>
    <xf numFmtId="0" fontId="45" fillId="19" borderId="16" xfId="0" applyFont="1" applyFill="1" applyBorder="1" applyAlignment="1">
      <alignment horizontal="center" wrapText="1"/>
    </xf>
    <xf numFmtId="0" fontId="0" fillId="0" borderId="0" xfId="0" quotePrefix="1"/>
    <xf numFmtId="0" fontId="42" fillId="4" borderId="1" xfId="0" applyFont="1" applyFill="1" applyBorder="1" applyAlignment="1">
      <alignment horizontal="center"/>
    </xf>
    <xf numFmtId="0" fontId="28" fillId="0" borderId="1" xfId="0" applyFont="1" applyBorder="1"/>
    <xf numFmtId="0" fontId="37" fillId="0" borderId="0" xfId="0" applyFont="1" applyAlignment="1">
      <alignment horizontal="center"/>
    </xf>
    <xf numFmtId="0" fontId="0" fillId="0" borderId="0" xfId="0"/>
    <xf numFmtId="0" fontId="4" fillId="8" borderId="11" xfId="0" applyFont="1" applyFill="1" applyBorder="1" applyAlignment="1">
      <alignment horizontal="center" vertical="center"/>
    </xf>
    <xf numFmtId="0" fontId="28" fillId="0" borderId="11" xfId="0" applyFont="1" applyBorder="1"/>
    <xf numFmtId="0" fontId="4" fillId="8" borderId="10" xfId="0" applyFont="1" applyFill="1" applyBorder="1" applyAlignment="1">
      <alignment horizontal="center" vertical="center"/>
    </xf>
    <xf numFmtId="0" fontId="28" fillId="0" borderId="14" xfId="0" applyFont="1" applyBorder="1"/>
    <xf numFmtId="0" fontId="2" fillId="15" borderId="17" xfId="0" applyFont="1" applyFill="1" applyBorder="1" applyAlignment="1">
      <alignment horizontal="center" vertical="center"/>
    </xf>
    <xf numFmtId="0" fontId="2" fillId="15" borderId="18" xfId="0" applyFont="1" applyFill="1" applyBorder="1" applyAlignment="1">
      <alignment horizontal="center" vertical="center"/>
    </xf>
    <xf numFmtId="0" fontId="2" fillId="15" borderId="19" xfId="0" applyFont="1" applyFill="1" applyBorder="1" applyAlignment="1">
      <alignment horizontal="center" vertical="center"/>
    </xf>
    <xf numFmtId="0" fontId="2" fillId="15" borderId="25" xfId="0" applyFont="1" applyFill="1" applyBorder="1" applyAlignment="1">
      <alignment horizontal="center" vertical="center"/>
    </xf>
    <xf numFmtId="0" fontId="2" fillId="15" borderId="1" xfId="0" applyFont="1" applyFill="1" applyBorder="1" applyAlignment="1">
      <alignment horizontal="center" vertical="center"/>
    </xf>
    <xf numFmtId="0" fontId="2" fillId="15" borderId="26" xfId="0" applyFont="1" applyFill="1" applyBorder="1" applyAlignment="1">
      <alignment horizontal="center" vertical="center"/>
    </xf>
    <xf numFmtId="0" fontId="10" fillId="16" borderId="0" xfId="0" applyFont="1" applyFill="1" applyAlignment="1">
      <alignment horizontal="left" vertical="center"/>
    </xf>
    <xf numFmtId="0" fontId="2" fillId="2" borderId="0" xfId="0" applyFont="1" applyFill="1" applyAlignment="1">
      <alignment horizontal="center"/>
    </xf>
    <xf numFmtId="0" fontId="2" fillId="2" borderId="0" xfId="0" quotePrefix="1" applyFont="1" applyFill="1" applyAlignment="1">
      <alignment horizontal="center"/>
    </xf>
  </cellXfs>
  <cellStyles count="1">
    <cellStyle name="Normal" xfId="0" builtinId="0"/>
  </cellStyles>
  <dxfs count="0"/>
  <tableStyles count="0" defaultTableStyle="TableStyleMedium2" defaultPivotStyle="PivotStyleLight16"/>
  <colors>
    <mruColors>
      <color rgb="FFCFE2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83"/>
  <sheetViews>
    <sheetView topLeftCell="B4" zoomScale="121" zoomScaleNormal="121" workbookViewId="0">
      <selection activeCell="B6" sqref="B6"/>
    </sheetView>
  </sheetViews>
  <sheetFormatPr defaultColWidth="14.46484375" defaultRowHeight="15" customHeight="1"/>
  <cols>
    <col min="1" max="1" width="30.1328125" customWidth="1"/>
    <col min="2" max="2" width="121.53125" customWidth="1"/>
  </cols>
  <sheetData>
    <row r="1" spans="1:3" ht="25.5">
      <c r="A1" s="193" t="s">
        <v>0</v>
      </c>
      <c r="B1" s="194"/>
      <c r="C1" s="186"/>
    </row>
    <row r="2" spans="1:3" ht="14.65">
      <c r="A2" s="187" t="s">
        <v>1</v>
      </c>
      <c r="B2" s="188" t="s">
        <v>2</v>
      </c>
      <c r="C2" s="186"/>
    </row>
    <row r="3" spans="1:3" ht="24" customHeight="1">
      <c r="A3" s="187" t="s">
        <v>3</v>
      </c>
      <c r="B3" s="189" t="s">
        <v>4</v>
      </c>
      <c r="C3" s="186"/>
    </row>
    <row r="4" spans="1:3" ht="27.75" customHeight="1">
      <c r="A4" s="187" t="s">
        <v>5</v>
      </c>
      <c r="B4" s="189" t="s">
        <v>6</v>
      </c>
      <c r="C4" s="186"/>
    </row>
    <row r="5" spans="1:3" ht="26.25" customHeight="1">
      <c r="A5" s="187" t="s">
        <v>7</v>
      </c>
      <c r="B5" s="190" t="s">
        <v>8</v>
      </c>
      <c r="C5" s="186"/>
    </row>
    <row r="6" spans="1:3" ht="36" customHeight="1">
      <c r="A6" s="187" t="s">
        <v>9</v>
      </c>
      <c r="B6" s="189" t="s">
        <v>10</v>
      </c>
      <c r="C6" s="186"/>
    </row>
    <row r="7" spans="1:3" ht="38.25" customHeight="1">
      <c r="A7" s="187" t="s">
        <v>11</v>
      </c>
      <c r="B7" s="189" t="s">
        <v>12</v>
      </c>
      <c r="C7" s="186"/>
    </row>
    <row r="8" spans="1:3" ht="28.5">
      <c r="A8" s="187" t="s">
        <v>13</v>
      </c>
      <c r="B8" s="191" t="s">
        <v>14</v>
      </c>
      <c r="C8" s="186"/>
    </row>
    <row r="9" spans="1:3" ht="14.25">
      <c r="A9" s="186"/>
      <c r="B9" s="186"/>
      <c r="C9" s="186"/>
    </row>
    <row r="10" spans="1:3" ht="14.25">
      <c r="A10" s="186"/>
      <c r="B10" s="186"/>
      <c r="C10" s="186"/>
    </row>
    <row r="11" spans="1:3" ht="14.25">
      <c r="A11" s="186"/>
      <c r="B11" s="186"/>
      <c r="C11" s="186"/>
    </row>
    <row r="12" spans="1:3" ht="14.25">
      <c r="A12" s="186"/>
      <c r="B12" s="186"/>
      <c r="C12" s="186"/>
    </row>
    <row r="13" spans="1:3" ht="14.25">
      <c r="A13" s="186"/>
      <c r="B13" s="186"/>
      <c r="C13" s="186"/>
    </row>
    <row r="14" spans="1:3" ht="14.25">
      <c r="A14" s="186"/>
      <c r="B14" s="186"/>
      <c r="C14" s="186"/>
    </row>
    <row r="15" spans="1:3" ht="14.25">
      <c r="A15" s="186"/>
      <c r="B15" s="186"/>
      <c r="C15" s="186"/>
    </row>
    <row r="16" spans="1:3" ht="14.25">
      <c r="A16" s="186"/>
      <c r="B16" s="186"/>
      <c r="C16" s="186"/>
    </row>
    <row r="17" spans="1:3" ht="14.25">
      <c r="A17" s="186"/>
      <c r="B17" s="186"/>
      <c r="C17" s="186"/>
    </row>
    <row r="18" spans="1:3" ht="14.25">
      <c r="A18" s="186"/>
      <c r="B18" s="186"/>
      <c r="C18" s="186"/>
    </row>
    <row r="19" spans="1:3" ht="14.25">
      <c r="A19" s="186"/>
      <c r="B19" s="186"/>
      <c r="C19" s="186"/>
    </row>
    <row r="20" spans="1:3" ht="14.25">
      <c r="A20" s="186"/>
      <c r="B20" s="186"/>
      <c r="C20" s="186"/>
    </row>
    <row r="21" spans="1:3" ht="14.25">
      <c r="A21" s="186"/>
      <c r="B21" s="186"/>
      <c r="C21" s="186"/>
    </row>
    <row r="22" spans="1:3" ht="14.25">
      <c r="A22" s="186"/>
      <c r="B22" s="186"/>
      <c r="C22" s="186"/>
    </row>
    <row r="23" spans="1:3" ht="14.25">
      <c r="A23" s="186"/>
      <c r="B23" s="186"/>
      <c r="C23" s="186"/>
    </row>
    <row r="24" spans="1:3" ht="14.25">
      <c r="A24" s="186"/>
      <c r="B24" s="186"/>
      <c r="C24" s="186"/>
    </row>
    <row r="25" spans="1:3" ht="14.25">
      <c r="A25" s="186"/>
      <c r="B25" s="186"/>
      <c r="C25" s="186"/>
    </row>
    <row r="26" spans="1:3" ht="14.25">
      <c r="A26" s="186"/>
      <c r="B26" s="186"/>
      <c r="C26" s="186"/>
    </row>
    <row r="27" spans="1:3" ht="14.25">
      <c r="A27" s="186"/>
      <c r="B27" s="186"/>
      <c r="C27" s="186"/>
    </row>
    <row r="28" spans="1:3" ht="14.25">
      <c r="A28" s="186"/>
      <c r="B28" s="186"/>
      <c r="C28" s="186"/>
    </row>
    <row r="29" spans="1:3" ht="14.25">
      <c r="A29" s="186"/>
      <c r="B29" s="186"/>
      <c r="C29" s="186"/>
    </row>
    <row r="30" spans="1:3" ht="14.25">
      <c r="A30" s="186"/>
      <c r="B30" s="186"/>
      <c r="C30" s="186"/>
    </row>
    <row r="31" spans="1:3" ht="14.25">
      <c r="A31" s="186"/>
      <c r="B31" s="186"/>
      <c r="C31" s="186"/>
    </row>
    <row r="32" spans="1:3" ht="14.25">
      <c r="A32" s="186"/>
      <c r="B32" s="186"/>
      <c r="C32" s="186"/>
    </row>
    <row r="33" spans="1:3" ht="14.25">
      <c r="A33" s="186"/>
      <c r="B33" s="186"/>
      <c r="C33" s="186"/>
    </row>
    <row r="34" spans="1:3" ht="14.25">
      <c r="A34" s="186"/>
      <c r="B34" s="186"/>
      <c r="C34" s="186"/>
    </row>
    <row r="35" spans="1:3" ht="14.25">
      <c r="A35" s="186"/>
      <c r="B35" s="186"/>
      <c r="C35" s="186"/>
    </row>
    <row r="36" spans="1:3" ht="14.25">
      <c r="A36" s="186"/>
      <c r="B36" s="186"/>
      <c r="C36" s="186"/>
    </row>
    <row r="37" spans="1:3" ht="14.25">
      <c r="A37" s="186"/>
      <c r="B37" s="186"/>
      <c r="C37" s="186"/>
    </row>
    <row r="38" spans="1:3" ht="14.25">
      <c r="A38" s="186"/>
      <c r="B38" s="186"/>
      <c r="C38" s="186"/>
    </row>
    <row r="39" spans="1:3" ht="14.25">
      <c r="A39" s="186"/>
      <c r="B39" s="186"/>
      <c r="C39" s="186"/>
    </row>
    <row r="40" spans="1:3" ht="14.25">
      <c r="A40" s="186"/>
      <c r="B40" s="186"/>
      <c r="C40" s="186"/>
    </row>
    <row r="41" spans="1:3" ht="14.25">
      <c r="A41" s="186"/>
      <c r="B41" s="186"/>
      <c r="C41" s="186"/>
    </row>
    <row r="42" spans="1:3" ht="14.25">
      <c r="A42" s="186"/>
      <c r="B42" s="186"/>
      <c r="C42" s="186"/>
    </row>
    <row r="43" spans="1:3" ht="14.25">
      <c r="A43" s="186"/>
      <c r="B43" s="186"/>
      <c r="C43" s="186"/>
    </row>
    <row r="44" spans="1:3" ht="14.25">
      <c r="A44" s="186"/>
      <c r="B44" s="186"/>
      <c r="C44" s="186"/>
    </row>
    <row r="45" spans="1:3" ht="14.25">
      <c r="A45" s="186"/>
      <c r="B45" s="186"/>
      <c r="C45" s="186"/>
    </row>
    <row r="46" spans="1:3" ht="14.25">
      <c r="A46" s="186"/>
      <c r="B46" s="186"/>
      <c r="C46" s="186"/>
    </row>
    <row r="47" spans="1:3" ht="14.25">
      <c r="A47" s="186"/>
      <c r="B47" s="186"/>
      <c r="C47" s="186"/>
    </row>
    <row r="48" spans="1:3" ht="14.25">
      <c r="A48" s="186"/>
      <c r="B48" s="186"/>
      <c r="C48" s="186"/>
    </row>
    <row r="49" spans="1:3" ht="14.25">
      <c r="A49" s="186"/>
      <c r="B49" s="186"/>
      <c r="C49" s="186"/>
    </row>
    <row r="50" spans="1:3" ht="14.25">
      <c r="A50" s="186"/>
      <c r="B50" s="186"/>
      <c r="C50" s="186"/>
    </row>
    <row r="51" spans="1:3" ht="14.25">
      <c r="A51" s="186"/>
      <c r="B51" s="186"/>
      <c r="C51" s="186"/>
    </row>
    <row r="52" spans="1:3" ht="14.25">
      <c r="A52" s="186"/>
      <c r="B52" s="186"/>
      <c r="C52" s="186"/>
    </row>
    <row r="53" spans="1:3" ht="14.25">
      <c r="A53" s="186"/>
      <c r="B53" s="186"/>
      <c r="C53" s="186"/>
    </row>
    <row r="54" spans="1:3" ht="14.25">
      <c r="A54" s="186"/>
      <c r="B54" s="186"/>
      <c r="C54" s="186"/>
    </row>
    <row r="55" spans="1:3" ht="14.25">
      <c r="A55" s="186"/>
      <c r="B55" s="186"/>
      <c r="C55" s="186"/>
    </row>
    <row r="56" spans="1:3" ht="14.25">
      <c r="A56" s="186"/>
      <c r="B56" s="186"/>
      <c r="C56" s="186"/>
    </row>
    <row r="57" spans="1:3" ht="14.25">
      <c r="A57" s="186"/>
      <c r="B57" s="186"/>
      <c r="C57" s="186"/>
    </row>
    <row r="58" spans="1:3" ht="14.25">
      <c r="A58" s="186"/>
      <c r="B58" s="186"/>
      <c r="C58" s="186"/>
    </row>
    <row r="59" spans="1:3" ht="14.25">
      <c r="A59" s="186"/>
      <c r="B59" s="186"/>
      <c r="C59" s="186"/>
    </row>
    <row r="60" spans="1:3" ht="14.25">
      <c r="A60" s="186"/>
      <c r="B60" s="186"/>
      <c r="C60" s="186"/>
    </row>
    <row r="61" spans="1:3" ht="14.25">
      <c r="A61" s="186"/>
      <c r="B61" s="186"/>
      <c r="C61" s="186"/>
    </row>
    <row r="62" spans="1:3" ht="14.25">
      <c r="A62" s="186"/>
      <c r="B62" s="186"/>
      <c r="C62" s="186"/>
    </row>
    <row r="63" spans="1:3" ht="14.25">
      <c r="A63" s="186"/>
      <c r="B63" s="186"/>
      <c r="C63" s="186"/>
    </row>
    <row r="64" spans="1:3" ht="14.25">
      <c r="A64" s="186"/>
      <c r="B64" s="186"/>
      <c r="C64" s="186"/>
    </row>
    <row r="65" spans="1:3" ht="14.25">
      <c r="A65" s="186"/>
      <c r="B65" s="186"/>
      <c r="C65" s="186"/>
    </row>
    <row r="66" spans="1:3" ht="14.25">
      <c r="A66" s="186"/>
      <c r="B66" s="186"/>
      <c r="C66" s="186"/>
    </row>
    <row r="67" spans="1:3" ht="14.25">
      <c r="A67" s="186"/>
      <c r="B67" s="186"/>
      <c r="C67" s="186"/>
    </row>
    <row r="68" spans="1:3" ht="14.25">
      <c r="A68" s="186"/>
      <c r="B68" s="186"/>
      <c r="C68" s="186"/>
    </row>
    <row r="69" spans="1:3" ht="14.25">
      <c r="A69" s="186"/>
      <c r="B69" s="186"/>
      <c r="C69" s="186"/>
    </row>
    <row r="70" spans="1:3" ht="14.25">
      <c r="A70" s="186"/>
      <c r="B70" s="186"/>
      <c r="C70" s="186"/>
    </row>
    <row r="71" spans="1:3" ht="14.25">
      <c r="A71" s="186"/>
      <c r="B71" s="186"/>
      <c r="C71" s="186"/>
    </row>
    <row r="72" spans="1:3" ht="14.25">
      <c r="A72" s="186"/>
      <c r="B72" s="186"/>
      <c r="C72" s="186"/>
    </row>
    <row r="73" spans="1:3" ht="14.25">
      <c r="A73" s="186"/>
      <c r="B73" s="186"/>
      <c r="C73" s="186"/>
    </row>
    <row r="74" spans="1:3" ht="14.25">
      <c r="A74" s="186"/>
      <c r="B74" s="186"/>
      <c r="C74" s="186"/>
    </row>
    <row r="75" spans="1:3" ht="14.25">
      <c r="A75" s="186"/>
      <c r="B75" s="186"/>
      <c r="C75" s="186"/>
    </row>
    <row r="76" spans="1:3" ht="14.25">
      <c r="A76" s="186"/>
      <c r="B76" s="186"/>
      <c r="C76" s="186"/>
    </row>
    <row r="77" spans="1:3" ht="14.25">
      <c r="A77" s="186"/>
      <c r="B77" s="186"/>
      <c r="C77" s="186"/>
    </row>
    <row r="78" spans="1:3" ht="14.25">
      <c r="A78" s="186"/>
      <c r="B78" s="186"/>
      <c r="C78" s="186"/>
    </row>
    <row r="79" spans="1:3" ht="14.25">
      <c r="A79" s="186"/>
      <c r="B79" s="186"/>
      <c r="C79" s="186"/>
    </row>
    <row r="80" spans="1:3" ht="14.25">
      <c r="A80" s="186"/>
      <c r="B80" s="186"/>
      <c r="C80" s="186"/>
    </row>
    <row r="81" spans="1:3" ht="14.25">
      <c r="A81" s="186"/>
      <c r="B81" s="186"/>
      <c r="C81" s="186"/>
    </row>
    <row r="82" spans="1:3" ht="14.25">
      <c r="A82" s="186"/>
      <c r="B82" s="186"/>
      <c r="C82" s="186"/>
    </row>
    <row r="83" spans="1:3" ht="14.25">
      <c r="A83" s="186"/>
      <c r="B83" s="186"/>
      <c r="C83" s="186"/>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AA1001"/>
  <sheetViews>
    <sheetView zoomScale="91" zoomScaleNormal="34" workbookViewId="0">
      <selection activeCell="M26" sqref="M26"/>
    </sheetView>
  </sheetViews>
  <sheetFormatPr defaultColWidth="14.46484375" defaultRowHeight="15" customHeight="1"/>
  <cols>
    <col min="2" max="2" width="34.1328125" customWidth="1"/>
    <col min="3" max="4" width="21" customWidth="1"/>
    <col min="5" max="5" width="18.46484375" customWidth="1"/>
    <col min="6" max="6" width="23.19921875" customWidth="1"/>
  </cols>
  <sheetData>
    <row r="1" spans="1:27" ht="15" customHeight="1">
      <c r="A1" s="60"/>
      <c r="B1" s="60"/>
      <c r="C1" s="60"/>
      <c r="D1" s="60"/>
      <c r="E1" s="60"/>
      <c r="F1" s="60"/>
      <c r="G1" s="60"/>
      <c r="H1" s="60"/>
      <c r="I1" s="60"/>
      <c r="J1" s="60"/>
      <c r="K1" s="60"/>
      <c r="L1" s="60"/>
      <c r="M1" s="60"/>
      <c r="N1" s="60"/>
      <c r="O1" s="60"/>
      <c r="P1" s="60"/>
      <c r="Q1" s="60"/>
      <c r="R1" s="60"/>
      <c r="S1" s="60"/>
      <c r="T1" s="60"/>
      <c r="U1" s="60"/>
      <c r="V1" s="60"/>
      <c r="W1" s="60"/>
      <c r="X1" s="60"/>
      <c r="Y1" s="60"/>
      <c r="Z1" s="60"/>
      <c r="AA1" s="60"/>
    </row>
    <row r="2" spans="1:27" ht="15" customHeight="1">
      <c r="A2" s="60"/>
      <c r="B2" s="159" t="s">
        <v>15</v>
      </c>
      <c r="C2" s="60"/>
      <c r="D2" s="60"/>
      <c r="E2" s="60"/>
      <c r="F2" s="60"/>
      <c r="G2" s="60"/>
      <c r="H2" s="60"/>
      <c r="I2" s="60"/>
      <c r="J2" s="60"/>
      <c r="K2" s="60"/>
      <c r="L2" s="60"/>
      <c r="M2" s="60"/>
      <c r="N2" s="60"/>
      <c r="O2" s="60"/>
      <c r="P2" s="60"/>
      <c r="Q2" s="60"/>
      <c r="R2" s="60"/>
      <c r="S2" s="60"/>
      <c r="T2" s="60"/>
      <c r="U2" s="60"/>
      <c r="V2" s="60"/>
      <c r="W2" s="60"/>
      <c r="X2" s="60"/>
      <c r="Y2" s="60"/>
      <c r="Z2" s="60"/>
      <c r="AA2" s="60"/>
    </row>
    <row r="3" spans="1:27" ht="15" customHeight="1">
      <c r="A3" s="60"/>
      <c r="B3" s="60"/>
      <c r="C3" s="60"/>
      <c r="D3" s="60"/>
      <c r="E3" s="60"/>
      <c r="F3" s="60"/>
      <c r="G3" s="60"/>
      <c r="H3" s="60"/>
      <c r="I3" s="60"/>
      <c r="J3" s="60"/>
      <c r="K3" s="60"/>
      <c r="L3" s="60"/>
      <c r="M3" s="60"/>
      <c r="N3" s="60"/>
      <c r="O3" s="60"/>
      <c r="P3" s="60"/>
      <c r="Q3" s="60"/>
      <c r="R3" s="60"/>
      <c r="S3" s="60"/>
      <c r="T3" s="60"/>
      <c r="U3" s="60"/>
      <c r="V3" s="60"/>
      <c r="W3" s="60"/>
      <c r="X3" s="60"/>
      <c r="Y3" s="60"/>
      <c r="Z3" s="60"/>
      <c r="AA3" s="60"/>
    </row>
    <row r="4" spans="1:27" ht="15" customHeight="1">
      <c r="A4" s="60"/>
      <c r="B4" s="60"/>
      <c r="C4" s="195" t="s">
        <v>16</v>
      </c>
      <c r="D4" s="196"/>
      <c r="E4" s="196"/>
      <c r="F4" s="196"/>
      <c r="G4" s="196"/>
      <c r="H4" s="195" t="s">
        <v>17</v>
      </c>
      <c r="I4" s="196"/>
      <c r="J4" s="196"/>
      <c r="K4" s="196"/>
      <c r="L4" s="196"/>
      <c r="M4" s="195" t="s">
        <v>18</v>
      </c>
      <c r="N4" s="196"/>
      <c r="O4" s="196"/>
      <c r="P4" s="196"/>
      <c r="Q4" s="196"/>
      <c r="R4" s="195" t="s">
        <v>19</v>
      </c>
      <c r="S4" s="196"/>
      <c r="T4" s="196"/>
      <c r="U4" s="196"/>
      <c r="V4" s="196"/>
      <c r="W4" s="195" t="s">
        <v>20</v>
      </c>
      <c r="X4" s="196"/>
      <c r="Y4" s="196"/>
      <c r="Z4" s="196"/>
      <c r="AA4" s="196"/>
    </row>
    <row r="5" spans="1:27" ht="15" customHeight="1">
      <c r="A5" s="60"/>
      <c r="B5" s="160" t="s">
        <v>21</v>
      </c>
      <c r="C5" s="161">
        <f>'Option 0'!D113</f>
        <v>0</v>
      </c>
      <c r="D5" s="161">
        <f>'Option 0'!E113</f>
        <v>0.03</v>
      </c>
      <c r="E5" s="161">
        <f>'Option 0'!F113</f>
        <v>0.05</v>
      </c>
      <c r="F5" s="161">
        <f>'Option 0'!G113</f>
        <v>0.08</v>
      </c>
      <c r="G5" s="162">
        <f>'Option 0'!C113</f>
        <v>0.11342809917420432</v>
      </c>
      <c r="H5" s="161">
        <f>'Option 0'!D118</f>
        <v>0</v>
      </c>
      <c r="I5" s="161">
        <f>'Option 0'!E118</f>
        <v>0.03</v>
      </c>
      <c r="J5" s="161">
        <f>'Option 0'!F118</f>
        <v>0.05</v>
      </c>
      <c r="K5" s="161">
        <f>'Option 0'!G118</f>
        <v>0.08</v>
      </c>
      <c r="L5" s="162">
        <f>'Option 0'!C118</f>
        <v>0.11342809917420432</v>
      </c>
      <c r="M5" s="161">
        <f>'Option 0'!D123</f>
        <v>0</v>
      </c>
      <c r="N5" s="161">
        <f>'Option 0'!E123</f>
        <v>0.03</v>
      </c>
      <c r="O5" s="161">
        <f>'Option 0'!F123</f>
        <v>0.05</v>
      </c>
      <c r="P5" s="161">
        <f>'Option 0'!G123</f>
        <v>0.08</v>
      </c>
      <c r="Q5" s="162">
        <f>'Option 0'!C123</f>
        <v>0.1</v>
      </c>
      <c r="R5" s="161">
        <f>'Option 0'!D195</f>
        <v>0</v>
      </c>
      <c r="S5" s="161">
        <f>'Option 0'!E195</f>
        <v>0.03</v>
      </c>
      <c r="T5" s="161">
        <f>'Option 0'!F195</f>
        <v>0.05</v>
      </c>
      <c r="U5" s="161">
        <f>'Option 0'!G195</f>
        <v>0.08</v>
      </c>
      <c r="V5" s="162">
        <f>'Option 0'!C195</f>
        <v>0.11342809917420432</v>
      </c>
      <c r="W5" s="161">
        <f>'Option 0'!D227</f>
        <v>0</v>
      </c>
      <c r="X5" s="161">
        <f>'Option 0'!E227</f>
        <v>0.03</v>
      </c>
      <c r="Y5" s="161">
        <f>'Option 0'!F227</f>
        <v>0.05</v>
      </c>
      <c r="Z5" s="161">
        <f>'Option 0'!G227</f>
        <v>0.08</v>
      </c>
      <c r="AA5" s="162">
        <f>'Option 0'!C227</f>
        <v>0.11</v>
      </c>
    </row>
    <row r="6" spans="1:27" ht="15" customHeight="1">
      <c r="A6" s="60"/>
      <c r="B6" s="163" t="s">
        <v>22</v>
      </c>
      <c r="C6" s="164">
        <f>'Option 0'!D114</f>
        <v>0</v>
      </c>
      <c r="D6" s="164">
        <f>'Option 0'!E114</f>
        <v>0</v>
      </c>
      <c r="E6" s="164">
        <f>'Option 0'!F114</f>
        <v>0</v>
      </c>
      <c r="F6" s="164">
        <f>'Option 0'!G114</f>
        <v>0</v>
      </c>
      <c r="G6" s="165">
        <f>'Option 0'!C114</f>
        <v>0</v>
      </c>
      <c r="H6" s="164">
        <f>'Option 0'!D119</f>
        <v>0</v>
      </c>
      <c r="I6" s="164">
        <f>'Option 0'!E119</f>
        <v>0</v>
      </c>
      <c r="J6" s="164">
        <f>'Option 0'!F119</f>
        <v>0</v>
      </c>
      <c r="K6" s="164">
        <f>'Option 0'!G119</f>
        <v>0</v>
      </c>
      <c r="L6" s="165">
        <f>'Option 0'!C119</f>
        <v>0</v>
      </c>
      <c r="M6" s="164">
        <f>'Option 0'!D124</f>
        <v>0</v>
      </c>
      <c r="N6" s="164">
        <f>'Option 0'!E124</f>
        <v>0</v>
      </c>
      <c r="O6" s="164">
        <f>'Option 0'!F124</f>
        <v>0</v>
      </c>
      <c r="P6" s="164">
        <f>'Option 0'!G124</f>
        <v>0</v>
      </c>
      <c r="Q6" s="165">
        <f>'Option 0'!C124</f>
        <v>0</v>
      </c>
      <c r="R6" s="164">
        <f>'Option 0'!D196</f>
        <v>0</v>
      </c>
      <c r="S6" s="164">
        <f>'Option 0'!E196</f>
        <v>0</v>
      </c>
      <c r="T6" s="164">
        <f>'Option 0'!F196</f>
        <v>0</v>
      </c>
      <c r="U6" s="164">
        <f>'Option 0'!G196</f>
        <v>0</v>
      </c>
      <c r="V6" s="165">
        <f>'Option 0'!C196</f>
        <v>0</v>
      </c>
      <c r="W6" s="164">
        <f>'Option 0'!D228</f>
        <v>0</v>
      </c>
      <c r="X6" s="164">
        <f>'Option 0'!E228</f>
        <v>0</v>
      </c>
      <c r="Y6" s="164">
        <f>'Option 0'!F228</f>
        <v>0</v>
      </c>
      <c r="Z6" s="164">
        <f>'Option 0'!G228</f>
        <v>0</v>
      </c>
      <c r="AA6" s="165">
        <f>'Option 0'!C228</f>
        <v>0</v>
      </c>
    </row>
    <row r="7" spans="1:27" ht="15" customHeight="1">
      <c r="A7" s="60"/>
      <c r="B7" s="163" t="s">
        <v>23</v>
      </c>
      <c r="C7" s="164" t="e">
        <f>#REF!</f>
        <v>#REF!</v>
      </c>
      <c r="D7" s="164" t="e">
        <f>#REF!</f>
        <v>#REF!</v>
      </c>
      <c r="E7" s="164" t="e">
        <f>#REF!</f>
        <v>#REF!</v>
      </c>
      <c r="F7" s="164" t="e">
        <f>#REF!</f>
        <v>#REF!</v>
      </c>
      <c r="G7" s="165" t="e">
        <f>#REF!</f>
        <v>#REF!</v>
      </c>
      <c r="H7" s="164" t="e">
        <f>#REF!</f>
        <v>#REF!</v>
      </c>
      <c r="I7" s="164" t="e">
        <f>#REF!</f>
        <v>#REF!</v>
      </c>
      <c r="J7" s="164" t="e">
        <f>#REF!</f>
        <v>#REF!</v>
      </c>
      <c r="K7" s="164" t="e">
        <f>#REF!</f>
        <v>#REF!</v>
      </c>
      <c r="L7" s="165" t="e">
        <f>#REF!</f>
        <v>#REF!</v>
      </c>
      <c r="M7" s="164" t="e">
        <f>#REF!</f>
        <v>#REF!</v>
      </c>
      <c r="N7" s="164" t="e">
        <f>#REF!</f>
        <v>#REF!</v>
      </c>
      <c r="O7" s="164" t="e">
        <f>#REF!</f>
        <v>#REF!</v>
      </c>
      <c r="P7" s="164" t="e">
        <f>#REF!</f>
        <v>#REF!</v>
      </c>
      <c r="Q7" s="165" t="e">
        <f>#REF!</f>
        <v>#REF!</v>
      </c>
      <c r="R7" s="164" t="e">
        <f>#REF!</f>
        <v>#REF!</v>
      </c>
      <c r="S7" s="164" t="e">
        <f>#REF!</f>
        <v>#REF!</v>
      </c>
      <c r="T7" s="164" t="e">
        <f>#REF!</f>
        <v>#REF!</v>
      </c>
      <c r="U7" s="164" t="e">
        <f>#REF!</f>
        <v>#REF!</v>
      </c>
      <c r="V7" s="165" t="e">
        <f>#REF!</f>
        <v>#REF!</v>
      </c>
      <c r="W7" s="164" t="e">
        <f>#REF!</f>
        <v>#REF!</v>
      </c>
      <c r="X7" s="164" t="e">
        <f>#REF!</f>
        <v>#REF!</v>
      </c>
      <c r="Y7" s="164" t="e">
        <f>#REF!</f>
        <v>#REF!</v>
      </c>
      <c r="Z7" s="164" t="e">
        <f>#REF!</f>
        <v>#REF!</v>
      </c>
      <c r="AA7" s="165" t="e">
        <f>#REF!</f>
        <v>#REF!</v>
      </c>
    </row>
    <row r="8" spans="1:27" ht="15" customHeight="1">
      <c r="A8" s="60"/>
      <c r="B8" s="163" t="s">
        <v>24</v>
      </c>
      <c r="C8" s="164" t="e">
        <f>#REF!</f>
        <v>#REF!</v>
      </c>
      <c r="D8" s="164" t="e">
        <f>#REF!</f>
        <v>#REF!</v>
      </c>
      <c r="E8" s="164" t="e">
        <f>#REF!</f>
        <v>#REF!</v>
      </c>
      <c r="F8" s="164" t="e">
        <f>#REF!</f>
        <v>#REF!</v>
      </c>
      <c r="G8" s="165" t="e">
        <f>#REF!</f>
        <v>#REF!</v>
      </c>
      <c r="H8" s="166" t="e">
        <f>#REF!</f>
        <v>#REF!</v>
      </c>
      <c r="I8" s="182" t="e">
        <f>#REF!</f>
        <v>#REF!</v>
      </c>
      <c r="J8" s="182" t="e">
        <f>#REF!</f>
        <v>#REF!</v>
      </c>
      <c r="K8" s="182" t="e">
        <f>#REF!</f>
        <v>#REF!</v>
      </c>
      <c r="L8" s="182" t="e">
        <f>#REF!</f>
        <v>#REF!</v>
      </c>
      <c r="M8" s="183" t="e">
        <f>#REF!</f>
        <v>#REF!</v>
      </c>
      <c r="N8" s="182" t="e">
        <f>#REF!</f>
        <v>#REF!</v>
      </c>
      <c r="O8" s="182" t="e">
        <f>#REF!</f>
        <v>#REF!</v>
      </c>
      <c r="P8" s="182" t="e">
        <f>#REF!</f>
        <v>#REF!</v>
      </c>
      <c r="Q8" s="182" t="e">
        <f>#REF!</f>
        <v>#REF!</v>
      </c>
      <c r="R8" s="183" t="e">
        <f>#REF!</f>
        <v>#REF!</v>
      </c>
      <c r="S8" s="182" t="e">
        <f>#REF!</f>
        <v>#REF!</v>
      </c>
      <c r="T8" s="182" t="e">
        <f>#REF!</f>
        <v>#REF!</v>
      </c>
      <c r="U8" s="182" t="e">
        <f>#REF!</f>
        <v>#REF!</v>
      </c>
      <c r="V8" s="182" t="e">
        <f>#REF!</f>
        <v>#REF!</v>
      </c>
      <c r="W8" s="183" t="e">
        <f>#REF!</f>
        <v>#REF!</v>
      </c>
      <c r="X8" s="182" t="e">
        <f>#REF!</f>
        <v>#REF!</v>
      </c>
      <c r="Y8" s="182" t="e">
        <f>#REF!</f>
        <v>#REF!</v>
      </c>
      <c r="Z8" s="182" t="e">
        <f>#REF!</f>
        <v>#REF!</v>
      </c>
      <c r="AA8" s="185" t="e">
        <f>#REF!</f>
        <v>#REF!</v>
      </c>
    </row>
    <row r="9" spans="1:27" ht="15" customHeight="1">
      <c r="A9" s="60"/>
      <c r="B9" s="163" t="s">
        <v>25</v>
      </c>
      <c r="C9" s="164" t="e">
        <f>#REF!</f>
        <v>#REF!</v>
      </c>
      <c r="D9" s="164" t="e">
        <f>#REF!</f>
        <v>#REF!</v>
      </c>
      <c r="E9" s="164" t="e">
        <f>#REF!</f>
        <v>#REF!</v>
      </c>
      <c r="F9" s="164" t="e">
        <f>#REF!</f>
        <v>#REF!</v>
      </c>
      <c r="G9" s="165" t="e">
        <f>#REF!</f>
        <v>#REF!</v>
      </c>
      <c r="H9" s="164" t="e">
        <f>#REF!</f>
        <v>#REF!</v>
      </c>
      <c r="I9" s="164" t="e">
        <f>#REF!</f>
        <v>#REF!</v>
      </c>
      <c r="J9" s="164" t="e">
        <f>#REF!</f>
        <v>#REF!</v>
      </c>
      <c r="K9" s="164" t="e">
        <f>#REF!</f>
        <v>#REF!</v>
      </c>
      <c r="L9" s="165" t="e">
        <f>#REF!</f>
        <v>#REF!</v>
      </c>
      <c r="M9" s="164" t="e">
        <f>#REF!</f>
        <v>#REF!</v>
      </c>
      <c r="N9" s="164" t="e">
        <f>#REF!</f>
        <v>#REF!</v>
      </c>
      <c r="O9" s="164" t="e">
        <f>#REF!</f>
        <v>#REF!</v>
      </c>
      <c r="P9" s="164" t="e">
        <f>#REF!</f>
        <v>#REF!</v>
      </c>
      <c r="Q9" s="165" t="e">
        <f>#REF!</f>
        <v>#REF!</v>
      </c>
      <c r="R9" s="164" t="e">
        <f>#REF!</f>
        <v>#REF!</v>
      </c>
      <c r="S9" s="164" t="e">
        <f>#REF!</f>
        <v>#REF!</v>
      </c>
      <c r="T9" s="164" t="e">
        <f>#REF!</f>
        <v>#REF!</v>
      </c>
      <c r="U9" s="164" t="e">
        <f>#REF!</f>
        <v>#REF!</v>
      </c>
      <c r="V9" s="165" t="e">
        <f>#REF!</f>
        <v>#REF!</v>
      </c>
      <c r="W9" s="164" t="e">
        <f>#REF!</f>
        <v>#REF!</v>
      </c>
      <c r="X9" s="164" t="e">
        <f>#REF!</f>
        <v>#REF!</v>
      </c>
      <c r="Y9" s="164" t="e">
        <f>#REF!</f>
        <v>#REF!</v>
      </c>
      <c r="Z9" s="164" t="e">
        <f>#REF!</f>
        <v>#REF!</v>
      </c>
      <c r="AA9" s="165" t="e">
        <f>#REF!</f>
        <v>#REF!</v>
      </c>
    </row>
    <row r="10" spans="1:27" ht="15" customHeight="1">
      <c r="A10" s="60"/>
      <c r="B10" s="163" t="s">
        <v>26</v>
      </c>
      <c r="C10" s="164" t="e">
        <f>#REF!</f>
        <v>#REF!</v>
      </c>
      <c r="D10" s="164" t="e">
        <f>#REF!</f>
        <v>#REF!</v>
      </c>
      <c r="E10" s="164" t="e">
        <f>#REF!</f>
        <v>#REF!</v>
      </c>
      <c r="F10" s="164" t="e">
        <f>#REF!</f>
        <v>#REF!</v>
      </c>
      <c r="G10" s="165" t="e">
        <f>#REF!</f>
        <v>#REF!</v>
      </c>
      <c r="H10" s="164" t="e">
        <f>#REF!</f>
        <v>#REF!</v>
      </c>
      <c r="I10" s="164" t="e">
        <f>#REF!</f>
        <v>#REF!</v>
      </c>
      <c r="J10" s="164" t="e">
        <f>#REF!</f>
        <v>#REF!</v>
      </c>
      <c r="K10" s="164" t="e">
        <f>#REF!</f>
        <v>#REF!</v>
      </c>
      <c r="L10" s="165" t="e">
        <f>#REF!</f>
        <v>#REF!</v>
      </c>
      <c r="M10" s="164" t="e">
        <f>#REF!</f>
        <v>#REF!</v>
      </c>
      <c r="N10" s="164" t="e">
        <f>#REF!</f>
        <v>#REF!</v>
      </c>
      <c r="O10" s="164" t="e">
        <f>#REF!</f>
        <v>#REF!</v>
      </c>
      <c r="P10" s="164" t="e">
        <f>#REF!</f>
        <v>#REF!</v>
      </c>
      <c r="Q10" s="165" t="e">
        <f>#REF!</f>
        <v>#REF!</v>
      </c>
      <c r="R10" s="164" t="e">
        <f>#REF!</f>
        <v>#REF!</v>
      </c>
      <c r="S10" s="164" t="e">
        <f>#REF!</f>
        <v>#REF!</v>
      </c>
      <c r="T10" s="164" t="e">
        <f>#REF!</f>
        <v>#REF!</v>
      </c>
      <c r="U10" s="164" t="e">
        <f>#REF!</f>
        <v>#REF!</v>
      </c>
      <c r="V10" s="165" t="e">
        <f>#REF!</f>
        <v>#REF!</v>
      </c>
      <c r="W10" s="164" t="e">
        <f>#REF!</f>
        <v>#REF!</v>
      </c>
      <c r="X10" s="164" t="e">
        <f>#REF!</f>
        <v>#REF!</v>
      </c>
      <c r="Y10" s="164" t="e">
        <f>#REF!</f>
        <v>#REF!</v>
      </c>
      <c r="Z10" s="164" t="e">
        <f>#REF!</f>
        <v>#REF!</v>
      </c>
      <c r="AA10" s="165" t="e">
        <f>#REF!</f>
        <v>#REF!</v>
      </c>
    </row>
    <row r="11" spans="1:27" ht="15" customHeight="1">
      <c r="A11" s="60"/>
      <c r="B11" s="163" t="s">
        <v>27</v>
      </c>
      <c r="C11" s="164" t="e">
        <f>#REF!</f>
        <v>#REF!</v>
      </c>
      <c r="D11" s="164" t="e">
        <f>#REF!</f>
        <v>#REF!</v>
      </c>
      <c r="E11" s="164" t="e">
        <f>#REF!</f>
        <v>#REF!</v>
      </c>
      <c r="F11" s="164" t="e">
        <f>#REF!</f>
        <v>#REF!</v>
      </c>
      <c r="G11" s="165" t="e">
        <f>#REF!</f>
        <v>#REF!</v>
      </c>
      <c r="H11" s="164" t="e">
        <f>#REF!</f>
        <v>#REF!</v>
      </c>
      <c r="I11" s="164" t="e">
        <f>#REF!</f>
        <v>#REF!</v>
      </c>
      <c r="J11" s="164" t="e">
        <f>#REF!</f>
        <v>#REF!</v>
      </c>
      <c r="K11" s="164" t="e">
        <f>#REF!</f>
        <v>#REF!</v>
      </c>
      <c r="L11" s="165" t="e">
        <f>#REF!</f>
        <v>#REF!</v>
      </c>
      <c r="M11" s="164" t="e">
        <f>#REF!</f>
        <v>#REF!</v>
      </c>
      <c r="N11" s="164" t="e">
        <f>#REF!</f>
        <v>#REF!</v>
      </c>
      <c r="O11" s="164" t="e">
        <f>#REF!</f>
        <v>#REF!</v>
      </c>
      <c r="P11" s="164" t="e">
        <f>#REF!</f>
        <v>#REF!</v>
      </c>
      <c r="Q11" s="165" t="e">
        <f>#REF!</f>
        <v>#REF!</v>
      </c>
      <c r="R11" s="164" t="e">
        <f>#REF!</f>
        <v>#REF!</v>
      </c>
      <c r="S11" s="164" t="e">
        <f>#REF!</f>
        <v>#REF!</v>
      </c>
      <c r="T11" s="164" t="e">
        <f>#REF!</f>
        <v>#REF!</v>
      </c>
      <c r="U11" s="164" t="e">
        <f>#REF!</f>
        <v>#REF!</v>
      </c>
      <c r="V11" s="165" t="e">
        <f>#REF!</f>
        <v>#REF!</v>
      </c>
      <c r="W11" s="164" t="e">
        <f>#REF!</f>
        <v>#REF!</v>
      </c>
      <c r="X11" s="164" t="e">
        <f>#REF!</f>
        <v>#REF!</v>
      </c>
      <c r="Y11" s="164" t="e">
        <f>#REF!</f>
        <v>#REF!</v>
      </c>
      <c r="Z11" s="164" t="e">
        <f>#REF!</f>
        <v>#REF!</v>
      </c>
      <c r="AA11" s="165" t="e">
        <f>#REF!</f>
        <v>#REF!</v>
      </c>
    </row>
    <row r="12" spans="1:27" ht="15" customHeight="1">
      <c r="A12" s="60"/>
      <c r="B12" s="167" t="s">
        <v>28</v>
      </c>
      <c r="C12" s="168" t="e">
        <f>#REF!</f>
        <v>#REF!</v>
      </c>
      <c r="D12" s="168" t="e">
        <f>#REF!</f>
        <v>#REF!</v>
      </c>
      <c r="E12" s="168" t="e">
        <f>#REF!</f>
        <v>#REF!</v>
      </c>
      <c r="F12" s="168" t="e">
        <f>#REF!</f>
        <v>#REF!</v>
      </c>
      <c r="G12" s="169" t="e">
        <f>#REF!</f>
        <v>#REF!</v>
      </c>
      <c r="H12" s="168" t="e">
        <f>#REF!</f>
        <v>#REF!</v>
      </c>
      <c r="I12" s="168" t="e">
        <f>#REF!</f>
        <v>#REF!</v>
      </c>
      <c r="J12" s="168" t="e">
        <f>#REF!</f>
        <v>#REF!</v>
      </c>
      <c r="K12" s="168" t="e">
        <f>#REF!</f>
        <v>#REF!</v>
      </c>
      <c r="L12" s="169" t="e">
        <f>#REF!</f>
        <v>#REF!</v>
      </c>
      <c r="M12" s="168" t="e">
        <f>#REF!</f>
        <v>#REF!</v>
      </c>
      <c r="N12" s="168" t="e">
        <f>#REF!</f>
        <v>#REF!</v>
      </c>
      <c r="O12" s="168" t="e">
        <f>#REF!</f>
        <v>#REF!</v>
      </c>
      <c r="P12" s="168" t="e">
        <f>#REF!</f>
        <v>#REF!</v>
      </c>
      <c r="Q12" s="169" t="e">
        <f>#REF!</f>
        <v>#REF!</v>
      </c>
      <c r="R12" s="168" t="e">
        <f>#REF!</f>
        <v>#REF!</v>
      </c>
      <c r="S12" s="168" t="e">
        <f>#REF!</f>
        <v>#REF!</v>
      </c>
      <c r="T12" s="168" t="e">
        <f>#REF!</f>
        <v>#REF!</v>
      </c>
      <c r="U12" s="168" t="e">
        <f>#REF!</f>
        <v>#REF!</v>
      </c>
      <c r="V12" s="169" t="e">
        <f>#REF!</f>
        <v>#REF!</v>
      </c>
      <c r="W12" s="168" t="e">
        <f>#REF!</f>
        <v>#REF!</v>
      </c>
      <c r="X12" s="168" t="e">
        <f>#REF!</f>
        <v>#REF!</v>
      </c>
      <c r="Y12" s="168" t="e">
        <f>#REF!</f>
        <v>#REF!</v>
      </c>
      <c r="Z12" s="168" t="e">
        <f>#REF!</f>
        <v>#REF!</v>
      </c>
      <c r="AA12" s="169" t="e">
        <f>#REF!</f>
        <v>#REF!</v>
      </c>
    </row>
    <row r="13" spans="1:27" ht="15" customHeight="1">
      <c r="A13" s="60"/>
      <c r="B13" s="60"/>
      <c r="C13" s="60"/>
      <c r="D13" s="60"/>
      <c r="E13" s="60"/>
      <c r="F13" s="60"/>
      <c r="G13" s="60"/>
      <c r="H13" s="60"/>
      <c r="I13" s="60"/>
      <c r="J13" s="60"/>
      <c r="K13" s="60"/>
      <c r="L13" s="60"/>
      <c r="M13" s="60"/>
      <c r="N13" s="60"/>
      <c r="O13" s="60"/>
      <c r="P13" s="60"/>
      <c r="Q13" s="60"/>
      <c r="R13" s="60"/>
      <c r="S13" s="60"/>
      <c r="T13" s="184"/>
      <c r="U13" s="60"/>
      <c r="V13" s="60"/>
      <c r="W13" s="60"/>
      <c r="X13" s="60"/>
      <c r="Y13" s="60"/>
      <c r="Z13" s="60"/>
      <c r="AA13" s="60"/>
    </row>
    <row r="14" spans="1:27" ht="15" customHeight="1">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row>
    <row r="15" spans="1:27" ht="15" customHeight="1">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row>
    <row r="16" spans="1:27" ht="15" customHeight="1">
      <c r="A16" s="60"/>
      <c r="B16" s="170" t="s">
        <v>29</v>
      </c>
      <c r="C16" s="171" t="s">
        <v>16</v>
      </c>
      <c r="D16" s="172" t="s">
        <v>30</v>
      </c>
      <c r="E16" s="173" t="s">
        <v>31</v>
      </c>
      <c r="F16" s="173" t="s">
        <v>19</v>
      </c>
      <c r="G16" s="60"/>
      <c r="H16" s="60"/>
      <c r="I16" s="60"/>
      <c r="J16" s="60"/>
      <c r="K16" s="60"/>
      <c r="L16" s="60"/>
      <c r="M16" s="60"/>
      <c r="N16" s="60"/>
      <c r="O16" s="60"/>
      <c r="P16" s="60"/>
      <c r="Q16" s="60"/>
      <c r="R16" s="60"/>
      <c r="S16" s="60"/>
      <c r="T16" s="60"/>
      <c r="U16" s="60"/>
      <c r="V16" s="60"/>
      <c r="W16" s="60"/>
      <c r="X16" s="60"/>
      <c r="Y16" s="60"/>
      <c r="Z16" s="60"/>
      <c r="AA16" s="60"/>
    </row>
    <row r="17" spans="1:27" ht="15" customHeight="1">
      <c r="A17" s="60"/>
      <c r="B17" s="174" t="s">
        <v>22</v>
      </c>
      <c r="C17" s="175" t="e">
        <f>'Option 0'!C115</f>
        <v>#NUM!</v>
      </c>
      <c r="D17" s="176" t="e">
        <f>'Option 0'!C120</f>
        <v>#NUM!</v>
      </c>
      <c r="E17" s="177" t="e">
        <f>'Option 0'!C125</f>
        <v>#NUM!</v>
      </c>
      <c r="F17" s="177" t="e">
        <f>'Option 0'!C197</f>
        <v>#NUM!</v>
      </c>
      <c r="G17" s="60"/>
      <c r="H17" s="60"/>
      <c r="I17" s="60"/>
      <c r="J17" s="60"/>
      <c r="K17" s="60"/>
      <c r="L17" s="60"/>
      <c r="M17" s="60"/>
      <c r="N17" s="60"/>
      <c r="O17" s="60"/>
      <c r="P17" s="60"/>
      <c r="Q17" s="60"/>
      <c r="R17" s="60"/>
      <c r="S17" s="60"/>
      <c r="T17" s="60"/>
      <c r="U17" s="60"/>
      <c r="V17" s="60"/>
      <c r="W17" s="60"/>
      <c r="X17" s="60"/>
      <c r="Y17" s="60"/>
      <c r="Z17" s="60"/>
      <c r="AA17" s="60"/>
    </row>
    <row r="18" spans="1:27" ht="15" customHeight="1">
      <c r="A18" s="60"/>
      <c r="B18" s="174" t="s">
        <v>23</v>
      </c>
      <c r="C18" s="175" t="e">
        <f>#REF!</f>
        <v>#REF!</v>
      </c>
      <c r="D18" s="176" t="e">
        <f>#REF!</f>
        <v>#REF!</v>
      </c>
      <c r="E18" s="177" t="e">
        <f>#REF!</f>
        <v>#REF!</v>
      </c>
      <c r="F18" s="177" t="e">
        <f>#REF!</f>
        <v>#REF!</v>
      </c>
      <c r="G18" s="60"/>
      <c r="H18" s="60"/>
      <c r="I18" s="60"/>
      <c r="J18" s="60"/>
      <c r="K18" s="60"/>
      <c r="L18" s="60"/>
      <c r="M18" s="60"/>
      <c r="N18" s="60"/>
      <c r="O18" s="60"/>
      <c r="P18" s="60"/>
      <c r="Q18" s="60"/>
      <c r="R18" s="60"/>
      <c r="S18" s="60"/>
      <c r="T18" s="60"/>
      <c r="U18" s="60"/>
      <c r="V18" s="60"/>
      <c r="W18" s="60"/>
      <c r="X18" s="60"/>
      <c r="Y18" s="60"/>
      <c r="Z18" s="60"/>
      <c r="AA18" s="60"/>
    </row>
    <row r="19" spans="1:27" ht="15" customHeight="1">
      <c r="A19" s="60"/>
      <c r="B19" s="174" t="s">
        <v>24</v>
      </c>
      <c r="C19" s="175" t="e">
        <f>#REF!</f>
        <v>#REF!</v>
      </c>
      <c r="D19" s="176" t="e">
        <f>#REF!</f>
        <v>#REF!</v>
      </c>
      <c r="E19" s="177" t="e">
        <f>#REF!</f>
        <v>#REF!</v>
      </c>
      <c r="F19" s="177" t="e">
        <f>#REF!</f>
        <v>#REF!</v>
      </c>
      <c r="G19" s="60"/>
      <c r="H19" s="60"/>
      <c r="I19" s="60"/>
      <c r="J19" s="60"/>
      <c r="K19" s="60"/>
      <c r="L19" s="60"/>
      <c r="M19" s="60"/>
      <c r="N19" s="60"/>
      <c r="O19" s="60"/>
      <c r="P19" s="60"/>
      <c r="Q19" s="60"/>
      <c r="R19" s="60"/>
      <c r="S19" s="60"/>
      <c r="T19" s="60"/>
      <c r="U19" s="60"/>
      <c r="V19" s="60"/>
      <c r="W19" s="60"/>
      <c r="X19" s="60"/>
      <c r="Y19" s="60"/>
      <c r="Z19" s="60"/>
      <c r="AA19" s="60"/>
    </row>
    <row r="20" spans="1:27" ht="15" customHeight="1">
      <c r="A20" s="60"/>
      <c r="B20" s="174" t="s">
        <v>25</v>
      </c>
      <c r="C20" s="175" t="e">
        <f>#REF!</f>
        <v>#REF!</v>
      </c>
      <c r="D20" s="176" t="e">
        <f>#REF!</f>
        <v>#REF!</v>
      </c>
      <c r="E20" s="177" t="e">
        <f>#REF!</f>
        <v>#REF!</v>
      </c>
      <c r="F20" s="177" t="e">
        <f>#REF!</f>
        <v>#REF!</v>
      </c>
      <c r="G20" s="60"/>
      <c r="H20" s="60"/>
      <c r="I20" s="60"/>
      <c r="J20" s="60"/>
      <c r="K20" s="60"/>
      <c r="L20" s="60"/>
      <c r="M20" s="60"/>
      <c r="N20" s="60"/>
      <c r="O20" s="60"/>
      <c r="P20" s="60"/>
      <c r="Q20" s="60"/>
      <c r="R20" s="60"/>
      <c r="S20" s="60"/>
      <c r="T20" s="60"/>
      <c r="U20" s="60"/>
      <c r="V20" s="60"/>
      <c r="W20" s="60"/>
      <c r="X20" s="60"/>
      <c r="Y20" s="60"/>
      <c r="Z20" s="60"/>
      <c r="AA20" s="60"/>
    </row>
    <row r="21" spans="1:27" ht="15" customHeight="1">
      <c r="A21" s="60"/>
      <c r="B21" s="174" t="s">
        <v>26</v>
      </c>
      <c r="C21" s="175" t="e">
        <f>#REF!</f>
        <v>#REF!</v>
      </c>
      <c r="D21" s="176" t="e">
        <f>#REF!</f>
        <v>#REF!</v>
      </c>
      <c r="E21" s="177" t="e">
        <f>#REF!</f>
        <v>#REF!</v>
      </c>
      <c r="F21" s="177" t="e">
        <f>#REF!</f>
        <v>#REF!</v>
      </c>
      <c r="G21" s="60"/>
      <c r="H21" s="60"/>
      <c r="I21" s="60"/>
      <c r="J21" s="60"/>
      <c r="K21" s="60"/>
      <c r="L21" s="60"/>
      <c r="M21" s="60"/>
      <c r="N21" s="60"/>
      <c r="O21" s="60"/>
      <c r="P21" s="60"/>
      <c r="Q21" s="60"/>
      <c r="R21" s="60"/>
      <c r="S21" s="60"/>
      <c r="T21" s="60"/>
      <c r="U21" s="60"/>
      <c r="V21" s="60"/>
      <c r="W21" s="60"/>
      <c r="X21" s="60"/>
      <c r="Y21" s="60"/>
      <c r="Z21" s="60"/>
      <c r="AA21" s="60"/>
    </row>
    <row r="22" spans="1:27" ht="15" customHeight="1">
      <c r="A22" s="60"/>
      <c r="B22" s="174" t="s">
        <v>27</v>
      </c>
      <c r="C22" s="175" t="e">
        <f>#REF!</f>
        <v>#REF!</v>
      </c>
      <c r="D22" s="176" t="e">
        <f>#REF!</f>
        <v>#REF!</v>
      </c>
      <c r="E22" s="177" t="e">
        <f>#REF!</f>
        <v>#REF!</v>
      </c>
      <c r="F22" s="177" t="e">
        <f>#REF!</f>
        <v>#REF!</v>
      </c>
      <c r="G22" s="60"/>
      <c r="H22" s="60"/>
      <c r="I22" s="60"/>
      <c r="J22" s="60"/>
      <c r="K22" s="60"/>
      <c r="L22" s="60"/>
      <c r="M22" s="60"/>
      <c r="N22" s="60"/>
      <c r="O22" s="60"/>
      <c r="P22" s="60"/>
      <c r="Q22" s="60"/>
      <c r="R22" s="60"/>
      <c r="S22" s="60"/>
      <c r="T22" s="60"/>
      <c r="U22" s="60"/>
      <c r="V22" s="60"/>
      <c r="W22" s="60"/>
      <c r="X22" s="60"/>
      <c r="Y22" s="60"/>
      <c r="Z22" s="60"/>
      <c r="AA22" s="60"/>
    </row>
    <row r="23" spans="1:27" ht="15" customHeight="1">
      <c r="A23" s="60"/>
      <c r="B23" s="178" t="s">
        <v>28</v>
      </c>
      <c r="C23" s="179" t="e">
        <f>#REF!</f>
        <v>#REF!</v>
      </c>
      <c r="D23" s="180" t="e">
        <f>#REF!</f>
        <v>#REF!</v>
      </c>
      <c r="E23" s="181" t="e">
        <f>#REF!</f>
        <v>#REF!</v>
      </c>
      <c r="F23" s="181" t="e">
        <f>#REF!</f>
        <v>#REF!</v>
      </c>
      <c r="G23" s="60"/>
      <c r="H23" s="60"/>
      <c r="I23" s="60"/>
      <c r="J23" s="60"/>
      <c r="K23" s="60"/>
      <c r="L23" s="60"/>
      <c r="M23" s="60"/>
      <c r="N23" s="60"/>
      <c r="O23" s="60"/>
      <c r="P23" s="60"/>
      <c r="Q23" s="60"/>
      <c r="R23" s="60"/>
      <c r="S23" s="60"/>
      <c r="T23" s="60"/>
      <c r="U23" s="60"/>
      <c r="V23" s="60"/>
      <c r="W23" s="60"/>
      <c r="X23" s="60"/>
      <c r="Y23" s="60"/>
      <c r="Z23" s="60"/>
      <c r="AA23" s="60"/>
    </row>
    <row r="24" spans="1:27" ht="15"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c r="AA24" s="60"/>
    </row>
    <row r="25" spans="1:27" ht="15"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row>
    <row r="26" spans="1:27" ht="15"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row>
    <row r="27" spans="1:27" ht="15"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row>
    <row r="28" spans="1:27" ht="15"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row>
    <row r="29" spans="1:27" ht="15"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row>
    <row r="30" spans="1:27" ht="15"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row>
    <row r="31" spans="1:27" ht="15"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row>
    <row r="32" spans="1:27" ht="15"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row>
    <row r="33" spans="1:27" ht="15"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row>
    <row r="34" spans="1:27" ht="15"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row>
    <row r="35" spans="1:27" ht="15"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row>
    <row r="36" spans="1:27" ht="15"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row>
    <row r="37" spans="1:27" ht="1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row>
    <row r="38" spans="1:27" ht="15"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row>
    <row r="39" spans="1:27" ht="15"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row>
    <row r="40" spans="1:27" ht="15"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row>
    <row r="41" spans="1:27" ht="1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row>
    <row r="42" spans="1:27" ht="1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row>
    <row r="43" spans="1:27" ht="1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row>
    <row r="44" spans="1:27" ht="15"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row>
    <row r="45" spans="1:27" ht="15"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row>
    <row r="46" spans="1:27" ht="15"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row>
    <row r="47" spans="1:27" ht="1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row>
    <row r="48" spans="1:27" ht="1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row>
    <row r="49" spans="1:27" ht="1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row>
    <row r="50" spans="1:27" ht="15"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row>
    <row r="51" spans="1:27" ht="15"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row>
    <row r="52" spans="1:27" ht="15"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row>
    <row r="53" spans="1:27" ht="15"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row>
    <row r="54" spans="1:27" ht="15"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c r="AA54" s="60"/>
    </row>
    <row r="55" spans="1:27" ht="15"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c r="AA55" s="60"/>
    </row>
    <row r="56" spans="1:27" ht="15"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row>
    <row r="57" spans="1:27" ht="1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row>
    <row r="58" spans="1:27" ht="1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row>
    <row r="59" spans="1:27" ht="1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row>
    <row r="60" spans="1:27" ht="1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row>
    <row r="61" spans="1:27" ht="1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row>
    <row r="62" spans="1:27" ht="1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row>
    <row r="63" spans="1:27" ht="1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row>
    <row r="64" spans="1:27" ht="1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row>
    <row r="65" spans="1:27" ht="1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row>
    <row r="66" spans="1:27" ht="1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row>
    <row r="67" spans="1:27" ht="1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row>
    <row r="68" spans="1:27" ht="1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row>
    <row r="69" spans="1:27" ht="1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row>
    <row r="70" spans="1:27" ht="1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row>
    <row r="71" spans="1:27" ht="1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row>
    <row r="72" spans="1:27" ht="1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row>
    <row r="73" spans="1:27" ht="1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row>
    <row r="74" spans="1:27" ht="1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row>
    <row r="75" spans="1:27" ht="1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row>
    <row r="76" spans="1:27" ht="1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row>
    <row r="77" spans="1:27" ht="1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row>
    <row r="78" spans="1:27" ht="1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row>
    <row r="79" spans="1:27" ht="1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row>
    <row r="80" spans="1:27" ht="1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row>
    <row r="81" spans="1:27" ht="1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row>
    <row r="82" spans="1:27" ht="1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row>
    <row r="83" spans="1:27" ht="1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row>
    <row r="84" spans="1:27" ht="1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row>
    <row r="85" spans="1:27" ht="1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row>
    <row r="86" spans="1:27" ht="1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row>
    <row r="87" spans="1:27" ht="1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row>
    <row r="88" spans="1:27" ht="1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row>
    <row r="89" spans="1:27" ht="1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row>
    <row r="90" spans="1:27" ht="1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row>
    <row r="91" spans="1:27" ht="1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row>
    <row r="92" spans="1:27" ht="1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row>
    <row r="93" spans="1:27" ht="1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row>
    <row r="94" spans="1:27" ht="1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row>
    <row r="95" spans="1:27" ht="1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row>
    <row r="96" spans="1:27" ht="1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row>
    <row r="97" spans="1:27" ht="1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row>
    <row r="98" spans="1:27" ht="1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row>
    <row r="99" spans="1:27" ht="1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row>
    <row r="100" spans="1:27" ht="1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row>
    <row r="101" spans="1:27" ht="1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row>
    <row r="102" spans="1:27" ht="1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row>
    <row r="103" spans="1:27" ht="1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row>
    <row r="104" spans="1:27" ht="1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row>
    <row r="105" spans="1:27" ht="1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row>
    <row r="106" spans="1:27" ht="1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row>
    <row r="107" spans="1:27" ht="1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row>
    <row r="108" spans="1:27" ht="1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row>
    <row r="109" spans="1:27" ht="1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row>
    <row r="110" spans="1:27" ht="1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row>
    <row r="111" spans="1:27" ht="1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row>
    <row r="112" spans="1:27" ht="1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row>
    <row r="113" spans="1:27" ht="1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row>
    <row r="114" spans="1:27" ht="1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row>
    <row r="115" spans="1:27" ht="1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row>
    <row r="116" spans="1:27" ht="1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row>
    <row r="117" spans="1:27" ht="1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row>
    <row r="118" spans="1:27" ht="1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row>
    <row r="119" spans="1:27" ht="1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row>
    <row r="120" spans="1:27" ht="1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row>
    <row r="121" spans="1:27" ht="1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row>
    <row r="122" spans="1:27" ht="1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row>
    <row r="123" spans="1:27" ht="1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row>
    <row r="124" spans="1:27" ht="1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row>
    <row r="125" spans="1:27" ht="1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row>
    <row r="126" spans="1:27" ht="1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row>
    <row r="127" spans="1:27" ht="1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row>
    <row r="128" spans="1:27" ht="1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row>
    <row r="129" spans="1:27" ht="1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row>
    <row r="130" spans="1:27" ht="1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row>
    <row r="131" spans="1:27" ht="1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row>
    <row r="132" spans="1:27" ht="1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row>
    <row r="133" spans="1:27" ht="1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row>
    <row r="134" spans="1:27" ht="1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row>
    <row r="135" spans="1:27" ht="1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row>
    <row r="136" spans="1:27" ht="1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row>
    <row r="137" spans="1:27" ht="1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row>
    <row r="138" spans="1:27" ht="1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row>
    <row r="139" spans="1:27" ht="1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row>
    <row r="140" spans="1:27" ht="1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row>
    <row r="141" spans="1:27" ht="1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row>
    <row r="142" spans="1:27" ht="1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row>
    <row r="143" spans="1:27" ht="1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row>
    <row r="144" spans="1:27" ht="1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row>
    <row r="145" spans="1:27" ht="1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row>
    <row r="146" spans="1:27" ht="1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row>
    <row r="147" spans="1:27" ht="1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row>
    <row r="148" spans="1:27" ht="1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row>
    <row r="149" spans="1:27" ht="1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row>
    <row r="150" spans="1:27" ht="1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row>
    <row r="151" spans="1:27" ht="1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row>
    <row r="152" spans="1:27" ht="1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row>
    <row r="153" spans="1:27" ht="1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row>
    <row r="154" spans="1:27" ht="1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row>
    <row r="155" spans="1:27" ht="1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row>
    <row r="156" spans="1:27" ht="1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row>
    <row r="157" spans="1:27" ht="1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row>
    <row r="158" spans="1:27" ht="1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row>
    <row r="159" spans="1:27" ht="1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row>
    <row r="160" spans="1:27" ht="1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row>
    <row r="161" spans="1:27" ht="1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row>
    <row r="162" spans="1:27" ht="1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row>
    <row r="163" spans="1:27" ht="1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row>
    <row r="164" spans="1:27" ht="1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row>
    <row r="165" spans="1:27" ht="1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row>
    <row r="166" spans="1:27" ht="1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row>
    <row r="167" spans="1:27" ht="1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row>
    <row r="168" spans="1:27" ht="1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row>
    <row r="169" spans="1:27" ht="1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row>
    <row r="170" spans="1:27" ht="1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row>
    <row r="171" spans="1:27" ht="1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row>
    <row r="172" spans="1:27" ht="1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row>
    <row r="173" spans="1:27" ht="1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row>
    <row r="174" spans="1:27" ht="1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row>
    <row r="175" spans="1:27" ht="1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row>
    <row r="176" spans="1:27" ht="1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row>
    <row r="177" spans="1:27" ht="1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row>
    <row r="178" spans="1:27" ht="1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row>
    <row r="179" spans="1:27" ht="1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row>
    <row r="180" spans="1:27" ht="1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row>
    <row r="181" spans="1:27" ht="1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row>
    <row r="182" spans="1:27" ht="1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row>
    <row r="183" spans="1:27" ht="1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row>
    <row r="184" spans="1:27" ht="1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row>
    <row r="185" spans="1:27" ht="1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row>
    <row r="186" spans="1:27" ht="1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row>
    <row r="187" spans="1:27" ht="1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row>
    <row r="188" spans="1:27" ht="1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row>
    <row r="189" spans="1:27" ht="1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row>
    <row r="190" spans="1:27" ht="1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row>
    <row r="191" spans="1:27" ht="1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row>
    <row r="192" spans="1:27" ht="1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row>
    <row r="193" spans="1:27" ht="1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row>
    <row r="194" spans="1:27" ht="1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row>
    <row r="195" spans="1:27" ht="1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row>
    <row r="196" spans="1:27" ht="1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row>
    <row r="197" spans="1:27" ht="1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row>
    <row r="198" spans="1:27" ht="1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row>
    <row r="199" spans="1:27" ht="1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row>
    <row r="200" spans="1:27" ht="1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row>
    <row r="201" spans="1:27" ht="1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row>
    <row r="202" spans="1:27" ht="1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row>
    <row r="203" spans="1:27" ht="1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row>
    <row r="204" spans="1:27" ht="1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row>
    <row r="205" spans="1:27" ht="1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row>
    <row r="206" spans="1:27" ht="1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row>
    <row r="207" spans="1:27" ht="1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row>
    <row r="208" spans="1:27" ht="1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row>
    <row r="209" spans="1:27" ht="1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row>
    <row r="210" spans="1:27" ht="1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row>
    <row r="211" spans="1:27" ht="1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row>
    <row r="212" spans="1:27" ht="1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row>
    <row r="213" spans="1:27" ht="1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row>
    <row r="214" spans="1:27" ht="1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row>
    <row r="215" spans="1:27" ht="1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row>
    <row r="216" spans="1:27" ht="1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row>
    <row r="217" spans="1:27" ht="1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row>
    <row r="218" spans="1:27" ht="1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row>
    <row r="219" spans="1:27" ht="1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row>
    <row r="220" spans="1:27" ht="1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row>
    <row r="221" spans="1:27" ht="1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row>
    <row r="222" spans="1:27" ht="1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row>
    <row r="223" spans="1:27" ht="1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row>
    <row r="224" spans="1:27" ht="1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row>
    <row r="225" spans="1:27" ht="1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row>
    <row r="226" spans="1:27" ht="1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row>
    <row r="227" spans="1:27" ht="1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row>
    <row r="228" spans="1:27" ht="1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row>
    <row r="229" spans="1:27" ht="1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row>
    <row r="230" spans="1:27" ht="15"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row>
    <row r="231" spans="1:27" ht="15"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row>
    <row r="232" spans="1:27" ht="15"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row>
    <row r="233" spans="1:27" ht="15"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row>
    <row r="234" spans="1:27" ht="15"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row>
    <row r="235" spans="1:27" ht="15"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row>
    <row r="236" spans="1:27" ht="15"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row>
    <row r="237" spans="1:27" ht="15"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row>
    <row r="238" spans="1:27" ht="15"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row>
    <row r="239" spans="1:27" ht="15"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row>
    <row r="240" spans="1:27" ht="15"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row>
    <row r="241" spans="1:27" ht="15"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row>
    <row r="242" spans="1:27" ht="15"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row>
    <row r="243" spans="1:27" ht="15"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row>
    <row r="244" spans="1:27" ht="15"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row>
    <row r="245" spans="1:27" ht="15"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row>
    <row r="246" spans="1:27" ht="15"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row>
    <row r="247" spans="1:27" ht="15"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row>
    <row r="248" spans="1:27" ht="15"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row>
    <row r="249" spans="1:27" ht="15"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row>
    <row r="250" spans="1:27" ht="15"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row>
    <row r="251" spans="1:27" ht="15"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row>
    <row r="252" spans="1:27" ht="15"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row>
    <row r="253" spans="1:27" ht="15"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row>
    <row r="254" spans="1:27" ht="15"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row>
    <row r="255" spans="1:27" ht="15"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row>
    <row r="256" spans="1:27" ht="15"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row>
    <row r="257" spans="1:27" ht="15"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row>
    <row r="258" spans="1:27" ht="15"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row>
    <row r="259" spans="1:27" ht="15"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row>
    <row r="260" spans="1:27" ht="15"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row>
    <row r="261" spans="1:27" ht="15"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row>
    <row r="262" spans="1:27" ht="15"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row>
    <row r="263" spans="1:27" ht="15"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row>
    <row r="264" spans="1:27" ht="15"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row>
    <row r="265" spans="1:27" ht="15"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row>
    <row r="266" spans="1:27" ht="1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row>
    <row r="267" spans="1:27" ht="15"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row>
    <row r="268" spans="1:27" ht="15"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row>
    <row r="269" spans="1:27" ht="15"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row>
    <row r="270" spans="1:27" ht="15"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row>
    <row r="271" spans="1:27" ht="15"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row>
    <row r="272" spans="1:27" ht="15"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row>
    <row r="273" spans="1:27" ht="15"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row>
    <row r="274" spans="1:27" ht="15"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row>
    <row r="275" spans="1:27" ht="15"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row>
    <row r="276" spans="1:27" ht="15"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row>
    <row r="277" spans="1:27" ht="15"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row>
    <row r="278" spans="1:27" ht="1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row>
    <row r="279" spans="1:27" ht="15"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row>
    <row r="280" spans="1:27" ht="15"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row>
    <row r="281" spans="1:27" ht="15"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row>
    <row r="282" spans="1:27" ht="15"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row>
    <row r="283" spans="1:27" ht="15"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row>
    <row r="284" spans="1:27" ht="15"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row>
    <row r="285" spans="1:27" ht="15"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row>
    <row r="286" spans="1:27" ht="15"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row>
    <row r="287" spans="1:27" ht="15"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row>
    <row r="288" spans="1:27" ht="15"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row>
    <row r="289" spans="1:27" ht="15"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row>
    <row r="290" spans="1:27" ht="15"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row>
    <row r="291" spans="1:27" ht="1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row>
    <row r="292" spans="1:27" ht="1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row>
    <row r="293" spans="1:27" ht="1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row>
    <row r="294" spans="1:27" ht="15"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row>
    <row r="295" spans="1:27" ht="15"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row>
    <row r="296" spans="1:27" ht="15"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row>
    <row r="297" spans="1:27" ht="15"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row>
    <row r="298" spans="1:27" ht="15"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row>
    <row r="299" spans="1:27" ht="15"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row>
    <row r="300" spans="1:27" ht="15"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row>
    <row r="301" spans="1:27" ht="15"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row>
    <row r="302" spans="1:27" ht="15"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row>
    <row r="303" spans="1:27" ht="15"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row>
    <row r="304" spans="1:27" ht="15"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row>
    <row r="305" spans="1:27" ht="15"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row>
    <row r="306" spans="1:27" ht="15"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row>
    <row r="307" spans="1:27" ht="15"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row>
    <row r="308" spans="1:27" ht="15"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row>
    <row r="309" spans="1:27" ht="15"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row>
    <row r="310" spans="1:27" ht="15"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row>
    <row r="311" spans="1:27" ht="15"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row>
    <row r="312" spans="1:27" ht="15"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row>
    <row r="313" spans="1:27" ht="15"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row>
    <row r="314" spans="1:27" ht="15"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row>
    <row r="315" spans="1:27" ht="15"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row>
    <row r="316" spans="1:27" ht="15"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row>
    <row r="317" spans="1:27" ht="15"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row>
    <row r="318" spans="1:27" ht="15"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row>
    <row r="319" spans="1:27" ht="15"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row>
    <row r="320" spans="1:27" ht="15"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row>
    <row r="321" spans="1:27" ht="15"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row>
    <row r="322" spans="1:27" ht="15"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row>
    <row r="323" spans="1:27" ht="15"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row>
    <row r="324" spans="1:27" ht="15"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row>
    <row r="325" spans="1:27" ht="15"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row>
    <row r="326" spans="1:27" ht="15"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row>
    <row r="327" spans="1:27" ht="15"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row>
    <row r="328" spans="1:27" ht="15"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row>
    <row r="329" spans="1:27" ht="15"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row>
    <row r="330" spans="1:27" ht="15"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row>
    <row r="331" spans="1:27" ht="15"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row>
    <row r="332" spans="1:27" ht="15"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row>
    <row r="333" spans="1:27" ht="15"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row>
    <row r="334" spans="1:27" ht="15"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row>
    <row r="335" spans="1:27" ht="15"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row>
    <row r="336" spans="1:27" ht="15"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row>
    <row r="337" spans="1:27" ht="15"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row>
    <row r="338" spans="1:27" ht="15"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row>
    <row r="339" spans="1:27" ht="15"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row>
    <row r="340" spans="1:27" ht="15"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row>
    <row r="341" spans="1:27" ht="15"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row>
    <row r="342" spans="1:27" ht="15"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row>
    <row r="343" spans="1:27" ht="15"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row>
    <row r="344" spans="1:27" ht="15"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row>
    <row r="345" spans="1:27" ht="15"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row>
    <row r="346" spans="1:27" ht="15"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row>
    <row r="347" spans="1:27" ht="15"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row>
    <row r="348" spans="1:27" ht="15"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row>
    <row r="349" spans="1:27" ht="15"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row>
    <row r="350" spans="1:27" ht="15"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row>
    <row r="351" spans="1:27" ht="15"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row>
    <row r="352" spans="1:27" ht="15"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row>
    <row r="353" spans="1:27" ht="15"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row>
    <row r="354" spans="1:27" ht="15"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row>
    <row r="355" spans="1:27" ht="15"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row>
    <row r="356" spans="1:27" ht="15"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row>
    <row r="357" spans="1:27" ht="15"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row>
    <row r="358" spans="1:27" ht="15"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row>
    <row r="359" spans="1:27" ht="1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row>
    <row r="360" spans="1:27" ht="15"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row>
    <row r="361" spans="1:27" ht="15"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row>
    <row r="362" spans="1:27" ht="15"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row>
    <row r="363" spans="1:27" ht="15"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row>
    <row r="364" spans="1:27" ht="15"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row>
    <row r="365" spans="1:27" ht="1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row>
    <row r="366" spans="1:27" ht="15"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row>
    <row r="367" spans="1:27" ht="15"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row>
    <row r="368" spans="1:27" ht="15"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row>
    <row r="369" spans="1:27" ht="15"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row>
    <row r="370" spans="1:27" ht="15"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row>
    <row r="371" spans="1:27" ht="15"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row>
    <row r="372" spans="1:27" ht="15"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row>
    <row r="373" spans="1:27" ht="15"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row>
    <row r="374" spans="1:27" ht="15"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row>
    <row r="375" spans="1:27" ht="15"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row>
    <row r="376" spans="1:27" ht="15"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row>
    <row r="377" spans="1:27" ht="15"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row>
    <row r="378" spans="1:27" ht="15"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row>
    <row r="379" spans="1:27" ht="15"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row>
    <row r="380" spans="1:27" ht="15"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row>
    <row r="381" spans="1:27" ht="15"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row>
    <row r="382" spans="1:27" ht="15"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row>
    <row r="383" spans="1:27" ht="15"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row>
    <row r="384" spans="1:27" ht="15"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row>
    <row r="385" spans="1:27" ht="15"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row>
    <row r="386" spans="1:27" ht="15"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row>
    <row r="387" spans="1:27" ht="15"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row>
    <row r="388" spans="1:27" ht="15"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row>
    <row r="389" spans="1:27" ht="15"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row>
    <row r="390" spans="1:27" ht="15"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row>
    <row r="391" spans="1:27" ht="15"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row>
    <row r="392" spans="1:27" ht="15"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row>
    <row r="393" spans="1:27" ht="15"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row>
    <row r="394" spans="1:27" ht="15"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row>
    <row r="395" spans="1:27" ht="15"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row>
    <row r="396" spans="1:27" ht="15"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row>
    <row r="397" spans="1:27" ht="15"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row>
    <row r="398" spans="1:27" ht="15"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row>
    <row r="399" spans="1:27" ht="15"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row>
    <row r="400" spans="1:27" ht="15"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row>
    <row r="401" spans="1:27" ht="15"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row>
    <row r="402" spans="1:27" ht="15"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row>
    <row r="403" spans="1:27" ht="15"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row>
    <row r="404" spans="1:27" ht="15"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row>
    <row r="405" spans="1:27" ht="15"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row>
    <row r="406" spans="1:27" ht="15"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row>
    <row r="407" spans="1:27" ht="15"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row>
    <row r="408" spans="1:27" ht="15"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row>
    <row r="409" spans="1:27" ht="15"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row>
    <row r="410" spans="1:27" ht="15"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row>
    <row r="411" spans="1:27" ht="15"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row>
    <row r="412" spans="1:27" ht="15"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row>
    <row r="413" spans="1:27" ht="15"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row>
    <row r="414" spans="1:27" ht="15"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row>
    <row r="415" spans="1:27" ht="15"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row>
    <row r="416" spans="1:27" ht="15"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row>
    <row r="417" spans="1:27" ht="15"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row>
    <row r="418" spans="1:27" ht="15"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row>
    <row r="419" spans="1:27" ht="15"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row>
    <row r="420" spans="1:27" ht="15"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row>
    <row r="421" spans="1:27" ht="15"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row>
    <row r="422" spans="1:27" ht="15"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row>
    <row r="423" spans="1:27" ht="15"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row>
    <row r="424" spans="1:27" ht="15"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row>
    <row r="425" spans="1:27" ht="15"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row>
    <row r="426" spans="1:27" ht="15"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row>
    <row r="427" spans="1:27" ht="15"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row>
    <row r="428" spans="1:27" ht="15"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row>
    <row r="429" spans="1:27" ht="15"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row>
    <row r="430" spans="1:27" ht="15"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row>
    <row r="431" spans="1:27" ht="15"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row>
    <row r="432" spans="1:27" ht="15"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row>
    <row r="433" spans="1:27" ht="15"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row>
    <row r="434" spans="1:27" ht="15"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row>
    <row r="435" spans="1:27" ht="15"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row>
    <row r="436" spans="1:27" ht="15"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row>
    <row r="437" spans="1:27" ht="15"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row>
    <row r="438" spans="1:27" ht="15"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row>
    <row r="439" spans="1:27" ht="15"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row>
    <row r="440" spans="1:27" ht="15"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row>
    <row r="441" spans="1:27" ht="15"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row>
    <row r="442" spans="1:27" ht="15"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row>
    <row r="443" spans="1:27" ht="15"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row>
    <row r="444" spans="1:27" ht="15"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row>
    <row r="445" spans="1:27" ht="15"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row>
    <row r="446" spans="1:27" ht="15"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row>
    <row r="447" spans="1:27" ht="15"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row>
    <row r="448" spans="1:27" ht="15"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row>
    <row r="449" spans="1:27" ht="15"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row>
    <row r="450" spans="1:27" ht="15"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row>
    <row r="451" spans="1:27" ht="15"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row>
    <row r="452" spans="1:27" ht="15"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row>
    <row r="453" spans="1:27" ht="15"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row>
    <row r="454" spans="1:27" ht="15"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row>
    <row r="455" spans="1:27" ht="15"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row>
    <row r="456" spans="1:27" ht="15"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row>
    <row r="457" spans="1:27" ht="15"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row>
    <row r="458" spans="1:27" ht="15"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row>
    <row r="459" spans="1:27" ht="15"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row>
    <row r="460" spans="1:27" ht="15"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row>
    <row r="461" spans="1:27" ht="15"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row>
    <row r="462" spans="1:27" ht="15"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row>
    <row r="463" spans="1:27" ht="15"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row>
    <row r="464" spans="1:27" ht="15"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row>
    <row r="465" spans="1:27" ht="15"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row>
    <row r="466" spans="1:27" ht="15"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row>
    <row r="467" spans="1:27" ht="15"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row>
    <row r="468" spans="1:27" ht="15"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row>
    <row r="469" spans="1:27" ht="15"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row>
    <row r="470" spans="1:27" ht="15"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row>
    <row r="471" spans="1:27" ht="15"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row>
    <row r="472" spans="1:27" ht="15"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row>
    <row r="473" spans="1:27" ht="15"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row>
    <row r="474" spans="1:27" ht="15"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row>
    <row r="475" spans="1:27" ht="15"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row>
    <row r="476" spans="1:27" ht="15"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row>
    <row r="477" spans="1:27" ht="15"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row>
    <row r="478" spans="1:27" ht="15"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row>
    <row r="479" spans="1:27" ht="15"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row>
    <row r="480" spans="1:27" ht="15"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row>
    <row r="481" spans="1:27" ht="15"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row>
    <row r="482" spans="1:27" ht="15"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row>
    <row r="483" spans="1:27" ht="15"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row>
    <row r="484" spans="1:27" ht="15"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row>
    <row r="485" spans="1:27" ht="15"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row>
    <row r="486" spans="1:27" ht="15"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row>
    <row r="487" spans="1:27" ht="15"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row>
    <row r="488" spans="1:27" ht="15"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row>
    <row r="489" spans="1:27" ht="15"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row>
    <row r="490" spans="1:27" ht="15"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row>
    <row r="491" spans="1:27" ht="15"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row>
    <row r="492" spans="1:27" ht="15"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row>
    <row r="493" spans="1:27" ht="15"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row>
    <row r="494" spans="1:27" ht="15"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row>
    <row r="495" spans="1:27" ht="15"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row>
    <row r="496" spans="1:27" ht="15"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row>
    <row r="497" spans="1:27" ht="15"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row>
    <row r="498" spans="1:27" ht="15"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row>
    <row r="499" spans="1:27" ht="15"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row>
    <row r="500" spans="1:27" ht="15"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row>
    <row r="501" spans="1:27" ht="15"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row>
    <row r="502" spans="1:27" ht="15"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row>
    <row r="503" spans="1:27" ht="15"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row>
    <row r="504" spans="1:27" ht="15"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row>
    <row r="505" spans="1:27" ht="15"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row>
    <row r="506" spans="1:27" ht="15"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row>
    <row r="507" spans="1:27" ht="15"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row>
    <row r="508" spans="1:27" ht="15"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row>
    <row r="509" spans="1:27" ht="15"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row>
    <row r="510" spans="1:27" ht="15"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row>
    <row r="511" spans="1:27" ht="15"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row>
    <row r="512" spans="1:27" ht="15"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row>
    <row r="513" spans="1:27" ht="15"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row>
    <row r="514" spans="1:27" ht="15"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row>
    <row r="515" spans="1:27" ht="15"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row>
    <row r="516" spans="1:27" ht="15"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row>
    <row r="517" spans="1:27" ht="15"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row>
    <row r="518" spans="1:27" ht="15"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row>
    <row r="519" spans="1:27" ht="15"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row>
    <row r="520" spans="1:27" ht="15"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row>
    <row r="521" spans="1:27" ht="15"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row>
    <row r="522" spans="1:27" ht="15"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row>
    <row r="523" spans="1:27" ht="15"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row>
    <row r="524" spans="1:27" ht="15"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row>
    <row r="525" spans="1:27" ht="15"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row>
    <row r="526" spans="1:27" ht="15"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row>
    <row r="527" spans="1:27" ht="15"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row>
    <row r="528" spans="1:27" ht="15"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row>
    <row r="529" spans="1:27" ht="15"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row>
    <row r="530" spans="1:27" ht="15"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row>
    <row r="531" spans="1:27" ht="15"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row>
    <row r="532" spans="1:27" ht="15"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row>
    <row r="533" spans="1:27" ht="15"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row>
    <row r="534" spans="1:27" ht="15"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row>
    <row r="535" spans="1:27" ht="15"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row>
    <row r="536" spans="1:27" ht="15"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row>
    <row r="537" spans="1:27" ht="15"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row>
    <row r="538" spans="1:27" ht="15"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row>
    <row r="539" spans="1:27" ht="15"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row>
    <row r="540" spans="1:27" ht="15"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row>
    <row r="541" spans="1:27" ht="15"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row>
    <row r="542" spans="1:27" ht="15"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row>
    <row r="543" spans="1:27" ht="15"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row>
    <row r="544" spans="1:27" ht="15"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row>
    <row r="545" spans="1:27" ht="15"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row>
    <row r="546" spans="1:27" ht="15"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row>
    <row r="547" spans="1:27" ht="15"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row>
    <row r="548" spans="1:27" ht="15"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row>
    <row r="549" spans="1:27" ht="15"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row>
    <row r="550" spans="1:27" ht="15"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row>
    <row r="551" spans="1:27" ht="15"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row>
    <row r="552" spans="1:27" ht="15"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row>
    <row r="553" spans="1:27" ht="15"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row>
    <row r="554" spans="1:27" ht="15"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row>
    <row r="555" spans="1:27" ht="15"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row>
    <row r="556" spans="1:27" ht="15"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row>
    <row r="557" spans="1:27" ht="15"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row>
    <row r="558" spans="1:27" ht="15"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row>
    <row r="559" spans="1:27" ht="15"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row>
    <row r="560" spans="1:27" ht="15"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row>
    <row r="561" spans="1:27" ht="15"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row>
    <row r="562" spans="1:27" ht="15"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row>
    <row r="563" spans="1:27" ht="15"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row>
    <row r="564" spans="1:27" ht="15"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row>
    <row r="565" spans="1:27" ht="15"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row>
    <row r="566" spans="1:27" ht="15"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row>
    <row r="567" spans="1:27" ht="15"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row>
    <row r="568" spans="1:27" ht="15"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row>
    <row r="569" spans="1:27" ht="15"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row>
    <row r="570" spans="1:27" ht="15"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row>
    <row r="571" spans="1:27" ht="15"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row>
    <row r="572" spans="1:27" ht="15"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row>
    <row r="573" spans="1:27" ht="15"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row>
    <row r="574" spans="1:27" ht="15"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row>
    <row r="575" spans="1:27" ht="15"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row>
    <row r="576" spans="1:27" ht="15"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row>
    <row r="577" spans="1:27" ht="15"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row>
    <row r="578" spans="1:27" ht="15"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row>
    <row r="579" spans="1:27" ht="15"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row>
    <row r="580" spans="1:27" ht="15"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row>
    <row r="581" spans="1:27" ht="15"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row>
    <row r="582" spans="1:27" ht="15"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row>
    <row r="583" spans="1:27" ht="15"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row>
    <row r="584" spans="1:27" ht="15"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row>
    <row r="585" spans="1:27" ht="15"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row>
    <row r="586" spans="1:27" ht="15"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row>
    <row r="587" spans="1:27" ht="15"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row>
    <row r="588" spans="1:27" ht="15"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row>
    <row r="589" spans="1:27" ht="15"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row>
    <row r="590" spans="1:27" ht="15"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row>
    <row r="591" spans="1:27" ht="15"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row>
    <row r="592" spans="1:27" ht="15"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row>
    <row r="593" spans="1:27" ht="15"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row>
    <row r="594" spans="1:27" ht="15"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row>
    <row r="595" spans="1:27" ht="15"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row>
    <row r="596" spans="1:27" ht="15"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row>
    <row r="597" spans="1:27" ht="15"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row>
    <row r="598" spans="1:27" ht="15"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row>
    <row r="599" spans="1:27" ht="15"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row>
    <row r="600" spans="1:27" ht="15"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row>
    <row r="601" spans="1:27" ht="15"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row>
    <row r="602" spans="1:27" ht="15"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row>
    <row r="603" spans="1:27" ht="15"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row>
    <row r="604" spans="1:27" ht="15"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row>
    <row r="605" spans="1:27" ht="15"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row>
    <row r="606" spans="1:27" ht="15"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row>
    <row r="607" spans="1:27" ht="15"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row>
    <row r="608" spans="1:27" ht="15"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row>
    <row r="609" spans="1:27" ht="15"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row>
    <row r="610" spans="1:27" ht="15"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row>
    <row r="611" spans="1:27" ht="15"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row>
    <row r="612" spans="1:27" ht="15"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row>
    <row r="613" spans="1:27" ht="15"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row>
    <row r="614" spans="1:27" ht="15"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row>
    <row r="615" spans="1:27" ht="15"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row>
    <row r="616" spans="1:27" ht="15"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row>
    <row r="617" spans="1:27" ht="15"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row>
    <row r="618" spans="1:27" ht="15"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row>
    <row r="619" spans="1:27" ht="15"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row>
    <row r="620" spans="1:27" ht="15"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row>
    <row r="621" spans="1:27" ht="15"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row>
    <row r="622" spans="1:27" ht="15"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row>
    <row r="623" spans="1:27" ht="15"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row>
    <row r="624" spans="1:27" ht="15"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row>
    <row r="625" spans="1:27" ht="15"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row>
    <row r="626" spans="1:27" ht="15"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row>
    <row r="627" spans="1:27" ht="15"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row>
    <row r="628" spans="1:27" ht="15"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row>
    <row r="629" spans="1:27" ht="15"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row>
    <row r="630" spans="1:27" ht="15"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row>
    <row r="631" spans="1:27" ht="15"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row>
    <row r="632" spans="1:27" ht="15"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row>
    <row r="633" spans="1:27" ht="15"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row>
    <row r="634" spans="1:27" ht="15"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row>
    <row r="635" spans="1:27" ht="15"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row>
    <row r="636" spans="1:27" ht="15"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row>
    <row r="637" spans="1:27" ht="15"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row>
    <row r="638" spans="1:27" ht="15"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row>
    <row r="639" spans="1:27" ht="15"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row>
    <row r="640" spans="1:27" ht="15"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row>
    <row r="641" spans="1:27" ht="15"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row>
    <row r="642" spans="1:27" ht="15"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row>
    <row r="643" spans="1:27" ht="15"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row>
    <row r="644" spans="1:27" ht="15"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row>
    <row r="645" spans="1:27" ht="15"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row>
    <row r="646" spans="1:27" ht="15"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row>
    <row r="647" spans="1:27" ht="15"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row>
    <row r="648" spans="1:27" ht="15"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row>
    <row r="649" spans="1:27" ht="15"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row>
    <row r="650" spans="1:27" ht="15"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row>
    <row r="651" spans="1:27" ht="15"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row>
    <row r="652" spans="1:27" ht="15"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row>
    <row r="653" spans="1:27" ht="15"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row>
    <row r="654" spans="1:27" ht="15"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row>
    <row r="655" spans="1:27" ht="15"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row>
    <row r="656" spans="1:27" ht="15"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row>
    <row r="657" spans="1:27" ht="15"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row>
    <row r="658" spans="1:27" ht="15"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row>
    <row r="659" spans="1:27" ht="15"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row>
    <row r="660" spans="1:27" ht="15"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row>
    <row r="661" spans="1:27" ht="15"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row>
    <row r="662" spans="1:27" ht="15"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row>
    <row r="663" spans="1:27" ht="15"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row>
    <row r="664" spans="1:27" ht="15"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row>
    <row r="665" spans="1:27" ht="15"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row>
    <row r="666" spans="1:27" ht="15"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row>
    <row r="667" spans="1:27" ht="15"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row>
    <row r="668" spans="1:27" ht="15"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row>
    <row r="669" spans="1:27" ht="15"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row>
    <row r="670" spans="1:27" ht="15"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row>
    <row r="671" spans="1:27" ht="15"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row>
    <row r="672" spans="1:27" ht="15"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row>
    <row r="673" spans="1:27" ht="15"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row>
    <row r="674" spans="1:27" ht="15"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row>
    <row r="675" spans="1:27" ht="15"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row>
    <row r="676" spans="1:27" ht="15"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row>
    <row r="677" spans="1:27" ht="15"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row>
    <row r="678" spans="1:27" ht="15"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row>
    <row r="679" spans="1:27" ht="15"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row>
    <row r="680" spans="1:27" ht="15"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row>
    <row r="681" spans="1:27" ht="15"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row>
    <row r="682" spans="1:27" ht="15"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row>
    <row r="683" spans="1:27" ht="15"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row>
    <row r="684" spans="1:27" ht="15"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row>
    <row r="685" spans="1:27" ht="15"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row>
    <row r="686" spans="1:27" ht="15"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row>
    <row r="687" spans="1:27" ht="15"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row>
    <row r="688" spans="1:27" ht="15"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row>
    <row r="689" spans="1:27" ht="15"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row>
    <row r="690" spans="1:27" ht="15"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row>
    <row r="691" spans="1:27" ht="15"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row>
    <row r="692" spans="1:27" ht="15"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row>
    <row r="693" spans="1:27" ht="15"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row>
    <row r="694" spans="1:27" ht="15"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row>
    <row r="695" spans="1:27" ht="15"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row>
    <row r="696" spans="1:27" ht="15"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row>
    <row r="697" spans="1:27" ht="15"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row>
    <row r="698" spans="1:27" ht="15"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row>
    <row r="699" spans="1:27" ht="15"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row>
    <row r="700" spans="1:27" ht="15"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row>
    <row r="701" spans="1:27" ht="15"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row>
    <row r="702" spans="1:27" ht="15"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row>
    <row r="703" spans="1:27" ht="15"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row>
    <row r="704" spans="1:27" ht="15"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row>
    <row r="705" spans="1:27" ht="15"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row>
    <row r="706" spans="1:27" ht="15"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row>
    <row r="707" spans="1:27" ht="15"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row>
    <row r="708" spans="1:27" ht="15"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row>
    <row r="709" spans="1:27" ht="15"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row>
    <row r="710" spans="1:27" ht="15"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row>
    <row r="711" spans="1:27" ht="15"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row>
    <row r="712" spans="1:27" ht="15"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row>
    <row r="713" spans="1:27" ht="15"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row>
    <row r="714" spans="1:27" ht="15"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row>
    <row r="715" spans="1:27" ht="15"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row>
    <row r="716" spans="1:27" ht="15"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row>
    <row r="717" spans="1:27" ht="15"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row>
    <row r="718" spans="1:27" ht="15"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row>
    <row r="719" spans="1:27" ht="15"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row>
    <row r="720" spans="1:27" ht="15"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row>
    <row r="721" spans="1:27" ht="15"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row>
    <row r="722" spans="1:27" ht="15"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row>
    <row r="723" spans="1:27" ht="15"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row>
    <row r="724" spans="1:27" ht="15"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row>
    <row r="725" spans="1:27" ht="15"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row>
    <row r="726" spans="1:27" ht="15"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row>
    <row r="727" spans="1:27" ht="15"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row>
    <row r="728" spans="1:27" ht="15"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row>
    <row r="729" spans="1:27" ht="15"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row>
    <row r="730" spans="1:27" ht="15"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row>
    <row r="731" spans="1:27" ht="15"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row>
    <row r="732" spans="1:27" ht="15"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row>
    <row r="733" spans="1:27" ht="15"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row>
    <row r="734" spans="1:27" ht="15"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row>
    <row r="735" spans="1:27" ht="15"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row>
    <row r="736" spans="1:27" ht="15"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row>
    <row r="737" spans="1:27" ht="15"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row>
    <row r="738" spans="1:27" ht="15"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row>
    <row r="739" spans="1:27" ht="15"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row>
    <row r="740" spans="1:27" ht="15"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row>
    <row r="741" spans="1:27" ht="15"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row>
    <row r="742" spans="1:27" ht="15"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row>
    <row r="743" spans="1:27" ht="15"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row>
    <row r="744" spans="1:27" ht="15"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row>
    <row r="745" spans="1:27" ht="15"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row>
    <row r="746" spans="1:27" ht="15"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row>
    <row r="747" spans="1:27" ht="15"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row>
    <row r="748" spans="1:27" ht="15"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row>
    <row r="749" spans="1:27" ht="15"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row>
    <row r="750" spans="1:27" ht="15"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row>
    <row r="751" spans="1:27" ht="15"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row>
    <row r="752" spans="1:27" ht="15"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row>
    <row r="753" spans="1:27" ht="15"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row>
    <row r="754" spans="1:27" ht="15"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row>
    <row r="755" spans="1:27" ht="15"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row>
    <row r="756" spans="1:27" ht="15"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row>
    <row r="757" spans="1:27" ht="15"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row>
    <row r="758" spans="1:27" ht="15"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row>
    <row r="759" spans="1:27" ht="15"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row>
    <row r="760" spans="1:27" ht="15"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row>
    <row r="761" spans="1:27" ht="15"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row>
    <row r="762" spans="1:27" ht="15"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row>
    <row r="763" spans="1:27" ht="15"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row>
    <row r="764" spans="1:27" ht="15"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row>
    <row r="765" spans="1:27" ht="15"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row>
    <row r="766" spans="1:27" ht="15"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row>
    <row r="767" spans="1:27" ht="15"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row>
    <row r="768" spans="1:27" ht="15"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row>
    <row r="769" spans="1:27" ht="15"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row>
    <row r="770" spans="1:27" ht="15"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row>
    <row r="771" spans="1:27" ht="15"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row>
    <row r="772" spans="1:27" ht="15"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row>
    <row r="773" spans="1:27" ht="15"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row>
    <row r="774" spans="1:27" ht="15"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row>
    <row r="775" spans="1:27" ht="15"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row>
    <row r="776" spans="1:27" ht="15"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row>
    <row r="777" spans="1:27" ht="15"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row>
    <row r="778" spans="1:27" ht="15"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row>
    <row r="779" spans="1:27" ht="15"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row>
    <row r="780" spans="1:27" ht="15"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row>
    <row r="781" spans="1:27" ht="15"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row>
    <row r="782" spans="1:27" ht="15"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row>
    <row r="783" spans="1:27" ht="15"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row>
    <row r="784" spans="1:27" ht="15"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row>
    <row r="785" spans="1:27" ht="15"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row>
    <row r="786" spans="1:27" ht="15"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row>
    <row r="787" spans="1:27" ht="15"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row>
    <row r="788" spans="1:27" ht="15"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row>
    <row r="789" spans="1:27" ht="15"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row>
    <row r="790" spans="1:27" ht="15"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row>
    <row r="791" spans="1:27" ht="15"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row>
    <row r="792" spans="1:27" ht="15"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row>
    <row r="793" spans="1:27" ht="15"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row>
    <row r="794" spans="1:27" ht="15"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row>
    <row r="795" spans="1:27" ht="15"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row>
    <row r="796" spans="1:27" ht="15"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row>
    <row r="797" spans="1:27" ht="15"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row>
    <row r="798" spans="1:27" ht="15"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row>
    <row r="799" spans="1:27" ht="15"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row>
    <row r="800" spans="1:27" ht="15"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row>
    <row r="801" spans="1:27" ht="15"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row>
    <row r="802" spans="1:27" ht="15"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row>
    <row r="803" spans="1:27" ht="15"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row>
    <row r="804" spans="1:27" ht="15"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row>
    <row r="805" spans="1:27" ht="15"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row>
    <row r="806" spans="1:27" ht="15"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row>
    <row r="807" spans="1:27" ht="15"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row>
    <row r="808" spans="1:27" ht="15"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row>
    <row r="809" spans="1:27" ht="15"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row>
    <row r="810" spans="1:27" ht="15"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row>
    <row r="811" spans="1:27" ht="15"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row>
    <row r="812" spans="1:27" ht="15"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row>
    <row r="813" spans="1:27" ht="15"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row>
    <row r="814" spans="1:27" ht="15"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row>
    <row r="815" spans="1:27" ht="15"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row>
    <row r="816" spans="1:27" ht="15"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row>
    <row r="817" spans="1:27" ht="15"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row>
    <row r="818" spans="1:27" ht="15"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row>
    <row r="819" spans="1:27" ht="15"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row>
    <row r="820" spans="1:27" ht="15"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row>
    <row r="821" spans="1:27" ht="15"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row>
    <row r="822" spans="1:27" ht="15"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row>
    <row r="823" spans="1:27" ht="15"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row>
    <row r="824" spans="1:27" ht="15"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row>
    <row r="825" spans="1:27" ht="15"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row>
    <row r="826" spans="1:27" ht="15"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row>
    <row r="827" spans="1:27" ht="15"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row>
    <row r="828" spans="1:27" ht="15"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row>
    <row r="829" spans="1:27" ht="15"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row>
    <row r="830" spans="1:27" ht="15"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row>
    <row r="831" spans="1:27" ht="15"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row>
    <row r="832" spans="1:27" ht="15"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row>
    <row r="833" spans="1:27" ht="15"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row>
    <row r="834" spans="1:27" ht="15"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row>
    <row r="835" spans="1:27" ht="15"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row>
    <row r="836" spans="1:27" ht="15"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row>
    <row r="837" spans="1:27" ht="15"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row>
    <row r="838" spans="1:27" ht="15"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row>
    <row r="839" spans="1:27" ht="15"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row>
    <row r="840" spans="1:27" ht="15"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row>
    <row r="841" spans="1:27" ht="15"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row>
    <row r="842" spans="1:27" ht="15"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row>
    <row r="843" spans="1:27" ht="15"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row>
    <row r="844" spans="1:27" ht="15"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row>
    <row r="845" spans="1:27" ht="15"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row>
    <row r="846" spans="1:27" ht="15"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row>
    <row r="847" spans="1:27" ht="15"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row>
    <row r="848" spans="1:27" ht="15"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row>
    <row r="849" spans="1:27" ht="15"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row>
    <row r="850" spans="1:27" ht="15"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row>
    <row r="851" spans="1:27" ht="15"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row>
    <row r="852" spans="1:27" ht="15"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row>
    <row r="853" spans="1:27" ht="15"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row>
    <row r="854" spans="1:27" ht="15"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row>
    <row r="855" spans="1:27" ht="15"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row>
    <row r="856" spans="1:27" ht="15"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row>
    <row r="857" spans="1:27" ht="15"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row>
    <row r="858" spans="1:27" ht="15"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row>
    <row r="859" spans="1:27" ht="15"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row>
    <row r="860" spans="1:27" ht="15"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row>
    <row r="861" spans="1:27" ht="15"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row>
    <row r="862" spans="1:27" ht="15"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row>
    <row r="863" spans="1:27" ht="15"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row>
    <row r="864" spans="1:27" ht="15"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row>
    <row r="865" spans="1:27" ht="15"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row>
    <row r="866" spans="1:27" ht="15"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row>
    <row r="867" spans="1:27" ht="15"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row>
    <row r="868" spans="1:27" ht="15"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row>
    <row r="869" spans="1:27" ht="15"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row>
    <row r="870" spans="1:27" ht="15"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row>
    <row r="871" spans="1:27" ht="15"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row>
    <row r="872" spans="1:27" ht="15"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row>
    <row r="873" spans="1:27" ht="15"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row>
    <row r="874" spans="1:27" ht="15"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row>
    <row r="875" spans="1:27" ht="15"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row>
    <row r="876" spans="1:27" ht="15"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row>
    <row r="877" spans="1:27" ht="15"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row>
    <row r="878" spans="1:27" ht="15"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row>
    <row r="879" spans="1:27" ht="15"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row>
    <row r="880" spans="1:27" ht="15"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row>
    <row r="881" spans="1:27" ht="15"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row>
    <row r="882" spans="1:27" ht="15"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row>
    <row r="883" spans="1:27" ht="15"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row>
    <row r="884" spans="1:27" ht="15"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row>
    <row r="885" spans="1:27" ht="15"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row>
    <row r="886" spans="1:27" ht="15"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row>
    <row r="887" spans="1:27" ht="15"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row>
    <row r="888" spans="1:27" ht="15"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row>
    <row r="889" spans="1:27" ht="15"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row>
    <row r="890" spans="1:27" ht="15"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row>
    <row r="891" spans="1:27" ht="15"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row>
    <row r="892" spans="1:27" ht="15"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row>
    <row r="893" spans="1:27" ht="15"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row>
    <row r="894" spans="1:27" ht="15"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row>
    <row r="895" spans="1:27" ht="15"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row>
    <row r="896" spans="1:27" ht="15"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row>
    <row r="897" spans="1:27" ht="15"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row>
    <row r="898" spans="1:27" ht="15"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row>
    <row r="899" spans="1:27" ht="15"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row>
    <row r="900" spans="1:27" ht="15"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row>
    <row r="901" spans="1:27" ht="15"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row>
    <row r="902" spans="1:27" ht="15"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row>
    <row r="903" spans="1:27" ht="15"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row>
    <row r="904" spans="1:27" ht="15"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row>
    <row r="905" spans="1:27" ht="15"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row>
    <row r="906" spans="1:27" ht="15"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row>
    <row r="907" spans="1:27" ht="15"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row>
    <row r="908" spans="1:27" ht="15"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row>
    <row r="909" spans="1:27" ht="15"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row>
    <row r="910" spans="1:27" ht="15"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row>
    <row r="911" spans="1:27" ht="15"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row>
    <row r="912" spans="1:27" ht="15"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row>
    <row r="913" spans="1:27" ht="15"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row>
    <row r="914" spans="1:27" ht="15"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row>
    <row r="915" spans="1:27" ht="15"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row>
    <row r="916" spans="1:27" ht="15"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row>
    <row r="917" spans="1:27" ht="15"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row>
    <row r="918" spans="1:27" ht="15"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row>
    <row r="919" spans="1:27" ht="15"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row>
    <row r="920" spans="1:27" ht="15"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row>
    <row r="921" spans="1:27" ht="15"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row>
    <row r="922" spans="1:27" ht="15"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row>
    <row r="923" spans="1:27" ht="15"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row>
    <row r="924" spans="1:27" ht="15"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row>
    <row r="925" spans="1:27" ht="15"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row>
    <row r="926" spans="1:27" ht="15"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row>
    <row r="927" spans="1:27" ht="15"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row>
    <row r="928" spans="1:27" ht="15"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row>
    <row r="929" spans="1:27" ht="15"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row>
    <row r="930" spans="1:27" ht="15"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row>
    <row r="931" spans="1:27" ht="15"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row>
    <row r="932" spans="1:27" ht="15"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row>
    <row r="933" spans="1:27" ht="15"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row>
    <row r="934" spans="1:27" ht="15"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row>
    <row r="935" spans="1:27" ht="15"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row>
    <row r="936" spans="1:27" ht="15"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row>
    <row r="937" spans="1:27" ht="15"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row>
    <row r="938" spans="1:27" ht="15"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row>
    <row r="939" spans="1:27" ht="15"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row>
    <row r="940" spans="1:27" ht="15"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row>
    <row r="941" spans="1:27" ht="15"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row>
    <row r="942" spans="1:27" ht="15"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row>
    <row r="943" spans="1:27" ht="15"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row>
    <row r="944" spans="1:27" ht="15"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row>
    <row r="945" spans="1:27" ht="15"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row>
    <row r="946" spans="1:27" ht="15"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row>
    <row r="947" spans="1:27" ht="15"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row>
    <row r="948" spans="1:27" ht="15"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row>
    <row r="949" spans="1:27" ht="15"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row>
    <row r="950" spans="1:27" ht="15"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row>
    <row r="951" spans="1:27" ht="15"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row>
    <row r="952" spans="1:27" ht="15"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row>
    <row r="953" spans="1:27" ht="15"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row>
    <row r="954" spans="1:27" ht="15"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row>
    <row r="955" spans="1:27" ht="15"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row>
    <row r="956" spans="1:27" ht="15"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row>
    <row r="957" spans="1:27" ht="15"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row>
    <row r="958" spans="1:27" ht="15"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row>
    <row r="959" spans="1:27" ht="15"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row>
    <row r="960" spans="1:27" ht="15"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row>
    <row r="961" spans="1:27" ht="15"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row>
    <row r="962" spans="1:27" ht="15"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row>
    <row r="963" spans="1:27" ht="15"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row>
    <row r="964" spans="1:27" ht="15"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row>
    <row r="965" spans="1:27" ht="15"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row>
    <row r="966" spans="1:27" ht="15"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row>
    <row r="967" spans="1:27" ht="15"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row>
    <row r="968" spans="1:27" ht="15"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row>
    <row r="969" spans="1:27" ht="15"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row>
    <row r="970" spans="1:27" ht="15"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row>
    <row r="971" spans="1:27" ht="15"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row>
    <row r="972" spans="1:27" ht="15"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row>
    <row r="973" spans="1:27" ht="15"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row>
    <row r="974" spans="1:27" ht="15"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row>
    <row r="975" spans="1:27" ht="15"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row>
    <row r="976" spans="1:27" ht="15"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row>
    <row r="977" spans="1:27" ht="15"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row>
    <row r="978" spans="1:27" ht="15"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row>
    <row r="979" spans="1:27" ht="15"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row>
    <row r="980" spans="1:27" ht="15"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row>
    <row r="981" spans="1:27" ht="15"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row>
    <row r="982" spans="1:27" ht="15"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row>
    <row r="983" spans="1:27" ht="15"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row>
    <row r="984" spans="1:27" ht="15"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row>
    <row r="985" spans="1:27" ht="15"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row>
    <row r="986" spans="1:27" ht="15"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row>
    <row r="987" spans="1:27" ht="15"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row>
    <row r="988" spans="1:27" ht="15"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row>
    <row r="989" spans="1:27" ht="15"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row>
    <row r="990" spans="1:27" ht="15"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row>
    <row r="991" spans="1:27" ht="15"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row>
    <row r="992" spans="1:27" ht="15"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row>
    <row r="993" spans="1:27" ht="15"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row>
    <row r="994" spans="1:27" ht="15"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row>
    <row r="995" spans="1:27" ht="15"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row>
    <row r="996" spans="1:27" ht="15"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row>
    <row r="997" spans="1:27" ht="15"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row>
    <row r="998" spans="1:27" ht="15"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row>
    <row r="999" spans="1:27" ht="15"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row>
    <row r="1000" spans="1:27" ht="15"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row>
    <row r="1001" spans="1:27" ht="15" customHeight="1">
      <c r="A1001" s="60"/>
      <c r="B1001" s="60"/>
      <c r="C1001" s="60"/>
      <c r="D1001" s="60"/>
      <c r="E1001" s="60"/>
      <c r="F1001" s="60"/>
      <c r="G1001" s="60"/>
      <c r="H1001" s="60"/>
      <c r="I1001" s="60"/>
      <c r="J1001" s="60"/>
      <c r="K1001" s="60"/>
      <c r="L1001" s="60"/>
      <c r="M1001" s="60"/>
      <c r="N1001" s="60"/>
      <c r="O1001" s="60"/>
      <c r="P1001" s="60"/>
      <c r="Q1001" s="60"/>
      <c r="R1001" s="60"/>
      <c r="S1001" s="60"/>
      <c r="T1001" s="60"/>
      <c r="U1001" s="60"/>
      <c r="V1001" s="60"/>
      <c r="W1001" s="60"/>
      <c r="X1001" s="60"/>
      <c r="Y1001" s="60"/>
      <c r="Z1001" s="60"/>
      <c r="AA1001" s="60"/>
    </row>
  </sheetData>
  <mergeCells count="5">
    <mergeCell ref="C4:G4"/>
    <mergeCell ref="H4:L4"/>
    <mergeCell ref="M4:Q4"/>
    <mergeCell ref="R4:V4"/>
    <mergeCell ref="W4:AA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1"/>
  <sheetViews>
    <sheetView workbookViewId="0"/>
  </sheetViews>
  <sheetFormatPr defaultColWidth="9" defaultRowHeight="14.25"/>
  <cols>
    <col min="1" max="15" width="36.796875" customWidth="1"/>
  </cols>
  <sheetData>
    <row r="1" spans="1:16">
      <c r="A1" s="157" t="s">
        <v>32</v>
      </c>
    </row>
    <row r="2" spans="1:16">
      <c r="P2" t="e">
        <f ca="1">CB.RecalcCounterFN()</f>
        <v>#NAME?</v>
      </c>
    </row>
    <row r="3" spans="1:16">
      <c r="A3" t="s">
        <v>33</v>
      </c>
      <c r="B3" t="s">
        <v>34</v>
      </c>
      <c r="C3">
        <v>0</v>
      </c>
    </row>
    <row r="4" spans="1:16">
      <c r="A4" t="s">
        <v>35</v>
      </c>
    </row>
    <row r="5" spans="1:16">
      <c r="A5" t="s">
        <v>36</v>
      </c>
    </row>
    <row r="7" spans="1:16">
      <c r="A7" s="157" t="s">
        <v>37</v>
      </c>
      <c r="B7" t="s">
        <v>38</v>
      </c>
    </row>
    <row r="8" spans="1:16">
      <c r="B8">
        <v>15</v>
      </c>
    </row>
    <row r="10" spans="1:16">
      <c r="A10" t="s">
        <v>39</v>
      </c>
    </row>
    <row r="11" spans="1:16">
      <c r="A11" t="e">
        <f>CB_DATA_!#REF!</f>
        <v>#REF!</v>
      </c>
      <c r="B11" t="e">
        <f>'Variables 0'!#REF!</f>
        <v>#REF!</v>
      </c>
      <c r="C11" t="e">
        <f>'Option 0'!#REF!</f>
        <v>#REF!</v>
      </c>
      <c r="D11" t="e">
        <f>#REF!</f>
        <v>#REF!</v>
      </c>
      <c r="E11" t="e">
        <f>#REF!</f>
        <v>#REF!</v>
      </c>
      <c r="F11" t="e">
        <f>#REF!</f>
        <v>#REF!</v>
      </c>
      <c r="G11" t="e">
        <f>#REF!</f>
        <v>#REF!</v>
      </c>
      <c r="H11" t="e">
        <f>#REF!</f>
        <v>#REF!</v>
      </c>
      <c r="I11" t="e">
        <f>#REF!</f>
        <v>#REF!</v>
      </c>
      <c r="J11" t="e">
        <f>#REF!</f>
        <v>#REF!</v>
      </c>
      <c r="K11" t="e">
        <f>#REF!</f>
        <v>#REF!</v>
      </c>
      <c r="L11" t="e">
        <f>#REF!</f>
        <v>#REF!</v>
      </c>
      <c r="M11" t="e">
        <f>#REF!</f>
        <v>#REF!</v>
      </c>
      <c r="N11" t="e">
        <f>#REF!</f>
        <v>#REF!</v>
      </c>
      <c r="O11" t="e">
        <f>#REF!</f>
        <v>#REF!</v>
      </c>
    </row>
    <row r="13" spans="1:16">
      <c r="A13" t="s">
        <v>40</v>
      </c>
    </row>
    <row r="14" spans="1:16">
      <c r="A14" t="s">
        <v>41</v>
      </c>
      <c r="B14" t="s">
        <v>42</v>
      </c>
      <c r="C14" t="s">
        <v>43</v>
      </c>
      <c r="D14" t="s">
        <v>44</v>
      </c>
      <c r="E14" t="s">
        <v>45</v>
      </c>
      <c r="F14" t="s">
        <v>46</v>
      </c>
      <c r="G14" t="s">
        <v>47</v>
      </c>
      <c r="H14" t="s">
        <v>48</v>
      </c>
      <c r="I14" t="s">
        <v>49</v>
      </c>
      <c r="J14" t="s">
        <v>50</v>
      </c>
      <c r="K14" t="s">
        <v>51</v>
      </c>
      <c r="L14" t="s">
        <v>52</v>
      </c>
      <c r="M14" t="s">
        <v>53</v>
      </c>
      <c r="N14" t="s">
        <v>54</v>
      </c>
      <c r="O14" t="s">
        <v>55</v>
      </c>
    </row>
    <row r="16" spans="1:16">
      <c r="A16" t="s">
        <v>56</v>
      </c>
    </row>
    <row r="19" spans="1:15">
      <c r="A19" t="s">
        <v>57</v>
      </c>
    </row>
    <row r="20" spans="1:15">
      <c r="A20">
        <v>31</v>
      </c>
      <c r="B20">
        <v>31</v>
      </c>
      <c r="C20">
        <v>31</v>
      </c>
      <c r="D20">
        <v>31</v>
      </c>
      <c r="E20">
        <v>31</v>
      </c>
      <c r="F20">
        <v>31</v>
      </c>
      <c r="G20">
        <v>31</v>
      </c>
      <c r="H20">
        <v>31</v>
      </c>
      <c r="I20">
        <v>31</v>
      </c>
      <c r="J20">
        <v>31</v>
      </c>
      <c r="K20">
        <v>31</v>
      </c>
      <c r="L20">
        <v>31</v>
      </c>
      <c r="M20">
        <v>31</v>
      </c>
      <c r="N20">
        <v>31</v>
      </c>
      <c r="O20">
        <v>31</v>
      </c>
    </row>
    <row r="25" spans="1:15">
      <c r="A25" s="157" t="s">
        <v>58</v>
      </c>
    </row>
    <row r="26" spans="1:15">
      <c r="A26" s="192" t="s">
        <v>59</v>
      </c>
      <c r="B26" s="192" t="s">
        <v>60</v>
      </c>
      <c r="C26" s="192" t="s">
        <v>60</v>
      </c>
      <c r="D26" s="192" t="s">
        <v>60</v>
      </c>
      <c r="E26" s="192" t="s">
        <v>60</v>
      </c>
      <c r="F26" s="192" t="s">
        <v>60</v>
      </c>
      <c r="G26" s="192" t="s">
        <v>60</v>
      </c>
      <c r="H26" s="192" t="s">
        <v>60</v>
      </c>
      <c r="I26" s="192" t="s">
        <v>60</v>
      </c>
      <c r="J26" s="192" t="s">
        <v>60</v>
      </c>
      <c r="K26" s="192" t="s">
        <v>60</v>
      </c>
      <c r="L26" s="192" t="s">
        <v>60</v>
      </c>
      <c r="M26" s="192" t="s">
        <v>60</v>
      </c>
      <c r="N26" s="192" t="s">
        <v>60</v>
      </c>
      <c r="O26" s="192" t="s">
        <v>60</v>
      </c>
    </row>
    <row r="27" spans="1:15">
      <c r="A27" t="s">
        <v>61</v>
      </c>
      <c r="B27" t="s">
        <v>62</v>
      </c>
      <c r="C27" t="s">
        <v>63</v>
      </c>
      <c r="D27" t="s">
        <v>64</v>
      </c>
      <c r="E27" t="s">
        <v>65</v>
      </c>
      <c r="F27" t="s">
        <v>66</v>
      </c>
      <c r="G27" t="s">
        <v>67</v>
      </c>
      <c r="H27" t="s">
        <v>68</v>
      </c>
      <c r="I27" t="s">
        <v>69</v>
      </c>
      <c r="J27" t="s">
        <v>70</v>
      </c>
      <c r="K27" t="s">
        <v>71</v>
      </c>
      <c r="L27" t="s">
        <v>72</v>
      </c>
      <c r="M27" t="s">
        <v>73</v>
      </c>
      <c r="N27" t="s">
        <v>74</v>
      </c>
      <c r="O27" t="s">
        <v>75</v>
      </c>
    </row>
    <row r="28" spans="1:15">
      <c r="A28" s="192" t="s">
        <v>76</v>
      </c>
      <c r="B28" s="192" t="s">
        <v>76</v>
      </c>
      <c r="C28" s="192" t="s">
        <v>76</v>
      </c>
      <c r="D28" s="192" t="s">
        <v>76</v>
      </c>
      <c r="E28" s="192" t="s">
        <v>76</v>
      </c>
      <c r="F28" s="192" t="s">
        <v>76</v>
      </c>
      <c r="G28" s="192" t="s">
        <v>76</v>
      </c>
      <c r="H28" s="192" t="s">
        <v>76</v>
      </c>
      <c r="I28" s="192" t="s">
        <v>76</v>
      </c>
      <c r="J28" s="192" t="s">
        <v>76</v>
      </c>
      <c r="K28" s="192" t="s">
        <v>76</v>
      </c>
      <c r="L28" s="192" t="s">
        <v>76</v>
      </c>
      <c r="M28" s="192" t="s">
        <v>76</v>
      </c>
      <c r="N28" s="192" t="s">
        <v>76</v>
      </c>
      <c r="O28" s="192" t="s">
        <v>76</v>
      </c>
    </row>
    <row r="29" spans="1:15">
      <c r="A29" s="192" t="s">
        <v>60</v>
      </c>
      <c r="B29" s="192" t="s">
        <v>59</v>
      </c>
      <c r="C29" s="192" t="s">
        <v>59</v>
      </c>
      <c r="D29" s="192" t="s">
        <v>59</v>
      </c>
      <c r="E29" s="192" t="s">
        <v>59</v>
      </c>
      <c r="F29" s="192" t="s">
        <v>59</v>
      </c>
      <c r="G29" s="192" t="s">
        <v>59</v>
      </c>
      <c r="H29" s="192" t="s">
        <v>59</v>
      </c>
      <c r="I29" s="192" t="s">
        <v>59</v>
      </c>
      <c r="J29" s="192" t="s">
        <v>59</v>
      </c>
      <c r="K29" s="192" t="s">
        <v>59</v>
      </c>
      <c r="L29" s="192" t="s">
        <v>59</v>
      </c>
      <c r="M29" s="192" t="s">
        <v>59</v>
      </c>
      <c r="N29" s="192" t="s">
        <v>59</v>
      </c>
      <c r="O29" s="192" t="s">
        <v>59</v>
      </c>
    </row>
    <row r="30" spans="1:15">
      <c r="A30" t="s">
        <v>77</v>
      </c>
      <c r="B30" t="s">
        <v>78</v>
      </c>
      <c r="C30" t="s">
        <v>79</v>
      </c>
      <c r="D30" t="s">
        <v>80</v>
      </c>
      <c r="E30" t="s">
        <v>81</v>
      </c>
      <c r="F30" t="s">
        <v>82</v>
      </c>
      <c r="G30" t="s">
        <v>83</v>
      </c>
      <c r="H30" t="s">
        <v>84</v>
      </c>
      <c r="I30" t="s">
        <v>85</v>
      </c>
      <c r="J30" t="s">
        <v>86</v>
      </c>
      <c r="K30" t="s">
        <v>87</v>
      </c>
      <c r="L30" t="s">
        <v>88</v>
      </c>
      <c r="M30" t="s">
        <v>89</v>
      </c>
      <c r="N30" t="s">
        <v>90</v>
      </c>
      <c r="O30" t="s">
        <v>91</v>
      </c>
    </row>
    <row r="31" spans="1:15">
      <c r="A31" s="192" t="s">
        <v>76</v>
      </c>
      <c r="B31" s="192" t="s">
        <v>76</v>
      </c>
      <c r="C31" s="192" t="s">
        <v>76</v>
      </c>
      <c r="D31" s="192" t="s">
        <v>76</v>
      </c>
      <c r="E31" s="192" t="s">
        <v>76</v>
      </c>
      <c r="F31" s="192" t="s">
        <v>76</v>
      </c>
      <c r="G31" s="192" t="s">
        <v>76</v>
      </c>
      <c r="H31" s="192" t="s">
        <v>76</v>
      </c>
      <c r="I31" s="192" t="s">
        <v>76</v>
      </c>
      <c r="J31" s="192" t="s">
        <v>76</v>
      </c>
      <c r="K31" s="192" t="s">
        <v>76</v>
      </c>
      <c r="L31" s="192" t="s">
        <v>76</v>
      </c>
      <c r="M31" s="192" t="s">
        <v>76</v>
      </c>
      <c r="N31" s="192" t="s">
        <v>76</v>
      </c>
      <c r="O31" s="192"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00"/>
  <sheetViews>
    <sheetView tabSelected="1" topLeftCell="A25" zoomScale="65" zoomScaleNormal="55" workbookViewId="0">
      <selection activeCell="A41" sqref="A41:XFD138"/>
    </sheetView>
  </sheetViews>
  <sheetFormatPr defaultColWidth="14.46484375" defaultRowHeight="15" customHeight="1"/>
  <cols>
    <col min="1" max="1" width="8.796875" customWidth="1"/>
    <col min="2" max="2" width="32.1328125" customWidth="1"/>
    <col min="3" max="3" width="26.46484375" customWidth="1"/>
    <col min="4" max="5" width="17.53125" customWidth="1"/>
    <col min="6" max="6" width="21.46484375" customWidth="1"/>
    <col min="7" max="7" width="1.46484375" hidden="1" customWidth="1"/>
    <col min="8" max="8" width="38.46484375" customWidth="1"/>
    <col min="9" max="9" width="17.1328125" customWidth="1"/>
    <col min="10" max="10" width="25" customWidth="1"/>
    <col min="11" max="11" width="21.46484375" customWidth="1"/>
    <col min="12" max="12" width="14.53125" hidden="1" customWidth="1"/>
    <col min="13" max="13" width="34" customWidth="1"/>
    <col min="14" max="14" width="10.796875" customWidth="1"/>
    <col min="15" max="15" width="6.53125" customWidth="1"/>
    <col min="16" max="16" width="12.796875" customWidth="1"/>
    <col min="17" max="26" width="9" customWidth="1"/>
  </cols>
  <sheetData>
    <row r="1" spans="1:26" ht="28.5" customHeight="1">
      <c r="A1" s="15"/>
      <c r="B1" s="201" t="s">
        <v>92</v>
      </c>
      <c r="C1" s="202"/>
      <c r="D1" s="202"/>
      <c r="E1" s="202"/>
      <c r="F1" s="202"/>
      <c r="G1" s="202"/>
      <c r="H1" s="202"/>
      <c r="I1" s="202"/>
      <c r="J1" s="202"/>
      <c r="K1" s="202"/>
      <c r="L1" s="202"/>
      <c r="M1" s="202"/>
      <c r="N1" s="202"/>
      <c r="O1" s="202"/>
      <c r="P1" s="203"/>
      <c r="Q1" s="15"/>
      <c r="R1" s="15"/>
      <c r="S1" s="15"/>
      <c r="T1" s="15"/>
      <c r="U1" s="15"/>
      <c r="V1" s="15"/>
      <c r="W1" s="15"/>
      <c r="X1" s="15"/>
      <c r="Y1" s="15"/>
      <c r="Z1" s="15"/>
    </row>
    <row r="2" spans="1:26" ht="28.5" customHeight="1">
      <c r="A2" s="15"/>
      <c r="B2" s="204"/>
      <c r="C2" s="205"/>
      <c r="D2" s="205"/>
      <c r="E2" s="205"/>
      <c r="F2" s="205"/>
      <c r="G2" s="205"/>
      <c r="H2" s="205"/>
      <c r="I2" s="205"/>
      <c r="J2" s="205"/>
      <c r="K2" s="205"/>
      <c r="L2" s="205"/>
      <c r="M2" s="205"/>
      <c r="N2" s="205"/>
      <c r="O2" s="205"/>
      <c r="P2" s="206"/>
      <c r="Q2" s="15"/>
      <c r="R2" s="15"/>
      <c r="S2" s="15"/>
      <c r="T2" s="15"/>
      <c r="U2" s="15"/>
      <c r="V2" s="15"/>
      <c r="W2" s="15"/>
      <c r="X2" s="15"/>
      <c r="Y2" s="15"/>
      <c r="Z2" s="15"/>
    </row>
    <row r="3" spans="1:26" ht="19.5" customHeight="1">
      <c r="A3" s="15"/>
      <c r="B3" s="116" t="s">
        <v>93</v>
      </c>
      <c r="C3" s="197" t="s">
        <v>94</v>
      </c>
      <c r="D3" s="198"/>
      <c r="E3" s="198"/>
      <c r="F3" s="116" t="s">
        <v>95</v>
      </c>
      <c r="G3" s="117"/>
      <c r="H3" s="116" t="s">
        <v>93</v>
      </c>
      <c r="I3" s="197" t="s">
        <v>94</v>
      </c>
      <c r="J3" s="198"/>
      <c r="K3" s="198"/>
      <c r="L3" s="198"/>
      <c r="M3" s="199" t="s">
        <v>95</v>
      </c>
      <c r="N3" s="198"/>
      <c r="O3" s="198"/>
      <c r="P3" s="200"/>
      <c r="Q3" s="15"/>
      <c r="R3" s="15"/>
      <c r="S3" s="15"/>
      <c r="T3" s="15"/>
      <c r="U3" s="15"/>
      <c r="V3" s="15"/>
      <c r="W3" s="15"/>
      <c r="X3" s="15"/>
      <c r="Y3" s="15"/>
      <c r="Z3" s="15"/>
    </row>
    <row r="4" spans="1:26" ht="19.5" customHeight="1">
      <c r="A4" s="15"/>
      <c r="B4" s="118" t="s">
        <v>96</v>
      </c>
      <c r="C4" s="119" t="s">
        <v>97</v>
      </c>
      <c r="D4" s="119" t="s">
        <v>98</v>
      </c>
      <c r="E4" s="120" t="s">
        <v>99</v>
      </c>
      <c r="F4" s="121" t="s">
        <v>100</v>
      </c>
      <c r="G4" s="120"/>
      <c r="H4" s="122" t="s">
        <v>101</v>
      </c>
      <c r="I4" s="119" t="s">
        <v>97</v>
      </c>
      <c r="J4" s="120" t="s">
        <v>98</v>
      </c>
      <c r="K4" s="120" t="s">
        <v>100</v>
      </c>
      <c r="L4" s="124"/>
      <c r="M4" s="125"/>
      <c r="N4" s="124"/>
      <c r="O4" s="120" t="s">
        <v>102</v>
      </c>
      <c r="P4" s="143" t="s">
        <v>100</v>
      </c>
      <c r="Q4" s="15"/>
      <c r="R4" s="15"/>
      <c r="S4" s="15"/>
      <c r="T4" s="15"/>
      <c r="U4" s="15"/>
      <c r="V4" s="15"/>
      <c r="W4" s="15"/>
      <c r="X4" s="15"/>
      <c r="Y4" s="15"/>
      <c r="Z4" s="15"/>
    </row>
    <row r="5" spans="1:26" ht="19.5" customHeight="1">
      <c r="A5" s="15"/>
      <c r="B5" s="123" t="s">
        <v>103</v>
      </c>
      <c r="C5" s="124"/>
      <c r="D5" s="124"/>
      <c r="E5" s="124"/>
      <c r="F5" s="125"/>
      <c r="G5" s="124"/>
      <c r="H5" s="125" t="s">
        <v>104</v>
      </c>
      <c r="I5" s="124"/>
      <c r="J5" s="124"/>
      <c r="K5" s="144">
        <v>8250000</v>
      </c>
      <c r="L5" s="124"/>
      <c r="M5" s="125" t="s">
        <v>105</v>
      </c>
      <c r="N5" s="124"/>
      <c r="O5" s="134">
        <v>0.5</v>
      </c>
      <c r="P5" s="133">
        <f>K5*O5</f>
        <v>4125000</v>
      </c>
      <c r="Q5" s="15"/>
      <c r="R5" s="15"/>
      <c r="S5" s="15"/>
      <c r="T5" s="15"/>
      <c r="U5" s="15"/>
      <c r="V5" s="15"/>
      <c r="W5" s="15"/>
      <c r="X5" s="15"/>
      <c r="Y5" s="15"/>
      <c r="Z5" s="15"/>
    </row>
    <row r="6" spans="1:26" ht="19.5" customHeight="1">
      <c r="A6" s="15"/>
      <c r="B6" s="125" t="s">
        <v>106</v>
      </c>
      <c r="C6" s="124">
        <v>12</v>
      </c>
      <c r="D6" s="126">
        <f>E6/C6</f>
        <v>1499999.9997500002</v>
      </c>
      <c r="E6" s="126">
        <f t="shared" ref="E6:E10" si="0">F6*(1+$I$27)</f>
        <v>17999999.997000001</v>
      </c>
      <c r="F6" s="127">
        <v>17142857.140000001</v>
      </c>
      <c r="G6" s="126"/>
      <c r="H6" s="125" t="s">
        <v>107</v>
      </c>
      <c r="I6" s="124"/>
      <c r="J6" s="126"/>
      <c r="K6" s="145">
        <v>4999999.9979999997</v>
      </c>
      <c r="L6" s="124"/>
      <c r="M6" s="125" t="s">
        <v>108</v>
      </c>
      <c r="N6" s="124"/>
      <c r="O6" s="134">
        <f>I27</f>
        <v>0.05</v>
      </c>
      <c r="P6" s="146">
        <v>4761904.76</v>
      </c>
      <c r="Q6" s="15"/>
      <c r="R6" s="15"/>
      <c r="S6" s="15"/>
      <c r="T6" s="15"/>
      <c r="U6" s="15"/>
      <c r="V6" s="15"/>
      <c r="W6" s="15"/>
      <c r="X6" s="15"/>
      <c r="Y6" s="15"/>
      <c r="Z6" s="15"/>
    </row>
    <row r="7" spans="1:26" ht="19.5" customHeight="1">
      <c r="A7" s="15"/>
      <c r="B7" s="125" t="s">
        <v>109</v>
      </c>
      <c r="C7" s="124"/>
      <c r="D7" s="126"/>
      <c r="E7" s="126">
        <f t="shared" si="0"/>
        <v>1999999.9949999999</v>
      </c>
      <c r="F7" s="127">
        <v>1904761.9</v>
      </c>
      <c r="G7" s="126"/>
      <c r="H7" s="125" t="s">
        <v>110</v>
      </c>
      <c r="I7" s="124"/>
      <c r="J7" s="147"/>
      <c r="K7" s="147">
        <v>2500000</v>
      </c>
      <c r="L7" s="124"/>
      <c r="M7" s="125" t="s">
        <v>110</v>
      </c>
      <c r="N7" s="124"/>
      <c r="O7" s="134"/>
      <c r="P7" s="133">
        <f>K7</f>
        <v>2500000</v>
      </c>
      <c r="Q7" s="15"/>
      <c r="R7" s="15"/>
      <c r="S7" s="15"/>
      <c r="T7" s="15"/>
      <c r="U7" s="15"/>
      <c r="V7" s="15"/>
      <c r="W7" s="15"/>
      <c r="X7" s="15"/>
      <c r="Y7" s="15"/>
      <c r="Z7" s="15"/>
    </row>
    <row r="8" spans="1:26" ht="19.5" customHeight="1">
      <c r="A8" s="15"/>
      <c r="B8" s="125" t="s">
        <v>111</v>
      </c>
      <c r="C8" s="124"/>
      <c r="D8" s="126"/>
      <c r="E8" s="126">
        <f t="shared" si="0"/>
        <v>5999999.9955000002</v>
      </c>
      <c r="F8" s="127">
        <v>5714285.71</v>
      </c>
      <c r="G8" s="126"/>
      <c r="H8" s="125" t="s">
        <v>112</v>
      </c>
      <c r="I8" s="124"/>
      <c r="J8" s="126"/>
      <c r="K8" s="145">
        <v>24000000.002</v>
      </c>
      <c r="L8" s="124"/>
      <c r="M8" s="125" t="s">
        <v>113</v>
      </c>
      <c r="N8" s="124"/>
      <c r="O8" s="134">
        <f>I29</f>
        <v>0.1</v>
      </c>
      <c r="P8" s="146">
        <v>21818181.82</v>
      </c>
      <c r="Q8" s="15"/>
      <c r="R8" s="15"/>
      <c r="S8" s="15"/>
      <c r="T8" s="15"/>
      <c r="U8" s="15"/>
      <c r="V8" s="15"/>
      <c r="W8" s="15"/>
      <c r="X8" s="15"/>
      <c r="Y8" s="15"/>
      <c r="Z8" s="15"/>
    </row>
    <row r="9" spans="1:26" ht="19.5" customHeight="1">
      <c r="A9" s="15"/>
      <c r="B9" s="125" t="s">
        <v>114</v>
      </c>
      <c r="C9" s="124"/>
      <c r="D9" s="126"/>
      <c r="E9" s="126">
        <f t="shared" si="0"/>
        <v>4250000.0025000004</v>
      </c>
      <c r="F9" s="127">
        <v>4047619.05</v>
      </c>
      <c r="G9" s="126"/>
      <c r="H9" s="125" t="s">
        <v>115</v>
      </c>
      <c r="I9" s="124"/>
      <c r="J9" s="147"/>
      <c r="K9" s="147">
        <v>1000000</v>
      </c>
      <c r="L9" s="124"/>
      <c r="M9" s="125" t="s">
        <v>115</v>
      </c>
      <c r="N9" s="124"/>
      <c r="O9" s="134"/>
      <c r="P9" s="133">
        <f t="shared" ref="P9:P10" si="1">K9</f>
        <v>1000000</v>
      </c>
      <c r="Q9" s="15"/>
      <c r="R9" s="15"/>
      <c r="S9" s="15"/>
      <c r="T9" s="15"/>
      <c r="U9" s="15"/>
      <c r="V9" s="15"/>
      <c r="W9" s="15"/>
      <c r="X9" s="15"/>
      <c r="Y9" s="15"/>
      <c r="Z9" s="15"/>
    </row>
    <row r="10" spans="1:26" ht="19.5" customHeight="1">
      <c r="A10" s="15"/>
      <c r="B10" s="128" t="s">
        <v>116</v>
      </c>
      <c r="C10" s="129"/>
      <c r="D10" s="130"/>
      <c r="E10" s="130">
        <f t="shared" si="0"/>
        <v>30249999.990000002</v>
      </c>
      <c r="F10" s="131">
        <f>SUM(F6:F9)</f>
        <v>28809523.800000001</v>
      </c>
      <c r="G10" s="132"/>
      <c r="H10" s="125" t="s">
        <v>117</v>
      </c>
      <c r="I10" s="124"/>
      <c r="J10" s="147"/>
      <c r="K10" s="147">
        <v>100000</v>
      </c>
      <c r="L10" s="124"/>
      <c r="M10" s="125" t="s">
        <v>117</v>
      </c>
      <c r="N10" s="124"/>
      <c r="O10" s="134"/>
      <c r="P10" s="133">
        <f t="shared" si="1"/>
        <v>100000</v>
      </c>
      <c r="Q10" s="15"/>
      <c r="R10" s="15"/>
      <c r="S10" s="15"/>
      <c r="T10" s="15"/>
      <c r="U10" s="15"/>
      <c r="V10" s="15"/>
      <c r="W10" s="15"/>
      <c r="X10" s="15"/>
      <c r="Y10" s="15"/>
      <c r="Z10" s="15"/>
    </row>
    <row r="11" spans="1:26" ht="19.5" customHeight="1">
      <c r="A11" s="15"/>
      <c r="B11" s="123" t="s">
        <v>118</v>
      </c>
      <c r="C11" s="124"/>
      <c r="D11" s="124"/>
      <c r="E11" s="124"/>
      <c r="F11" s="125"/>
      <c r="G11" s="124"/>
      <c r="H11" s="125" t="s">
        <v>119</v>
      </c>
      <c r="I11" s="124"/>
      <c r="J11" s="126"/>
      <c r="K11" s="145">
        <v>4499999.9989999998</v>
      </c>
      <c r="L11" s="124"/>
      <c r="M11" s="125" t="s">
        <v>120</v>
      </c>
      <c r="N11" s="124"/>
      <c r="O11" s="134">
        <f>I28</f>
        <v>0.1</v>
      </c>
      <c r="P11" s="146">
        <v>4090909.09</v>
      </c>
      <c r="Q11" s="15"/>
      <c r="R11" s="15"/>
      <c r="S11" s="15"/>
      <c r="T11" s="15"/>
      <c r="U11" s="15"/>
      <c r="V11" s="15"/>
      <c r="W11" s="15"/>
      <c r="X11" s="15"/>
      <c r="Y11" s="15"/>
      <c r="Z11" s="15"/>
    </row>
    <row r="12" spans="1:26" ht="19.5" customHeight="1">
      <c r="A12" s="15"/>
      <c r="B12" s="128" t="s">
        <v>116</v>
      </c>
      <c r="C12" s="129"/>
      <c r="D12" s="130"/>
      <c r="E12" s="130">
        <f>F12*(1+$I$27)</f>
        <v>3600000.0004500002</v>
      </c>
      <c r="F12" s="131">
        <v>3428571.429</v>
      </c>
      <c r="G12" s="132"/>
      <c r="H12" s="125" t="s">
        <v>121</v>
      </c>
      <c r="I12" s="124">
        <v>12</v>
      </c>
      <c r="J12" s="124">
        <v>3000</v>
      </c>
      <c r="K12" s="124">
        <f>I12*J12</f>
        <v>36000</v>
      </c>
      <c r="L12" s="124"/>
      <c r="M12" s="125" t="s">
        <v>121</v>
      </c>
      <c r="N12" s="129"/>
      <c r="O12" s="129"/>
      <c r="P12" s="146">
        <f>K12</f>
        <v>36000</v>
      </c>
      <c r="Q12" s="15"/>
      <c r="R12" s="15"/>
      <c r="S12" s="15"/>
      <c r="T12" s="15"/>
      <c r="U12" s="15"/>
      <c r="V12" s="15"/>
      <c r="W12" s="15"/>
      <c r="X12" s="15"/>
      <c r="Y12" s="15"/>
      <c r="Z12" s="15"/>
    </row>
    <row r="13" spans="1:26" ht="19.5" customHeight="1">
      <c r="A13" s="15"/>
      <c r="B13" s="123" t="s">
        <v>122</v>
      </c>
      <c r="C13" s="120" t="s">
        <v>102</v>
      </c>
      <c r="D13" s="120" t="s">
        <v>99</v>
      </c>
      <c r="E13" s="133"/>
      <c r="F13" s="120" t="s">
        <v>99</v>
      </c>
      <c r="G13" s="132"/>
      <c r="H13" s="128" t="s">
        <v>123</v>
      </c>
      <c r="I13" s="129"/>
      <c r="J13" s="129"/>
      <c r="K13" s="129">
        <f>SUM(K5:K12)</f>
        <v>45385999.998999998</v>
      </c>
      <c r="L13" s="124"/>
      <c r="M13" s="128" t="s">
        <v>124</v>
      </c>
      <c r="N13" s="129"/>
      <c r="O13" s="129"/>
      <c r="P13" s="148">
        <f>SUM(P5:P12)</f>
        <v>38431995.670000002</v>
      </c>
      <c r="Q13" s="15"/>
      <c r="R13" s="15"/>
      <c r="S13" s="15"/>
      <c r="T13" s="15"/>
      <c r="U13" s="15"/>
      <c r="V13" s="15"/>
      <c r="W13" s="15"/>
      <c r="X13" s="15"/>
      <c r="Y13" s="15"/>
      <c r="Z13" s="15"/>
    </row>
    <row r="14" spans="1:26" ht="19.5" customHeight="1">
      <c r="A14" s="15"/>
      <c r="B14" s="125" t="s">
        <v>106</v>
      </c>
      <c r="C14" s="134">
        <v>0.2</v>
      </c>
      <c r="D14" s="126">
        <f t="shared" ref="D14:D17" si="2">E6*C14</f>
        <v>3599999.9994000006</v>
      </c>
      <c r="E14" s="124"/>
      <c r="F14" s="127">
        <f t="shared" ref="F14:F17" si="3">C14*F6</f>
        <v>3428571.4280000003</v>
      </c>
      <c r="G14" s="124"/>
      <c r="H14" s="125"/>
      <c r="I14" s="124"/>
      <c r="J14" s="124"/>
      <c r="K14" s="124"/>
      <c r="L14" s="124"/>
      <c r="M14" s="125"/>
      <c r="N14" s="124"/>
      <c r="O14" s="124"/>
      <c r="P14" s="133"/>
      <c r="Q14" s="15"/>
      <c r="R14" s="15"/>
      <c r="S14" s="15"/>
      <c r="T14" s="15"/>
      <c r="U14" s="15"/>
      <c r="V14" s="15"/>
      <c r="W14" s="15"/>
      <c r="X14" s="15"/>
      <c r="Y14" s="15"/>
      <c r="Z14" s="15"/>
    </row>
    <row r="15" spans="1:26" ht="19.5" customHeight="1">
      <c r="A15" s="15"/>
      <c r="B15" s="125" t="s">
        <v>109</v>
      </c>
      <c r="C15" s="134">
        <v>0.8</v>
      </c>
      <c r="D15" s="126">
        <f t="shared" si="2"/>
        <v>1599999.996</v>
      </c>
      <c r="E15" s="124"/>
      <c r="F15" s="127">
        <f t="shared" si="3"/>
        <v>1523809.52</v>
      </c>
      <c r="G15" s="124"/>
      <c r="H15" s="122" t="s">
        <v>125</v>
      </c>
      <c r="I15" s="120" t="s">
        <v>102</v>
      </c>
      <c r="J15" s="120" t="s">
        <v>126</v>
      </c>
      <c r="K15" s="120" t="s">
        <v>100</v>
      </c>
      <c r="L15" s="124"/>
      <c r="M15" s="125"/>
      <c r="N15" s="120" t="s">
        <v>127</v>
      </c>
      <c r="O15" s="120" t="s">
        <v>98</v>
      </c>
      <c r="P15" s="143" t="s">
        <v>100</v>
      </c>
      <c r="Q15" s="15"/>
      <c r="R15" s="15"/>
      <c r="S15" s="15"/>
      <c r="T15" s="15"/>
      <c r="U15" s="15"/>
      <c r="V15" s="15"/>
      <c r="W15" s="15"/>
      <c r="X15" s="15"/>
      <c r="Y15" s="15"/>
      <c r="Z15" s="15"/>
    </row>
    <row r="16" spans="1:26" ht="19.5" customHeight="1">
      <c r="A16" s="15"/>
      <c r="B16" s="125" t="s">
        <v>111</v>
      </c>
      <c r="C16" s="134">
        <v>0.5</v>
      </c>
      <c r="D16" s="126">
        <f t="shared" si="2"/>
        <v>2999999.9977500001</v>
      </c>
      <c r="E16" s="124"/>
      <c r="F16" s="127">
        <f t="shared" si="3"/>
        <v>2857142.855</v>
      </c>
      <c r="G16" s="124"/>
      <c r="H16" s="125" t="s">
        <v>128</v>
      </c>
      <c r="I16" s="134">
        <v>0.8</v>
      </c>
      <c r="J16" s="134">
        <v>0.03</v>
      </c>
      <c r="K16" s="124">
        <f t="shared" ref="K16:K17" si="4">I16*K5*J16</f>
        <v>198000</v>
      </c>
      <c r="L16" s="124"/>
      <c r="M16" s="122" t="s">
        <v>129</v>
      </c>
      <c r="N16" s="124">
        <v>32000</v>
      </c>
      <c r="O16" s="124">
        <v>20</v>
      </c>
      <c r="P16" s="133">
        <f>N16*O16</f>
        <v>640000</v>
      </c>
      <c r="Q16" s="15"/>
      <c r="R16" s="15"/>
      <c r="S16" s="15"/>
      <c r="T16" s="15"/>
      <c r="U16" s="15"/>
      <c r="V16" s="15"/>
      <c r="W16" s="15"/>
      <c r="X16" s="15"/>
      <c r="Y16" s="15"/>
      <c r="Z16" s="15"/>
    </row>
    <row r="17" spans="1:26" ht="19.5" customHeight="1">
      <c r="A17" s="15"/>
      <c r="B17" s="125" t="s">
        <v>114</v>
      </c>
      <c r="C17" s="134">
        <v>0.15</v>
      </c>
      <c r="D17" s="126">
        <f t="shared" si="2"/>
        <v>637500.00037500006</v>
      </c>
      <c r="E17" s="124"/>
      <c r="F17" s="127">
        <f t="shared" si="3"/>
        <v>607142.85749999993</v>
      </c>
      <c r="G17" s="124"/>
      <c r="H17" s="125" t="s">
        <v>130</v>
      </c>
      <c r="I17" s="134">
        <f>100%-I16</f>
        <v>0.19999999999999996</v>
      </c>
      <c r="J17" s="134">
        <v>0.15</v>
      </c>
      <c r="K17" s="126">
        <f t="shared" si="4"/>
        <v>149999.99993999995</v>
      </c>
      <c r="L17" s="124"/>
      <c r="M17" s="125"/>
      <c r="N17" s="124"/>
      <c r="O17" s="124"/>
      <c r="P17" s="133"/>
      <c r="Q17" s="15"/>
      <c r="R17" s="15"/>
      <c r="S17" s="15"/>
      <c r="T17" s="15"/>
      <c r="U17" s="15"/>
      <c r="V17" s="15"/>
      <c r="W17" s="15"/>
      <c r="X17" s="15"/>
      <c r="Y17" s="15"/>
      <c r="Z17" s="15"/>
    </row>
    <row r="18" spans="1:26" ht="19.5" customHeight="1">
      <c r="A18" s="15"/>
      <c r="B18" s="125" t="s">
        <v>131</v>
      </c>
      <c r="C18" s="134">
        <v>1</v>
      </c>
      <c r="D18" s="126">
        <f>E12*C18</f>
        <v>3600000.0004500002</v>
      </c>
      <c r="E18" s="124"/>
      <c r="F18" s="127">
        <f>C18*F12</f>
        <v>3428571.429</v>
      </c>
      <c r="G18" s="124"/>
      <c r="H18" s="128" t="s">
        <v>123</v>
      </c>
      <c r="I18" s="149"/>
      <c r="J18" s="149"/>
      <c r="K18" s="130">
        <f>SUM(K16:K17)</f>
        <v>347999.99993999995</v>
      </c>
      <c r="L18" s="124"/>
      <c r="M18" s="125"/>
      <c r="N18" s="124"/>
      <c r="O18" s="124"/>
      <c r="P18" s="133"/>
      <c r="Q18" s="15"/>
      <c r="R18" s="15"/>
      <c r="S18" s="15"/>
      <c r="T18" s="15"/>
      <c r="U18" s="15"/>
      <c r="V18" s="15"/>
      <c r="W18" s="15"/>
      <c r="X18" s="15"/>
      <c r="Y18" s="15"/>
      <c r="Z18" s="15"/>
    </row>
    <row r="19" spans="1:26" ht="19.5" customHeight="1">
      <c r="A19" s="15"/>
      <c r="B19" s="128" t="s">
        <v>116</v>
      </c>
      <c r="C19" s="134"/>
      <c r="D19" s="130">
        <f>SUM(D14:D18)</f>
        <v>12437499.993975</v>
      </c>
      <c r="E19" s="124"/>
      <c r="F19" s="131">
        <f>SUM(F14:F18)</f>
        <v>11845238.089500001</v>
      </c>
      <c r="G19" s="124"/>
      <c r="H19" s="125"/>
      <c r="I19" s="124"/>
      <c r="J19" s="124"/>
      <c r="K19" s="124"/>
      <c r="L19" s="124"/>
      <c r="M19" s="125"/>
      <c r="N19" s="124"/>
      <c r="O19" s="124"/>
      <c r="P19" s="133"/>
      <c r="Q19" s="15"/>
      <c r="R19" s="15"/>
      <c r="S19" s="15"/>
      <c r="T19" s="15"/>
      <c r="U19" s="15"/>
      <c r="V19" s="15"/>
      <c r="W19" s="15"/>
      <c r="X19" s="15"/>
      <c r="Y19" s="15"/>
      <c r="Z19" s="15"/>
    </row>
    <row r="20" spans="1:26" ht="19.5" customHeight="1">
      <c r="A20" s="15"/>
      <c r="B20" s="125"/>
      <c r="C20" s="124"/>
      <c r="D20" s="124"/>
      <c r="E20" s="124"/>
      <c r="F20" s="125"/>
      <c r="G20" s="124"/>
      <c r="H20" s="125"/>
      <c r="I20" s="124"/>
      <c r="J20" s="124"/>
      <c r="K20" s="124"/>
      <c r="L20" s="124"/>
      <c r="M20" s="125"/>
      <c r="N20" s="124"/>
      <c r="O20" s="124"/>
      <c r="P20" s="133"/>
      <c r="Q20" s="15"/>
      <c r="R20" s="15"/>
      <c r="S20" s="15"/>
      <c r="T20" s="15"/>
      <c r="U20" s="15"/>
      <c r="V20" s="15"/>
      <c r="W20" s="15"/>
      <c r="X20" s="15"/>
      <c r="Y20" s="15"/>
      <c r="Z20" s="15"/>
    </row>
    <row r="21" spans="1:26" ht="19.5" customHeight="1">
      <c r="A21" s="15"/>
      <c r="B21" s="125"/>
      <c r="C21" s="124"/>
      <c r="D21" s="124"/>
      <c r="E21" s="124"/>
      <c r="F21" s="125"/>
      <c r="G21" s="124"/>
      <c r="H21" s="135"/>
      <c r="I21" s="124"/>
      <c r="J21" s="124"/>
      <c r="K21" s="124"/>
      <c r="L21" s="124"/>
      <c r="M21" s="125"/>
      <c r="N21" s="124"/>
      <c r="O21" s="124"/>
      <c r="P21" s="133"/>
      <c r="Q21" s="15"/>
      <c r="R21" s="15"/>
      <c r="S21" s="15"/>
      <c r="T21" s="15"/>
      <c r="U21" s="15"/>
      <c r="V21" s="15"/>
      <c r="W21" s="15"/>
      <c r="X21" s="15"/>
      <c r="Y21" s="15"/>
      <c r="Z21" s="15"/>
    </row>
    <row r="22" spans="1:26" ht="19.5" customHeight="1">
      <c r="A22" s="15"/>
      <c r="B22" s="122" t="s">
        <v>132</v>
      </c>
      <c r="C22" s="120" t="s">
        <v>133</v>
      </c>
      <c r="D22" s="120" t="s">
        <v>134</v>
      </c>
      <c r="E22" s="124"/>
      <c r="F22" s="125"/>
      <c r="G22" s="124"/>
      <c r="H22" s="122" t="s">
        <v>135</v>
      </c>
      <c r="I22" s="120" t="s">
        <v>127</v>
      </c>
      <c r="J22" s="120" t="s">
        <v>136</v>
      </c>
      <c r="K22" s="120" t="s">
        <v>137</v>
      </c>
      <c r="L22" s="124"/>
      <c r="M22" s="150" t="s">
        <v>138</v>
      </c>
      <c r="N22" s="120" t="s">
        <v>127</v>
      </c>
      <c r="O22" s="120" t="s">
        <v>98</v>
      </c>
      <c r="P22" s="143" t="s">
        <v>137</v>
      </c>
      <c r="Q22" s="15"/>
      <c r="R22" s="15"/>
      <c r="S22" s="15"/>
      <c r="T22" s="15"/>
      <c r="U22" s="15"/>
      <c r="V22" s="15"/>
      <c r="W22" s="15"/>
      <c r="X22" s="15"/>
      <c r="Y22" s="15"/>
      <c r="Z22" s="15"/>
    </row>
    <row r="23" spans="1:26" ht="19.5" customHeight="1">
      <c r="A23" s="15"/>
      <c r="B23" s="125" t="s">
        <v>106</v>
      </c>
      <c r="C23" s="124">
        <v>15</v>
      </c>
      <c r="D23" s="126">
        <f t="shared" ref="D23:D25" si="5">(E6-D14)/C23</f>
        <v>959999.99984000006</v>
      </c>
      <c r="E23" s="124"/>
      <c r="F23" s="125"/>
      <c r="G23" s="124"/>
      <c r="H23" s="125" t="s">
        <v>139</v>
      </c>
      <c r="I23" s="158">
        <f>32000*50</f>
        <v>1600000</v>
      </c>
      <c r="J23" s="144">
        <v>29.75</v>
      </c>
      <c r="K23" s="124">
        <f>I23*J23</f>
        <v>47600000</v>
      </c>
      <c r="L23" s="124"/>
      <c r="M23" s="125" t="s">
        <v>140</v>
      </c>
      <c r="N23" s="124">
        <f>I23</f>
        <v>1600000</v>
      </c>
      <c r="O23" s="124">
        <v>35</v>
      </c>
      <c r="P23" s="133">
        <f t="shared" ref="P23:P24" si="6">N23*O23</f>
        <v>56000000</v>
      </c>
      <c r="Q23" s="15"/>
      <c r="R23" s="15"/>
      <c r="S23" s="15"/>
      <c r="T23" s="15"/>
      <c r="U23" s="15"/>
      <c r="V23" s="15"/>
      <c r="W23" s="15"/>
      <c r="X23" s="15"/>
      <c r="Y23" s="15"/>
      <c r="Z23" s="15"/>
    </row>
    <row r="24" spans="1:26" ht="19.5" customHeight="1">
      <c r="A24" s="15"/>
      <c r="B24" s="125" t="s">
        <v>111</v>
      </c>
      <c r="C24" s="124">
        <v>20</v>
      </c>
      <c r="D24" s="126">
        <f t="shared" si="5"/>
        <v>19999.99994999999</v>
      </c>
      <c r="E24" s="124"/>
      <c r="F24" s="125"/>
      <c r="G24" s="124"/>
      <c r="H24" s="125" t="s">
        <v>141</v>
      </c>
      <c r="I24" s="158">
        <f>32000*0.15</f>
        <v>4800</v>
      </c>
      <c r="J24" s="151">
        <v>430</v>
      </c>
      <c r="K24" s="124">
        <f t="shared" ref="K24" si="7">I24*J24</f>
        <v>2064000</v>
      </c>
      <c r="L24" s="124"/>
      <c r="M24" s="125" t="s">
        <v>142</v>
      </c>
      <c r="N24" s="124">
        <f>I24</f>
        <v>4800</v>
      </c>
      <c r="O24" s="124">
        <v>430</v>
      </c>
      <c r="P24" s="133">
        <f t="shared" si="6"/>
        <v>2064000</v>
      </c>
      <c r="Q24" s="15"/>
      <c r="R24" s="15"/>
      <c r="S24" s="15"/>
      <c r="T24" s="15"/>
      <c r="U24" s="15"/>
      <c r="V24" s="15"/>
      <c r="W24" s="15"/>
      <c r="X24" s="15"/>
      <c r="Y24" s="15"/>
      <c r="Z24" s="15"/>
    </row>
    <row r="25" spans="1:26" ht="19.5" customHeight="1">
      <c r="A25" s="15"/>
      <c r="B25" s="125" t="s">
        <v>114</v>
      </c>
      <c r="C25" s="124">
        <v>10</v>
      </c>
      <c r="D25" s="126">
        <f t="shared" si="5"/>
        <v>299999.99977500003</v>
      </c>
      <c r="E25" s="124"/>
      <c r="F25" s="125"/>
      <c r="G25" s="124"/>
      <c r="H25" s="128" t="s">
        <v>143</v>
      </c>
      <c r="I25" s="129"/>
      <c r="J25" s="129"/>
      <c r="K25" s="129">
        <f>SUM(K23:K24)</f>
        <v>49664000</v>
      </c>
      <c r="L25" s="124"/>
      <c r="M25" s="128" t="s">
        <v>143</v>
      </c>
      <c r="N25" s="124"/>
      <c r="O25" s="124"/>
      <c r="P25" s="152">
        <f>SUM(P23:P24)</f>
        <v>58064000</v>
      </c>
      <c r="Q25" s="15"/>
      <c r="R25" s="15"/>
      <c r="S25" s="15"/>
      <c r="T25" s="15"/>
      <c r="U25" s="15"/>
      <c r="V25" s="15"/>
      <c r="W25" s="15"/>
      <c r="X25" s="15"/>
      <c r="Y25" s="15"/>
      <c r="Z25" s="15"/>
    </row>
    <row r="26" spans="1:26" ht="19.5" customHeight="1">
      <c r="A26" s="15"/>
      <c r="B26" s="125"/>
      <c r="C26" s="124"/>
      <c r="D26" s="124"/>
      <c r="E26" s="124"/>
      <c r="F26" s="125"/>
      <c r="G26" s="124"/>
      <c r="H26" s="136" t="s">
        <v>144</v>
      </c>
      <c r="I26" s="137" t="s">
        <v>102</v>
      </c>
      <c r="J26" s="153" t="s">
        <v>145</v>
      </c>
      <c r="K26" s="137" t="s">
        <v>102</v>
      </c>
      <c r="L26" s="124"/>
      <c r="M26" s="154" t="s">
        <v>146</v>
      </c>
      <c r="N26" s="120" t="s">
        <v>127</v>
      </c>
      <c r="O26" s="120" t="s">
        <v>98</v>
      </c>
      <c r="P26" s="143" t="s">
        <v>137</v>
      </c>
      <c r="Q26" s="15"/>
      <c r="R26" s="15"/>
      <c r="S26" s="15"/>
      <c r="T26" s="15"/>
      <c r="U26" s="15"/>
      <c r="V26" s="15"/>
      <c r="W26" s="15"/>
      <c r="X26" s="15"/>
      <c r="Y26" s="15"/>
      <c r="Z26" s="15"/>
    </row>
    <row r="27" spans="1:26" ht="19.5" customHeight="1">
      <c r="A27" s="15"/>
      <c r="B27" s="122" t="s">
        <v>147</v>
      </c>
      <c r="C27" s="120" t="s">
        <v>102</v>
      </c>
      <c r="D27" s="120" t="s">
        <v>99</v>
      </c>
      <c r="E27" s="124"/>
      <c r="F27" s="125"/>
      <c r="G27" s="124"/>
      <c r="H27" s="125" t="s">
        <v>148</v>
      </c>
      <c r="I27" s="134">
        <v>0.05</v>
      </c>
      <c r="J27" s="124" t="s">
        <v>149</v>
      </c>
      <c r="K27" s="134">
        <v>0.06</v>
      </c>
      <c r="L27" s="124"/>
      <c r="M27" s="125" t="s">
        <v>140</v>
      </c>
      <c r="N27" s="124">
        <f>N23</f>
        <v>1600000</v>
      </c>
      <c r="O27" s="124">
        <f>O23-(O23*K29)</f>
        <v>31.5</v>
      </c>
      <c r="P27" s="133">
        <f>N27*O27</f>
        <v>50400000</v>
      </c>
      <c r="Q27" s="15"/>
      <c r="R27" s="15"/>
      <c r="S27" s="15"/>
      <c r="T27" s="15"/>
      <c r="U27" s="15"/>
      <c r="V27" s="15"/>
      <c r="W27" s="15"/>
      <c r="X27" s="15"/>
      <c r="Y27" s="15"/>
      <c r="Z27" s="15"/>
    </row>
    <row r="28" spans="1:26" ht="19.5" customHeight="1">
      <c r="A28" s="15"/>
      <c r="B28" s="125" t="s">
        <v>106</v>
      </c>
      <c r="C28" s="134">
        <v>0.25</v>
      </c>
      <c r="D28" s="126">
        <f t="shared" ref="D28:D29" si="8">C28*D14</f>
        <v>899999.99985000014</v>
      </c>
      <c r="E28" s="124"/>
      <c r="F28" s="125"/>
      <c r="G28" s="124"/>
      <c r="H28" s="125" t="s">
        <v>150</v>
      </c>
      <c r="I28" s="134">
        <v>0.1</v>
      </c>
      <c r="J28" s="124" t="s">
        <v>151</v>
      </c>
      <c r="K28" s="134">
        <v>0.05</v>
      </c>
      <c r="L28" s="124"/>
      <c r="M28" s="125" t="s">
        <v>142</v>
      </c>
      <c r="N28" s="124">
        <f>N24</f>
        <v>4800</v>
      </c>
      <c r="O28" s="124">
        <f>O24</f>
        <v>430</v>
      </c>
      <c r="P28" s="133">
        <f>O28*N28</f>
        <v>2064000</v>
      </c>
      <c r="Q28" s="15"/>
      <c r="R28" s="15"/>
      <c r="S28" s="15"/>
      <c r="T28" s="15"/>
      <c r="U28" s="15"/>
      <c r="V28" s="15"/>
      <c r="W28" s="15"/>
      <c r="X28" s="15"/>
      <c r="Y28" s="15"/>
      <c r="Z28" s="15"/>
    </row>
    <row r="29" spans="1:26" ht="19.5" customHeight="1">
      <c r="A29" s="15"/>
      <c r="B29" s="125" t="s">
        <v>114</v>
      </c>
      <c r="C29" s="134">
        <v>0.5</v>
      </c>
      <c r="D29" s="126">
        <f t="shared" si="8"/>
        <v>799999.99800000002</v>
      </c>
      <c r="E29" s="124"/>
      <c r="F29" s="125"/>
      <c r="G29" s="124"/>
      <c r="H29" s="125" t="s">
        <v>152</v>
      </c>
      <c r="I29" s="134">
        <v>0.1</v>
      </c>
      <c r="J29" s="124" t="s">
        <v>153</v>
      </c>
      <c r="K29" s="134">
        <v>0.1</v>
      </c>
      <c r="L29" s="124"/>
      <c r="M29" s="128" t="s">
        <v>143</v>
      </c>
      <c r="N29" s="124"/>
      <c r="O29" s="124"/>
      <c r="P29" s="155">
        <f>SUM(P27:P28)</f>
        <v>52464000</v>
      </c>
      <c r="Q29" s="15"/>
      <c r="R29" s="15"/>
      <c r="S29" s="15"/>
      <c r="T29" s="15"/>
      <c r="U29" s="15"/>
      <c r="V29" s="15"/>
      <c r="W29" s="15"/>
      <c r="X29" s="15"/>
      <c r="Y29" s="15"/>
      <c r="Z29" s="15"/>
    </row>
    <row r="30" spans="1:26" ht="19.5" customHeight="1">
      <c r="A30" s="15"/>
      <c r="B30" s="125"/>
      <c r="C30" s="124"/>
      <c r="D30" s="124"/>
      <c r="E30" s="124"/>
      <c r="F30" s="125"/>
      <c r="G30" s="124"/>
      <c r="H30" s="125"/>
      <c r="I30" s="137"/>
      <c r="J30" s="124" t="s">
        <v>150</v>
      </c>
      <c r="K30" s="134">
        <v>0</v>
      </c>
      <c r="L30" s="124"/>
      <c r="M30" s="125"/>
      <c r="N30" s="124"/>
      <c r="O30" s="124"/>
      <c r="P30" s="133"/>
      <c r="Q30" s="15"/>
      <c r="R30" s="15"/>
      <c r="S30" s="15"/>
      <c r="T30" s="15"/>
      <c r="U30" s="15"/>
      <c r="V30" s="15"/>
      <c r="W30" s="15"/>
      <c r="X30" s="15"/>
      <c r="Y30" s="15"/>
      <c r="Z30" s="15"/>
    </row>
    <row r="31" spans="1:26" ht="19.5" customHeight="1">
      <c r="A31" s="15"/>
      <c r="B31" s="125"/>
      <c r="C31" s="124"/>
      <c r="D31" s="124"/>
      <c r="E31" s="124"/>
      <c r="F31" s="125"/>
      <c r="G31" s="124"/>
      <c r="H31" s="125"/>
      <c r="I31" s="207" t="s">
        <v>154</v>
      </c>
      <c r="J31" s="196"/>
      <c r="K31" s="196"/>
      <c r="L31" s="124"/>
      <c r="M31" s="125"/>
      <c r="N31" s="124"/>
      <c r="O31" s="124"/>
      <c r="P31" s="133"/>
      <c r="Q31" s="15"/>
      <c r="R31" s="15"/>
      <c r="S31" s="15"/>
      <c r="T31" s="15"/>
      <c r="U31" s="15"/>
      <c r="V31" s="15"/>
      <c r="W31" s="15"/>
      <c r="X31" s="15"/>
      <c r="Y31" s="15"/>
      <c r="Z31" s="15"/>
    </row>
    <row r="32" spans="1:26" ht="19.5" customHeight="1">
      <c r="A32" s="15"/>
      <c r="B32" s="122" t="s">
        <v>155</v>
      </c>
      <c r="C32" s="120" t="s">
        <v>156</v>
      </c>
      <c r="D32" s="120" t="s">
        <v>157</v>
      </c>
      <c r="E32" s="120" t="s">
        <v>158</v>
      </c>
      <c r="F32" s="125"/>
      <c r="G32" s="137"/>
      <c r="H32" s="138" t="s">
        <v>159</v>
      </c>
      <c r="I32" s="120">
        <v>2008</v>
      </c>
      <c r="J32" s="120">
        <v>2009</v>
      </c>
      <c r="K32" s="120" t="s">
        <v>160</v>
      </c>
      <c r="L32" s="124"/>
      <c r="M32" s="125"/>
      <c r="N32" s="124"/>
      <c r="O32" s="124"/>
      <c r="P32" s="133"/>
      <c r="Q32" s="15"/>
      <c r="R32" s="15"/>
      <c r="S32" s="15"/>
      <c r="T32" s="15"/>
      <c r="U32" s="15"/>
      <c r="V32" s="15"/>
      <c r="W32" s="15"/>
      <c r="X32" s="15"/>
      <c r="Y32" s="15"/>
      <c r="Z32" s="15"/>
    </row>
    <row r="33" spans="1:26" ht="19.5" customHeight="1">
      <c r="A33" s="15"/>
      <c r="B33" s="125" t="s">
        <v>161</v>
      </c>
      <c r="C33" s="126">
        <f>(E10+E12)*60%</f>
        <v>20309999.994270001</v>
      </c>
      <c r="D33" s="139">
        <v>0.12</v>
      </c>
      <c r="E33" s="124">
        <v>10</v>
      </c>
      <c r="F33" s="125"/>
      <c r="G33" s="124"/>
      <c r="H33" s="138" t="s">
        <v>102</v>
      </c>
      <c r="I33" s="134">
        <v>0.3</v>
      </c>
      <c r="J33" s="134">
        <v>0.7</v>
      </c>
      <c r="K33" s="134">
        <v>1</v>
      </c>
      <c r="L33" s="124"/>
      <c r="M33" s="125"/>
      <c r="N33" s="124"/>
      <c r="O33" s="124"/>
      <c r="P33" s="133"/>
      <c r="Q33" s="15"/>
      <c r="R33" s="15"/>
      <c r="S33" s="15"/>
      <c r="T33" s="15"/>
      <c r="U33" s="15"/>
      <c r="V33" s="15"/>
      <c r="W33" s="15"/>
      <c r="X33" s="15"/>
      <c r="Y33" s="15"/>
      <c r="Z33" s="15"/>
    </row>
    <row r="34" spans="1:26" ht="19.5" customHeight="1">
      <c r="A34" s="15"/>
      <c r="B34" s="125"/>
      <c r="C34" s="124"/>
      <c r="D34" s="124"/>
      <c r="E34" s="124"/>
      <c r="F34" s="125"/>
      <c r="G34" s="124"/>
      <c r="H34" s="125"/>
      <c r="I34" s="124"/>
      <c r="J34" s="124"/>
      <c r="K34" s="124"/>
      <c r="L34" s="124"/>
      <c r="M34" s="125"/>
      <c r="N34" s="124"/>
      <c r="O34" s="124"/>
      <c r="P34" s="133"/>
      <c r="Q34" s="15"/>
      <c r="R34" s="15"/>
      <c r="S34" s="15"/>
      <c r="T34" s="15"/>
      <c r="U34" s="15"/>
      <c r="V34" s="15"/>
      <c r="W34" s="15"/>
      <c r="X34" s="15"/>
      <c r="Y34" s="15"/>
      <c r="Z34" s="15"/>
    </row>
    <row r="35" spans="1:26" ht="19.5" customHeight="1">
      <c r="A35" s="15"/>
      <c r="B35" s="122" t="s">
        <v>162</v>
      </c>
      <c r="C35" s="134">
        <v>0.03</v>
      </c>
      <c r="D35" s="134">
        <v>0.05</v>
      </c>
      <c r="E35" s="134">
        <v>0.08</v>
      </c>
      <c r="F35" s="125"/>
      <c r="G35" s="134"/>
      <c r="H35" s="122" t="s">
        <v>163</v>
      </c>
      <c r="I35" s="124">
        <v>1000000</v>
      </c>
      <c r="J35" s="124"/>
      <c r="K35" s="124"/>
      <c r="L35" s="124"/>
      <c r="M35" s="125"/>
      <c r="N35" s="124"/>
      <c r="O35" s="124"/>
      <c r="P35" s="133"/>
      <c r="Q35" s="15"/>
      <c r="R35" s="15"/>
      <c r="S35" s="15"/>
      <c r="T35" s="15"/>
      <c r="U35" s="15"/>
      <c r="V35" s="15"/>
      <c r="W35" s="15"/>
      <c r="X35" s="15"/>
      <c r="Y35" s="15"/>
      <c r="Z35" s="15"/>
    </row>
    <row r="36" spans="1:26" ht="19.5" customHeight="1">
      <c r="A36" s="15"/>
      <c r="B36" s="138"/>
      <c r="C36" s="134"/>
      <c r="D36" s="134"/>
      <c r="E36" s="124"/>
      <c r="F36" s="125"/>
      <c r="G36" s="124"/>
      <c r="H36" s="125"/>
      <c r="I36" s="124"/>
      <c r="J36" s="124"/>
      <c r="K36" s="124"/>
      <c r="L36" s="124"/>
      <c r="M36" s="125"/>
      <c r="N36" s="124"/>
      <c r="O36" s="124"/>
      <c r="P36" s="133"/>
      <c r="Q36" s="15"/>
      <c r="R36" s="15"/>
      <c r="S36" s="15"/>
      <c r="T36" s="15"/>
      <c r="U36" s="15"/>
      <c r="V36" s="15"/>
      <c r="W36" s="15"/>
      <c r="X36" s="15"/>
      <c r="Y36" s="15"/>
      <c r="Z36" s="15"/>
    </row>
    <row r="37" spans="1:26" ht="19.5" customHeight="1">
      <c r="A37" s="15"/>
      <c r="B37" s="122" t="s">
        <v>164</v>
      </c>
      <c r="C37" s="137" t="s">
        <v>165</v>
      </c>
      <c r="D37" s="134">
        <v>0.48</v>
      </c>
      <c r="E37" s="124"/>
      <c r="F37" s="125"/>
      <c r="G37" s="124"/>
      <c r="H37" s="122" t="s">
        <v>166</v>
      </c>
      <c r="I37" s="134">
        <v>0.1</v>
      </c>
      <c r="J37" s="124"/>
      <c r="K37" s="124"/>
      <c r="L37" s="124"/>
      <c r="M37" s="125"/>
      <c r="N37" s="124"/>
      <c r="O37" s="124"/>
      <c r="P37" s="133"/>
      <c r="Q37" s="15"/>
      <c r="R37" s="15"/>
      <c r="S37" s="15"/>
      <c r="T37" s="15"/>
      <c r="U37" s="15"/>
      <c r="V37" s="15"/>
      <c r="W37" s="15"/>
      <c r="X37" s="15"/>
      <c r="Y37" s="15"/>
      <c r="Z37" s="15"/>
    </row>
    <row r="38" spans="1:26" ht="19.5" customHeight="1">
      <c r="A38" s="15"/>
      <c r="B38" s="140"/>
      <c r="C38" s="141"/>
      <c r="D38" s="142"/>
      <c r="E38" s="141"/>
      <c r="F38" s="140"/>
      <c r="G38" s="141"/>
      <c r="H38" s="140"/>
      <c r="I38" s="141"/>
      <c r="J38" s="141"/>
      <c r="K38" s="156"/>
      <c r="L38" s="156"/>
      <c r="M38" s="141"/>
      <c r="N38" s="141"/>
      <c r="O38" s="141"/>
      <c r="P38" s="156"/>
      <c r="Q38" s="15"/>
      <c r="R38" s="15"/>
      <c r="S38" s="15"/>
      <c r="T38" s="15"/>
      <c r="U38" s="15"/>
      <c r="V38" s="15"/>
      <c r="W38" s="15"/>
      <c r="X38" s="15"/>
      <c r="Y38" s="15"/>
      <c r="Z38" s="15"/>
    </row>
    <row r="39" spans="1:26" ht="19.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9.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9.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9.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9.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9.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9.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9.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9.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9.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9.5" customHeight="1">
      <c r="A49" s="15"/>
      <c r="B49" s="15"/>
      <c r="C49" s="15"/>
      <c r="D49" s="15"/>
      <c r="E49" s="15"/>
      <c r="F49" s="15"/>
      <c r="G49" s="15"/>
      <c r="H49" s="15"/>
      <c r="I49" s="15"/>
      <c r="J49" s="15"/>
      <c r="K49" s="15"/>
      <c r="L49" s="15"/>
      <c r="M49" s="15"/>
      <c r="N49" s="15"/>
      <c r="O49" s="15"/>
      <c r="P49" s="15"/>
      <c r="Q49" s="15"/>
      <c r="R49" s="15"/>
      <c r="S49" s="15"/>
    </row>
    <row r="50" spans="1:26" ht="19.5" customHeight="1">
      <c r="A50" s="15"/>
      <c r="B50" s="15"/>
      <c r="C50" s="15"/>
      <c r="D50" s="15"/>
      <c r="E50" s="15"/>
      <c r="F50" s="15"/>
      <c r="G50" s="15"/>
      <c r="H50" s="15"/>
      <c r="I50" s="15"/>
      <c r="J50" s="15"/>
      <c r="K50" s="15"/>
      <c r="L50" s="15"/>
      <c r="M50" s="15"/>
      <c r="N50" s="15"/>
      <c r="O50" s="15"/>
      <c r="P50" s="15"/>
      <c r="Q50" s="15"/>
      <c r="R50" s="15"/>
      <c r="S50" s="15"/>
    </row>
    <row r="51" spans="1:26" ht="19.5" customHeight="1">
      <c r="A51" s="15"/>
      <c r="B51" s="15"/>
      <c r="C51" s="15"/>
      <c r="D51" s="15"/>
      <c r="E51" s="15"/>
      <c r="F51" s="15"/>
      <c r="G51" s="15"/>
      <c r="H51" s="15"/>
      <c r="I51" s="15"/>
      <c r="J51" s="15"/>
      <c r="K51" s="15"/>
      <c r="L51" s="15"/>
      <c r="M51" s="15"/>
      <c r="N51" s="15"/>
      <c r="O51" s="15"/>
      <c r="P51" s="15"/>
      <c r="Q51" s="15"/>
      <c r="R51" s="15"/>
      <c r="S51" s="15"/>
    </row>
    <row r="52" spans="1:26" ht="19.5" customHeight="1">
      <c r="A52" s="15"/>
      <c r="B52" s="15"/>
      <c r="C52" s="15"/>
      <c r="D52" s="15"/>
      <c r="E52" s="15"/>
      <c r="F52" s="15"/>
      <c r="G52" s="15"/>
      <c r="H52" s="15"/>
      <c r="I52" s="15"/>
      <c r="J52" s="15"/>
      <c r="K52" s="15"/>
      <c r="L52" s="15"/>
      <c r="M52" s="15"/>
      <c r="N52" s="15"/>
      <c r="O52" s="15"/>
      <c r="P52" s="15"/>
      <c r="Q52" s="15"/>
      <c r="R52" s="15"/>
      <c r="S52" s="15"/>
    </row>
    <row r="53" spans="1:26" ht="19.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9.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9.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9.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9.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9.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9.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9.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9.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9.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9.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9.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9.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9.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9.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9.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9.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9.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9.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9.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9.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9.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9.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9.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9.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9.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9.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9.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9.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9.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9.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9.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9.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9.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9.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9.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9.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9.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9.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9.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9.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9.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9.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9.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9.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9.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9.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9.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9.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9.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9.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9.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9.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9.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9.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9.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9.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9.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9.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9.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9.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9.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9.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9.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9.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9.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9.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9.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9.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9.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9.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9.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9.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9.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9.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9.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9.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9.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9.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9.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9.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9.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9.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9.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9.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9.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9.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9.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9.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9.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9.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9.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9.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9.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9.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9.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9.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9.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9.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9.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9.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9.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9.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9.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9.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9.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9.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9.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9.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9.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9.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9.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9.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9.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9.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9.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9.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9.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9.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9.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9.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9.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9.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9.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9.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9.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9.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9.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9.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9.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9.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9.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9.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9.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9.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9.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9.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9.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9.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9.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9.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9.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9.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9.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9.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9.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9.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9.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9.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9.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9.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9.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9.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9.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9.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9.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9.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9.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9.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9.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9.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9.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9.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9.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9.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9.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9.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9.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9.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9.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9.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9.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9.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9.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9.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9.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9.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9.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9.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9.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9.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9.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9.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9.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9.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9.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9.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9.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9.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9.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9.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9.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9.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9.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9.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9.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9.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9.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9.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9.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9.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9.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9.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9.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9.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9.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9.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9.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9.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9.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9.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9.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9.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9.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9.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9.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9.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9.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9.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9.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9.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9.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9.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9.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9.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9.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9.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9.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9.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9.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9.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9.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9.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9.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9.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9.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9.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9.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9.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9.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9.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9.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9.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9.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9.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9.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9.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9.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9.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9.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9.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9.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9.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9.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9.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9.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9.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9.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9.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9.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9.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9.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9.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9.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9.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9.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9.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9.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9.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9.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9.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9.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9.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9.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9.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9.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9.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9.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9.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9.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9.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9.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9.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9.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9.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9.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9.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9.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9.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9.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9.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9.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9.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9.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9.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9.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9.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9.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9.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9.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9.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9.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9.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9.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9.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9.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9.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9.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9.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9.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9.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9.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9.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9.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9.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9.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9.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9.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9.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9.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9.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9.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9.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9.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9.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9.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9.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9.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9.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9.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9.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9.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9.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9.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9.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9.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9.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9.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9.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9.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9.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9.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9.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9.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9.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9.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9.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9.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9.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9.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9.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9.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9.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9.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9.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9.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9.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9.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9.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9.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9.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9.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9.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9.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9.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9.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9.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9.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9.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9.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9.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9.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9.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9.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9.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9.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9.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9.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9.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9.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9.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9.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9.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9.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9.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9.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9.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9.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9.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9.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9.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9.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9.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9.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9.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9.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9.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9.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9.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9.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9.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9.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9.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9.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9.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9.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9.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9.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9.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9.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9.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9.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9.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9.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9.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9.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9.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9.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9.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9.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9.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9.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9.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9.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9.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9.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9.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9.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9.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9.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9.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9.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9.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9.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9.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9.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9.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9.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9.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9.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9.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9.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9.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9.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9.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9.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9.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9.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9.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9.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9.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9.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9.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9.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9.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9.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9.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9.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9.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9.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9.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9.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9.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9.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9.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9.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9.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9.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9.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9.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9.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9.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9.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9.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9.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9.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9.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9.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9.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9.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9.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9.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9.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9.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9.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9.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9.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9.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9.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9.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9.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9.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9.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9.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9.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9.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9.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9.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9.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9.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9.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9.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9.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9.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9.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9.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9.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9.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9.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9.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9.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9.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9.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9.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9.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9.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9.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9.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9.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9.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9.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9.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9.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9.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9.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9.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9.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9.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9.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9.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9.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9.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9.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9.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9.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9.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9.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9.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9.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9.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9.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9.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9.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9.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9.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9.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9.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9.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9.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9.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9.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9.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9.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9.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9.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9.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9.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9.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9.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9.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9.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9.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9.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9.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9.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9.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9.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9.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9.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9.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9.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9.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9.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9.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9.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9.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9.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9.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9.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9.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9.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9.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9.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9.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9.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9.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9.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9.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9.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9.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9.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9.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9.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9.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9.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9.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9.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9.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9.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9.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9.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9.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9.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9.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9.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9.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9.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9.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9.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9.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9.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9.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9.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9.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9.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9.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9.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9.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9.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9.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9.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9.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9.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9.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9.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9.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9.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9.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9.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9.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9.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9.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9.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9.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9.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9.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9.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9.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9.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9.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9.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9.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9.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9.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9.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9.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9.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9.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9.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9.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9.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9.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9.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9.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9.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9.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9.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9.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9.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9.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9.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9.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9.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9.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9.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9.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9.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9.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9.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9.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9.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9.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9.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9.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9.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9.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9.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9.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9.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9.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9.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9.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9.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9.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9.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9.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9.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9.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9.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9.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9.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9.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9.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9.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9.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9.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9.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9.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9.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9.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9.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9.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9.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9.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9.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9.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9.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9.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9.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9.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9.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9.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9.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9.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9.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9.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9.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9.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9.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9.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9.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9.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9.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9.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9.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9.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9.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9.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9.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9.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9.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9.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9.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9.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9.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9.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9.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9.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9.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9.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9.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9.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9.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9.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9.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9.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9.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9.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9.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9.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9.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9.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9.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9.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9.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9.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9.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9.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9.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9.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9.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9.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9.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9.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9.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9.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9.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9.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9.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9.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9.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9.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9.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9.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9.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9.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9.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9.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9.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9.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9.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9.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9.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9.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9.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9.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9.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9.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9.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9.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9.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9.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9.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9.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9.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9.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9.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9.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9.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9.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9.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9.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9.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9.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9.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9.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9.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9.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9.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9.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9.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9.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9.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9.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9.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9.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9.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9.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9.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9.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9.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9.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9.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9.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9.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9.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9.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9.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9.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9.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9.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9.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9.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9.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9.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9.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9.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9.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9.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9.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9.5" customHeight="1">
      <c r="A893" s="15"/>
      <c r="I893" s="15"/>
      <c r="J893" s="15"/>
      <c r="K893" s="15"/>
      <c r="L893" s="15"/>
      <c r="M893" s="15"/>
      <c r="N893" s="15"/>
      <c r="O893" s="15"/>
      <c r="P893" s="15"/>
      <c r="Q893" s="15"/>
      <c r="R893" s="15"/>
      <c r="S893" s="15"/>
      <c r="T893" s="15"/>
      <c r="U893" s="15"/>
      <c r="V893" s="15"/>
      <c r="W893" s="15"/>
      <c r="X893" s="15"/>
      <c r="Y893" s="15"/>
      <c r="Z893" s="15"/>
    </row>
    <row r="894" spans="1:26" ht="19.5" customHeight="1">
      <c r="A894" s="15"/>
      <c r="I894" s="15"/>
      <c r="J894" s="15"/>
      <c r="K894" s="15"/>
      <c r="L894" s="15"/>
      <c r="M894" s="15"/>
      <c r="N894" s="15"/>
      <c r="O894" s="15"/>
      <c r="P894" s="15"/>
      <c r="Q894" s="15"/>
      <c r="R894" s="15"/>
      <c r="S894" s="15"/>
      <c r="T894" s="15"/>
      <c r="U894" s="15"/>
      <c r="V894" s="15"/>
      <c r="W894" s="15"/>
      <c r="X894" s="15"/>
      <c r="Y894" s="15"/>
      <c r="Z894" s="15"/>
    </row>
    <row r="895" spans="1:26" ht="19.5" customHeight="1">
      <c r="A895" s="15"/>
      <c r="I895" s="15"/>
      <c r="J895" s="15"/>
      <c r="K895" s="15"/>
      <c r="L895" s="15"/>
      <c r="M895" s="15"/>
      <c r="N895" s="15"/>
      <c r="O895" s="15"/>
      <c r="P895" s="15"/>
      <c r="Q895" s="15"/>
      <c r="R895" s="15"/>
      <c r="S895" s="15"/>
      <c r="T895" s="15"/>
      <c r="U895" s="15"/>
      <c r="V895" s="15"/>
      <c r="W895" s="15"/>
      <c r="X895" s="15"/>
      <c r="Y895" s="15"/>
      <c r="Z895" s="15"/>
    </row>
    <row r="896" spans="1:26" ht="19.5" customHeight="1">
      <c r="A896" s="15"/>
      <c r="I896" s="15"/>
      <c r="J896" s="15"/>
      <c r="K896" s="15"/>
      <c r="L896" s="15"/>
      <c r="M896" s="15"/>
      <c r="N896" s="15"/>
      <c r="O896" s="15"/>
      <c r="P896" s="15"/>
      <c r="Q896" s="15"/>
      <c r="R896" s="15"/>
      <c r="S896" s="15"/>
      <c r="T896" s="15"/>
      <c r="U896" s="15"/>
      <c r="V896" s="15"/>
      <c r="W896" s="15"/>
      <c r="X896" s="15"/>
      <c r="Y896" s="15"/>
      <c r="Z896" s="15"/>
    </row>
    <row r="897" spans="1:26" ht="19.5" customHeight="1">
      <c r="A897" s="15"/>
      <c r="I897" s="15"/>
      <c r="J897" s="15"/>
      <c r="K897" s="15"/>
      <c r="L897" s="15"/>
      <c r="M897" s="15"/>
      <c r="N897" s="15"/>
      <c r="O897" s="15"/>
      <c r="P897" s="15"/>
      <c r="Q897" s="15"/>
      <c r="R897" s="15"/>
      <c r="S897" s="15"/>
      <c r="T897" s="15"/>
      <c r="U897" s="15"/>
      <c r="V897" s="15"/>
      <c r="W897" s="15"/>
      <c r="X897" s="15"/>
      <c r="Y897" s="15"/>
      <c r="Z897" s="15"/>
    </row>
    <row r="898" spans="1:26" ht="19.5" customHeight="1">
      <c r="A898" s="15"/>
      <c r="I898" s="15"/>
      <c r="J898" s="15"/>
      <c r="K898" s="15"/>
      <c r="L898" s="15"/>
      <c r="M898" s="15"/>
      <c r="N898" s="15"/>
      <c r="O898" s="15"/>
      <c r="P898" s="15"/>
      <c r="Q898" s="15"/>
      <c r="R898" s="15"/>
      <c r="S898" s="15"/>
      <c r="T898" s="15"/>
      <c r="U898" s="15"/>
      <c r="V898" s="15"/>
      <c r="W898" s="15"/>
      <c r="X898" s="15"/>
      <c r="Y898" s="15"/>
      <c r="Z898" s="15"/>
    </row>
    <row r="899" spans="1:26" ht="19.5" customHeight="1">
      <c r="A899" s="15"/>
      <c r="I899" s="15"/>
      <c r="J899" s="15"/>
      <c r="K899" s="15"/>
      <c r="L899" s="15"/>
      <c r="M899" s="15"/>
      <c r="N899" s="15"/>
      <c r="O899" s="15"/>
      <c r="P899" s="15"/>
      <c r="Q899" s="15"/>
      <c r="R899" s="15"/>
      <c r="S899" s="15"/>
      <c r="T899" s="15"/>
      <c r="U899" s="15"/>
      <c r="V899" s="15"/>
      <c r="W899" s="15"/>
      <c r="X899" s="15"/>
      <c r="Y899" s="15"/>
      <c r="Z899" s="15"/>
    </row>
    <row r="900" spans="1:26" ht="19.5" customHeight="1">
      <c r="A900" s="15"/>
      <c r="I900" s="15"/>
      <c r="J900" s="15"/>
      <c r="K900" s="15"/>
      <c r="L900" s="15"/>
      <c r="M900" s="15"/>
      <c r="N900" s="15"/>
      <c r="O900" s="15"/>
      <c r="P900" s="15"/>
      <c r="Q900" s="15"/>
      <c r="R900" s="15"/>
      <c r="S900" s="15"/>
      <c r="T900" s="15"/>
      <c r="U900" s="15"/>
      <c r="V900" s="15"/>
      <c r="W900" s="15"/>
      <c r="X900" s="15"/>
      <c r="Y900" s="15"/>
      <c r="Z900" s="15"/>
    </row>
  </sheetData>
  <mergeCells count="5">
    <mergeCell ref="C3:E3"/>
    <mergeCell ref="I3:L3"/>
    <mergeCell ref="M3:P3"/>
    <mergeCell ref="B1:P2"/>
    <mergeCell ref="I31:K31"/>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76"/>
  <sheetViews>
    <sheetView topLeftCell="A41" zoomScale="83" zoomScaleNormal="83" workbookViewId="0">
      <selection activeCell="B241" sqref="B241"/>
    </sheetView>
  </sheetViews>
  <sheetFormatPr defaultColWidth="14.46484375" defaultRowHeight="15" customHeight="1"/>
  <cols>
    <col min="1" max="1" width="9.796875" customWidth="1"/>
    <col min="2" max="2" width="56.796875" customWidth="1"/>
    <col min="4" max="4" width="19.53125" customWidth="1"/>
    <col min="13" max="13" width="16.796875" customWidth="1"/>
  </cols>
  <sheetData>
    <row r="1" spans="1:27" ht="15.4">
      <c r="A1" s="1"/>
      <c r="B1" s="1"/>
      <c r="C1" s="1"/>
      <c r="D1" s="1"/>
      <c r="E1" s="1"/>
      <c r="F1" s="1"/>
      <c r="G1" s="1"/>
      <c r="H1" s="1"/>
      <c r="I1" s="1"/>
      <c r="J1" s="1"/>
      <c r="K1" s="1"/>
      <c r="L1" s="1"/>
      <c r="M1" s="1"/>
      <c r="N1" s="1"/>
      <c r="O1" s="1"/>
      <c r="P1" s="1"/>
      <c r="Q1" s="1"/>
      <c r="R1" s="1"/>
      <c r="S1" s="1"/>
      <c r="T1" s="1"/>
      <c r="U1" s="1"/>
      <c r="V1" s="1"/>
      <c r="W1" s="1"/>
      <c r="X1" s="1"/>
      <c r="Y1" s="1"/>
      <c r="Z1" s="1"/>
      <c r="AA1" s="1"/>
    </row>
    <row r="2" spans="1:27" ht="25.15">
      <c r="A2" s="1"/>
      <c r="B2" s="208" t="s">
        <v>168</v>
      </c>
      <c r="C2" s="196"/>
      <c r="D2" s="196"/>
      <c r="E2" s="196"/>
      <c r="F2" s="196"/>
      <c r="G2" s="196"/>
      <c r="H2" s="196"/>
      <c r="I2" s="196"/>
      <c r="J2" s="196"/>
      <c r="K2" s="196"/>
      <c r="L2" s="196"/>
      <c r="M2" s="196"/>
      <c r="N2" s="196"/>
      <c r="O2" s="196"/>
      <c r="P2" s="196"/>
      <c r="Q2" s="196"/>
      <c r="R2" s="196"/>
      <c r="S2" s="196"/>
      <c r="T2" s="196"/>
      <c r="U2" s="196"/>
      <c r="V2" s="196"/>
      <c r="W2" s="196"/>
      <c r="X2" s="1"/>
      <c r="Y2" s="1"/>
      <c r="Z2" s="1"/>
      <c r="AA2" s="1"/>
    </row>
    <row r="3" spans="1:27" ht="25.15">
      <c r="A3" s="1"/>
      <c r="B3" s="209" t="s">
        <v>169</v>
      </c>
      <c r="C3" s="196"/>
      <c r="D3" s="196"/>
      <c r="E3" s="196"/>
      <c r="F3" s="196"/>
      <c r="G3" s="196"/>
      <c r="H3" s="196"/>
      <c r="I3" s="196"/>
      <c r="J3" s="196"/>
      <c r="K3" s="196"/>
      <c r="L3" s="196"/>
      <c r="M3" s="196"/>
      <c r="N3" s="196"/>
      <c r="O3" s="196"/>
      <c r="P3" s="196"/>
      <c r="Q3" s="196"/>
      <c r="R3" s="196"/>
      <c r="S3" s="196"/>
      <c r="T3" s="196"/>
      <c r="U3" s="196"/>
      <c r="V3" s="196"/>
      <c r="W3" s="196"/>
      <c r="X3" s="1"/>
      <c r="Y3" s="1"/>
      <c r="Z3" s="1"/>
      <c r="AA3" s="1"/>
    </row>
    <row r="4" spans="1:27" ht="15.4">
      <c r="A4" s="1"/>
      <c r="B4" s="1"/>
      <c r="C4" s="1"/>
      <c r="D4" s="1"/>
      <c r="E4" s="1"/>
      <c r="F4" s="1"/>
      <c r="G4" s="1"/>
      <c r="H4" s="1"/>
      <c r="I4" s="1"/>
      <c r="J4" s="1"/>
      <c r="K4" s="1"/>
      <c r="L4" s="1"/>
      <c r="M4" s="1"/>
      <c r="N4" s="1"/>
      <c r="O4" s="1"/>
      <c r="P4" s="1"/>
      <c r="Q4" s="1"/>
      <c r="R4" s="1"/>
      <c r="S4" s="1"/>
      <c r="T4" s="1"/>
      <c r="U4" s="1"/>
      <c r="V4" s="1"/>
      <c r="W4" s="1"/>
      <c r="X4" s="1"/>
      <c r="Y4" s="1"/>
      <c r="Z4" s="1"/>
      <c r="AA4" s="1"/>
    </row>
    <row r="5" spans="1:27" ht="15.4">
      <c r="A5" s="1"/>
      <c r="B5" s="1"/>
      <c r="C5" s="1"/>
      <c r="D5" s="1"/>
      <c r="E5" s="1"/>
      <c r="F5" s="1"/>
      <c r="G5" s="1"/>
      <c r="H5" s="1"/>
      <c r="I5" s="1"/>
      <c r="J5" s="1"/>
      <c r="K5" s="1"/>
      <c r="L5" s="1"/>
      <c r="M5" s="1"/>
      <c r="N5" s="1"/>
      <c r="O5" s="1"/>
      <c r="P5" s="1"/>
      <c r="Q5" s="1"/>
      <c r="R5" s="1"/>
      <c r="S5" s="1"/>
      <c r="T5" s="1"/>
      <c r="U5" s="1"/>
      <c r="V5" s="1"/>
      <c r="W5" s="1"/>
      <c r="X5" s="1"/>
      <c r="Y5" s="1"/>
      <c r="Z5" s="1"/>
      <c r="AA5" s="1"/>
    </row>
    <row r="6" spans="1:27" ht="15.4">
      <c r="A6" s="2">
        <v>1</v>
      </c>
      <c r="B6" s="3" t="s">
        <v>170</v>
      </c>
      <c r="C6" s="1"/>
      <c r="D6" s="1"/>
      <c r="E6" s="1"/>
      <c r="F6" s="1"/>
      <c r="G6" s="1"/>
      <c r="H6" s="1"/>
      <c r="I6" s="1"/>
      <c r="J6" s="1"/>
      <c r="K6" s="1"/>
      <c r="L6" s="1"/>
      <c r="M6" s="1"/>
      <c r="N6" s="1"/>
      <c r="O6" s="1"/>
      <c r="P6" s="1"/>
      <c r="Q6" s="1"/>
      <c r="R6" s="1"/>
      <c r="S6" s="1"/>
      <c r="T6" s="1"/>
      <c r="U6" s="1"/>
      <c r="V6" s="1"/>
      <c r="W6" s="1"/>
      <c r="X6" s="1"/>
      <c r="Y6" s="1"/>
      <c r="Z6" s="1"/>
      <c r="AA6" s="1"/>
    </row>
    <row r="7" spans="1:27" ht="15.4">
      <c r="A7" s="1"/>
      <c r="B7" s="1"/>
      <c r="C7" s="1"/>
      <c r="D7" s="1"/>
      <c r="E7" s="1"/>
      <c r="F7" s="1"/>
      <c r="G7" s="1"/>
      <c r="H7" s="1"/>
      <c r="I7" s="1"/>
      <c r="J7" s="1"/>
      <c r="K7" s="1"/>
      <c r="L7" s="1"/>
      <c r="M7" s="1"/>
      <c r="N7" s="1"/>
      <c r="O7" s="1"/>
      <c r="P7" s="1"/>
      <c r="Q7" s="1"/>
      <c r="R7" s="1"/>
      <c r="S7" s="1"/>
      <c r="T7" s="1"/>
      <c r="U7" s="1"/>
      <c r="V7" s="1"/>
      <c r="W7" s="1"/>
      <c r="X7" s="1"/>
      <c r="Y7" s="1"/>
      <c r="Z7" s="1"/>
      <c r="AA7" s="1"/>
    </row>
    <row r="8" spans="1:27" ht="15.4">
      <c r="A8" s="4"/>
      <c r="B8" s="5" t="s">
        <v>171</v>
      </c>
      <c r="C8" s="6">
        <v>2007</v>
      </c>
      <c r="D8" s="6">
        <v>2008</v>
      </c>
      <c r="E8" s="6">
        <v>2009</v>
      </c>
      <c r="F8" s="6">
        <v>2010</v>
      </c>
      <c r="G8" s="6">
        <v>2011</v>
      </c>
      <c r="H8" s="6">
        <v>2012</v>
      </c>
      <c r="I8" s="6">
        <v>2013</v>
      </c>
      <c r="J8" s="6">
        <v>2014</v>
      </c>
      <c r="K8" s="6">
        <v>2015</v>
      </c>
      <c r="L8" s="6">
        <v>2016</v>
      </c>
      <c r="M8" s="6">
        <v>2017</v>
      </c>
      <c r="N8" s="6">
        <v>2018</v>
      </c>
      <c r="O8" s="6">
        <v>2019</v>
      </c>
      <c r="P8" s="6">
        <v>2020</v>
      </c>
      <c r="Q8" s="6">
        <v>2021</v>
      </c>
      <c r="R8" s="6">
        <v>2022</v>
      </c>
      <c r="S8" s="6">
        <v>2023</v>
      </c>
      <c r="T8" s="6">
        <v>2024</v>
      </c>
      <c r="U8" s="6">
        <v>2025</v>
      </c>
      <c r="V8" s="6">
        <v>2026</v>
      </c>
      <c r="W8" s="6">
        <v>2027</v>
      </c>
      <c r="X8" s="1"/>
      <c r="Y8" s="1"/>
      <c r="Z8" s="1"/>
      <c r="AA8" s="1"/>
    </row>
    <row r="9" spans="1:27" ht="15.4">
      <c r="A9" s="1"/>
      <c r="B9" s="7" t="s">
        <v>159</v>
      </c>
      <c r="C9" s="8">
        <v>0</v>
      </c>
      <c r="D9" s="8">
        <v>1</v>
      </c>
      <c r="E9" s="8">
        <v>2</v>
      </c>
      <c r="F9" s="8">
        <v>3</v>
      </c>
      <c r="G9" s="8">
        <v>4</v>
      </c>
      <c r="H9" s="8">
        <v>5</v>
      </c>
      <c r="I9" s="8">
        <v>6</v>
      </c>
      <c r="J9" s="8">
        <v>7</v>
      </c>
      <c r="K9" s="8">
        <v>8</v>
      </c>
      <c r="L9" s="8">
        <v>9</v>
      </c>
      <c r="M9" s="8">
        <v>10</v>
      </c>
      <c r="N9" s="8">
        <v>11</v>
      </c>
      <c r="O9" s="8">
        <v>12</v>
      </c>
      <c r="P9" s="8">
        <v>13</v>
      </c>
      <c r="Q9" s="8">
        <v>14</v>
      </c>
      <c r="R9" s="8">
        <v>15</v>
      </c>
      <c r="S9" s="8">
        <v>16</v>
      </c>
      <c r="T9" s="8">
        <v>17</v>
      </c>
      <c r="U9" s="8">
        <v>18</v>
      </c>
      <c r="V9" s="8">
        <v>19</v>
      </c>
      <c r="W9" s="8">
        <v>20</v>
      </c>
      <c r="X9" s="1"/>
      <c r="Y9" s="1"/>
      <c r="Z9" s="1"/>
      <c r="AA9" s="1"/>
    </row>
    <row r="10" spans="1:27" ht="15.4">
      <c r="A10" s="1"/>
      <c r="B10" s="1" t="s">
        <v>172</v>
      </c>
      <c r="C10" s="1"/>
      <c r="D10" s="9">
        <f>'Variables 0'!I33</f>
        <v>0.3</v>
      </c>
      <c r="E10" s="9">
        <f>'Variables 0'!J33</f>
        <v>0.7</v>
      </c>
      <c r="F10" s="9">
        <f>'Variables 0'!$K$33</f>
        <v>1</v>
      </c>
      <c r="G10" s="9">
        <f>'Variables 0'!$K$33</f>
        <v>1</v>
      </c>
      <c r="H10" s="9">
        <f>'Variables 0'!$K$33</f>
        <v>1</v>
      </c>
      <c r="I10" s="9">
        <f>'Variables 0'!$K$33</f>
        <v>1</v>
      </c>
      <c r="J10" s="9">
        <f>'Variables 0'!$K$33</f>
        <v>1</v>
      </c>
      <c r="K10" s="9">
        <f>'Variables 0'!$K$33</f>
        <v>1</v>
      </c>
      <c r="L10" s="9">
        <f>'Variables 0'!$K$33</f>
        <v>1</v>
      </c>
      <c r="M10" s="9">
        <f>'Variables 0'!$K$33</f>
        <v>1</v>
      </c>
      <c r="N10" s="9">
        <f>'Variables 0'!$K$33</f>
        <v>1</v>
      </c>
      <c r="O10" s="9">
        <f>'Variables 0'!$K$33</f>
        <v>1</v>
      </c>
      <c r="P10" s="9">
        <f>'Variables 0'!$K$33</f>
        <v>1</v>
      </c>
      <c r="Q10" s="9">
        <f>'Variables 0'!$K$33</f>
        <v>1</v>
      </c>
      <c r="R10" s="9">
        <f>'Variables 0'!$K$33</f>
        <v>1</v>
      </c>
      <c r="S10" s="9">
        <f>'Variables 0'!$K$33</f>
        <v>1</v>
      </c>
      <c r="T10" s="9">
        <f>'Variables 0'!$K$33</f>
        <v>1</v>
      </c>
      <c r="U10" s="9">
        <f>'Variables 0'!$K$33</f>
        <v>1</v>
      </c>
      <c r="V10" s="9">
        <f>'Variables 0'!$K$33</f>
        <v>1</v>
      </c>
      <c r="W10" s="9">
        <f>'Variables 0'!$K$33</f>
        <v>1</v>
      </c>
      <c r="X10" s="1"/>
      <c r="Y10" s="1"/>
      <c r="Z10" s="1"/>
      <c r="AA10" s="1"/>
    </row>
    <row r="11" spans="1:27" ht="15.4">
      <c r="A11" s="1"/>
      <c r="B11" s="10" t="s">
        <v>171</v>
      </c>
      <c r="C11" s="10"/>
      <c r="D11" s="11"/>
      <c r="E11" s="11"/>
      <c r="F11" s="11"/>
      <c r="G11" s="11"/>
      <c r="H11" s="11"/>
      <c r="I11" s="11"/>
      <c r="J11" s="11"/>
      <c r="K11" s="11"/>
      <c r="L11" s="11"/>
      <c r="M11" s="11"/>
      <c r="N11" s="11"/>
      <c r="O11" s="11"/>
      <c r="P11" s="11"/>
      <c r="Q11" s="11"/>
      <c r="R11" s="11"/>
      <c r="S11" s="11"/>
      <c r="T11" s="11"/>
      <c r="U11" s="11"/>
      <c r="V11" s="11"/>
      <c r="W11" s="11"/>
      <c r="X11" s="1"/>
      <c r="Y11" s="1"/>
      <c r="Z11" s="1"/>
      <c r="AA11" s="1"/>
    </row>
    <row r="12" spans="1:27" ht="15.4">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5.4">
      <c r="A13" s="4"/>
      <c r="B13" s="5" t="s">
        <v>173</v>
      </c>
      <c r="C13" s="6">
        <v>2007</v>
      </c>
      <c r="D13" s="6">
        <v>2008</v>
      </c>
      <c r="E13" s="6">
        <v>2009</v>
      </c>
      <c r="F13" s="6">
        <v>2010</v>
      </c>
      <c r="G13" s="6">
        <v>2011</v>
      </c>
      <c r="H13" s="6">
        <v>2012</v>
      </c>
      <c r="I13" s="6">
        <v>2013</v>
      </c>
      <c r="J13" s="6">
        <v>2014</v>
      </c>
      <c r="K13" s="6">
        <v>2015</v>
      </c>
      <c r="L13" s="6">
        <v>2016</v>
      </c>
      <c r="M13" s="6">
        <v>2017</v>
      </c>
      <c r="N13" s="6">
        <v>2018</v>
      </c>
      <c r="O13" s="6">
        <v>2019</v>
      </c>
      <c r="P13" s="6">
        <v>2020</v>
      </c>
      <c r="Q13" s="6">
        <v>2021</v>
      </c>
      <c r="R13" s="6">
        <v>2022</v>
      </c>
      <c r="S13" s="6">
        <v>2023</v>
      </c>
      <c r="T13" s="6">
        <v>2024</v>
      </c>
      <c r="U13" s="6">
        <v>2025</v>
      </c>
      <c r="V13" s="6">
        <v>2026</v>
      </c>
      <c r="W13" s="6">
        <v>2027</v>
      </c>
      <c r="X13" s="1"/>
      <c r="Y13" s="1"/>
      <c r="Z13" s="1"/>
      <c r="AA13" s="1"/>
    </row>
    <row r="14" spans="1:27" ht="15.4">
      <c r="A14" s="1"/>
      <c r="B14" s="7" t="s">
        <v>159</v>
      </c>
      <c r="C14" s="8">
        <v>0</v>
      </c>
      <c r="D14" s="8">
        <v>1</v>
      </c>
      <c r="E14" s="8">
        <v>2</v>
      </c>
      <c r="F14" s="8">
        <v>3</v>
      </c>
      <c r="G14" s="8">
        <v>4</v>
      </c>
      <c r="H14" s="8">
        <v>5</v>
      </c>
      <c r="I14" s="8">
        <v>6</v>
      </c>
      <c r="J14" s="8">
        <v>7</v>
      </c>
      <c r="K14" s="8">
        <v>8</v>
      </c>
      <c r="L14" s="8">
        <v>9</v>
      </c>
      <c r="M14" s="8">
        <v>10</v>
      </c>
      <c r="N14" s="8">
        <v>11</v>
      </c>
      <c r="O14" s="8">
        <v>12</v>
      </c>
      <c r="P14" s="8">
        <v>13</v>
      </c>
      <c r="Q14" s="8">
        <v>14</v>
      </c>
      <c r="R14" s="8">
        <v>15</v>
      </c>
      <c r="S14" s="8">
        <v>16</v>
      </c>
      <c r="T14" s="8">
        <v>17</v>
      </c>
      <c r="U14" s="8">
        <v>18</v>
      </c>
      <c r="V14" s="8">
        <v>19</v>
      </c>
      <c r="W14" s="8">
        <v>20</v>
      </c>
      <c r="X14" s="1"/>
      <c r="Y14" s="1"/>
      <c r="Z14" s="1"/>
      <c r="AA14" s="1"/>
    </row>
    <row r="15" spans="1:27" ht="15.4">
      <c r="A15" s="1"/>
      <c r="B15" s="1" t="s">
        <v>172</v>
      </c>
      <c r="C15" s="1"/>
      <c r="D15" s="9">
        <f>'Variables 0'!I33</f>
        <v>0.3</v>
      </c>
      <c r="E15" s="9">
        <f>'Variables 0'!J33</f>
        <v>0.7</v>
      </c>
      <c r="F15" s="9">
        <f>'Variables 0'!$K$33</f>
        <v>1</v>
      </c>
      <c r="G15" s="9">
        <f>'Variables 0'!$K$33</f>
        <v>1</v>
      </c>
      <c r="H15" s="9">
        <f>'Variables 0'!$K$33</f>
        <v>1</v>
      </c>
      <c r="I15" s="9">
        <f>'Variables 0'!$K$33</f>
        <v>1</v>
      </c>
      <c r="J15" s="9">
        <f>'Variables 0'!$K$33</f>
        <v>1</v>
      </c>
      <c r="K15" s="9">
        <f>'Variables 0'!$K$33</f>
        <v>1</v>
      </c>
      <c r="L15" s="9">
        <f>'Variables 0'!$K$33</f>
        <v>1</v>
      </c>
      <c r="M15" s="9">
        <f>'Variables 0'!$K$33</f>
        <v>1</v>
      </c>
      <c r="N15" s="9">
        <f>'Variables 0'!$K$33</f>
        <v>1</v>
      </c>
      <c r="O15" s="9">
        <f>'Variables 0'!$K$33</f>
        <v>1</v>
      </c>
      <c r="P15" s="9">
        <f>'Variables 0'!$K$33</f>
        <v>1</v>
      </c>
      <c r="Q15" s="9">
        <f>'Variables 0'!$K$33</f>
        <v>1</v>
      </c>
      <c r="R15" s="9">
        <f>'Variables 0'!$K$33</f>
        <v>1</v>
      </c>
      <c r="S15" s="9">
        <f>'Variables 0'!$K$33</f>
        <v>1</v>
      </c>
      <c r="T15" s="9">
        <f>'Variables 0'!$K$33</f>
        <v>1</v>
      </c>
      <c r="U15" s="9">
        <f>'Variables 0'!$K$33</f>
        <v>1</v>
      </c>
      <c r="V15" s="9">
        <f>'Variables 0'!$K$33</f>
        <v>1</v>
      </c>
      <c r="W15" s="9">
        <f>'Variables 0'!$K$33</f>
        <v>1</v>
      </c>
      <c r="X15" s="1"/>
      <c r="Y15" s="1"/>
      <c r="Z15" s="1"/>
      <c r="AA15" s="1"/>
    </row>
    <row r="16" spans="1:27" ht="15.4">
      <c r="A16" s="1"/>
      <c r="B16" s="1" t="s">
        <v>104</v>
      </c>
      <c r="C16" s="1"/>
      <c r="D16" s="12"/>
      <c r="E16" s="12"/>
      <c r="F16" s="12"/>
      <c r="G16" s="12"/>
      <c r="H16" s="12"/>
      <c r="I16" s="12"/>
      <c r="J16" s="12"/>
      <c r="K16" s="12"/>
      <c r="L16" s="12"/>
      <c r="M16" s="12"/>
      <c r="N16" s="12"/>
      <c r="O16" s="12"/>
      <c r="P16" s="12"/>
      <c r="Q16" s="12"/>
      <c r="R16" s="12"/>
      <c r="S16" s="12"/>
      <c r="T16" s="12"/>
      <c r="U16" s="12"/>
      <c r="V16" s="12"/>
      <c r="W16" s="12"/>
      <c r="X16" s="1"/>
      <c r="Y16" s="1"/>
      <c r="Z16" s="1"/>
      <c r="AA16" s="1"/>
    </row>
    <row r="17" spans="1:27" ht="15.4">
      <c r="A17" s="1"/>
      <c r="B17" s="1" t="s">
        <v>107</v>
      </c>
      <c r="C17" s="1"/>
      <c r="D17" s="12"/>
      <c r="E17" s="12"/>
      <c r="F17" s="12"/>
      <c r="G17" s="12"/>
      <c r="H17" s="12"/>
      <c r="I17" s="12"/>
      <c r="J17" s="12"/>
      <c r="K17" s="12"/>
      <c r="L17" s="12"/>
      <c r="M17" s="12"/>
      <c r="N17" s="12"/>
      <c r="O17" s="12"/>
      <c r="P17" s="12"/>
      <c r="Q17" s="12"/>
      <c r="R17" s="12"/>
      <c r="S17" s="12"/>
      <c r="T17" s="12"/>
      <c r="U17" s="12"/>
      <c r="V17" s="12"/>
      <c r="W17" s="12"/>
      <c r="X17" s="1"/>
      <c r="Y17" s="1"/>
      <c r="Z17" s="1"/>
      <c r="AA17" s="1"/>
    </row>
    <row r="18" spans="1:27" ht="15.4">
      <c r="A18" s="1"/>
      <c r="B18" s="1" t="s">
        <v>110</v>
      </c>
      <c r="C18" s="1"/>
      <c r="D18" s="12"/>
      <c r="E18" s="12"/>
      <c r="F18" s="12"/>
      <c r="G18" s="12"/>
      <c r="H18" s="12"/>
      <c r="I18" s="12"/>
      <c r="J18" s="12"/>
      <c r="K18" s="12"/>
      <c r="L18" s="12"/>
      <c r="M18" s="12"/>
      <c r="N18" s="12"/>
      <c r="O18" s="12"/>
      <c r="P18" s="12"/>
      <c r="Q18" s="12"/>
      <c r="R18" s="12"/>
      <c r="S18" s="12"/>
      <c r="T18" s="12"/>
      <c r="U18" s="12"/>
      <c r="V18" s="12"/>
      <c r="W18" s="12"/>
      <c r="X18" s="1"/>
      <c r="Y18" s="1"/>
      <c r="Z18" s="1"/>
      <c r="AA18" s="1"/>
    </row>
    <row r="19" spans="1:27" ht="15.4">
      <c r="A19" s="1"/>
      <c r="B19" s="1" t="s">
        <v>112</v>
      </c>
      <c r="C19" s="1"/>
      <c r="D19" s="12"/>
      <c r="E19" s="12"/>
      <c r="F19" s="12"/>
      <c r="G19" s="12"/>
      <c r="H19" s="12"/>
      <c r="I19" s="12"/>
      <c r="J19" s="12"/>
      <c r="K19" s="12"/>
      <c r="L19" s="12"/>
      <c r="M19" s="12"/>
      <c r="N19" s="12"/>
      <c r="O19" s="12"/>
      <c r="P19" s="12"/>
      <c r="Q19" s="12"/>
      <c r="R19" s="12"/>
      <c r="S19" s="12"/>
      <c r="T19" s="12"/>
      <c r="U19" s="12"/>
      <c r="V19" s="12"/>
      <c r="W19" s="12"/>
      <c r="X19" s="1"/>
      <c r="Y19" s="1"/>
      <c r="Z19" s="1"/>
      <c r="AA19" s="1"/>
    </row>
    <row r="20" spans="1:27" ht="15.4">
      <c r="A20" s="1"/>
      <c r="B20" s="1" t="s">
        <v>115</v>
      </c>
      <c r="C20" s="1"/>
      <c r="D20" s="12"/>
      <c r="E20" s="12"/>
      <c r="F20" s="12"/>
      <c r="G20" s="12"/>
      <c r="H20" s="12"/>
      <c r="I20" s="12"/>
      <c r="J20" s="12"/>
      <c r="K20" s="12"/>
      <c r="L20" s="12"/>
      <c r="M20" s="12"/>
      <c r="N20" s="12"/>
      <c r="O20" s="12"/>
      <c r="P20" s="12"/>
      <c r="Q20" s="12"/>
      <c r="R20" s="12"/>
      <c r="S20" s="12"/>
      <c r="T20" s="12"/>
      <c r="U20" s="12"/>
      <c r="V20" s="12"/>
      <c r="W20" s="12"/>
      <c r="X20" s="1"/>
      <c r="Y20" s="1"/>
      <c r="Z20" s="1"/>
      <c r="AA20" s="1"/>
    </row>
    <row r="21" spans="1:27" ht="15.4">
      <c r="A21" s="1"/>
      <c r="B21" s="1" t="s">
        <v>174</v>
      </c>
      <c r="C21" s="1"/>
      <c r="D21" s="12"/>
      <c r="E21" s="12"/>
      <c r="F21" s="12"/>
      <c r="G21" s="12"/>
      <c r="H21" s="12"/>
      <c r="I21" s="12"/>
      <c r="J21" s="12"/>
      <c r="K21" s="12"/>
      <c r="L21" s="12"/>
      <c r="M21" s="12"/>
      <c r="N21" s="12"/>
      <c r="O21" s="12"/>
      <c r="P21" s="12"/>
      <c r="Q21" s="12"/>
      <c r="R21" s="12"/>
      <c r="S21" s="12"/>
      <c r="T21" s="12"/>
      <c r="U21" s="12"/>
      <c r="V21" s="12"/>
      <c r="W21" s="12"/>
      <c r="X21" s="1"/>
      <c r="Y21" s="1"/>
      <c r="Z21" s="1"/>
      <c r="AA21" s="1"/>
    </row>
    <row r="22" spans="1:27" ht="15.4">
      <c r="A22" s="1"/>
      <c r="B22" s="1" t="s">
        <v>119</v>
      </c>
      <c r="C22" s="1"/>
      <c r="D22" s="12"/>
      <c r="E22" s="12"/>
      <c r="F22" s="12"/>
      <c r="G22" s="12"/>
      <c r="H22" s="12"/>
      <c r="I22" s="12"/>
      <c r="J22" s="12"/>
      <c r="K22" s="12"/>
      <c r="L22" s="12"/>
      <c r="M22" s="12"/>
      <c r="N22" s="12"/>
      <c r="O22" s="12"/>
      <c r="P22" s="12"/>
      <c r="Q22" s="12"/>
      <c r="R22" s="12"/>
      <c r="S22" s="12"/>
      <c r="T22" s="12"/>
      <c r="U22" s="12"/>
      <c r="V22" s="12"/>
      <c r="W22" s="12"/>
      <c r="X22" s="1"/>
      <c r="Y22" s="1"/>
      <c r="Z22" s="1"/>
      <c r="AA22" s="1"/>
    </row>
    <row r="23" spans="1:27" ht="15.4">
      <c r="A23" s="1"/>
      <c r="B23" s="1" t="s">
        <v>121</v>
      </c>
      <c r="C23" s="1"/>
      <c r="D23" s="12"/>
      <c r="E23" s="12"/>
      <c r="F23" s="12"/>
      <c r="G23" s="12"/>
      <c r="H23" s="12"/>
      <c r="I23" s="12"/>
      <c r="J23" s="12"/>
      <c r="K23" s="12"/>
      <c r="L23" s="12"/>
      <c r="M23" s="12"/>
      <c r="N23" s="12"/>
      <c r="O23" s="12"/>
      <c r="P23" s="12"/>
      <c r="Q23" s="12"/>
      <c r="R23" s="12"/>
      <c r="S23" s="12"/>
      <c r="T23" s="12"/>
      <c r="U23" s="12"/>
      <c r="V23" s="12"/>
      <c r="W23" s="12"/>
      <c r="X23" s="1"/>
      <c r="Y23" s="1"/>
      <c r="Z23" s="1"/>
      <c r="AA23" s="1"/>
    </row>
    <row r="24" spans="1:27" ht="15.4">
      <c r="A24" s="1"/>
      <c r="B24" s="13" t="s">
        <v>143</v>
      </c>
      <c r="C24" s="13"/>
      <c r="D24" s="14">
        <f t="shared" ref="D24:W24" si="0">SUM(D16:D23)</f>
        <v>0</v>
      </c>
      <c r="E24" s="14">
        <f t="shared" si="0"/>
        <v>0</v>
      </c>
      <c r="F24" s="14">
        <f t="shared" si="0"/>
        <v>0</v>
      </c>
      <c r="G24" s="14">
        <f t="shared" si="0"/>
        <v>0</v>
      </c>
      <c r="H24" s="14">
        <f t="shared" si="0"/>
        <v>0</v>
      </c>
      <c r="I24" s="14">
        <f t="shared" si="0"/>
        <v>0</v>
      </c>
      <c r="J24" s="14">
        <f t="shared" si="0"/>
        <v>0</v>
      </c>
      <c r="K24" s="14">
        <f t="shared" si="0"/>
        <v>0</v>
      </c>
      <c r="L24" s="14">
        <f t="shared" si="0"/>
        <v>0</v>
      </c>
      <c r="M24" s="14">
        <f t="shared" si="0"/>
        <v>0</v>
      </c>
      <c r="N24" s="14">
        <f t="shared" si="0"/>
        <v>0</v>
      </c>
      <c r="O24" s="14">
        <f t="shared" si="0"/>
        <v>0</v>
      </c>
      <c r="P24" s="14">
        <f t="shared" si="0"/>
        <v>0</v>
      </c>
      <c r="Q24" s="14">
        <f t="shared" si="0"/>
        <v>0</v>
      </c>
      <c r="R24" s="14">
        <f t="shared" si="0"/>
        <v>0</v>
      </c>
      <c r="S24" s="14">
        <f t="shared" si="0"/>
        <v>0</v>
      </c>
      <c r="T24" s="14">
        <f t="shared" si="0"/>
        <v>0</v>
      </c>
      <c r="U24" s="14">
        <f t="shared" si="0"/>
        <v>0</v>
      </c>
      <c r="V24" s="14">
        <f t="shared" si="0"/>
        <v>0</v>
      </c>
      <c r="W24" s="14">
        <f t="shared" si="0"/>
        <v>0</v>
      </c>
      <c r="X24" s="1"/>
      <c r="Y24" s="1"/>
      <c r="Z24" s="1"/>
      <c r="AA24" s="1"/>
    </row>
    <row r="25" spans="1:27" ht="15.4">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4">
      <c r="A26" s="4"/>
      <c r="B26" s="5" t="s">
        <v>175</v>
      </c>
      <c r="C26" s="6">
        <v>2007</v>
      </c>
      <c r="D26" s="6">
        <v>2008</v>
      </c>
      <c r="E26" s="6">
        <v>2009</v>
      </c>
      <c r="F26" s="6">
        <v>2010</v>
      </c>
      <c r="G26" s="6">
        <v>2011</v>
      </c>
      <c r="H26" s="6">
        <v>2012</v>
      </c>
      <c r="I26" s="6">
        <v>2013</v>
      </c>
      <c r="J26" s="6">
        <v>2014</v>
      </c>
      <c r="K26" s="6">
        <v>2015</v>
      </c>
      <c r="L26" s="6">
        <v>2016</v>
      </c>
      <c r="M26" s="6">
        <v>2017</v>
      </c>
      <c r="N26" s="6">
        <v>2018</v>
      </c>
      <c r="O26" s="6">
        <v>2019</v>
      </c>
      <c r="P26" s="6">
        <v>2020</v>
      </c>
      <c r="Q26" s="6">
        <v>2021</v>
      </c>
      <c r="R26" s="6">
        <v>2022</v>
      </c>
      <c r="S26" s="6">
        <v>2023</v>
      </c>
      <c r="T26" s="6">
        <v>2024</v>
      </c>
      <c r="U26" s="6">
        <v>2025</v>
      </c>
      <c r="V26" s="6">
        <v>2026</v>
      </c>
      <c r="W26" s="6">
        <v>2027</v>
      </c>
      <c r="X26" s="1"/>
      <c r="Y26" s="1"/>
      <c r="Z26" s="1"/>
      <c r="AA26" s="1"/>
    </row>
    <row r="27" spans="1:27" ht="15.4">
      <c r="A27" s="1"/>
      <c r="B27" s="7" t="s">
        <v>159</v>
      </c>
      <c r="C27" s="8">
        <f t="shared" ref="C27:W27" si="1">C14</f>
        <v>0</v>
      </c>
      <c r="D27" s="8">
        <f t="shared" si="1"/>
        <v>1</v>
      </c>
      <c r="E27" s="8">
        <f t="shared" si="1"/>
        <v>2</v>
      </c>
      <c r="F27" s="8">
        <f t="shared" si="1"/>
        <v>3</v>
      </c>
      <c r="G27" s="8">
        <f t="shared" si="1"/>
        <v>4</v>
      </c>
      <c r="H27" s="8">
        <f t="shared" si="1"/>
        <v>5</v>
      </c>
      <c r="I27" s="8">
        <f t="shared" si="1"/>
        <v>6</v>
      </c>
      <c r="J27" s="8">
        <f t="shared" si="1"/>
        <v>7</v>
      </c>
      <c r="K27" s="8">
        <f t="shared" si="1"/>
        <v>8</v>
      </c>
      <c r="L27" s="8">
        <f t="shared" si="1"/>
        <v>9</v>
      </c>
      <c r="M27" s="8">
        <f t="shared" si="1"/>
        <v>10</v>
      </c>
      <c r="N27" s="8">
        <f t="shared" si="1"/>
        <v>11</v>
      </c>
      <c r="O27" s="8">
        <f t="shared" si="1"/>
        <v>12</v>
      </c>
      <c r="P27" s="8">
        <f t="shared" si="1"/>
        <v>13</v>
      </c>
      <c r="Q27" s="8">
        <f t="shared" si="1"/>
        <v>14</v>
      </c>
      <c r="R27" s="8">
        <f t="shared" si="1"/>
        <v>15</v>
      </c>
      <c r="S27" s="8">
        <f t="shared" si="1"/>
        <v>16</v>
      </c>
      <c r="T27" s="8">
        <f t="shared" si="1"/>
        <v>17</v>
      </c>
      <c r="U27" s="8">
        <f t="shared" si="1"/>
        <v>18</v>
      </c>
      <c r="V27" s="8">
        <f t="shared" si="1"/>
        <v>19</v>
      </c>
      <c r="W27" s="8">
        <f t="shared" si="1"/>
        <v>20</v>
      </c>
      <c r="X27" s="1"/>
      <c r="Y27" s="1"/>
      <c r="Z27" s="1"/>
      <c r="AA27" s="1"/>
    </row>
    <row r="28" spans="1:27" ht="15.4">
      <c r="A28" s="15"/>
      <c r="B28" s="15" t="s">
        <v>106</v>
      </c>
      <c r="C28" s="1"/>
      <c r="D28" s="1">
        <v>0</v>
      </c>
      <c r="E28" s="1">
        <v>0</v>
      </c>
      <c r="F28" s="1">
        <v>0</v>
      </c>
      <c r="G28" s="1">
        <v>0</v>
      </c>
      <c r="H28" s="1">
        <v>0</v>
      </c>
      <c r="I28" s="1">
        <v>0</v>
      </c>
      <c r="J28" s="1">
        <v>0</v>
      </c>
      <c r="K28" s="1">
        <v>0</v>
      </c>
      <c r="L28" s="1">
        <v>0</v>
      </c>
      <c r="M28" s="1">
        <v>0</v>
      </c>
      <c r="N28" s="12">
        <f>'Variables 0'!D28/'Variables 0'!I35</f>
        <v>0.89999999985000012</v>
      </c>
      <c r="O28" s="1">
        <v>0</v>
      </c>
      <c r="P28" s="1">
        <v>0</v>
      </c>
      <c r="Q28" s="1">
        <v>0</v>
      </c>
      <c r="R28" s="1">
        <v>0</v>
      </c>
      <c r="S28" s="1">
        <v>0</v>
      </c>
      <c r="T28" s="1">
        <v>0</v>
      </c>
      <c r="U28" s="1">
        <v>0</v>
      </c>
      <c r="V28" s="1">
        <v>0</v>
      </c>
      <c r="W28" s="1">
        <v>0</v>
      </c>
      <c r="X28" s="1"/>
      <c r="Y28" s="1"/>
      <c r="Z28" s="1"/>
      <c r="AA28" s="1"/>
    </row>
    <row r="29" spans="1:27" ht="15.4">
      <c r="A29" s="15"/>
      <c r="B29" s="16" t="s">
        <v>114</v>
      </c>
      <c r="C29" s="10"/>
      <c r="D29" s="10">
        <v>0</v>
      </c>
      <c r="E29" s="10">
        <v>0</v>
      </c>
      <c r="F29" s="10">
        <v>0</v>
      </c>
      <c r="G29" s="10">
        <v>0</v>
      </c>
      <c r="H29" s="10">
        <v>0</v>
      </c>
      <c r="I29" s="10">
        <v>0</v>
      </c>
      <c r="J29" s="10">
        <v>0</v>
      </c>
      <c r="K29" s="10">
        <v>0</v>
      </c>
      <c r="L29" s="10">
        <v>0</v>
      </c>
      <c r="M29" s="10">
        <v>0</v>
      </c>
      <c r="N29" s="11">
        <f>'Variables 0'!D29/'Variables 0'!I35</f>
        <v>0.79999999799999999</v>
      </c>
      <c r="O29" s="10">
        <v>0</v>
      </c>
      <c r="P29" s="10">
        <v>0</v>
      </c>
      <c r="Q29" s="10">
        <v>0</v>
      </c>
      <c r="R29" s="10">
        <v>0</v>
      </c>
      <c r="S29" s="10">
        <v>0</v>
      </c>
      <c r="T29" s="10">
        <v>0</v>
      </c>
      <c r="U29" s="10">
        <v>0</v>
      </c>
      <c r="V29" s="10">
        <v>0</v>
      </c>
      <c r="W29" s="10">
        <v>0</v>
      </c>
      <c r="X29" s="1"/>
      <c r="Y29" s="1"/>
      <c r="Z29" s="1"/>
      <c r="AA29" s="1"/>
    </row>
    <row r="30" spans="1:27" ht="15.4">
      <c r="A30" s="4"/>
      <c r="B30" s="4"/>
      <c r="C30" s="1"/>
      <c r="D30" s="1"/>
      <c r="E30" s="1"/>
      <c r="F30" s="1"/>
      <c r="G30" s="1"/>
      <c r="H30" s="1"/>
      <c r="I30" s="1"/>
      <c r="J30" s="1"/>
      <c r="K30" s="1"/>
      <c r="L30" s="1"/>
      <c r="M30" s="1"/>
      <c r="N30" s="1"/>
      <c r="O30" s="1"/>
      <c r="P30" s="1"/>
      <c r="Q30" s="1"/>
      <c r="R30" s="1"/>
      <c r="S30" s="1"/>
      <c r="T30" s="1"/>
      <c r="U30" s="1"/>
      <c r="V30" s="1"/>
      <c r="W30" s="1"/>
      <c r="X30" s="1"/>
      <c r="Y30" s="1"/>
      <c r="Z30" s="1"/>
      <c r="AA30" s="1"/>
    </row>
    <row r="31" spans="1:27" ht="15.4">
      <c r="A31" s="4"/>
      <c r="B31" s="5" t="s">
        <v>176</v>
      </c>
      <c r="C31" s="6">
        <v>2007</v>
      </c>
      <c r="D31" s="6">
        <v>2008</v>
      </c>
      <c r="E31" s="6">
        <v>2009</v>
      </c>
      <c r="F31" s="6">
        <v>2010</v>
      </c>
      <c r="G31" s="6">
        <v>2011</v>
      </c>
      <c r="H31" s="6">
        <v>2012</v>
      </c>
      <c r="I31" s="6">
        <v>2013</v>
      </c>
      <c r="J31" s="6">
        <v>2014</v>
      </c>
      <c r="K31" s="6">
        <v>2015</v>
      </c>
      <c r="L31" s="6">
        <v>2016</v>
      </c>
      <c r="M31" s="6">
        <v>2017</v>
      </c>
      <c r="N31" s="6">
        <v>2018</v>
      </c>
      <c r="O31" s="6">
        <v>2019</v>
      </c>
      <c r="P31" s="6">
        <v>2020</v>
      </c>
      <c r="Q31" s="6">
        <v>2021</v>
      </c>
      <c r="R31" s="6">
        <v>2022</v>
      </c>
      <c r="S31" s="6">
        <v>2023</v>
      </c>
      <c r="T31" s="6">
        <v>2024</v>
      </c>
      <c r="U31" s="6">
        <v>2025</v>
      </c>
      <c r="V31" s="6">
        <v>2026</v>
      </c>
      <c r="W31" s="6">
        <v>2027</v>
      </c>
      <c r="X31" s="1"/>
      <c r="Y31" s="1"/>
      <c r="Z31" s="1"/>
      <c r="AA31" s="1"/>
    </row>
    <row r="32" spans="1:27" ht="15.4">
      <c r="A32" s="1"/>
      <c r="B32" s="7" t="s">
        <v>159</v>
      </c>
      <c r="C32" s="8">
        <f t="shared" ref="C32:W32" si="2">C27</f>
        <v>0</v>
      </c>
      <c r="D32" s="8">
        <f t="shared" si="2"/>
        <v>1</v>
      </c>
      <c r="E32" s="8">
        <f t="shared" si="2"/>
        <v>2</v>
      </c>
      <c r="F32" s="8">
        <f t="shared" si="2"/>
        <v>3</v>
      </c>
      <c r="G32" s="8">
        <f t="shared" si="2"/>
        <v>4</v>
      </c>
      <c r="H32" s="8">
        <f t="shared" si="2"/>
        <v>5</v>
      </c>
      <c r="I32" s="8">
        <f t="shared" si="2"/>
        <v>6</v>
      </c>
      <c r="J32" s="8">
        <f t="shared" si="2"/>
        <v>7</v>
      </c>
      <c r="K32" s="8">
        <f t="shared" si="2"/>
        <v>8</v>
      </c>
      <c r="L32" s="8">
        <f t="shared" si="2"/>
        <v>9</v>
      </c>
      <c r="M32" s="8">
        <f t="shared" si="2"/>
        <v>10</v>
      </c>
      <c r="N32" s="8">
        <f t="shared" si="2"/>
        <v>11</v>
      </c>
      <c r="O32" s="8">
        <f t="shared" si="2"/>
        <v>12</v>
      </c>
      <c r="P32" s="8">
        <f t="shared" si="2"/>
        <v>13</v>
      </c>
      <c r="Q32" s="8">
        <f t="shared" si="2"/>
        <v>14</v>
      </c>
      <c r="R32" s="8">
        <f t="shared" si="2"/>
        <v>15</v>
      </c>
      <c r="S32" s="8">
        <f t="shared" si="2"/>
        <v>16</v>
      </c>
      <c r="T32" s="8">
        <f t="shared" si="2"/>
        <v>17</v>
      </c>
      <c r="U32" s="8">
        <f t="shared" si="2"/>
        <v>18</v>
      </c>
      <c r="V32" s="8">
        <f t="shared" si="2"/>
        <v>19</v>
      </c>
      <c r="W32" s="8">
        <f t="shared" si="2"/>
        <v>20</v>
      </c>
      <c r="X32" s="1"/>
      <c r="Y32" s="1"/>
      <c r="Z32" s="1"/>
      <c r="AA32" s="1"/>
    </row>
    <row r="33" spans="1:27" ht="15.4">
      <c r="A33" s="1"/>
      <c r="B33" s="1" t="s">
        <v>106</v>
      </c>
      <c r="C33" s="1"/>
      <c r="D33" s="12">
        <f>'Variables 0'!$D$23/'Variables 0'!$I$35</f>
        <v>0.95999999984000006</v>
      </c>
      <c r="E33" s="12">
        <f>'Variables 0'!$D$23/'Variables 0'!$I$35</f>
        <v>0.95999999984000006</v>
      </c>
      <c r="F33" s="12">
        <f>'Variables 0'!$D$23/'Variables 0'!$I$35</f>
        <v>0.95999999984000006</v>
      </c>
      <c r="G33" s="12">
        <f>'Variables 0'!$D$23/'Variables 0'!$I$35</f>
        <v>0.95999999984000006</v>
      </c>
      <c r="H33" s="12">
        <f>'Variables 0'!$D$23/'Variables 0'!$I$35</f>
        <v>0.95999999984000006</v>
      </c>
      <c r="I33" s="12">
        <f>'Variables 0'!$D$23/'Variables 0'!$I$35</f>
        <v>0.95999999984000006</v>
      </c>
      <c r="J33" s="12">
        <f>'Variables 0'!$D$23/'Variables 0'!$I$35</f>
        <v>0.95999999984000006</v>
      </c>
      <c r="K33" s="12">
        <f>'Variables 0'!$D$23/'Variables 0'!$I$35</f>
        <v>0.95999999984000006</v>
      </c>
      <c r="L33" s="12">
        <f>'Variables 0'!$D$23/'Variables 0'!$I$35</f>
        <v>0.95999999984000006</v>
      </c>
      <c r="M33" s="12">
        <f>'Variables 0'!$D$23/'Variables 0'!$I$35</f>
        <v>0.95999999984000006</v>
      </c>
      <c r="N33" s="12">
        <f>((('Variables 0'!$E$6-SUM(D33:M33)+'Variables 0'!$D$28)-'Variables 0'!$D$14)/15)/'Variables 0'!$I$35</f>
        <v>1.0199993598300001</v>
      </c>
      <c r="O33" s="12">
        <f>((('Variables 0'!$E$6-SUM(E33:N33)+'Variables 0'!$D$28)-'Variables 0'!$D$14)/15)/'Variables 0'!$I$35</f>
        <v>1.0199993558300429</v>
      </c>
      <c r="P33" s="12">
        <f>((('Variables 0'!$E$6-SUM(F33:O33)+'Variables 0'!$D$28)-'Variables 0'!$D$14)/15)/'Variables 0'!$I$35</f>
        <v>1.0199993518300858</v>
      </c>
      <c r="Q33" s="12">
        <f>((('Variables 0'!$E$6-SUM(G33:P33)+'Variables 0'!$D$28)-'Variables 0'!$D$14)/15)/'Variables 0'!$I$35</f>
        <v>1.019999347830129</v>
      </c>
      <c r="R33" s="12">
        <f>((('Variables 0'!$E$6-SUM(H33:Q33)+'Variables 0'!$D$28)-'Variables 0'!$D$14)/15)/'Variables 0'!$I$35</f>
        <v>1.0199993438301724</v>
      </c>
      <c r="S33" s="12"/>
      <c r="T33" s="12"/>
      <c r="U33" s="12"/>
      <c r="V33" s="12"/>
      <c r="W33" s="12"/>
      <c r="X33" s="1"/>
      <c r="Y33" s="1"/>
      <c r="Z33" s="1"/>
      <c r="AA33" s="1"/>
    </row>
    <row r="34" spans="1:27" ht="15.4">
      <c r="A34" s="1"/>
      <c r="B34" s="1" t="s">
        <v>177</v>
      </c>
      <c r="C34" s="1"/>
      <c r="D34" s="12">
        <f>'Variables 0'!$D$24/'Variables 0'!$I$35</f>
        <v>1.9999999949999989E-2</v>
      </c>
      <c r="E34" s="12">
        <f>'Variables 0'!$D$24/'Variables 0'!$I$35</f>
        <v>1.9999999949999989E-2</v>
      </c>
      <c r="F34" s="12">
        <f>'Variables 0'!$D$24/'Variables 0'!$I$35</f>
        <v>1.9999999949999989E-2</v>
      </c>
      <c r="G34" s="12">
        <f>'Variables 0'!$D$24/'Variables 0'!$I$35</f>
        <v>1.9999999949999989E-2</v>
      </c>
      <c r="H34" s="12">
        <f>'Variables 0'!$D$24/'Variables 0'!$I$35</f>
        <v>1.9999999949999989E-2</v>
      </c>
      <c r="I34" s="12">
        <f>'Variables 0'!$D$24/'Variables 0'!$I$35</f>
        <v>1.9999999949999989E-2</v>
      </c>
      <c r="J34" s="12">
        <f>'Variables 0'!$D$24/'Variables 0'!$I$35</f>
        <v>1.9999999949999989E-2</v>
      </c>
      <c r="K34" s="12">
        <f>'Variables 0'!$D$24/'Variables 0'!$I$35</f>
        <v>1.9999999949999989E-2</v>
      </c>
      <c r="L34" s="12">
        <f>'Variables 0'!$D$24/'Variables 0'!$I$35</f>
        <v>1.9999999949999989E-2</v>
      </c>
      <c r="M34" s="12">
        <f>'Variables 0'!$D$24/'Variables 0'!$I$35</f>
        <v>1.9999999949999989E-2</v>
      </c>
      <c r="N34" s="12">
        <f>'Variables 0'!$D$24/'Variables 0'!$I$35</f>
        <v>1.9999999949999989E-2</v>
      </c>
      <c r="O34" s="12">
        <f>'Variables 0'!$D$24/'Variables 0'!$I$35</f>
        <v>1.9999999949999989E-2</v>
      </c>
      <c r="P34" s="12">
        <f>'Variables 0'!$D$24/'Variables 0'!$I$35</f>
        <v>1.9999999949999989E-2</v>
      </c>
      <c r="Q34" s="12">
        <f>'Variables 0'!$D$24/'Variables 0'!$I$35</f>
        <v>1.9999999949999989E-2</v>
      </c>
      <c r="R34" s="12">
        <f>'Variables 0'!$D$24/'Variables 0'!$I$35</f>
        <v>1.9999999949999989E-2</v>
      </c>
      <c r="S34" s="12">
        <f>'Variables 0'!$D$24/'Variables 0'!$I$35</f>
        <v>1.9999999949999989E-2</v>
      </c>
      <c r="T34" s="12">
        <f>'Variables 0'!$D$24/'Variables 0'!$I$35</f>
        <v>1.9999999949999989E-2</v>
      </c>
      <c r="U34" s="12">
        <f>'Variables 0'!$D$24/'Variables 0'!$I$35</f>
        <v>1.9999999949999989E-2</v>
      </c>
      <c r="V34" s="12">
        <f>'Variables 0'!$D$24/'Variables 0'!$I$35</f>
        <v>1.9999999949999989E-2</v>
      </c>
      <c r="W34" s="12">
        <f>'Variables 0'!$D$24/'Variables 0'!$I$35</f>
        <v>1.9999999949999989E-2</v>
      </c>
      <c r="X34" s="1"/>
      <c r="Y34" s="1"/>
      <c r="Z34" s="1"/>
      <c r="AA34" s="1"/>
    </row>
    <row r="35" spans="1:27" ht="15.4">
      <c r="A35" s="1"/>
      <c r="B35" s="1" t="s">
        <v>178</v>
      </c>
      <c r="C35" s="1"/>
      <c r="D35" s="12">
        <f>'Variables 0'!$D$25/'Variables 0'!$I$35</f>
        <v>0.29999999977500003</v>
      </c>
      <c r="E35" s="12">
        <f>'Variables 0'!$D$25/'Variables 0'!$I$35</f>
        <v>0.29999999977500003</v>
      </c>
      <c r="F35" s="12">
        <f>'Variables 0'!$D$25/'Variables 0'!$I$35</f>
        <v>0.29999999977500003</v>
      </c>
      <c r="G35" s="12">
        <f>'Variables 0'!$D$25/'Variables 0'!$I$35</f>
        <v>0.29999999977500003</v>
      </c>
      <c r="H35" s="12">
        <f>'Variables 0'!$D$25/'Variables 0'!$I$35</f>
        <v>0.29999999977500003</v>
      </c>
      <c r="I35" s="12">
        <f>'Variables 0'!$D$25/'Variables 0'!$I$35</f>
        <v>0.29999999977500003</v>
      </c>
      <c r="J35" s="12">
        <f>'Variables 0'!$D$25/'Variables 0'!$I$35</f>
        <v>0.29999999977500003</v>
      </c>
      <c r="K35" s="12">
        <f>'Variables 0'!$D$25/'Variables 0'!$I$35</f>
        <v>0.29999999977500003</v>
      </c>
      <c r="L35" s="12">
        <f>'Variables 0'!$D$25/'Variables 0'!$I$35</f>
        <v>0.29999999977500003</v>
      </c>
      <c r="M35" s="12">
        <f>'Variables 0'!$D$25/'Variables 0'!$I$35</f>
        <v>0.29999999977500003</v>
      </c>
      <c r="N35" s="12"/>
      <c r="O35" s="12"/>
      <c r="P35" s="12"/>
      <c r="Q35" s="12"/>
      <c r="R35" s="12"/>
      <c r="S35" s="12"/>
      <c r="T35" s="12"/>
      <c r="U35" s="12"/>
      <c r="V35" s="12"/>
      <c r="W35" s="12"/>
      <c r="X35" s="1"/>
      <c r="Y35" s="1"/>
      <c r="Z35" s="1"/>
      <c r="AA35" s="1"/>
    </row>
    <row r="36" spans="1:27" ht="15.4">
      <c r="A36" s="1"/>
      <c r="B36" s="10" t="s">
        <v>179</v>
      </c>
      <c r="C36" s="10">
        <f t="shared" ref="C36:W36" si="3">SUM(C33:C35)</f>
        <v>0</v>
      </c>
      <c r="D36" s="11">
        <f t="shared" si="3"/>
        <v>1.2799999995650002</v>
      </c>
      <c r="E36" s="11">
        <f t="shared" si="3"/>
        <v>1.2799999995650002</v>
      </c>
      <c r="F36" s="11">
        <f t="shared" si="3"/>
        <v>1.2799999995650002</v>
      </c>
      <c r="G36" s="11">
        <f t="shared" si="3"/>
        <v>1.2799999995650002</v>
      </c>
      <c r="H36" s="11">
        <f t="shared" si="3"/>
        <v>1.2799999995650002</v>
      </c>
      <c r="I36" s="11">
        <f t="shared" si="3"/>
        <v>1.2799999995650002</v>
      </c>
      <c r="J36" s="11">
        <f t="shared" si="3"/>
        <v>1.2799999995650002</v>
      </c>
      <c r="K36" s="11">
        <f t="shared" si="3"/>
        <v>1.2799999995650002</v>
      </c>
      <c r="L36" s="11">
        <f t="shared" si="3"/>
        <v>1.2799999995650002</v>
      </c>
      <c r="M36" s="11">
        <f t="shared" si="3"/>
        <v>1.2799999995650002</v>
      </c>
      <c r="N36" s="11">
        <f t="shared" si="3"/>
        <v>1.0399993597800001</v>
      </c>
      <c r="O36" s="11">
        <f t="shared" si="3"/>
        <v>1.0399993557800429</v>
      </c>
      <c r="P36" s="11">
        <f t="shared" si="3"/>
        <v>1.0399993517800858</v>
      </c>
      <c r="Q36" s="11">
        <f t="shared" si="3"/>
        <v>1.039999347780129</v>
      </c>
      <c r="R36" s="11">
        <f t="shared" si="3"/>
        <v>1.0399993437801724</v>
      </c>
      <c r="S36" s="11">
        <f t="shared" si="3"/>
        <v>1.9999999949999989E-2</v>
      </c>
      <c r="T36" s="11">
        <f t="shared" si="3"/>
        <v>1.9999999949999989E-2</v>
      </c>
      <c r="U36" s="11">
        <f t="shared" si="3"/>
        <v>1.9999999949999989E-2</v>
      </c>
      <c r="V36" s="11">
        <f t="shared" si="3"/>
        <v>1.9999999949999989E-2</v>
      </c>
      <c r="W36" s="11">
        <f t="shared" si="3"/>
        <v>1.9999999949999989E-2</v>
      </c>
      <c r="X36" s="1"/>
      <c r="Y36" s="1"/>
      <c r="Z36" s="1"/>
      <c r="AA36" s="1"/>
    </row>
    <row r="37" spans="1:27" ht="15.4">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4">
      <c r="A38" s="4"/>
      <c r="B38" s="5" t="s">
        <v>180</v>
      </c>
      <c r="C38" s="6">
        <v>2007</v>
      </c>
      <c r="D38" s="6">
        <v>2008</v>
      </c>
      <c r="E38" s="6">
        <v>2009</v>
      </c>
      <c r="F38" s="6">
        <v>2010</v>
      </c>
      <c r="G38" s="6">
        <v>2011</v>
      </c>
      <c r="H38" s="6">
        <v>2012</v>
      </c>
      <c r="I38" s="6">
        <v>2013</v>
      </c>
      <c r="J38" s="6">
        <v>2014</v>
      </c>
      <c r="K38" s="6">
        <v>2015</v>
      </c>
      <c r="L38" s="6">
        <v>2016</v>
      </c>
      <c r="M38" s="6">
        <v>2017</v>
      </c>
      <c r="N38" s="1"/>
      <c r="O38" s="1"/>
      <c r="P38" s="1"/>
      <c r="Q38" s="1"/>
      <c r="R38" s="1"/>
      <c r="S38" s="1"/>
      <c r="T38" s="1"/>
      <c r="U38" s="1"/>
      <c r="V38" s="1"/>
      <c r="W38" s="1"/>
      <c r="X38" s="1"/>
      <c r="Y38" s="1"/>
      <c r="Z38" s="1"/>
      <c r="AA38" s="1"/>
    </row>
    <row r="39" spans="1:27" ht="15.4">
      <c r="A39" s="1"/>
      <c r="B39" s="7" t="s">
        <v>159</v>
      </c>
      <c r="C39" s="8">
        <v>0</v>
      </c>
      <c r="D39" s="8">
        <v>1</v>
      </c>
      <c r="E39" s="8">
        <v>2</v>
      </c>
      <c r="F39" s="8">
        <v>3</v>
      </c>
      <c r="G39" s="8">
        <v>4</v>
      </c>
      <c r="H39" s="8">
        <v>5</v>
      </c>
      <c r="I39" s="8">
        <v>6</v>
      </c>
      <c r="J39" s="8">
        <v>7</v>
      </c>
      <c r="K39" s="8">
        <v>8</v>
      </c>
      <c r="L39" s="8">
        <v>9</v>
      </c>
      <c r="M39" s="8">
        <v>10</v>
      </c>
      <c r="N39" s="1"/>
      <c r="O39" s="1"/>
      <c r="P39" s="1"/>
      <c r="Q39" s="1"/>
      <c r="R39" s="1"/>
      <c r="S39" s="1"/>
      <c r="T39" s="1"/>
      <c r="U39" s="1"/>
      <c r="V39" s="1"/>
      <c r="W39" s="1"/>
      <c r="X39" s="1"/>
      <c r="Y39" s="1"/>
      <c r="Z39" s="1"/>
      <c r="AA39" s="1"/>
    </row>
    <row r="40" spans="1:27" ht="15.4">
      <c r="A40" s="1"/>
      <c r="B40" s="1" t="s">
        <v>181</v>
      </c>
      <c r="C40" s="12"/>
      <c r="D40" s="12"/>
      <c r="E40" s="12"/>
      <c r="F40" s="12"/>
      <c r="G40" s="12"/>
      <c r="H40" s="12"/>
      <c r="I40" s="12"/>
      <c r="J40" s="12"/>
      <c r="K40" s="12"/>
      <c r="L40" s="12"/>
      <c r="M40" s="12"/>
      <c r="N40" s="1"/>
      <c r="O40" s="1"/>
      <c r="P40" s="1"/>
      <c r="Q40" s="1"/>
      <c r="R40" s="1"/>
      <c r="S40" s="1"/>
      <c r="T40" s="1"/>
      <c r="U40" s="1"/>
      <c r="V40" s="1"/>
      <c r="W40" s="1"/>
      <c r="X40" s="1"/>
      <c r="Y40" s="1"/>
      <c r="Z40" s="1"/>
      <c r="AA40" s="1"/>
    </row>
    <row r="41" spans="1:27" ht="15.4">
      <c r="A41" s="1"/>
      <c r="B41" s="1" t="s">
        <v>182</v>
      </c>
      <c r="C41" s="12"/>
      <c r="D41" s="12"/>
      <c r="E41" s="12"/>
      <c r="F41" s="12"/>
      <c r="G41" s="12"/>
      <c r="H41" s="12"/>
      <c r="I41" s="12"/>
      <c r="J41" s="12"/>
      <c r="K41" s="12"/>
      <c r="L41" s="12"/>
      <c r="M41" s="12"/>
      <c r="N41" s="1"/>
      <c r="O41" s="1"/>
      <c r="P41" s="1"/>
      <c r="Q41" s="1"/>
      <c r="R41" s="1"/>
      <c r="S41" s="1"/>
      <c r="T41" s="1"/>
      <c r="U41" s="1"/>
      <c r="V41" s="1"/>
      <c r="W41" s="1"/>
      <c r="X41" s="1"/>
      <c r="Y41" s="1"/>
      <c r="Z41" s="1"/>
      <c r="AA41" s="1"/>
    </row>
    <row r="42" spans="1:27" ht="15.4">
      <c r="A42" s="1"/>
      <c r="B42" s="1" t="s">
        <v>183</v>
      </c>
      <c r="C42" s="12"/>
      <c r="D42" s="12"/>
      <c r="E42" s="12"/>
      <c r="F42" s="12"/>
      <c r="G42" s="12"/>
      <c r="H42" s="12"/>
      <c r="I42" s="12"/>
      <c r="J42" s="12"/>
      <c r="K42" s="12"/>
      <c r="L42" s="12"/>
      <c r="M42" s="12"/>
      <c r="N42" s="1"/>
      <c r="O42" s="1"/>
      <c r="P42" s="1"/>
      <c r="Q42" s="1"/>
      <c r="R42" s="1"/>
      <c r="S42" s="1"/>
      <c r="T42" s="1"/>
      <c r="U42" s="1"/>
      <c r="V42" s="1"/>
      <c r="W42" s="1"/>
      <c r="X42" s="1"/>
      <c r="Y42" s="1"/>
      <c r="Z42" s="1"/>
      <c r="AA42" s="1"/>
    </row>
    <row r="43" spans="1:27" ht="15.4">
      <c r="A43" s="1"/>
      <c r="B43" s="1" t="s">
        <v>184</v>
      </c>
      <c r="C43" s="12"/>
      <c r="D43" s="12"/>
      <c r="E43" s="12"/>
      <c r="F43" s="12"/>
      <c r="G43" s="12"/>
      <c r="H43" s="12"/>
      <c r="I43" s="12"/>
      <c r="J43" s="12"/>
      <c r="K43" s="12"/>
      <c r="L43" s="12"/>
      <c r="M43" s="12"/>
      <c r="N43" s="1"/>
      <c r="O43" s="1"/>
      <c r="P43" s="1"/>
      <c r="Q43" s="1"/>
      <c r="R43" s="1"/>
      <c r="S43" s="1"/>
      <c r="T43" s="1"/>
      <c r="U43" s="1"/>
      <c r="V43" s="1"/>
      <c r="W43" s="1"/>
      <c r="X43" s="1"/>
      <c r="Y43" s="1"/>
      <c r="Z43" s="1"/>
      <c r="AA43" s="1"/>
    </row>
    <row r="44" spans="1:27" ht="15.4">
      <c r="A44" s="1"/>
      <c r="B44" s="1" t="s">
        <v>157</v>
      </c>
      <c r="C44" s="12"/>
      <c r="D44" s="12"/>
      <c r="E44" s="12"/>
      <c r="F44" s="12"/>
      <c r="G44" s="12"/>
      <c r="H44" s="12"/>
      <c r="I44" s="12"/>
      <c r="J44" s="12"/>
      <c r="K44" s="12"/>
      <c r="L44" s="12"/>
      <c r="M44" s="12"/>
      <c r="N44" s="1"/>
      <c r="O44" s="1"/>
      <c r="P44" s="1"/>
      <c r="Q44" s="1"/>
      <c r="R44" s="1"/>
      <c r="S44" s="1"/>
      <c r="T44" s="1"/>
      <c r="U44" s="1"/>
      <c r="V44" s="1"/>
      <c r="W44" s="1"/>
      <c r="X44" s="1"/>
      <c r="Y44" s="1"/>
      <c r="Z44" s="1"/>
      <c r="AA44" s="1"/>
    </row>
    <row r="45" spans="1:27" ht="15.4">
      <c r="A45" s="1"/>
      <c r="B45" s="10" t="s">
        <v>185</v>
      </c>
      <c r="C45" s="11">
        <f>'Variables 0'!C33/'Variables 0'!I35</f>
        <v>20.309999994270001</v>
      </c>
      <c r="D45" s="11"/>
      <c r="E45" s="11"/>
      <c r="F45" s="11"/>
      <c r="G45" s="11"/>
      <c r="H45" s="11"/>
      <c r="I45" s="11"/>
      <c r="J45" s="11"/>
      <c r="K45" s="11"/>
      <c r="L45" s="11"/>
      <c r="M45" s="11"/>
      <c r="N45" s="1"/>
      <c r="O45" s="1"/>
      <c r="P45" s="1"/>
      <c r="Q45" s="1"/>
      <c r="R45" s="1"/>
      <c r="S45" s="1"/>
      <c r="T45" s="1"/>
      <c r="U45" s="1"/>
      <c r="V45" s="1"/>
      <c r="W45" s="1"/>
      <c r="X45" s="1"/>
      <c r="Y45" s="1"/>
      <c r="Z45" s="1"/>
      <c r="AA45" s="1"/>
    </row>
    <row r="46" spans="1:27" ht="15.4">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4">
      <c r="A47" s="4"/>
      <c r="B47" s="5" t="s">
        <v>186</v>
      </c>
      <c r="C47" s="6">
        <v>2007</v>
      </c>
      <c r="D47" s="6">
        <v>2008</v>
      </c>
      <c r="E47" s="6">
        <v>2009</v>
      </c>
      <c r="F47" s="6">
        <v>2010</v>
      </c>
      <c r="G47" s="6">
        <v>2011</v>
      </c>
      <c r="H47" s="6">
        <v>2012</v>
      </c>
      <c r="I47" s="6">
        <v>2013</v>
      </c>
      <c r="J47" s="6">
        <v>2014</v>
      </c>
      <c r="K47" s="6">
        <v>2015</v>
      </c>
      <c r="L47" s="6">
        <v>2016</v>
      </c>
      <c r="M47" s="6">
        <v>2017</v>
      </c>
      <c r="N47" s="18"/>
      <c r="O47" s="18"/>
      <c r="P47" s="18"/>
      <c r="Q47" s="18"/>
      <c r="R47" s="18"/>
      <c r="S47" s="18"/>
      <c r="T47" s="18"/>
      <c r="U47" s="18"/>
      <c r="V47" s="18"/>
      <c r="W47" s="18"/>
      <c r="X47" s="1"/>
      <c r="Y47" s="1"/>
      <c r="Z47" s="1"/>
      <c r="AA47" s="1"/>
    </row>
    <row r="48" spans="1:27" ht="15.4">
      <c r="A48" s="1"/>
      <c r="B48" s="7" t="s">
        <v>159</v>
      </c>
      <c r="C48" s="8">
        <v>0</v>
      </c>
      <c r="D48" s="8">
        <v>1</v>
      </c>
      <c r="E48" s="8">
        <v>2</v>
      </c>
      <c r="F48" s="8">
        <v>3</v>
      </c>
      <c r="G48" s="8">
        <v>4</v>
      </c>
      <c r="H48" s="8">
        <v>5</v>
      </c>
      <c r="I48" s="8">
        <v>6</v>
      </c>
      <c r="J48" s="8">
        <v>7</v>
      </c>
      <c r="K48" s="8">
        <v>8</v>
      </c>
      <c r="L48" s="8">
        <v>9</v>
      </c>
      <c r="M48" s="8">
        <v>10</v>
      </c>
      <c r="N48" s="1"/>
      <c r="O48" s="1"/>
      <c r="P48" s="1"/>
      <c r="Q48" s="1"/>
      <c r="R48" s="1"/>
      <c r="S48" s="1"/>
      <c r="T48" s="1"/>
      <c r="U48" s="1"/>
      <c r="V48" s="1"/>
      <c r="W48" s="1"/>
      <c r="X48" s="1"/>
      <c r="Y48" s="1"/>
      <c r="Z48" s="1"/>
      <c r="AA48" s="1"/>
    </row>
    <row r="49" spans="1:27" ht="15.4">
      <c r="A49" s="1"/>
      <c r="B49" s="1" t="s">
        <v>187</v>
      </c>
      <c r="C49" s="12">
        <f>C45</f>
        <v>20.309999994270001</v>
      </c>
      <c r="D49" s="1"/>
      <c r="E49" s="1"/>
      <c r="F49" s="1"/>
      <c r="G49" s="1"/>
      <c r="H49" s="1"/>
      <c r="I49" s="1"/>
      <c r="J49" s="1"/>
      <c r="K49" s="1"/>
      <c r="L49" s="1"/>
      <c r="M49" s="1"/>
      <c r="N49" s="1"/>
      <c r="O49" s="1"/>
      <c r="P49" s="1"/>
      <c r="Q49" s="1"/>
      <c r="R49" s="1"/>
      <c r="S49" s="1"/>
      <c r="T49" s="1"/>
      <c r="U49" s="1"/>
      <c r="V49" s="1"/>
      <c r="W49" s="1"/>
      <c r="X49" s="1"/>
      <c r="Y49" s="1"/>
      <c r="Z49" s="1"/>
      <c r="AA49" s="1"/>
    </row>
    <row r="50" spans="1:27" ht="15.4">
      <c r="A50" s="1"/>
      <c r="B50" s="1" t="s">
        <v>188</v>
      </c>
      <c r="C50" s="1"/>
      <c r="D50" s="12"/>
      <c r="E50" s="12"/>
      <c r="F50" s="12"/>
      <c r="G50" s="12"/>
      <c r="H50" s="12"/>
      <c r="I50" s="12"/>
      <c r="J50" s="12"/>
      <c r="K50" s="12"/>
      <c r="L50" s="12"/>
      <c r="M50" s="12"/>
      <c r="N50" s="1"/>
      <c r="O50" s="1"/>
      <c r="P50" s="1"/>
      <c r="Q50" s="1"/>
      <c r="R50" s="1"/>
      <c r="S50" s="1"/>
      <c r="T50" s="1"/>
      <c r="U50" s="1"/>
      <c r="V50" s="1"/>
      <c r="W50" s="1"/>
      <c r="X50" s="1"/>
      <c r="Y50" s="1"/>
      <c r="Z50" s="1"/>
      <c r="AA50" s="1"/>
    </row>
    <row r="51" spans="1:27" ht="15.4">
      <c r="A51" s="1"/>
      <c r="B51" s="10" t="s">
        <v>186</v>
      </c>
      <c r="C51" s="11">
        <f t="shared" ref="C51:M51" si="4">C49-C50</f>
        <v>20.309999994270001</v>
      </c>
      <c r="D51" s="11">
        <f t="shared" si="4"/>
        <v>0</v>
      </c>
      <c r="E51" s="11">
        <f t="shared" si="4"/>
        <v>0</v>
      </c>
      <c r="F51" s="11">
        <f t="shared" si="4"/>
        <v>0</v>
      </c>
      <c r="G51" s="11">
        <f t="shared" si="4"/>
        <v>0</v>
      </c>
      <c r="H51" s="11">
        <f t="shared" si="4"/>
        <v>0</v>
      </c>
      <c r="I51" s="11">
        <f t="shared" si="4"/>
        <v>0</v>
      </c>
      <c r="J51" s="11">
        <f t="shared" si="4"/>
        <v>0</v>
      </c>
      <c r="K51" s="11">
        <f t="shared" si="4"/>
        <v>0</v>
      </c>
      <c r="L51" s="11">
        <f t="shared" si="4"/>
        <v>0</v>
      </c>
      <c r="M51" s="11">
        <f t="shared" si="4"/>
        <v>0</v>
      </c>
      <c r="N51" s="1"/>
      <c r="O51" s="1"/>
      <c r="P51" s="1"/>
      <c r="Q51" s="1"/>
      <c r="R51" s="1"/>
      <c r="S51" s="1"/>
      <c r="T51" s="1"/>
      <c r="U51" s="1"/>
      <c r="V51" s="1"/>
      <c r="W51" s="1"/>
      <c r="X51" s="1"/>
      <c r="Y51" s="1"/>
      <c r="Z51" s="1"/>
      <c r="AA51" s="1"/>
    </row>
    <row r="52" spans="1:27" ht="15.4">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4">
      <c r="A53" s="4"/>
      <c r="B53" s="5" t="s">
        <v>131</v>
      </c>
      <c r="C53" s="6">
        <v>2007</v>
      </c>
      <c r="D53" s="6">
        <v>2008</v>
      </c>
      <c r="E53" s="6">
        <v>2009</v>
      </c>
      <c r="F53" s="6">
        <v>2010</v>
      </c>
      <c r="G53" s="6">
        <v>2011</v>
      </c>
      <c r="H53" s="6">
        <v>2012</v>
      </c>
      <c r="I53" s="6">
        <v>2013</v>
      </c>
      <c r="J53" s="6">
        <v>2014</v>
      </c>
      <c r="K53" s="6">
        <v>2015</v>
      </c>
      <c r="L53" s="6">
        <v>2016</v>
      </c>
      <c r="M53" s="6">
        <v>2017</v>
      </c>
      <c r="N53" s="6">
        <v>2018</v>
      </c>
      <c r="O53" s="6">
        <v>2019</v>
      </c>
      <c r="P53" s="6">
        <v>2020</v>
      </c>
      <c r="Q53" s="6">
        <v>2021</v>
      </c>
      <c r="R53" s="6">
        <v>2022</v>
      </c>
      <c r="S53" s="6">
        <v>2023</v>
      </c>
      <c r="T53" s="6">
        <v>2024</v>
      </c>
      <c r="U53" s="6">
        <v>2025</v>
      </c>
      <c r="V53" s="6">
        <v>2026</v>
      </c>
      <c r="W53" s="6">
        <v>2027</v>
      </c>
      <c r="X53" s="1"/>
      <c r="Y53" s="1"/>
      <c r="Z53" s="1"/>
      <c r="AA53" s="1"/>
    </row>
    <row r="54" spans="1:27" ht="15.4">
      <c r="A54" s="1"/>
      <c r="B54" s="7" t="s">
        <v>159</v>
      </c>
      <c r="C54" s="17">
        <v>0</v>
      </c>
      <c r="D54" s="17">
        <v>1</v>
      </c>
      <c r="E54" s="17">
        <v>2</v>
      </c>
      <c r="F54" s="17">
        <v>3</v>
      </c>
      <c r="G54" s="17">
        <v>4</v>
      </c>
      <c r="H54" s="17">
        <v>5</v>
      </c>
      <c r="I54" s="17">
        <v>6</v>
      </c>
      <c r="J54" s="17">
        <v>7</v>
      </c>
      <c r="K54" s="17">
        <v>8</v>
      </c>
      <c r="L54" s="17">
        <v>9</v>
      </c>
      <c r="M54" s="17">
        <v>10</v>
      </c>
      <c r="N54" s="17">
        <v>11</v>
      </c>
      <c r="O54" s="17">
        <v>12</v>
      </c>
      <c r="P54" s="17">
        <v>13</v>
      </c>
      <c r="Q54" s="17">
        <v>14</v>
      </c>
      <c r="R54" s="17">
        <v>15</v>
      </c>
      <c r="S54" s="17">
        <v>16</v>
      </c>
      <c r="T54" s="17">
        <v>17</v>
      </c>
      <c r="U54" s="17">
        <v>18</v>
      </c>
      <c r="V54" s="17">
        <v>19</v>
      </c>
      <c r="W54" s="17">
        <v>20</v>
      </c>
      <c r="X54" s="1"/>
      <c r="Y54" s="1"/>
      <c r="Z54" s="1"/>
      <c r="AA54" s="1"/>
    </row>
    <row r="55" spans="1:27" ht="15.4">
      <c r="A55" s="1"/>
      <c r="B55" s="1" t="s">
        <v>131</v>
      </c>
      <c r="C55" s="1"/>
      <c r="D55" s="1"/>
      <c r="E55" s="1"/>
      <c r="F55" s="1"/>
      <c r="G55" s="1"/>
      <c r="H55" s="1"/>
      <c r="I55" s="1"/>
      <c r="J55" s="1"/>
      <c r="K55" s="1"/>
      <c r="L55" s="1"/>
      <c r="M55" s="1"/>
      <c r="N55" s="1"/>
      <c r="O55" s="1"/>
      <c r="P55" s="1"/>
      <c r="Q55" s="1"/>
      <c r="R55" s="1"/>
      <c r="S55" s="1"/>
      <c r="T55" s="1"/>
      <c r="U55" s="1"/>
      <c r="V55" s="1"/>
      <c r="W55" s="1"/>
      <c r="X55" s="1"/>
      <c r="Y55" s="1"/>
      <c r="Z55" s="1"/>
      <c r="AA55" s="1"/>
    </row>
    <row r="56" spans="1:27" ht="15.4">
      <c r="A56" s="1"/>
      <c r="B56" s="1" t="s">
        <v>189</v>
      </c>
      <c r="C56" s="1"/>
      <c r="D56" s="1"/>
      <c r="E56" s="1"/>
      <c r="F56" s="1"/>
      <c r="G56" s="1"/>
      <c r="H56" s="1"/>
      <c r="I56" s="1"/>
      <c r="J56" s="1"/>
      <c r="K56" s="1"/>
      <c r="L56" s="1"/>
      <c r="M56" s="1"/>
      <c r="N56" s="1"/>
      <c r="O56" s="1"/>
      <c r="P56" s="1"/>
      <c r="Q56" s="1"/>
      <c r="R56" s="1"/>
      <c r="S56" s="1"/>
      <c r="T56" s="1"/>
      <c r="U56" s="1"/>
      <c r="V56" s="1"/>
      <c r="W56" s="1"/>
      <c r="X56" s="1"/>
      <c r="Y56" s="1"/>
      <c r="Z56" s="1"/>
      <c r="AA56" s="1"/>
    </row>
    <row r="57" spans="1:27" ht="15.4">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4">
      <c r="A58" s="4"/>
      <c r="B58" s="5" t="s">
        <v>190</v>
      </c>
      <c r="C58" s="6">
        <v>2007</v>
      </c>
      <c r="D58" s="6">
        <v>2008</v>
      </c>
      <c r="E58" s="6">
        <v>2009</v>
      </c>
      <c r="F58" s="6">
        <v>2010</v>
      </c>
      <c r="G58" s="6">
        <v>2011</v>
      </c>
      <c r="H58" s="6">
        <v>2012</v>
      </c>
      <c r="I58" s="6">
        <v>2013</v>
      </c>
      <c r="J58" s="6">
        <v>2014</v>
      </c>
      <c r="K58" s="6">
        <v>2015</v>
      </c>
      <c r="L58" s="6">
        <v>2016</v>
      </c>
      <c r="M58" s="6">
        <v>2017</v>
      </c>
      <c r="N58" s="6">
        <v>2018</v>
      </c>
      <c r="O58" s="6">
        <v>2019</v>
      </c>
      <c r="P58" s="6">
        <v>2020</v>
      </c>
      <c r="Q58" s="6">
        <v>2021</v>
      </c>
      <c r="R58" s="6">
        <v>2022</v>
      </c>
      <c r="S58" s="6">
        <v>2023</v>
      </c>
      <c r="T58" s="6">
        <v>2024</v>
      </c>
      <c r="U58" s="6">
        <v>2025</v>
      </c>
      <c r="V58" s="6">
        <v>2026</v>
      </c>
      <c r="W58" s="6">
        <v>2027</v>
      </c>
      <c r="X58" s="1"/>
      <c r="Y58" s="1"/>
      <c r="Z58" s="1"/>
      <c r="AA58" s="1"/>
    </row>
    <row r="59" spans="1:27" ht="15.4">
      <c r="A59" s="1"/>
      <c r="B59" s="7" t="s">
        <v>159</v>
      </c>
      <c r="C59" s="17">
        <v>0</v>
      </c>
      <c r="D59" s="17">
        <v>1</v>
      </c>
      <c r="E59" s="17">
        <v>2</v>
      </c>
      <c r="F59" s="17">
        <v>3</v>
      </c>
      <c r="G59" s="17">
        <v>4</v>
      </c>
      <c r="H59" s="17">
        <v>5</v>
      </c>
      <c r="I59" s="17">
        <v>6</v>
      </c>
      <c r="J59" s="17">
        <v>7</v>
      </c>
      <c r="K59" s="17">
        <v>8</v>
      </c>
      <c r="L59" s="17">
        <v>9</v>
      </c>
      <c r="M59" s="17">
        <v>10</v>
      </c>
      <c r="N59" s="17">
        <v>11</v>
      </c>
      <c r="O59" s="17">
        <v>12</v>
      </c>
      <c r="P59" s="17">
        <v>13</v>
      </c>
      <c r="Q59" s="17">
        <v>14</v>
      </c>
      <c r="R59" s="17">
        <v>15</v>
      </c>
      <c r="S59" s="17">
        <v>16</v>
      </c>
      <c r="T59" s="17">
        <v>17</v>
      </c>
      <c r="U59" s="17">
        <v>18</v>
      </c>
      <c r="V59" s="17">
        <v>19</v>
      </c>
      <c r="W59" s="17">
        <v>20</v>
      </c>
      <c r="X59" s="1"/>
      <c r="Y59" s="1"/>
      <c r="Z59" s="1"/>
      <c r="AA59" s="1"/>
    </row>
    <row r="60" spans="1:27" ht="15.4">
      <c r="A60" s="1"/>
      <c r="B60" s="1" t="s">
        <v>171</v>
      </c>
      <c r="C60" s="1"/>
      <c r="D60" s="12"/>
      <c r="E60" s="12"/>
      <c r="F60" s="12"/>
      <c r="G60" s="12"/>
      <c r="H60" s="12"/>
      <c r="I60" s="12"/>
      <c r="J60" s="12"/>
      <c r="K60" s="12"/>
      <c r="L60" s="12"/>
      <c r="M60" s="12"/>
      <c r="N60" s="12"/>
      <c r="O60" s="12"/>
      <c r="P60" s="12"/>
      <c r="Q60" s="12"/>
      <c r="R60" s="12"/>
      <c r="S60" s="12"/>
      <c r="T60" s="12"/>
      <c r="U60" s="12"/>
      <c r="V60" s="12"/>
      <c r="W60" s="12"/>
      <c r="X60" s="1"/>
      <c r="Y60" s="1"/>
      <c r="Z60" s="1"/>
      <c r="AA60" s="1"/>
    </row>
    <row r="61" spans="1:27" ht="15.4">
      <c r="A61" s="1"/>
      <c r="B61" s="1" t="s">
        <v>173</v>
      </c>
      <c r="C61" s="1"/>
      <c r="D61" s="12"/>
      <c r="E61" s="12"/>
      <c r="F61" s="12"/>
      <c r="G61" s="12"/>
      <c r="H61" s="12"/>
      <c r="I61" s="12"/>
      <c r="J61" s="12"/>
      <c r="K61" s="12"/>
      <c r="L61" s="12"/>
      <c r="M61" s="12"/>
      <c r="N61" s="12"/>
      <c r="O61" s="12"/>
      <c r="P61" s="12"/>
      <c r="Q61" s="12"/>
      <c r="R61" s="12"/>
      <c r="S61" s="12"/>
      <c r="T61" s="12"/>
      <c r="U61" s="12"/>
      <c r="V61" s="12"/>
      <c r="W61" s="12"/>
      <c r="X61" s="1"/>
      <c r="Y61" s="1"/>
      <c r="Z61" s="1"/>
      <c r="AA61" s="1"/>
    </row>
    <row r="62" spans="1:27" ht="15.4">
      <c r="A62" s="1"/>
      <c r="B62" s="1" t="s">
        <v>191</v>
      </c>
      <c r="C62" s="1"/>
      <c r="D62" s="12"/>
      <c r="E62" s="12"/>
      <c r="F62" s="12"/>
      <c r="G62" s="12"/>
      <c r="H62" s="12"/>
      <c r="I62" s="12"/>
      <c r="J62" s="12"/>
      <c r="K62" s="12"/>
      <c r="L62" s="12"/>
      <c r="M62" s="12"/>
      <c r="N62" s="12"/>
      <c r="O62" s="12"/>
      <c r="P62" s="12"/>
      <c r="Q62" s="12"/>
      <c r="R62" s="12"/>
      <c r="S62" s="12"/>
      <c r="T62" s="12"/>
      <c r="U62" s="12"/>
      <c r="V62" s="12"/>
      <c r="W62" s="12"/>
      <c r="X62" s="1"/>
      <c r="Y62" s="1"/>
      <c r="Z62" s="1"/>
      <c r="AA62" s="1"/>
    </row>
    <row r="63" spans="1:27" ht="15.4">
      <c r="A63" s="1"/>
      <c r="B63" s="1" t="s">
        <v>132</v>
      </c>
      <c r="C63" s="1"/>
      <c r="D63" s="12"/>
      <c r="E63" s="12"/>
      <c r="F63" s="12"/>
      <c r="G63" s="12"/>
      <c r="H63" s="12"/>
      <c r="I63" s="12"/>
      <c r="J63" s="12"/>
      <c r="K63" s="12"/>
      <c r="L63" s="12"/>
      <c r="M63" s="12"/>
      <c r="N63" s="12"/>
      <c r="O63" s="12"/>
      <c r="P63" s="12"/>
      <c r="Q63" s="12"/>
      <c r="R63" s="12"/>
      <c r="S63" s="12"/>
      <c r="T63" s="12"/>
      <c r="U63" s="12"/>
      <c r="V63" s="12"/>
      <c r="W63" s="12"/>
      <c r="X63" s="1"/>
      <c r="Y63" s="1"/>
      <c r="Z63" s="1"/>
      <c r="AA63" s="1"/>
    </row>
    <row r="64" spans="1:27" ht="15.4">
      <c r="A64" s="1"/>
      <c r="B64" s="1" t="s">
        <v>192</v>
      </c>
      <c r="C64" s="1"/>
      <c r="D64" s="12"/>
      <c r="E64" s="12"/>
      <c r="F64" s="12"/>
      <c r="G64" s="12"/>
      <c r="H64" s="12"/>
      <c r="I64" s="12"/>
      <c r="J64" s="12"/>
      <c r="K64" s="12"/>
      <c r="L64" s="12"/>
      <c r="M64" s="12"/>
      <c r="N64" s="12"/>
      <c r="O64" s="12"/>
      <c r="P64" s="12"/>
      <c r="Q64" s="12"/>
      <c r="R64" s="12"/>
      <c r="S64" s="12"/>
      <c r="T64" s="12"/>
      <c r="U64" s="12"/>
      <c r="V64" s="12"/>
      <c r="W64" s="12"/>
      <c r="X64" s="1"/>
      <c r="Y64" s="1"/>
      <c r="Z64" s="1"/>
      <c r="AA64" s="1"/>
    </row>
    <row r="65" spans="1:27" ht="15.4">
      <c r="A65" s="1"/>
      <c r="B65" s="1" t="s">
        <v>193</v>
      </c>
      <c r="C65" s="1"/>
      <c r="D65" s="12"/>
      <c r="E65" s="12"/>
      <c r="F65" s="12"/>
      <c r="G65" s="12"/>
      <c r="H65" s="12"/>
      <c r="I65" s="12"/>
      <c r="J65" s="12"/>
      <c r="K65" s="12"/>
      <c r="L65" s="12"/>
      <c r="M65" s="12"/>
      <c r="N65" s="1"/>
      <c r="O65" s="1"/>
      <c r="P65" s="1"/>
      <c r="Q65" s="1"/>
      <c r="R65" s="1"/>
      <c r="S65" s="1"/>
      <c r="T65" s="1"/>
      <c r="U65" s="1"/>
      <c r="V65" s="1"/>
      <c r="W65" s="1"/>
      <c r="X65" s="1"/>
      <c r="Y65" s="1"/>
      <c r="Z65" s="1"/>
      <c r="AA65" s="1"/>
    </row>
    <row r="66" spans="1:27" ht="15.4">
      <c r="A66" s="1"/>
      <c r="B66" s="1" t="s">
        <v>194</v>
      </c>
      <c r="C66" s="1"/>
      <c r="D66" s="12"/>
      <c r="E66" s="12"/>
      <c r="F66" s="12"/>
      <c r="G66" s="12"/>
      <c r="H66" s="12"/>
      <c r="I66" s="12"/>
      <c r="J66" s="12"/>
      <c r="K66" s="12"/>
      <c r="L66" s="12"/>
      <c r="M66" s="12"/>
      <c r="N66" s="12"/>
      <c r="O66" s="12"/>
      <c r="P66" s="12"/>
      <c r="Q66" s="12"/>
      <c r="R66" s="12"/>
      <c r="S66" s="12"/>
      <c r="T66" s="12"/>
      <c r="U66" s="12"/>
      <c r="V66" s="12"/>
      <c r="W66" s="12"/>
      <c r="X66" s="1"/>
      <c r="Y66" s="1"/>
      <c r="Z66" s="1"/>
      <c r="AA66" s="1"/>
    </row>
    <row r="67" spans="1:27" ht="15.4">
      <c r="A67" s="19"/>
      <c r="B67" s="20" t="s">
        <v>126</v>
      </c>
      <c r="C67" s="20"/>
      <c r="D67" s="20"/>
      <c r="E67" s="20"/>
      <c r="F67" s="20"/>
      <c r="G67" s="20"/>
      <c r="H67" s="20"/>
      <c r="I67" s="20"/>
      <c r="J67" s="20"/>
      <c r="K67" s="20"/>
      <c r="L67" s="20"/>
      <c r="M67" s="20"/>
      <c r="N67" s="20"/>
      <c r="O67" s="20"/>
      <c r="P67" s="20"/>
      <c r="Q67" s="20"/>
      <c r="R67" s="20"/>
      <c r="S67" s="20"/>
      <c r="T67" s="20"/>
      <c r="U67" s="20"/>
      <c r="V67" s="20"/>
      <c r="W67" s="20"/>
      <c r="X67" s="19"/>
      <c r="Y67" s="19"/>
      <c r="Z67" s="19"/>
      <c r="AA67" s="19"/>
    </row>
    <row r="68" spans="1:27" ht="15.4">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4">
      <c r="A69" s="4"/>
      <c r="B69" s="5" t="s">
        <v>195</v>
      </c>
      <c r="C69" s="6">
        <v>2007</v>
      </c>
      <c r="D69" s="6">
        <v>2008</v>
      </c>
      <c r="E69" s="6">
        <v>2009</v>
      </c>
      <c r="F69" s="6">
        <v>2010</v>
      </c>
      <c r="G69" s="6">
        <v>2011</v>
      </c>
      <c r="H69" s="6">
        <v>2012</v>
      </c>
      <c r="I69" s="6">
        <v>2013</v>
      </c>
      <c r="J69" s="6">
        <v>2014</v>
      </c>
      <c r="K69" s="6">
        <v>2015</v>
      </c>
      <c r="L69" s="6">
        <v>2016</v>
      </c>
      <c r="M69" s="6">
        <v>2017</v>
      </c>
      <c r="N69" s="6">
        <v>2018</v>
      </c>
      <c r="O69" s="6">
        <v>2019</v>
      </c>
      <c r="P69" s="6">
        <v>2020</v>
      </c>
      <c r="Q69" s="6">
        <v>2021</v>
      </c>
      <c r="R69" s="6">
        <v>2022</v>
      </c>
      <c r="S69" s="6">
        <v>2023</v>
      </c>
      <c r="T69" s="6">
        <v>2024</v>
      </c>
      <c r="U69" s="6">
        <v>2025</v>
      </c>
      <c r="V69" s="6">
        <v>2026</v>
      </c>
      <c r="W69" s="6">
        <v>2027</v>
      </c>
      <c r="X69" s="1"/>
      <c r="Y69" s="1"/>
      <c r="Z69" s="1"/>
      <c r="AA69" s="1"/>
    </row>
    <row r="70" spans="1:27" ht="15.4">
      <c r="A70" s="1"/>
      <c r="B70" s="7" t="s">
        <v>159</v>
      </c>
      <c r="C70" s="17">
        <v>0</v>
      </c>
      <c r="D70" s="17">
        <v>1</v>
      </c>
      <c r="E70" s="17">
        <v>2</v>
      </c>
      <c r="F70" s="17">
        <v>3</v>
      </c>
      <c r="G70" s="17">
        <v>4</v>
      </c>
      <c r="H70" s="17">
        <v>5</v>
      </c>
      <c r="I70" s="17">
        <v>6</v>
      </c>
      <c r="J70" s="17">
        <v>7</v>
      </c>
      <c r="K70" s="17">
        <v>8</v>
      </c>
      <c r="L70" s="17">
        <v>9</v>
      </c>
      <c r="M70" s="17">
        <v>10</v>
      </c>
      <c r="N70" s="17">
        <v>11</v>
      </c>
      <c r="O70" s="17">
        <v>12</v>
      </c>
      <c r="P70" s="17">
        <v>13</v>
      </c>
      <c r="Q70" s="17">
        <v>14</v>
      </c>
      <c r="R70" s="17">
        <v>15</v>
      </c>
      <c r="S70" s="17">
        <v>16</v>
      </c>
      <c r="T70" s="17">
        <v>17</v>
      </c>
      <c r="U70" s="17">
        <v>18</v>
      </c>
      <c r="V70" s="17">
        <v>19</v>
      </c>
      <c r="W70" s="17">
        <v>20</v>
      </c>
      <c r="X70" s="1"/>
      <c r="Y70" s="1"/>
      <c r="Z70" s="1"/>
      <c r="AA70" s="1"/>
    </row>
    <row r="71" spans="1:27" ht="15.4">
      <c r="A71" s="21"/>
      <c r="B71" s="21" t="s">
        <v>196</v>
      </c>
      <c r="C71" s="1"/>
      <c r="D71" s="12"/>
      <c r="E71" s="12"/>
      <c r="F71" s="12"/>
      <c r="G71" s="12"/>
      <c r="H71" s="12"/>
      <c r="I71" s="12"/>
      <c r="J71" s="12"/>
      <c r="K71" s="12"/>
      <c r="L71" s="12"/>
      <c r="M71" s="12"/>
      <c r="N71" s="12"/>
      <c r="O71" s="12"/>
      <c r="P71" s="12"/>
      <c r="Q71" s="12"/>
      <c r="R71" s="12"/>
      <c r="S71" s="12"/>
      <c r="T71" s="12"/>
      <c r="U71" s="12"/>
      <c r="V71" s="12"/>
      <c r="W71" s="12"/>
      <c r="X71" s="1"/>
      <c r="Y71" s="1"/>
      <c r="Z71" s="1"/>
      <c r="AA71" s="1"/>
    </row>
    <row r="72" spans="1:27" ht="15.4">
      <c r="A72" s="1"/>
      <c r="B72" s="1" t="s">
        <v>171</v>
      </c>
      <c r="C72" s="1"/>
      <c r="D72" s="12"/>
      <c r="E72" s="12"/>
      <c r="F72" s="12"/>
      <c r="G72" s="12"/>
      <c r="H72" s="12"/>
      <c r="I72" s="12"/>
      <c r="J72" s="12"/>
      <c r="K72" s="12"/>
      <c r="L72" s="12"/>
      <c r="M72" s="12"/>
      <c r="N72" s="12"/>
      <c r="O72" s="12"/>
      <c r="P72" s="12"/>
      <c r="Q72" s="12"/>
      <c r="R72" s="12"/>
      <c r="S72" s="12"/>
      <c r="T72" s="12"/>
      <c r="U72" s="12"/>
      <c r="V72" s="12"/>
      <c r="W72" s="12"/>
      <c r="X72" s="1"/>
      <c r="Y72" s="1"/>
      <c r="Z72" s="1"/>
      <c r="AA72" s="1"/>
    </row>
    <row r="73" spans="1:27" ht="15.4">
      <c r="A73" s="1"/>
      <c r="B73" s="22" t="s">
        <v>197</v>
      </c>
      <c r="C73" s="23"/>
      <c r="D73" s="23"/>
      <c r="E73" s="23"/>
      <c r="F73" s="23"/>
      <c r="G73" s="23"/>
      <c r="H73" s="23"/>
      <c r="I73" s="23"/>
      <c r="J73" s="23"/>
      <c r="K73" s="23"/>
      <c r="L73" s="23"/>
      <c r="M73" s="23"/>
      <c r="N73" s="23"/>
      <c r="O73" s="23"/>
      <c r="P73" s="23"/>
      <c r="Q73" s="23"/>
      <c r="R73" s="23"/>
      <c r="S73" s="23"/>
      <c r="T73" s="23"/>
      <c r="U73" s="23"/>
      <c r="V73" s="23"/>
      <c r="W73" s="23"/>
      <c r="X73" s="1"/>
      <c r="Y73" s="1"/>
      <c r="Z73" s="1"/>
      <c r="AA73" s="1"/>
    </row>
    <row r="74" spans="1:27" ht="15.4">
      <c r="A74" s="1"/>
      <c r="B74" s="1" t="s">
        <v>198</v>
      </c>
      <c r="C74" s="1"/>
      <c r="D74" s="1"/>
      <c r="E74" s="1"/>
      <c r="F74" s="1"/>
      <c r="G74" s="1"/>
      <c r="H74" s="1"/>
      <c r="I74" s="1"/>
      <c r="J74" s="1"/>
      <c r="K74" s="1"/>
      <c r="L74" s="1"/>
      <c r="M74" s="1"/>
      <c r="N74" s="1"/>
      <c r="O74" s="1"/>
      <c r="P74" s="1"/>
      <c r="Q74" s="1"/>
      <c r="R74" s="1"/>
      <c r="S74" s="1"/>
      <c r="T74" s="1"/>
      <c r="U74" s="1"/>
      <c r="V74" s="1"/>
      <c r="W74" s="12"/>
      <c r="X74" s="1"/>
      <c r="Y74" s="1"/>
      <c r="Z74" s="1"/>
      <c r="AA74" s="1"/>
    </row>
    <row r="75" spans="1:27" ht="15.4">
      <c r="A75" s="21"/>
      <c r="B75" s="21" t="s">
        <v>199</v>
      </c>
      <c r="C75" s="12"/>
      <c r="D75" s="12"/>
      <c r="E75" s="12"/>
      <c r="F75" s="12"/>
      <c r="G75" s="12"/>
      <c r="H75" s="12"/>
      <c r="I75" s="12"/>
      <c r="J75" s="12"/>
      <c r="K75" s="12"/>
      <c r="L75" s="12"/>
      <c r="M75" s="12"/>
      <c r="N75" s="12"/>
      <c r="O75" s="12"/>
      <c r="P75" s="12"/>
      <c r="Q75" s="12"/>
      <c r="R75" s="12"/>
      <c r="S75" s="12"/>
      <c r="T75" s="12"/>
      <c r="U75" s="12"/>
      <c r="V75" s="12"/>
      <c r="W75" s="12"/>
      <c r="X75" s="1"/>
      <c r="Y75" s="1"/>
      <c r="Z75" s="1"/>
      <c r="AA75" s="1"/>
    </row>
    <row r="76" spans="1:27" ht="15.4">
      <c r="A76" s="1"/>
      <c r="B76" s="1" t="s">
        <v>200</v>
      </c>
      <c r="C76" s="12"/>
      <c r="D76" s="1"/>
      <c r="E76" s="1"/>
      <c r="F76" s="1"/>
      <c r="G76" s="1"/>
      <c r="H76" s="1"/>
      <c r="I76" s="1"/>
      <c r="J76" s="1"/>
      <c r="K76" s="1"/>
      <c r="L76" s="1"/>
      <c r="M76" s="1"/>
      <c r="N76" s="1"/>
      <c r="O76" s="1"/>
      <c r="P76" s="1"/>
      <c r="Q76" s="1"/>
      <c r="R76" s="1"/>
      <c r="S76" s="1"/>
      <c r="T76" s="1"/>
      <c r="U76" s="1"/>
      <c r="V76" s="1"/>
      <c r="W76" s="1"/>
      <c r="X76" s="1"/>
      <c r="Y76" s="1"/>
      <c r="Z76" s="1"/>
      <c r="AA76" s="1"/>
    </row>
    <row r="77" spans="1:27" ht="15.4">
      <c r="A77" s="1"/>
      <c r="B77" s="1" t="s">
        <v>201</v>
      </c>
      <c r="C77" s="12"/>
      <c r="D77" s="12"/>
      <c r="E77" s="12"/>
      <c r="F77" s="12"/>
      <c r="G77" s="12"/>
      <c r="H77" s="12"/>
      <c r="I77" s="12"/>
      <c r="J77" s="12"/>
      <c r="K77" s="12"/>
      <c r="L77" s="12"/>
      <c r="M77" s="12"/>
      <c r="N77" s="12"/>
      <c r="O77" s="12"/>
      <c r="P77" s="12"/>
      <c r="Q77" s="12"/>
      <c r="R77" s="12"/>
      <c r="S77" s="12"/>
      <c r="T77" s="12"/>
      <c r="U77" s="12"/>
      <c r="V77" s="12"/>
      <c r="W77" s="12"/>
      <c r="X77" s="1"/>
      <c r="Y77" s="1"/>
      <c r="Z77" s="1"/>
      <c r="AA77" s="1"/>
    </row>
    <row r="78" spans="1:27" ht="15.4">
      <c r="A78" s="1"/>
      <c r="B78" s="1" t="s">
        <v>189</v>
      </c>
      <c r="C78" s="1"/>
      <c r="D78" s="12"/>
      <c r="E78" s="1"/>
      <c r="F78" s="1"/>
      <c r="G78" s="1"/>
      <c r="H78" s="1"/>
      <c r="I78" s="1"/>
      <c r="J78" s="1"/>
      <c r="K78" s="1"/>
      <c r="L78" s="1"/>
      <c r="M78" s="1"/>
      <c r="N78" s="1"/>
      <c r="O78" s="1"/>
      <c r="P78" s="1"/>
      <c r="Q78" s="1"/>
      <c r="R78" s="1"/>
      <c r="S78" s="1"/>
      <c r="T78" s="1"/>
      <c r="U78" s="1"/>
      <c r="V78" s="1"/>
      <c r="W78" s="1"/>
      <c r="X78" s="1"/>
      <c r="Y78" s="1"/>
      <c r="Z78" s="1"/>
      <c r="AA78" s="1"/>
    </row>
    <row r="79" spans="1:27" ht="15.4">
      <c r="A79" s="1"/>
      <c r="B79" s="1" t="s">
        <v>173</v>
      </c>
      <c r="C79" s="1"/>
      <c r="D79" s="12"/>
      <c r="E79" s="12"/>
      <c r="F79" s="12"/>
      <c r="G79" s="12"/>
      <c r="H79" s="12"/>
      <c r="I79" s="12"/>
      <c r="J79" s="12"/>
      <c r="K79" s="12"/>
      <c r="L79" s="12"/>
      <c r="M79" s="12"/>
      <c r="N79" s="12"/>
      <c r="O79" s="12"/>
      <c r="P79" s="12"/>
      <c r="Q79" s="12"/>
      <c r="R79" s="12"/>
      <c r="S79" s="12"/>
      <c r="T79" s="12"/>
      <c r="U79" s="12"/>
      <c r="V79" s="12"/>
      <c r="W79" s="12"/>
      <c r="X79" s="1"/>
      <c r="Y79" s="1"/>
      <c r="Z79" s="1"/>
      <c r="AA79" s="1"/>
    </row>
    <row r="80" spans="1:27" ht="15.4">
      <c r="A80" s="1"/>
      <c r="B80" s="1" t="s">
        <v>104</v>
      </c>
      <c r="C80" s="1"/>
      <c r="D80" s="12"/>
      <c r="E80" s="12"/>
      <c r="F80" s="12"/>
      <c r="G80" s="12"/>
      <c r="H80" s="12"/>
      <c r="I80" s="12"/>
      <c r="J80" s="12"/>
      <c r="K80" s="12"/>
      <c r="L80" s="12"/>
      <c r="M80" s="12"/>
      <c r="N80" s="12"/>
      <c r="O80" s="12"/>
      <c r="P80" s="12"/>
      <c r="Q80" s="12"/>
      <c r="R80" s="12"/>
      <c r="S80" s="12"/>
      <c r="T80" s="12"/>
      <c r="U80" s="12"/>
      <c r="V80" s="12"/>
      <c r="W80" s="12"/>
      <c r="X80" s="1"/>
      <c r="Y80" s="1"/>
      <c r="Z80" s="1"/>
      <c r="AA80" s="1"/>
    </row>
    <row r="81" spans="1:27" ht="15.4">
      <c r="A81" s="1"/>
      <c r="B81" s="1" t="s">
        <v>107</v>
      </c>
      <c r="C81" s="1"/>
      <c r="D81" s="12"/>
      <c r="E81" s="12"/>
      <c r="F81" s="12"/>
      <c r="G81" s="12"/>
      <c r="H81" s="12"/>
      <c r="I81" s="12"/>
      <c r="J81" s="12"/>
      <c r="K81" s="12"/>
      <c r="L81" s="12"/>
      <c r="M81" s="12"/>
      <c r="N81" s="12"/>
      <c r="O81" s="12"/>
      <c r="P81" s="12"/>
      <c r="Q81" s="12"/>
      <c r="R81" s="12"/>
      <c r="S81" s="12"/>
      <c r="T81" s="12"/>
      <c r="U81" s="12"/>
      <c r="V81" s="12"/>
      <c r="W81" s="12"/>
      <c r="X81" s="1"/>
      <c r="Y81" s="1"/>
      <c r="Z81" s="1"/>
      <c r="AA81" s="1"/>
    </row>
    <row r="82" spans="1:27" ht="15.4">
      <c r="A82" s="1"/>
      <c r="B82" s="1" t="s">
        <v>110</v>
      </c>
      <c r="C82" s="1"/>
      <c r="D82" s="12"/>
      <c r="E82" s="12"/>
      <c r="F82" s="12"/>
      <c r="G82" s="12"/>
      <c r="H82" s="12"/>
      <c r="I82" s="12"/>
      <c r="J82" s="12"/>
      <c r="K82" s="12"/>
      <c r="L82" s="12"/>
      <c r="M82" s="12"/>
      <c r="N82" s="12"/>
      <c r="O82" s="12"/>
      <c r="P82" s="12"/>
      <c r="Q82" s="12"/>
      <c r="R82" s="12"/>
      <c r="S82" s="12"/>
      <c r="T82" s="12"/>
      <c r="U82" s="12"/>
      <c r="V82" s="12"/>
      <c r="W82" s="12"/>
      <c r="X82" s="1"/>
      <c r="Y82" s="1"/>
      <c r="Z82" s="1"/>
      <c r="AA82" s="1"/>
    </row>
    <row r="83" spans="1:27" ht="15.4">
      <c r="A83" s="1"/>
      <c r="B83" s="1" t="s">
        <v>112</v>
      </c>
      <c r="C83" s="1"/>
      <c r="D83" s="12"/>
      <c r="E83" s="12"/>
      <c r="F83" s="12"/>
      <c r="G83" s="12"/>
      <c r="H83" s="12"/>
      <c r="I83" s="12"/>
      <c r="J83" s="12"/>
      <c r="K83" s="12"/>
      <c r="L83" s="12"/>
      <c r="M83" s="12"/>
      <c r="N83" s="12"/>
      <c r="O83" s="12"/>
      <c r="P83" s="12"/>
      <c r="Q83" s="12"/>
      <c r="R83" s="12"/>
      <c r="S83" s="12"/>
      <c r="T83" s="12"/>
      <c r="U83" s="12"/>
      <c r="V83" s="12"/>
      <c r="W83" s="12"/>
      <c r="X83" s="1"/>
      <c r="Y83" s="1"/>
      <c r="Z83" s="1"/>
      <c r="AA83" s="1"/>
    </row>
    <row r="84" spans="1:27" ht="15.4">
      <c r="A84" s="1"/>
      <c r="B84" s="1" t="s">
        <v>115</v>
      </c>
      <c r="C84" s="1"/>
      <c r="D84" s="12"/>
      <c r="E84" s="12"/>
      <c r="F84" s="12"/>
      <c r="G84" s="12"/>
      <c r="H84" s="12"/>
      <c r="I84" s="12"/>
      <c r="J84" s="12"/>
      <c r="K84" s="12"/>
      <c r="L84" s="12"/>
      <c r="M84" s="12"/>
      <c r="N84" s="12"/>
      <c r="O84" s="12"/>
      <c r="P84" s="12"/>
      <c r="Q84" s="12"/>
      <c r="R84" s="12"/>
      <c r="S84" s="12"/>
      <c r="T84" s="12"/>
      <c r="U84" s="12"/>
      <c r="V84" s="12"/>
      <c r="W84" s="12"/>
      <c r="X84" s="1"/>
      <c r="Y84" s="1"/>
      <c r="Z84" s="1"/>
      <c r="AA84" s="1"/>
    </row>
    <row r="85" spans="1:27" ht="15.4">
      <c r="A85" s="1"/>
      <c r="B85" s="1" t="s">
        <v>174</v>
      </c>
      <c r="C85" s="1"/>
      <c r="D85" s="12"/>
      <c r="E85" s="12"/>
      <c r="F85" s="12"/>
      <c r="G85" s="12"/>
      <c r="H85" s="12"/>
      <c r="I85" s="12"/>
      <c r="J85" s="12"/>
      <c r="K85" s="12"/>
      <c r="L85" s="12"/>
      <c r="M85" s="12"/>
      <c r="N85" s="12"/>
      <c r="O85" s="12"/>
      <c r="P85" s="12"/>
      <c r="Q85" s="12"/>
      <c r="R85" s="12"/>
      <c r="S85" s="12"/>
      <c r="T85" s="12"/>
      <c r="U85" s="12"/>
      <c r="V85" s="12"/>
      <c r="W85" s="12"/>
      <c r="X85" s="1"/>
      <c r="Y85" s="1"/>
      <c r="Z85" s="1"/>
      <c r="AA85" s="1"/>
    </row>
    <row r="86" spans="1:27" ht="15.4">
      <c r="A86" s="1"/>
      <c r="B86" s="1" t="s">
        <v>119</v>
      </c>
      <c r="C86" s="1"/>
      <c r="D86" s="12"/>
      <c r="E86" s="12"/>
      <c r="F86" s="12"/>
      <c r="G86" s="12"/>
      <c r="H86" s="12"/>
      <c r="I86" s="12"/>
      <c r="J86" s="12"/>
      <c r="K86" s="12"/>
      <c r="L86" s="12"/>
      <c r="M86" s="12"/>
      <c r="N86" s="12"/>
      <c r="O86" s="12"/>
      <c r="P86" s="12"/>
      <c r="Q86" s="12"/>
      <c r="R86" s="12"/>
      <c r="S86" s="12"/>
      <c r="T86" s="12"/>
      <c r="U86" s="12"/>
      <c r="V86" s="12"/>
      <c r="W86" s="12"/>
      <c r="X86" s="1"/>
      <c r="Y86" s="1"/>
      <c r="Z86" s="1"/>
      <c r="AA86" s="1"/>
    </row>
    <row r="87" spans="1:27" ht="15.4">
      <c r="A87" s="12"/>
      <c r="B87" s="24" t="s">
        <v>202</v>
      </c>
      <c r="C87" s="25"/>
      <c r="D87" s="25"/>
      <c r="E87" s="25"/>
      <c r="F87" s="25"/>
      <c r="G87" s="25"/>
      <c r="H87" s="25"/>
      <c r="I87" s="25"/>
      <c r="J87" s="25"/>
      <c r="K87" s="25"/>
      <c r="L87" s="25"/>
      <c r="M87" s="25"/>
      <c r="N87" s="25"/>
      <c r="O87" s="25"/>
      <c r="P87" s="25"/>
      <c r="Q87" s="25"/>
      <c r="R87" s="25"/>
      <c r="S87" s="25"/>
      <c r="T87" s="25"/>
      <c r="U87" s="25"/>
      <c r="V87" s="25"/>
      <c r="W87" s="25"/>
      <c r="X87" s="12"/>
      <c r="Y87" s="12"/>
      <c r="Z87" s="12"/>
      <c r="AA87" s="12"/>
    </row>
    <row r="88" spans="1:27" ht="15.4">
      <c r="A88" s="1"/>
      <c r="B88" s="1" t="s">
        <v>121</v>
      </c>
      <c r="C88" s="1"/>
      <c r="D88" s="12"/>
      <c r="E88" s="12"/>
      <c r="F88" s="12"/>
      <c r="G88" s="12"/>
      <c r="H88" s="12"/>
      <c r="I88" s="12"/>
      <c r="J88" s="12"/>
      <c r="K88" s="12"/>
      <c r="L88" s="12"/>
      <c r="M88" s="12"/>
      <c r="N88" s="12"/>
      <c r="O88" s="12"/>
      <c r="P88" s="12"/>
      <c r="Q88" s="12"/>
      <c r="R88" s="12"/>
      <c r="S88" s="12"/>
      <c r="T88" s="12"/>
      <c r="U88" s="12"/>
      <c r="V88" s="12"/>
      <c r="W88" s="12"/>
      <c r="X88" s="1"/>
      <c r="Y88" s="1"/>
      <c r="Z88" s="1"/>
      <c r="AA88" s="1"/>
    </row>
    <row r="89" spans="1:27" ht="15.4">
      <c r="A89" s="21"/>
      <c r="B89" s="21" t="s">
        <v>203</v>
      </c>
      <c r="C89" s="12"/>
      <c r="D89" s="12"/>
      <c r="E89" s="12"/>
      <c r="F89" s="12"/>
      <c r="G89" s="12"/>
      <c r="H89" s="12"/>
      <c r="I89" s="12"/>
      <c r="J89" s="12"/>
      <c r="K89" s="12"/>
      <c r="L89" s="12"/>
      <c r="M89" s="12"/>
      <c r="N89" s="12"/>
      <c r="O89" s="12"/>
      <c r="P89" s="12"/>
      <c r="Q89" s="12"/>
      <c r="R89" s="12"/>
      <c r="S89" s="12"/>
      <c r="T89" s="12"/>
      <c r="U89" s="12"/>
      <c r="V89" s="12"/>
      <c r="W89" s="12"/>
      <c r="X89" s="1"/>
      <c r="Y89" s="1"/>
      <c r="Z89" s="1"/>
      <c r="AA89" s="1"/>
    </row>
    <row r="90" spans="1:27" ht="15.4">
      <c r="A90" s="21"/>
      <c r="B90" s="23" t="s">
        <v>204</v>
      </c>
      <c r="C90" s="25"/>
      <c r="D90" s="25"/>
      <c r="E90" s="25"/>
      <c r="F90" s="25"/>
      <c r="G90" s="25"/>
      <c r="H90" s="25"/>
      <c r="I90" s="25"/>
      <c r="J90" s="25"/>
      <c r="K90" s="25"/>
      <c r="L90" s="25"/>
      <c r="M90" s="25"/>
      <c r="N90" s="25"/>
      <c r="O90" s="25"/>
      <c r="P90" s="25"/>
      <c r="Q90" s="25"/>
      <c r="R90" s="25"/>
      <c r="S90" s="25"/>
      <c r="T90" s="25"/>
      <c r="U90" s="25"/>
      <c r="V90" s="25"/>
      <c r="W90" s="25"/>
      <c r="X90" s="1"/>
      <c r="Y90" s="1"/>
      <c r="Z90" s="1"/>
      <c r="AA90" s="1"/>
    </row>
    <row r="91" spans="1:27" ht="15.4">
      <c r="A91" s="1"/>
      <c r="B91" s="1" t="s">
        <v>205</v>
      </c>
      <c r="C91" s="12"/>
      <c r="D91" s="12"/>
      <c r="E91" s="12"/>
      <c r="F91" s="12"/>
      <c r="G91" s="12"/>
      <c r="H91" s="12"/>
      <c r="I91" s="12"/>
      <c r="J91" s="12"/>
      <c r="K91" s="12"/>
      <c r="L91" s="12"/>
      <c r="M91" s="12"/>
      <c r="N91" s="12"/>
      <c r="O91" s="12"/>
      <c r="P91" s="12"/>
      <c r="Q91" s="12"/>
      <c r="R91" s="12"/>
      <c r="S91" s="12"/>
      <c r="T91" s="12"/>
      <c r="U91" s="12"/>
      <c r="V91" s="12"/>
      <c r="W91" s="12"/>
      <c r="X91" s="1"/>
      <c r="Y91" s="1"/>
      <c r="Z91" s="1"/>
      <c r="AA91" s="1"/>
    </row>
    <row r="92" spans="1:27" ht="15.4">
      <c r="A92" s="1"/>
      <c r="B92" s="1" t="s">
        <v>126</v>
      </c>
      <c r="C92" s="12"/>
      <c r="D92" s="12"/>
      <c r="E92" s="12"/>
      <c r="F92" s="12"/>
      <c r="G92" s="12"/>
      <c r="H92" s="12"/>
      <c r="I92" s="12"/>
      <c r="J92" s="12"/>
      <c r="K92" s="12"/>
      <c r="L92" s="12"/>
      <c r="M92" s="12"/>
      <c r="N92" s="12"/>
      <c r="O92" s="12"/>
      <c r="P92" s="12"/>
      <c r="Q92" s="12"/>
      <c r="R92" s="12"/>
      <c r="S92" s="12"/>
      <c r="T92" s="12"/>
      <c r="U92" s="12"/>
      <c r="V92" s="12"/>
      <c r="W92" s="12"/>
      <c r="X92" s="1"/>
      <c r="Y92" s="1"/>
      <c r="Z92" s="1"/>
      <c r="AA92" s="1"/>
    </row>
    <row r="93" spans="1:27" ht="15.4">
      <c r="A93" s="1"/>
      <c r="B93" s="1" t="s">
        <v>206</v>
      </c>
      <c r="C93" s="12"/>
      <c r="D93" s="12"/>
      <c r="E93" s="12"/>
      <c r="F93" s="12"/>
      <c r="G93" s="12"/>
      <c r="H93" s="12"/>
      <c r="I93" s="12"/>
      <c r="J93" s="12"/>
      <c r="K93" s="12"/>
      <c r="L93" s="12"/>
      <c r="M93" s="12"/>
      <c r="N93" s="12"/>
      <c r="O93" s="12"/>
      <c r="P93" s="12"/>
      <c r="Q93" s="12"/>
      <c r="R93" s="12"/>
      <c r="S93" s="12"/>
      <c r="T93" s="12"/>
      <c r="U93" s="12"/>
      <c r="V93" s="12"/>
      <c r="W93" s="12"/>
      <c r="X93" s="1"/>
      <c r="Y93" s="1"/>
      <c r="Z93" s="1"/>
      <c r="AA93" s="1"/>
    </row>
    <row r="94" spans="1:27" ht="15.4">
      <c r="A94" s="21"/>
      <c r="B94" s="26" t="s">
        <v>207</v>
      </c>
      <c r="C94" s="27"/>
      <c r="D94" s="27"/>
      <c r="E94" s="27"/>
      <c r="F94" s="27"/>
      <c r="G94" s="27"/>
      <c r="H94" s="27"/>
      <c r="I94" s="27"/>
      <c r="J94" s="27"/>
      <c r="K94" s="27"/>
      <c r="L94" s="27"/>
      <c r="M94" s="27"/>
      <c r="N94" s="27"/>
      <c r="O94" s="27"/>
      <c r="P94" s="27"/>
      <c r="Q94" s="27"/>
      <c r="R94" s="27"/>
      <c r="S94" s="27"/>
      <c r="T94" s="27"/>
      <c r="U94" s="27"/>
      <c r="V94" s="27"/>
      <c r="W94" s="27"/>
      <c r="X94" s="1"/>
      <c r="Y94" s="1"/>
      <c r="Z94" s="1"/>
      <c r="AA94" s="1"/>
    </row>
    <row r="95" spans="1:27" ht="15.4">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4">
      <c r="A96" s="4"/>
      <c r="B96" s="5" t="s">
        <v>208</v>
      </c>
      <c r="C96" s="6">
        <v>2007</v>
      </c>
      <c r="D96" s="6">
        <v>2008</v>
      </c>
      <c r="E96" s="6">
        <v>2009</v>
      </c>
      <c r="F96" s="6">
        <v>2010</v>
      </c>
      <c r="G96" s="6">
        <v>2011</v>
      </c>
      <c r="H96" s="6">
        <v>2012</v>
      </c>
      <c r="I96" s="6">
        <v>2013</v>
      </c>
      <c r="J96" s="6">
        <v>2014</v>
      </c>
      <c r="K96" s="6">
        <v>2015</v>
      </c>
      <c r="L96" s="6">
        <v>2016</v>
      </c>
      <c r="M96" s="6">
        <v>2017</v>
      </c>
      <c r="N96" s="6">
        <v>2018</v>
      </c>
      <c r="O96" s="6">
        <v>2019</v>
      </c>
      <c r="P96" s="6">
        <v>2020</v>
      </c>
      <c r="Q96" s="6">
        <v>2021</v>
      </c>
      <c r="R96" s="6">
        <v>2022</v>
      </c>
      <c r="S96" s="6">
        <v>2023</v>
      </c>
      <c r="T96" s="6">
        <v>2024</v>
      </c>
      <c r="U96" s="6">
        <v>2025</v>
      </c>
      <c r="V96" s="6">
        <v>2026</v>
      </c>
      <c r="W96" s="6">
        <v>2027</v>
      </c>
      <c r="X96" s="1"/>
      <c r="Y96" s="1"/>
      <c r="Z96" s="1"/>
      <c r="AA96" s="1"/>
    </row>
    <row r="97" spans="1:27" ht="15.4">
      <c r="A97" s="1"/>
      <c r="B97" s="7" t="s">
        <v>159</v>
      </c>
      <c r="C97" s="17">
        <v>0</v>
      </c>
      <c r="D97" s="17">
        <v>1</v>
      </c>
      <c r="E97" s="17">
        <v>2</v>
      </c>
      <c r="F97" s="17">
        <v>3</v>
      </c>
      <c r="G97" s="17">
        <v>4</v>
      </c>
      <c r="H97" s="17">
        <v>5</v>
      </c>
      <c r="I97" s="17">
        <v>6</v>
      </c>
      <c r="J97" s="17">
        <v>7</v>
      </c>
      <c r="K97" s="17">
        <v>8</v>
      </c>
      <c r="L97" s="17">
        <v>9</v>
      </c>
      <c r="M97" s="17">
        <v>10</v>
      </c>
      <c r="N97" s="17">
        <v>11</v>
      </c>
      <c r="O97" s="17">
        <v>12</v>
      </c>
      <c r="P97" s="17">
        <v>13</v>
      </c>
      <c r="Q97" s="17">
        <v>14</v>
      </c>
      <c r="R97" s="17">
        <v>15</v>
      </c>
      <c r="S97" s="17">
        <v>16</v>
      </c>
      <c r="T97" s="17">
        <v>17</v>
      </c>
      <c r="U97" s="17">
        <v>18</v>
      </c>
      <c r="V97" s="17">
        <v>19</v>
      </c>
      <c r="W97" s="17">
        <v>20</v>
      </c>
      <c r="X97" s="1"/>
      <c r="Y97" s="1"/>
      <c r="Z97" s="1"/>
      <c r="AA97" s="1"/>
    </row>
    <row r="98" spans="1:27" ht="15.4">
      <c r="A98" s="1"/>
      <c r="B98" s="1" t="s">
        <v>209</v>
      </c>
      <c r="C98" s="12"/>
      <c r="D98" s="12"/>
      <c r="E98" s="12"/>
      <c r="F98" s="12"/>
      <c r="G98" s="12"/>
      <c r="H98" s="12"/>
      <c r="I98" s="12"/>
      <c r="J98" s="12"/>
      <c r="K98" s="12"/>
      <c r="L98" s="12"/>
      <c r="M98" s="12"/>
      <c r="N98" s="12"/>
      <c r="O98" s="12"/>
      <c r="P98" s="12"/>
      <c r="Q98" s="12"/>
      <c r="R98" s="12"/>
      <c r="S98" s="12"/>
      <c r="T98" s="12"/>
      <c r="U98" s="12"/>
      <c r="V98" s="12"/>
      <c r="W98" s="12"/>
      <c r="X98" s="1"/>
      <c r="Y98" s="1"/>
      <c r="Z98" s="1"/>
      <c r="AA98" s="1"/>
    </row>
    <row r="99" spans="1:27" ht="15.4">
      <c r="A99" s="1"/>
      <c r="B99" s="1" t="s">
        <v>186</v>
      </c>
      <c r="C99" s="12"/>
      <c r="D99" s="12"/>
      <c r="E99" s="12"/>
      <c r="F99" s="12"/>
      <c r="G99" s="12"/>
      <c r="H99" s="12"/>
      <c r="I99" s="12"/>
      <c r="J99" s="12"/>
      <c r="K99" s="12"/>
      <c r="L99" s="12"/>
      <c r="M99" s="12"/>
      <c r="N99" s="1"/>
      <c r="O99" s="1"/>
      <c r="P99" s="1"/>
      <c r="Q99" s="1"/>
      <c r="R99" s="1"/>
      <c r="S99" s="1"/>
      <c r="T99" s="1"/>
      <c r="U99" s="1"/>
      <c r="V99" s="1"/>
      <c r="W99" s="1"/>
      <c r="X99" s="1"/>
      <c r="Y99" s="1"/>
      <c r="Z99" s="1"/>
      <c r="AA99" s="1"/>
    </row>
    <row r="100" spans="1:27" ht="15.4">
      <c r="A100" s="21"/>
      <c r="B100" s="26" t="s">
        <v>210</v>
      </c>
      <c r="C100" s="27"/>
      <c r="D100" s="27"/>
      <c r="E100" s="27"/>
      <c r="F100" s="27"/>
      <c r="G100" s="27"/>
      <c r="H100" s="27"/>
      <c r="I100" s="27"/>
      <c r="J100" s="27"/>
      <c r="K100" s="27"/>
      <c r="L100" s="27"/>
      <c r="M100" s="27"/>
      <c r="N100" s="27"/>
      <c r="O100" s="27"/>
      <c r="P100" s="27"/>
      <c r="Q100" s="27"/>
      <c r="R100" s="27"/>
      <c r="S100" s="27"/>
      <c r="T100" s="27"/>
      <c r="U100" s="27"/>
      <c r="V100" s="27"/>
      <c r="W100" s="27"/>
      <c r="X100" s="1"/>
      <c r="Y100" s="1"/>
      <c r="Z100" s="1"/>
      <c r="AA100" s="1"/>
    </row>
    <row r="101" spans="1:27" ht="15.4">
      <c r="A101" s="28"/>
      <c r="B101" s="29"/>
      <c r="C101" s="29"/>
      <c r="D101" s="29"/>
      <c r="E101" s="29"/>
      <c r="F101" s="29"/>
      <c r="G101" s="29"/>
      <c r="H101" s="29"/>
      <c r="I101" s="29"/>
      <c r="J101" s="29"/>
      <c r="K101" s="29"/>
      <c r="L101" s="29"/>
      <c r="M101" s="29"/>
      <c r="N101" s="29"/>
      <c r="O101" s="29"/>
      <c r="P101" s="29"/>
      <c r="Q101" s="29"/>
      <c r="R101" s="29"/>
      <c r="S101" s="29"/>
      <c r="T101" s="29"/>
      <c r="U101" s="29"/>
      <c r="V101" s="29"/>
      <c r="W101" s="29"/>
      <c r="X101" s="56"/>
      <c r="Y101" s="56"/>
      <c r="Z101" s="56"/>
      <c r="AA101" s="56"/>
    </row>
    <row r="102" spans="1:27" ht="15.4">
      <c r="A102" s="28"/>
      <c r="B102" s="30" t="s">
        <v>211</v>
      </c>
      <c r="C102" s="31">
        <f t="shared" ref="C102:W102" si="5">C96</f>
        <v>2007</v>
      </c>
      <c r="D102" s="31">
        <f t="shared" si="5"/>
        <v>2008</v>
      </c>
      <c r="E102" s="31">
        <f t="shared" si="5"/>
        <v>2009</v>
      </c>
      <c r="F102" s="31">
        <f t="shared" si="5"/>
        <v>2010</v>
      </c>
      <c r="G102" s="31">
        <f t="shared" si="5"/>
        <v>2011</v>
      </c>
      <c r="H102" s="31">
        <f t="shared" si="5"/>
        <v>2012</v>
      </c>
      <c r="I102" s="31">
        <f t="shared" si="5"/>
        <v>2013</v>
      </c>
      <c r="J102" s="31">
        <f t="shared" si="5"/>
        <v>2014</v>
      </c>
      <c r="K102" s="31">
        <f t="shared" si="5"/>
        <v>2015</v>
      </c>
      <c r="L102" s="31">
        <f t="shared" si="5"/>
        <v>2016</v>
      </c>
      <c r="M102" s="31">
        <f t="shared" si="5"/>
        <v>2017</v>
      </c>
      <c r="N102" s="31">
        <f t="shared" si="5"/>
        <v>2018</v>
      </c>
      <c r="O102" s="31">
        <f t="shared" si="5"/>
        <v>2019</v>
      </c>
      <c r="P102" s="31">
        <f t="shared" si="5"/>
        <v>2020</v>
      </c>
      <c r="Q102" s="31">
        <f t="shared" si="5"/>
        <v>2021</v>
      </c>
      <c r="R102" s="31">
        <f t="shared" si="5"/>
        <v>2022</v>
      </c>
      <c r="S102" s="31">
        <f t="shared" si="5"/>
        <v>2023</v>
      </c>
      <c r="T102" s="31">
        <f t="shared" si="5"/>
        <v>2024</v>
      </c>
      <c r="U102" s="31">
        <f t="shared" si="5"/>
        <v>2025</v>
      </c>
      <c r="V102" s="31">
        <f t="shared" si="5"/>
        <v>2026</v>
      </c>
      <c r="W102" s="31">
        <f t="shared" si="5"/>
        <v>2027</v>
      </c>
      <c r="X102" s="56"/>
      <c r="Y102" s="56"/>
      <c r="Z102" s="56"/>
      <c r="AA102" s="56"/>
    </row>
    <row r="103" spans="1:27" ht="15.4">
      <c r="A103" s="28"/>
      <c r="B103" s="32" t="s">
        <v>159</v>
      </c>
      <c r="C103" s="30">
        <f t="shared" ref="C103:W103" si="6">C97</f>
        <v>0</v>
      </c>
      <c r="D103" s="30">
        <f t="shared" si="6"/>
        <v>1</v>
      </c>
      <c r="E103" s="30">
        <f t="shared" si="6"/>
        <v>2</v>
      </c>
      <c r="F103" s="30">
        <f t="shared" si="6"/>
        <v>3</v>
      </c>
      <c r="G103" s="30">
        <f t="shared" si="6"/>
        <v>4</v>
      </c>
      <c r="H103" s="30">
        <f t="shared" si="6"/>
        <v>5</v>
      </c>
      <c r="I103" s="30">
        <f t="shared" si="6"/>
        <v>6</v>
      </c>
      <c r="J103" s="30">
        <f t="shared" si="6"/>
        <v>7</v>
      </c>
      <c r="K103" s="30">
        <f t="shared" si="6"/>
        <v>8</v>
      </c>
      <c r="L103" s="30">
        <f t="shared" si="6"/>
        <v>9</v>
      </c>
      <c r="M103" s="30">
        <f t="shared" si="6"/>
        <v>10</v>
      </c>
      <c r="N103" s="30">
        <f t="shared" si="6"/>
        <v>11</v>
      </c>
      <c r="O103" s="30">
        <f t="shared" si="6"/>
        <v>12</v>
      </c>
      <c r="P103" s="30">
        <f t="shared" si="6"/>
        <v>13</v>
      </c>
      <c r="Q103" s="30">
        <f t="shared" si="6"/>
        <v>14</v>
      </c>
      <c r="R103" s="30">
        <f t="shared" si="6"/>
        <v>15</v>
      </c>
      <c r="S103" s="30">
        <f t="shared" si="6"/>
        <v>16</v>
      </c>
      <c r="T103" s="30">
        <f t="shared" si="6"/>
        <v>17</v>
      </c>
      <c r="U103" s="30">
        <f t="shared" si="6"/>
        <v>18</v>
      </c>
      <c r="V103" s="30">
        <f t="shared" si="6"/>
        <v>19</v>
      </c>
      <c r="W103" s="30">
        <f t="shared" si="6"/>
        <v>20</v>
      </c>
      <c r="X103" s="56"/>
      <c r="Y103" s="56"/>
      <c r="Z103" s="56"/>
      <c r="AA103" s="56"/>
    </row>
    <row r="104" spans="1:27" ht="15.4">
      <c r="A104" s="1"/>
      <c r="B104" s="33" t="s">
        <v>212</v>
      </c>
      <c r="C104" s="34">
        <f t="shared" ref="C104:W104" si="7">-C51</f>
        <v>-20.309999994270001</v>
      </c>
      <c r="D104" s="34">
        <f t="shared" si="7"/>
        <v>0</v>
      </c>
      <c r="E104" s="34">
        <f t="shared" si="7"/>
        <v>0</v>
      </c>
      <c r="F104" s="34">
        <f t="shared" si="7"/>
        <v>0</v>
      </c>
      <c r="G104" s="34">
        <f t="shared" si="7"/>
        <v>0</v>
      </c>
      <c r="H104" s="34">
        <f t="shared" si="7"/>
        <v>0</v>
      </c>
      <c r="I104" s="34">
        <f t="shared" si="7"/>
        <v>0</v>
      </c>
      <c r="J104" s="34">
        <f t="shared" si="7"/>
        <v>0</v>
      </c>
      <c r="K104" s="34">
        <f t="shared" si="7"/>
        <v>0</v>
      </c>
      <c r="L104" s="34">
        <f t="shared" si="7"/>
        <v>0</v>
      </c>
      <c r="M104" s="34">
        <f t="shared" si="7"/>
        <v>0</v>
      </c>
      <c r="N104" s="55">
        <f t="shared" si="7"/>
        <v>0</v>
      </c>
      <c r="O104" s="55">
        <f t="shared" si="7"/>
        <v>0</v>
      </c>
      <c r="P104" s="55">
        <f t="shared" si="7"/>
        <v>0</v>
      </c>
      <c r="Q104" s="55">
        <f t="shared" si="7"/>
        <v>0</v>
      </c>
      <c r="R104" s="55">
        <f t="shared" si="7"/>
        <v>0</v>
      </c>
      <c r="S104" s="55">
        <f t="shared" si="7"/>
        <v>0</v>
      </c>
      <c r="T104" s="55">
        <f t="shared" si="7"/>
        <v>0</v>
      </c>
      <c r="U104" s="55">
        <f t="shared" si="7"/>
        <v>0</v>
      </c>
      <c r="V104" s="55">
        <f t="shared" si="7"/>
        <v>0</v>
      </c>
      <c r="W104" s="55">
        <f t="shared" si="7"/>
        <v>0</v>
      </c>
      <c r="X104" s="1"/>
      <c r="Y104" s="1"/>
      <c r="Z104" s="1"/>
      <c r="AA104" s="1"/>
    </row>
    <row r="105" spans="1:27" ht="15.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4">
      <c r="A106" s="1"/>
      <c r="B106" s="35" t="s">
        <v>213</v>
      </c>
      <c r="C106" s="36" t="s">
        <v>214</v>
      </c>
      <c r="D106" s="36" t="s">
        <v>215</v>
      </c>
      <c r="E106" s="36" t="s">
        <v>216</v>
      </c>
      <c r="F106" s="1"/>
      <c r="G106" s="1"/>
      <c r="H106" s="1"/>
      <c r="I106" s="1"/>
      <c r="J106" s="1"/>
      <c r="K106" s="1"/>
      <c r="L106" s="1"/>
      <c r="M106" s="1"/>
      <c r="N106" s="1"/>
      <c r="O106" s="1"/>
      <c r="P106" s="1"/>
      <c r="Q106" s="1"/>
      <c r="R106" s="1"/>
      <c r="S106" s="1"/>
      <c r="T106" s="1"/>
      <c r="U106" s="1"/>
      <c r="V106" s="1"/>
      <c r="W106" s="1"/>
      <c r="X106" s="1"/>
      <c r="Y106" s="1"/>
      <c r="Z106" s="1"/>
      <c r="AA106" s="1"/>
    </row>
    <row r="107" spans="1:27" ht="15.4">
      <c r="A107" s="1"/>
      <c r="B107" s="37" t="s">
        <v>217</v>
      </c>
      <c r="C107" s="38">
        <f>'Variables 0'!C33/'Variables 0'!I35</f>
        <v>20.309999994270001</v>
      </c>
      <c r="D107" s="39">
        <f>'Variables 0'!D33</f>
        <v>0.12</v>
      </c>
      <c r="E107" s="39">
        <f>C107/C109</f>
        <v>0.67140495871021644</v>
      </c>
      <c r="F107" s="1"/>
      <c r="G107" s="1"/>
      <c r="H107" s="1"/>
      <c r="I107" s="1"/>
      <c r="J107" s="1"/>
      <c r="K107" s="1"/>
      <c r="L107" s="1"/>
      <c r="M107" s="1"/>
      <c r="N107" s="1"/>
      <c r="O107" s="1"/>
      <c r="P107" s="1"/>
      <c r="Q107" s="1"/>
      <c r="R107" s="1"/>
      <c r="S107" s="1"/>
      <c r="T107" s="1"/>
      <c r="U107" s="1"/>
      <c r="V107" s="1"/>
      <c r="W107" s="1"/>
      <c r="X107" s="1"/>
      <c r="Y107" s="1"/>
      <c r="Z107" s="1"/>
      <c r="AA107" s="1"/>
    </row>
    <row r="108" spans="1:27" ht="15.4">
      <c r="A108" s="1"/>
      <c r="B108" s="37" t="s">
        <v>218</v>
      </c>
      <c r="C108" s="38">
        <f>('Variables 0'!E10-'Variables 0'!C33)/'Variables 0'!I35</f>
        <v>9.9399999957300018</v>
      </c>
      <c r="D108" s="39">
        <f>'Variables 0'!I37</f>
        <v>0.1</v>
      </c>
      <c r="E108" s="39">
        <f>C108/C109</f>
        <v>0.32859504128978351</v>
      </c>
      <c r="F108" s="1"/>
      <c r="G108" s="1"/>
      <c r="H108" s="1"/>
      <c r="I108" s="1"/>
      <c r="J108" s="1"/>
      <c r="K108" s="1"/>
      <c r="L108" s="1"/>
      <c r="M108" s="1"/>
      <c r="N108" s="1"/>
      <c r="O108" s="1"/>
      <c r="P108" s="1"/>
      <c r="Q108" s="1"/>
      <c r="R108" s="1"/>
      <c r="S108" s="1"/>
      <c r="T108" s="1"/>
      <c r="U108" s="1"/>
      <c r="V108" s="1"/>
      <c r="W108" s="1"/>
      <c r="X108" s="1"/>
      <c r="Y108" s="1"/>
      <c r="Z108" s="1"/>
      <c r="AA108" s="1"/>
    </row>
    <row r="109" spans="1:27" ht="15.4">
      <c r="A109" s="1"/>
      <c r="B109" s="37" t="s">
        <v>219</v>
      </c>
      <c r="C109" s="38">
        <f>C107+C108</f>
        <v>30.249999990000003</v>
      </c>
      <c r="D109" s="40"/>
      <c r="E109" s="39">
        <f>SUMPRODUCT(D107:D108,E107:E108)</f>
        <v>0.11342809917420432</v>
      </c>
      <c r="F109" s="1"/>
      <c r="G109" s="1"/>
      <c r="H109" s="1"/>
      <c r="I109" s="1"/>
      <c r="J109" s="1"/>
      <c r="K109" s="1"/>
      <c r="L109" s="1"/>
      <c r="M109" s="1"/>
      <c r="N109" s="1"/>
      <c r="O109" s="1"/>
      <c r="P109" s="1"/>
      <c r="Q109" s="1"/>
      <c r="R109" s="1"/>
      <c r="S109" s="1"/>
      <c r="T109" s="1"/>
      <c r="U109" s="1"/>
      <c r="V109" s="1"/>
      <c r="W109" s="1"/>
      <c r="X109" s="1"/>
      <c r="Y109" s="1"/>
      <c r="Z109" s="1"/>
      <c r="AA109" s="1"/>
    </row>
    <row r="110" spans="1:27" ht="15.4">
      <c r="A110" s="1"/>
      <c r="B110" s="1"/>
      <c r="C110" s="1"/>
      <c r="D110" s="1"/>
      <c r="E110" s="41" t="s">
        <v>220</v>
      </c>
      <c r="F110" s="1"/>
      <c r="G110" s="1"/>
      <c r="H110" s="1"/>
      <c r="I110" s="1"/>
      <c r="J110" s="1"/>
      <c r="K110" s="1"/>
      <c r="L110" s="1"/>
      <c r="M110" s="1"/>
      <c r="N110" s="1"/>
      <c r="O110" s="1"/>
      <c r="P110" s="1"/>
      <c r="Q110" s="1"/>
      <c r="R110" s="1"/>
      <c r="S110" s="1"/>
      <c r="T110" s="1"/>
      <c r="U110" s="1"/>
      <c r="V110" s="1"/>
      <c r="W110" s="1"/>
      <c r="X110" s="1"/>
      <c r="Y110" s="1"/>
      <c r="Z110" s="1"/>
      <c r="AA110" s="1"/>
    </row>
    <row r="111" spans="1:27" ht="15.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4">
      <c r="A112" s="1"/>
      <c r="B112" s="42" t="s">
        <v>16</v>
      </c>
      <c r="C112" s="43"/>
      <c r="D112" s="43"/>
      <c r="E112" s="43"/>
      <c r="F112" s="1"/>
      <c r="G112" s="1"/>
      <c r="H112" s="1"/>
      <c r="I112" s="1"/>
      <c r="J112" s="1"/>
      <c r="K112" s="1"/>
      <c r="L112" s="1"/>
      <c r="M112" s="1"/>
      <c r="N112" s="1"/>
      <c r="O112" s="1"/>
      <c r="P112" s="1"/>
      <c r="Q112" s="1"/>
      <c r="R112" s="1"/>
      <c r="S112" s="1"/>
      <c r="T112" s="1"/>
      <c r="U112" s="1"/>
      <c r="V112" s="1"/>
      <c r="W112" s="1"/>
      <c r="X112" s="1"/>
      <c r="Y112" s="1"/>
      <c r="Z112" s="1"/>
      <c r="AA112" s="1"/>
    </row>
    <row r="113" spans="1:27" ht="15.4">
      <c r="A113" s="1"/>
      <c r="B113" s="44" t="s">
        <v>221</v>
      </c>
      <c r="C113" s="45">
        <f>E109</f>
        <v>0.11342809917420432</v>
      </c>
      <c r="D113" s="45">
        <v>0</v>
      </c>
      <c r="E113" s="45">
        <f>'Variables 0'!C35</f>
        <v>0.03</v>
      </c>
      <c r="F113" s="45">
        <f>'Variables 0'!D35</f>
        <v>0.05</v>
      </c>
      <c r="G113" s="45">
        <f>'Variables 0'!E35</f>
        <v>0.08</v>
      </c>
      <c r="H113" s="1"/>
      <c r="I113" s="1"/>
      <c r="J113" s="1"/>
      <c r="K113" s="1"/>
      <c r="L113" s="1"/>
      <c r="M113" s="1"/>
      <c r="N113" s="1"/>
      <c r="O113" s="1"/>
      <c r="P113" s="1"/>
      <c r="Q113" s="1"/>
      <c r="R113" s="1"/>
      <c r="S113" s="1"/>
      <c r="T113" s="1"/>
      <c r="U113" s="1"/>
      <c r="V113" s="1"/>
      <c r="W113" s="1"/>
      <c r="X113" s="1"/>
      <c r="Y113" s="1"/>
      <c r="Z113" s="1"/>
      <c r="AA113" s="1"/>
    </row>
    <row r="114" spans="1:27" ht="15.4">
      <c r="A114" s="1"/>
      <c r="B114" s="44" t="s">
        <v>222</v>
      </c>
      <c r="C114" s="46">
        <f t="shared" ref="C114:G114" si="8">NPV(C113,$D$89:$W$89)+$C$89</f>
        <v>0</v>
      </c>
      <c r="D114" s="46">
        <f t="shared" si="8"/>
        <v>0</v>
      </c>
      <c r="E114" s="46">
        <f t="shared" si="8"/>
        <v>0</v>
      </c>
      <c r="F114" s="46">
        <f t="shared" si="8"/>
        <v>0</v>
      </c>
      <c r="G114" s="46">
        <f t="shared" si="8"/>
        <v>0</v>
      </c>
      <c r="H114" s="1"/>
      <c r="I114" s="1"/>
      <c r="J114" s="1"/>
      <c r="K114" s="1"/>
      <c r="L114" s="1"/>
      <c r="M114" s="1"/>
      <c r="N114" s="1"/>
      <c r="O114" s="1"/>
      <c r="P114" s="1"/>
      <c r="Q114" s="1"/>
      <c r="R114" s="1"/>
      <c r="S114" s="1"/>
      <c r="T114" s="1"/>
      <c r="U114" s="1"/>
      <c r="V114" s="1"/>
      <c r="W114" s="1"/>
      <c r="X114" s="1"/>
      <c r="Y114" s="1"/>
      <c r="Z114" s="1"/>
      <c r="AA114" s="1"/>
    </row>
    <row r="115" spans="1:27" ht="15.4">
      <c r="A115" s="1"/>
      <c r="B115" s="44" t="s">
        <v>29</v>
      </c>
      <c r="C115" s="45" t="e">
        <f>IRR(C89:W89)</f>
        <v>#NUM!</v>
      </c>
      <c r="D115" s="43"/>
      <c r="E115" s="43"/>
      <c r="F115" s="1"/>
      <c r="G115" s="1"/>
      <c r="H115" s="1"/>
      <c r="I115" s="1"/>
      <c r="J115" s="1"/>
      <c r="K115" s="1"/>
      <c r="L115" s="1"/>
      <c r="M115" s="1"/>
      <c r="N115" s="1"/>
      <c r="O115" s="1"/>
      <c r="P115" s="1"/>
      <c r="Q115" s="1"/>
      <c r="R115" s="1"/>
      <c r="S115" s="1"/>
      <c r="T115" s="1"/>
      <c r="U115" s="1"/>
      <c r="V115" s="1"/>
      <c r="W115" s="1"/>
      <c r="X115" s="1"/>
      <c r="Y115" s="1"/>
      <c r="Z115" s="1"/>
      <c r="AA115" s="1"/>
    </row>
    <row r="116" spans="1:27" ht="15.4">
      <c r="A116" s="1"/>
      <c r="B116" s="47"/>
      <c r="C116" s="47"/>
      <c r="D116" s="47"/>
      <c r="E116" s="47"/>
      <c r="F116" s="1"/>
      <c r="G116" s="1"/>
      <c r="H116" s="1"/>
      <c r="I116" s="1"/>
      <c r="J116" s="1"/>
      <c r="K116" s="1"/>
      <c r="L116" s="1"/>
      <c r="M116" s="1"/>
      <c r="N116" s="1"/>
      <c r="O116" s="1"/>
      <c r="P116" s="1"/>
      <c r="Q116" s="1"/>
      <c r="R116" s="1"/>
      <c r="S116" s="1"/>
      <c r="T116" s="1"/>
      <c r="U116" s="1"/>
      <c r="V116" s="1"/>
      <c r="W116" s="1"/>
      <c r="X116" s="1"/>
      <c r="Y116" s="1"/>
      <c r="Z116" s="1"/>
      <c r="AA116" s="1"/>
    </row>
    <row r="117" spans="1:27" ht="15.4">
      <c r="A117" s="1"/>
      <c r="B117" s="42" t="s">
        <v>223</v>
      </c>
      <c r="C117" s="43"/>
      <c r="D117" s="43"/>
      <c r="E117" s="43"/>
      <c r="F117" s="1"/>
      <c r="G117" s="1"/>
      <c r="H117" s="1"/>
      <c r="I117" s="1"/>
      <c r="J117" s="1"/>
      <c r="K117" s="1"/>
      <c r="L117" s="1"/>
      <c r="M117" s="1"/>
      <c r="N117" s="1"/>
      <c r="O117" s="1"/>
      <c r="P117" s="1"/>
      <c r="Q117" s="1"/>
      <c r="R117" s="1"/>
      <c r="S117" s="1"/>
      <c r="T117" s="1"/>
      <c r="U117" s="1"/>
      <c r="V117" s="1"/>
      <c r="W117" s="1"/>
      <c r="X117" s="1"/>
      <c r="Y117" s="1"/>
      <c r="Z117" s="1"/>
      <c r="AA117" s="1"/>
    </row>
    <row r="118" spans="1:27" ht="15.4">
      <c r="A118" s="1"/>
      <c r="B118" s="44" t="s">
        <v>221</v>
      </c>
      <c r="C118" s="45">
        <f t="shared" ref="C118:G118" si="9">C113</f>
        <v>0.11342809917420432</v>
      </c>
      <c r="D118" s="45">
        <f t="shared" si="9"/>
        <v>0</v>
      </c>
      <c r="E118" s="45">
        <f t="shared" si="9"/>
        <v>0.03</v>
      </c>
      <c r="F118" s="45">
        <f t="shared" si="9"/>
        <v>0.05</v>
      </c>
      <c r="G118" s="45">
        <f t="shared" si="9"/>
        <v>0.08</v>
      </c>
      <c r="H118" s="1"/>
      <c r="I118" s="1"/>
      <c r="J118" s="1"/>
      <c r="K118" s="1"/>
      <c r="L118" s="1"/>
      <c r="M118" s="1"/>
      <c r="N118" s="1"/>
      <c r="O118" s="1"/>
      <c r="P118" s="1"/>
      <c r="Q118" s="1"/>
      <c r="R118" s="1"/>
      <c r="S118" s="1"/>
      <c r="T118" s="1"/>
      <c r="U118" s="1"/>
      <c r="V118" s="1"/>
      <c r="W118" s="1"/>
      <c r="X118" s="1"/>
      <c r="Y118" s="1"/>
      <c r="Z118" s="1"/>
      <c r="AA118" s="1"/>
    </row>
    <row r="119" spans="1:27" ht="15.4">
      <c r="A119" s="1"/>
      <c r="B119" s="44" t="s">
        <v>222</v>
      </c>
      <c r="C119" s="46">
        <f t="shared" ref="C119:G119" si="10">NPV(C118,$D$94:$W$94)+$C$94</f>
        <v>0</v>
      </c>
      <c r="D119" s="46">
        <f t="shared" si="10"/>
        <v>0</v>
      </c>
      <c r="E119" s="46">
        <f t="shared" si="10"/>
        <v>0</v>
      </c>
      <c r="F119" s="48">
        <f t="shared" si="10"/>
        <v>0</v>
      </c>
      <c r="G119" s="46">
        <f t="shared" si="10"/>
        <v>0</v>
      </c>
      <c r="H119" s="1"/>
      <c r="I119" s="1"/>
      <c r="J119" s="1"/>
      <c r="K119" s="1"/>
      <c r="L119" s="1"/>
      <c r="M119" s="1"/>
      <c r="N119" s="1"/>
      <c r="O119" s="1"/>
      <c r="P119" s="1"/>
      <c r="Q119" s="1"/>
      <c r="R119" s="1"/>
      <c r="S119" s="1"/>
      <c r="T119" s="1"/>
      <c r="U119" s="1"/>
      <c r="V119" s="1"/>
      <c r="W119" s="1"/>
      <c r="X119" s="1"/>
      <c r="Y119" s="1"/>
      <c r="Z119" s="1"/>
      <c r="AA119" s="1"/>
    </row>
    <row r="120" spans="1:27" ht="15.4">
      <c r="A120" s="1"/>
      <c r="B120" s="44" t="s">
        <v>29</v>
      </c>
      <c r="C120" s="45" t="e">
        <f>IRR(C94:W94)</f>
        <v>#NUM!</v>
      </c>
      <c r="D120" s="43"/>
      <c r="E120" s="43"/>
      <c r="F120" s="1"/>
      <c r="G120" s="1"/>
      <c r="H120" s="1"/>
      <c r="I120" s="1"/>
      <c r="J120" s="1"/>
      <c r="K120" s="1"/>
      <c r="L120" s="1"/>
      <c r="M120" s="1"/>
      <c r="N120" s="1"/>
      <c r="O120" s="1"/>
      <c r="P120" s="1"/>
      <c r="Q120" s="1"/>
      <c r="R120" s="1"/>
      <c r="S120" s="1"/>
      <c r="T120" s="1"/>
      <c r="U120" s="1"/>
      <c r="V120" s="1"/>
      <c r="W120" s="1"/>
      <c r="X120" s="1"/>
      <c r="Y120" s="1"/>
      <c r="Z120" s="1"/>
      <c r="AA120" s="1"/>
    </row>
    <row r="121" spans="1:27" ht="15.4">
      <c r="A121" s="1"/>
      <c r="B121" s="49"/>
      <c r="C121" s="49"/>
      <c r="D121" s="49"/>
      <c r="E121" s="49"/>
      <c r="F121" s="1"/>
      <c r="G121" s="1"/>
      <c r="H121" s="1"/>
      <c r="I121" s="1"/>
      <c r="J121" s="1"/>
      <c r="K121" s="1"/>
      <c r="L121" s="1"/>
      <c r="M121" s="1"/>
      <c r="N121" s="1"/>
      <c r="O121" s="1"/>
      <c r="P121" s="1"/>
      <c r="Q121" s="1"/>
      <c r="R121" s="1"/>
      <c r="S121" s="1"/>
      <c r="T121" s="1"/>
      <c r="U121" s="1"/>
      <c r="V121" s="1"/>
      <c r="W121" s="1"/>
      <c r="X121" s="1"/>
      <c r="Y121" s="1"/>
      <c r="Z121" s="1"/>
      <c r="AA121" s="1"/>
    </row>
    <row r="122" spans="1:27" ht="15.4">
      <c r="A122" s="1"/>
      <c r="B122" s="42" t="s">
        <v>224</v>
      </c>
      <c r="C122" s="43"/>
      <c r="D122" s="43"/>
      <c r="E122" s="43"/>
      <c r="F122" s="1"/>
      <c r="G122" s="1"/>
      <c r="H122" s="1"/>
      <c r="I122" s="1"/>
      <c r="J122" s="1"/>
      <c r="K122" s="1"/>
      <c r="L122" s="1"/>
      <c r="M122" s="1"/>
      <c r="N122" s="1"/>
      <c r="O122" s="1"/>
      <c r="P122" s="1"/>
      <c r="Q122" s="1"/>
      <c r="R122" s="1"/>
      <c r="S122" s="1"/>
      <c r="T122" s="1"/>
      <c r="U122" s="1"/>
      <c r="V122" s="1"/>
      <c r="W122" s="1"/>
      <c r="X122" s="1"/>
      <c r="Y122" s="1"/>
      <c r="Z122" s="1"/>
      <c r="AA122" s="1"/>
    </row>
    <row r="123" spans="1:27" ht="15.4">
      <c r="A123" s="1"/>
      <c r="B123" s="44" t="s">
        <v>221</v>
      </c>
      <c r="C123" s="45">
        <f>D108</f>
        <v>0.1</v>
      </c>
      <c r="D123" s="45">
        <f t="shared" ref="D123:G123" si="11">D118</f>
        <v>0</v>
      </c>
      <c r="E123" s="45">
        <f t="shared" si="11"/>
        <v>0.03</v>
      </c>
      <c r="F123" s="45">
        <f t="shared" si="11"/>
        <v>0.05</v>
      </c>
      <c r="G123" s="45">
        <f t="shared" si="11"/>
        <v>0.08</v>
      </c>
      <c r="H123" s="1"/>
      <c r="I123" s="1"/>
      <c r="J123" s="1"/>
      <c r="K123" s="1"/>
      <c r="L123" s="1"/>
      <c r="M123" s="1"/>
      <c r="N123" s="1"/>
      <c r="O123" s="1"/>
      <c r="P123" s="1"/>
      <c r="Q123" s="1"/>
      <c r="R123" s="1"/>
      <c r="S123" s="1"/>
      <c r="T123" s="1"/>
      <c r="U123" s="1"/>
      <c r="V123" s="1"/>
      <c r="W123" s="1"/>
      <c r="X123" s="1"/>
      <c r="Y123" s="1"/>
      <c r="Z123" s="1"/>
      <c r="AA123" s="1"/>
    </row>
    <row r="124" spans="1:27" ht="15.4">
      <c r="A124" s="1"/>
      <c r="B124" s="44" t="s">
        <v>222</v>
      </c>
      <c r="C124" s="46">
        <f t="shared" ref="C124:G124" si="12">NPV(C123,$D$100:$W$100)+$C$100</f>
        <v>0</v>
      </c>
      <c r="D124" s="46">
        <f t="shared" si="12"/>
        <v>0</v>
      </c>
      <c r="E124" s="46">
        <f t="shared" si="12"/>
        <v>0</v>
      </c>
      <c r="F124" s="48">
        <f t="shared" si="12"/>
        <v>0</v>
      </c>
      <c r="G124" s="46">
        <f t="shared" si="12"/>
        <v>0</v>
      </c>
      <c r="H124" s="1"/>
      <c r="I124" s="1"/>
      <c r="J124" s="1"/>
      <c r="K124" s="1"/>
      <c r="L124" s="1"/>
      <c r="M124" s="1"/>
      <c r="N124" s="1"/>
      <c r="O124" s="1"/>
      <c r="P124" s="1"/>
      <c r="Q124" s="1"/>
      <c r="R124" s="1"/>
      <c r="S124" s="1"/>
      <c r="T124" s="1"/>
      <c r="U124" s="1"/>
      <c r="V124" s="1"/>
      <c r="W124" s="1"/>
      <c r="X124" s="1"/>
      <c r="Y124" s="1"/>
      <c r="Z124" s="1"/>
      <c r="AA124" s="1"/>
    </row>
    <row r="125" spans="1:27" ht="15.4">
      <c r="A125" s="1"/>
      <c r="B125" s="44" t="s">
        <v>29</v>
      </c>
      <c r="C125" s="45" t="e">
        <f>IRR(C100:W100)</f>
        <v>#NUM!</v>
      </c>
      <c r="D125" s="43"/>
      <c r="E125" s="43"/>
      <c r="F125" s="1"/>
      <c r="G125" s="1"/>
      <c r="H125" s="1"/>
      <c r="I125" s="1"/>
      <c r="J125" s="1"/>
      <c r="K125" s="1"/>
      <c r="L125" s="1"/>
      <c r="M125" s="1"/>
      <c r="N125" s="1"/>
      <c r="O125" s="1"/>
      <c r="P125" s="1"/>
      <c r="Q125" s="1"/>
      <c r="R125" s="1"/>
      <c r="S125" s="1"/>
      <c r="T125" s="1"/>
      <c r="U125" s="1"/>
      <c r="V125" s="1"/>
      <c r="W125" s="1"/>
      <c r="X125" s="1"/>
      <c r="Y125" s="1"/>
      <c r="Z125" s="1"/>
      <c r="AA125" s="1"/>
    </row>
    <row r="126" spans="1:27" ht="15.4">
      <c r="A126" s="1"/>
      <c r="B126" s="43"/>
      <c r="C126" s="43"/>
      <c r="D126" s="43"/>
      <c r="E126" s="43"/>
      <c r="F126" s="1"/>
      <c r="G126" s="1"/>
      <c r="H126" s="1"/>
      <c r="I126" s="1"/>
      <c r="J126" s="1"/>
      <c r="K126" s="1"/>
      <c r="L126" s="1"/>
      <c r="M126" s="1"/>
      <c r="N126" s="1"/>
      <c r="O126" s="1"/>
      <c r="P126" s="1"/>
      <c r="Q126" s="1"/>
      <c r="R126" s="1"/>
      <c r="S126" s="1"/>
      <c r="T126" s="1"/>
      <c r="U126" s="1"/>
      <c r="V126" s="1"/>
      <c r="W126" s="1"/>
      <c r="X126" s="1"/>
      <c r="Y126" s="1"/>
      <c r="Z126" s="1"/>
      <c r="AA126" s="1"/>
    </row>
    <row r="127" spans="1:27" ht="15.4">
      <c r="A127" s="1"/>
      <c r="B127" s="50" t="s">
        <v>221</v>
      </c>
      <c r="C127" s="51">
        <v>0</v>
      </c>
      <c r="D127" s="51">
        <v>0.03</v>
      </c>
      <c r="E127" s="51">
        <v>0.05</v>
      </c>
      <c r="F127" s="52">
        <v>0.08</v>
      </c>
      <c r="G127" s="1"/>
      <c r="H127" s="1"/>
      <c r="I127" s="1"/>
      <c r="J127" s="1"/>
      <c r="K127" s="1"/>
      <c r="L127" s="1"/>
      <c r="M127" s="1"/>
      <c r="N127" s="1"/>
      <c r="O127" s="1"/>
      <c r="P127" s="1"/>
      <c r="Q127" s="1"/>
      <c r="R127" s="1"/>
      <c r="S127" s="1"/>
      <c r="T127" s="1"/>
      <c r="U127" s="1"/>
      <c r="V127" s="1"/>
      <c r="W127" s="1"/>
      <c r="X127" s="1"/>
      <c r="Y127" s="1"/>
      <c r="Z127" s="1"/>
      <c r="AA127" s="1"/>
    </row>
    <row r="128" spans="1:27" ht="15.4">
      <c r="A128" s="1"/>
      <c r="B128" s="53" t="s">
        <v>225</v>
      </c>
      <c r="C128" s="46">
        <f t="shared" ref="C128:F128" si="13">D114</f>
        <v>0</v>
      </c>
      <c r="D128" s="46">
        <f t="shared" si="13"/>
        <v>0</v>
      </c>
      <c r="E128" s="46">
        <f t="shared" si="13"/>
        <v>0</v>
      </c>
      <c r="F128" s="54">
        <f t="shared" si="13"/>
        <v>0</v>
      </c>
      <c r="G128" s="1"/>
      <c r="H128" s="1"/>
      <c r="I128" s="1"/>
      <c r="J128" s="1"/>
      <c r="K128" s="1"/>
      <c r="L128" s="1"/>
      <c r="M128" s="1"/>
      <c r="N128" s="1"/>
      <c r="O128" s="1"/>
      <c r="P128" s="1"/>
      <c r="Q128" s="1"/>
      <c r="R128" s="1"/>
      <c r="S128" s="1"/>
      <c r="T128" s="1"/>
      <c r="U128" s="1"/>
      <c r="V128" s="1"/>
      <c r="W128" s="1"/>
      <c r="X128" s="1"/>
      <c r="Y128" s="1"/>
      <c r="Z128" s="1"/>
      <c r="AA128" s="1"/>
    </row>
    <row r="129" spans="1:27" ht="15.4">
      <c r="A129" s="1"/>
      <c r="B129" s="53" t="s">
        <v>226</v>
      </c>
      <c r="C129" s="46">
        <f t="shared" ref="C129:F129" si="14">D119</f>
        <v>0</v>
      </c>
      <c r="D129" s="46">
        <f t="shared" si="14"/>
        <v>0</v>
      </c>
      <c r="E129" s="46">
        <f t="shared" si="14"/>
        <v>0</v>
      </c>
      <c r="F129" s="54">
        <f t="shared" si="14"/>
        <v>0</v>
      </c>
      <c r="G129" s="1"/>
      <c r="H129" s="1"/>
      <c r="I129" s="1"/>
      <c r="J129" s="1"/>
      <c r="K129" s="1"/>
      <c r="L129" s="1"/>
      <c r="M129" s="1"/>
      <c r="N129" s="1"/>
      <c r="O129" s="1"/>
      <c r="P129" s="1"/>
      <c r="Q129" s="1"/>
      <c r="R129" s="1"/>
      <c r="S129" s="1"/>
      <c r="T129" s="1"/>
      <c r="U129" s="1"/>
      <c r="V129" s="1"/>
      <c r="W129" s="1"/>
      <c r="X129" s="1"/>
      <c r="Y129" s="1"/>
      <c r="Z129" s="1"/>
      <c r="AA129" s="1"/>
    </row>
    <row r="130" spans="1:27" ht="15.4">
      <c r="A130" s="1"/>
      <c r="B130" s="53" t="s">
        <v>227</v>
      </c>
      <c r="C130" s="46">
        <f t="shared" ref="C130:F130" si="15">D124</f>
        <v>0</v>
      </c>
      <c r="D130" s="46">
        <f t="shared" si="15"/>
        <v>0</v>
      </c>
      <c r="E130" s="46">
        <f t="shared" si="15"/>
        <v>0</v>
      </c>
      <c r="F130" s="54">
        <f t="shared" si="15"/>
        <v>0</v>
      </c>
      <c r="G130" s="1"/>
      <c r="H130" s="1"/>
      <c r="I130" s="1"/>
      <c r="J130" s="1"/>
      <c r="K130" s="1"/>
      <c r="L130" s="1"/>
      <c r="M130" s="1"/>
      <c r="N130" s="1"/>
      <c r="O130" s="1"/>
      <c r="P130" s="1"/>
      <c r="Q130" s="1"/>
      <c r="R130" s="1"/>
      <c r="S130" s="1"/>
      <c r="T130" s="1"/>
      <c r="U130" s="1"/>
      <c r="V130" s="1"/>
      <c r="W130" s="1"/>
      <c r="X130" s="1"/>
      <c r="Y130" s="1"/>
      <c r="Z130" s="1"/>
      <c r="AA130" s="1"/>
    </row>
    <row r="131" spans="1:27" ht="15.4">
      <c r="A131" s="1"/>
      <c r="B131" s="53" t="s">
        <v>228</v>
      </c>
      <c r="C131" s="46">
        <f t="shared" ref="C131:F131" si="16">NPV(C127,$D$104:$W$104)+$C$104</f>
        <v>-20.309999994270001</v>
      </c>
      <c r="D131" s="46">
        <f t="shared" si="16"/>
        <v>-20.309999994270001</v>
      </c>
      <c r="E131" s="46">
        <f t="shared" si="16"/>
        <v>-20.309999994270001</v>
      </c>
      <c r="F131" s="54">
        <f t="shared" si="16"/>
        <v>-20.309999994270001</v>
      </c>
      <c r="G131" s="1"/>
      <c r="H131" s="1"/>
      <c r="I131" s="1"/>
      <c r="J131" s="1"/>
      <c r="K131" s="1"/>
      <c r="L131" s="1"/>
      <c r="M131" s="1"/>
      <c r="N131" s="1"/>
      <c r="O131" s="1"/>
      <c r="P131" s="1"/>
      <c r="Q131" s="1"/>
      <c r="R131" s="1"/>
      <c r="S131" s="1"/>
      <c r="T131" s="1"/>
      <c r="U131" s="1"/>
      <c r="V131" s="1"/>
      <c r="W131" s="1"/>
      <c r="X131" s="1"/>
      <c r="Y131" s="1"/>
      <c r="Z131" s="1"/>
      <c r="AA131" s="1"/>
    </row>
    <row r="132" spans="1:27" ht="15.4">
      <c r="A132" s="1"/>
      <c r="B132" s="53" t="s">
        <v>229</v>
      </c>
      <c r="C132" s="46">
        <f t="shared" ref="C132:F132" si="17">NPV(C127,$D$93:$W$93)+$C$93</f>
        <v>0</v>
      </c>
      <c r="D132" s="46">
        <f t="shared" si="17"/>
        <v>0</v>
      </c>
      <c r="E132" s="46">
        <f t="shared" si="17"/>
        <v>0</v>
      </c>
      <c r="F132" s="54">
        <f t="shared" si="17"/>
        <v>0</v>
      </c>
      <c r="G132" s="1"/>
      <c r="H132" s="1"/>
      <c r="I132" s="1"/>
      <c r="J132" s="1"/>
      <c r="K132" s="1"/>
      <c r="L132" s="1"/>
      <c r="M132" s="1"/>
      <c r="N132" s="1"/>
      <c r="O132" s="1"/>
      <c r="P132" s="1"/>
      <c r="Q132" s="1"/>
      <c r="R132" s="1"/>
      <c r="S132" s="1"/>
      <c r="T132" s="1"/>
      <c r="U132" s="1"/>
      <c r="V132" s="1"/>
      <c r="W132" s="1"/>
      <c r="X132" s="1"/>
      <c r="Y132" s="1"/>
      <c r="Z132" s="1"/>
      <c r="AA132" s="1"/>
    </row>
    <row r="133" spans="1:27" ht="15.4">
      <c r="A133" s="1"/>
      <c r="B133" s="57" t="s">
        <v>230</v>
      </c>
      <c r="C133" s="58">
        <f t="shared" ref="C133:F133" si="18">SUM(C130:C132)</f>
        <v>-20.309999994270001</v>
      </c>
      <c r="D133" s="58">
        <f t="shared" si="18"/>
        <v>-20.309999994270001</v>
      </c>
      <c r="E133" s="58">
        <f t="shared" si="18"/>
        <v>-20.309999994270001</v>
      </c>
      <c r="F133" s="59">
        <f t="shared" si="18"/>
        <v>-20.309999994270001</v>
      </c>
      <c r="G133" s="1"/>
      <c r="H133" s="1"/>
      <c r="I133" s="1"/>
      <c r="J133" s="1"/>
      <c r="K133" s="1"/>
      <c r="L133" s="1"/>
      <c r="M133" s="1"/>
      <c r="N133" s="1"/>
      <c r="O133" s="1"/>
      <c r="P133" s="1"/>
      <c r="Q133" s="1"/>
      <c r="R133" s="1"/>
      <c r="S133" s="1"/>
      <c r="T133" s="1"/>
      <c r="U133" s="1"/>
      <c r="V133" s="1"/>
      <c r="W133" s="1"/>
      <c r="X133" s="1"/>
      <c r="Y133" s="1"/>
      <c r="Z133" s="1"/>
      <c r="AA133" s="1"/>
    </row>
    <row r="134" spans="1:27" ht="15.75">
      <c r="A134" s="1"/>
      <c r="B134" s="60"/>
      <c r="C134" s="60"/>
      <c r="D134" s="60"/>
      <c r="E134" s="60"/>
      <c r="F134" s="1"/>
      <c r="G134" s="1"/>
      <c r="H134" s="1"/>
      <c r="I134" s="1"/>
      <c r="J134" s="1"/>
      <c r="K134" s="1"/>
      <c r="L134" s="1"/>
      <c r="M134" s="1"/>
      <c r="N134" s="1"/>
      <c r="O134" s="1"/>
      <c r="P134" s="1"/>
      <c r="Q134" s="1"/>
      <c r="R134" s="1"/>
      <c r="S134" s="1"/>
      <c r="T134" s="1"/>
      <c r="U134" s="1"/>
      <c r="V134" s="1"/>
      <c r="W134" s="1"/>
      <c r="X134" s="1"/>
      <c r="Y134" s="1"/>
      <c r="Z134" s="1"/>
      <c r="AA134" s="1"/>
    </row>
    <row r="135" spans="1:27" ht="15.75">
      <c r="A135" s="61"/>
      <c r="C135" s="62"/>
      <c r="D135" s="62"/>
      <c r="E135" s="62"/>
      <c r="F135" s="61"/>
      <c r="G135" s="61"/>
      <c r="H135" s="61"/>
      <c r="I135" s="61"/>
      <c r="J135" s="61"/>
      <c r="K135" s="61"/>
      <c r="L135" s="61"/>
      <c r="M135" s="61"/>
      <c r="N135" s="61"/>
      <c r="O135" s="61"/>
      <c r="P135" s="61"/>
      <c r="Q135" s="61"/>
      <c r="R135" s="61"/>
      <c r="S135" s="61"/>
      <c r="T135" s="61"/>
      <c r="U135" s="61"/>
      <c r="V135" s="61"/>
      <c r="W135" s="61"/>
      <c r="X135" s="61"/>
      <c r="Y135" s="61"/>
      <c r="Z135" s="61"/>
      <c r="AA135" s="61"/>
    </row>
    <row r="136" spans="1:27" ht="18" customHeight="1">
      <c r="A136" s="61"/>
      <c r="B136" s="63" t="s">
        <v>231</v>
      </c>
      <c r="C136" s="64">
        <f t="shared" ref="C136:W136" si="19">C102</f>
        <v>2007</v>
      </c>
      <c r="D136" s="64">
        <f t="shared" si="19"/>
        <v>2008</v>
      </c>
      <c r="E136" s="64">
        <f t="shared" si="19"/>
        <v>2009</v>
      </c>
      <c r="F136" s="64">
        <f t="shared" si="19"/>
        <v>2010</v>
      </c>
      <c r="G136" s="64">
        <f t="shared" si="19"/>
        <v>2011</v>
      </c>
      <c r="H136" s="64">
        <f t="shared" si="19"/>
        <v>2012</v>
      </c>
      <c r="I136" s="64">
        <f t="shared" si="19"/>
        <v>2013</v>
      </c>
      <c r="J136" s="64">
        <f t="shared" si="19"/>
        <v>2014</v>
      </c>
      <c r="K136" s="64">
        <f t="shared" si="19"/>
        <v>2015</v>
      </c>
      <c r="L136" s="64">
        <f t="shared" si="19"/>
        <v>2016</v>
      </c>
      <c r="M136" s="64">
        <f t="shared" si="19"/>
        <v>2017</v>
      </c>
      <c r="N136" s="64">
        <f t="shared" si="19"/>
        <v>2018</v>
      </c>
      <c r="O136" s="64">
        <f t="shared" si="19"/>
        <v>2019</v>
      </c>
      <c r="P136" s="64">
        <f t="shared" si="19"/>
        <v>2020</v>
      </c>
      <c r="Q136" s="64">
        <f t="shared" si="19"/>
        <v>2021</v>
      </c>
      <c r="R136" s="64">
        <f t="shared" si="19"/>
        <v>2022</v>
      </c>
      <c r="S136" s="64">
        <f t="shared" si="19"/>
        <v>2023</v>
      </c>
      <c r="T136" s="64">
        <f t="shared" si="19"/>
        <v>2024</v>
      </c>
      <c r="U136" s="64">
        <f t="shared" si="19"/>
        <v>2025</v>
      </c>
      <c r="V136" s="64">
        <f t="shared" si="19"/>
        <v>2026</v>
      </c>
      <c r="W136" s="96">
        <f t="shared" si="19"/>
        <v>2027</v>
      </c>
      <c r="X136" s="61"/>
      <c r="Y136" s="61"/>
      <c r="Z136" s="61"/>
      <c r="AA136" s="61"/>
    </row>
    <row r="137" spans="1:27" ht="15.4">
      <c r="A137" s="61"/>
      <c r="B137" s="65" t="s">
        <v>232</v>
      </c>
      <c r="C137" s="17">
        <f t="shared" ref="C137:W137" si="20">C97</f>
        <v>0</v>
      </c>
      <c r="D137" s="17">
        <f t="shared" si="20"/>
        <v>1</v>
      </c>
      <c r="E137" s="17">
        <f t="shared" si="20"/>
        <v>2</v>
      </c>
      <c r="F137" s="17">
        <f t="shared" si="20"/>
        <v>3</v>
      </c>
      <c r="G137" s="17">
        <f t="shared" si="20"/>
        <v>4</v>
      </c>
      <c r="H137" s="17">
        <f t="shared" si="20"/>
        <v>5</v>
      </c>
      <c r="I137" s="17">
        <f t="shared" si="20"/>
        <v>6</v>
      </c>
      <c r="J137" s="17">
        <f t="shared" si="20"/>
        <v>7</v>
      </c>
      <c r="K137" s="17">
        <f t="shared" si="20"/>
        <v>8</v>
      </c>
      <c r="L137" s="17">
        <f t="shared" si="20"/>
        <v>9</v>
      </c>
      <c r="M137" s="17">
        <f t="shared" si="20"/>
        <v>10</v>
      </c>
      <c r="N137" s="17">
        <f t="shared" si="20"/>
        <v>11</v>
      </c>
      <c r="O137" s="17">
        <f t="shared" si="20"/>
        <v>12</v>
      </c>
      <c r="P137" s="17">
        <f t="shared" si="20"/>
        <v>13</v>
      </c>
      <c r="Q137" s="17">
        <f t="shared" si="20"/>
        <v>14</v>
      </c>
      <c r="R137" s="17">
        <f t="shared" si="20"/>
        <v>15</v>
      </c>
      <c r="S137" s="17">
        <f t="shared" si="20"/>
        <v>16</v>
      </c>
      <c r="T137" s="17">
        <f t="shared" si="20"/>
        <v>17</v>
      </c>
      <c r="U137" s="17">
        <f t="shared" si="20"/>
        <v>18</v>
      </c>
      <c r="V137" s="17">
        <f t="shared" si="20"/>
        <v>19</v>
      </c>
      <c r="W137" s="97">
        <f t="shared" si="20"/>
        <v>20</v>
      </c>
      <c r="X137" s="61"/>
      <c r="Y137" s="61"/>
      <c r="Z137" s="61"/>
      <c r="AA137" s="61"/>
    </row>
    <row r="138" spans="1:27" ht="15.4">
      <c r="A138" s="61"/>
      <c r="B138" s="66" t="s">
        <v>233</v>
      </c>
      <c r="C138" s="67"/>
      <c r="D138" s="67"/>
      <c r="E138" s="67"/>
      <c r="F138" s="67"/>
      <c r="G138" s="67"/>
      <c r="H138" s="67"/>
      <c r="I138" s="67"/>
      <c r="J138" s="67"/>
      <c r="K138" s="67"/>
      <c r="L138" s="67"/>
      <c r="M138" s="67"/>
      <c r="N138" s="67"/>
      <c r="O138" s="67"/>
      <c r="P138" s="67"/>
      <c r="Q138" s="67"/>
      <c r="R138" s="67"/>
      <c r="S138" s="67"/>
      <c r="T138" s="67"/>
      <c r="U138" s="67"/>
      <c r="V138" s="67"/>
      <c r="W138" s="98"/>
      <c r="X138" s="61"/>
      <c r="Y138" s="61"/>
      <c r="Z138" s="61"/>
      <c r="AA138" s="61"/>
    </row>
    <row r="139" spans="1:27" ht="15.4">
      <c r="A139" s="61"/>
      <c r="B139" s="66" t="s">
        <v>234</v>
      </c>
      <c r="C139" s="67"/>
      <c r="D139" s="67"/>
      <c r="E139" s="67"/>
      <c r="F139" s="67"/>
      <c r="G139" s="67"/>
      <c r="H139" s="67"/>
      <c r="I139" s="67"/>
      <c r="J139" s="67"/>
      <c r="K139" s="67"/>
      <c r="L139" s="67"/>
      <c r="M139" s="67"/>
      <c r="N139" s="67"/>
      <c r="O139" s="67"/>
      <c r="P139" s="67"/>
      <c r="Q139" s="67"/>
      <c r="R139" s="67"/>
      <c r="S139" s="67"/>
      <c r="T139" s="67"/>
      <c r="U139" s="67"/>
      <c r="V139" s="67"/>
      <c r="W139" s="98"/>
      <c r="X139" s="61"/>
      <c r="Y139" s="61"/>
      <c r="Z139" s="61"/>
      <c r="AA139" s="61"/>
    </row>
    <row r="140" spans="1:27" ht="15.4">
      <c r="A140" s="61"/>
      <c r="B140" s="66" t="s">
        <v>235</v>
      </c>
      <c r="C140" s="67"/>
      <c r="D140" s="67"/>
      <c r="E140" s="67"/>
      <c r="F140" s="67"/>
      <c r="G140" s="67"/>
      <c r="H140" s="67"/>
      <c r="I140" s="67"/>
      <c r="J140" s="67"/>
      <c r="K140" s="67"/>
      <c r="L140" s="67"/>
      <c r="M140" s="67"/>
      <c r="N140" s="67"/>
      <c r="O140" s="67"/>
      <c r="P140" s="67"/>
      <c r="Q140" s="67"/>
      <c r="R140" s="67"/>
      <c r="S140" s="67"/>
      <c r="T140" s="67"/>
      <c r="U140" s="67"/>
      <c r="V140" s="67"/>
      <c r="W140" s="98"/>
      <c r="X140" s="61"/>
      <c r="Y140" s="61"/>
      <c r="Z140" s="61"/>
      <c r="AA140" s="61"/>
    </row>
    <row r="141" spans="1:27" ht="15.4">
      <c r="A141" s="61"/>
      <c r="B141" s="66" t="s">
        <v>236</v>
      </c>
      <c r="C141" s="67"/>
      <c r="D141" s="67"/>
      <c r="E141" s="67"/>
      <c r="F141" s="67"/>
      <c r="G141" s="67"/>
      <c r="H141" s="67"/>
      <c r="I141" s="67"/>
      <c r="J141" s="67"/>
      <c r="K141" s="67"/>
      <c r="L141" s="67"/>
      <c r="M141" s="67"/>
      <c r="N141" s="67"/>
      <c r="O141" s="67"/>
      <c r="P141" s="67"/>
      <c r="Q141" s="67"/>
      <c r="R141" s="67"/>
      <c r="S141" s="67"/>
      <c r="T141" s="67"/>
      <c r="U141" s="67"/>
      <c r="V141" s="67"/>
      <c r="W141" s="98"/>
      <c r="X141" s="61"/>
      <c r="Y141" s="61"/>
      <c r="Z141" s="61"/>
      <c r="AA141" s="61"/>
    </row>
    <row r="142" spans="1:27" ht="15.4">
      <c r="A142" s="61"/>
      <c r="B142" s="68" t="s">
        <v>237</v>
      </c>
      <c r="C142" s="69"/>
      <c r="D142" s="69"/>
      <c r="E142" s="69"/>
      <c r="F142" s="69"/>
      <c r="G142" s="69"/>
      <c r="H142" s="69"/>
      <c r="I142" s="69"/>
      <c r="J142" s="69"/>
      <c r="K142" s="69"/>
      <c r="L142" s="69"/>
      <c r="M142" s="69"/>
      <c r="N142" s="69"/>
      <c r="O142" s="69"/>
      <c r="P142" s="69"/>
      <c r="Q142" s="69"/>
      <c r="R142" s="69"/>
      <c r="S142" s="69"/>
      <c r="T142" s="69"/>
      <c r="U142" s="69"/>
      <c r="V142" s="69"/>
      <c r="W142" s="99"/>
      <c r="X142" s="61"/>
      <c r="Y142" s="61"/>
      <c r="Z142" s="61"/>
      <c r="AA142" s="61"/>
    </row>
    <row r="143" spans="1:27" ht="15.4">
      <c r="A143" s="61"/>
      <c r="B143" s="68" t="s">
        <v>238</v>
      </c>
      <c r="C143" s="69"/>
      <c r="D143" s="69"/>
      <c r="E143" s="69"/>
      <c r="F143" s="69"/>
      <c r="G143" s="69"/>
      <c r="H143" s="69"/>
      <c r="I143" s="69"/>
      <c r="J143" s="69"/>
      <c r="K143" s="69"/>
      <c r="L143" s="69"/>
      <c r="M143" s="69"/>
      <c r="N143" s="69"/>
      <c r="O143" s="69"/>
      <c r="P143" s="69"/>
      <c r="Q143" s="69"/>
      <c r="R143" s="69"/>
      <c r="S143" s="69"/>
      <c r="T143" s="69"/>
      <c r="U143" s="69"/>
      <c r="V143" s="69"/>
      <c r="W143" s="99"/>
      <c r="X143" s="61"/>
      <c r="Y143" s="61"/>
      <c r="Z143" s="61"/>
      <c r="AA143" s="61"/>
    </row>
    <row r="144" spans="1:27" ht="15.4">
      <c r="A144" s="61"/>
      <c r="B144" s="68" t="s">
        <v>239</v>
      </c>
      <c r="C144" s="70"/>
      <c r="D144" s="70"/>
      <c r="E144" s="70"/>
      <c r="F144" s="70"/>
      <c r="G144" s="70"/>
      <c r="H144" s="70"/>
      <c r="I144" s="70"/>
      <c r="J144" s="70"/>
      <c r="K144" s="70"/>
      <c r="L144" s="70"/>
      <c r="M144" s="70"/>
      <c r="N144" s="70"/>
      <c r="O144" s="70"/>
      <c r="P144" s="70"/>
      <c r="Q144" s="70"/>
      <c r="R144" s="70"/>
      <c r="S144" s="70"/>
      <c r="T144" s="70"/>
      <c r="U144" s="70"/>
      <c r="V144" s="70"/>
      <c r="W144" s="100"/>
      <c r="X144" s="61"/>
      <c r="Y144" s="61"/>
      <c r="Z144" s="61"/>
      <c r="AA144" s="61"/>
    </row>
    <row r="145" spans="1:27" ht="15.4">
      <c r="A145" s="61"/>
      <c r="B145" s="68" t="s">
        <v>240</v>
      </c>
      <c r="C145" s="71"/>
      <c r="D145" s="71"/>
      <c r="E145" s="71"/>
      <c r="F145" s="71"/>
      <c r="G145" s="71"/>
      <c r="H145" s="71"/>
      <c r="I145" s="71"/>
      <c r="J145" s="71"/>
      <c r="K145" s="71"/>
      <c r="L145" s="71"/>
      <c r="M145" s="71"/>
      <c r="N145" s="71"/>
      <c r="O145" s="71"/>
      <c r="P145" s="71"/>
      <c r="Q145" s="71"/>
      <c r="R145" s="71"/>
      <c r="S145" s="71"/>
      <c r="T145" s="71"/>
      <c r="U145" s="71"/>
      <c r="V145" s="71"/>
      <c r="W145" s="101"/>
      <c r="X145" s="61"/>
      <c r="Y145" s="61"/>
      <c r="Z145" s="61"/>
      <c r="AA145" s="61"/>
    </row>
    <row r="146" spans="1:27" ht="15.4">
      <c r="A146" s="61"/>
      <c r="B146" s="68" t="s">
        <v>241</v>
      </c>
      <c r="C146" s="71"/>
      <c r="D146" s="71"/>
      <c r="E146" s="71"/>
      <c r="F146" s="71"/>
      <c r="G146" s="71"/>
      <c r="H146" s="71"/>
      <c r="I146" s="71"/>
      <c r="J146" s="71"/>
      <c r="K146" s="71"/>
      <c r="L146" s="71"/>
      <c r="M146" s="71"/>
      <c r="N146" s="71"/>
      <c r="O146" s="71"/>
      <c r="P146" s="71"/>
      <c r="Q146" s="71"/>
      <c r="R146" s="71"/>
      <c r="S146" s="71"/>
      <c r="T146" s="71"/>
      <c r="U146" s="71"/>
      <c r="V146" s="71"/>
      <c r="W146" s="101"/>
      <c r="X146" s="61"/>
      <c r="Y146" s="61"/>
      <c r="Z146" s="61"/>
      <c r="AA146" s="61"/>
    </row>
    <row r="147" spans="1:27" ht="15.4">
      <c r="A147" s="61"/>
      <c r="B147" s="68" t="s">
        <v>242</v>
      </c>
      <c r="C147" s="67"/>
      <c r="D147" s="67"/>
      <c r="E147" s="67"/>
      <c r="F147" s="67"/>
      <c r="G147" s="67"/>
      <c r="H147" s="67"/>
      <c r="I147" s="67"/>
      <c r="J147" s="67"/>
      <c r="K147" s="67"/>
      <c r="L147" s="67"/>
      <c r="M147" s="67"/>
      <c r="N147" s="67"/>
      <c r="O147" s="67"/>
      <c r="P147" s="67"/>
      <c r="Q147" s="67"/>
      <c r="R147" s="67"/>
      <c r="S147" s="67"/>
      <c r="T147" s="67"/>
      <c r="U147" s="67"/>
      <c r="V147" s="67"/>
      <c r="W147" s="98"/>
      <c r="X147" s="61"/>
      <c r="Y147" s="61"/>
      <c r="Z147" s="61"/>
      <c r="AA147" s="61"/>
    </row>
    <row r="148" spans="1:27" ht="15.4">
      <c r="A148" s="61"/>
      <c r="B148" s="68" t="s">
        <v>243</v>
      </c>
      <c r="C148" s="67"/>
      <c r="D148" s="67"/>
      <c r="E148" s="67"/>
      <c r="F148" s="67"/>
      <c r="G148" s="67"/>
      <c r="H148" s="67"/>
      <c r="I148" s="67"/>
      <c r="J148" s="67"/>
      <c r="K148" s="67"/>
      <c r="L148" s="67"/>
      <c r="M148" s="67"/>
      <c r="N148" s="67"/>
      <c r="O148" s="67"/>
      <c r="P148" s="67"/>
      <c r="Q148" s="67"/>
      <c r="R148" s="67"/>
      <c r="S148" s="67"/>
      <c r="T148" s="67"/>
      <c r="U148" s="67"/>
      <c r="V148" s="67"/>
      <c r="W148" s="98"/>
      <c r="X148" s="61"/>
      <c r="Y148" s="61"/>
      <c r="Z148" s="61"/>
      <c r="AA148" s="61"/>
    </row>
    <row r="149" spans="1:27" ht="15.4">
      <c r="A149" s="61"/>
      <c r="B149" s="72" t="s">
        <v>244</v>
      </c>
      <c r="C149" s="73"/>
      <c r="D149" s="73"/>
      <c r="E149" s="73"/>
      <c r="F149" s="73"/>
      <c r="G149" s="73"/>
      <c r="H149" s="73"/>
      <c r="I149" s="73"/>
      <c r="J149" s="73"/>
      <c r="K149" s="73"/>
      <c r="L149" s="73"/>
      <c r="M149" s="73"/>
      <c r="N149" s="73"/>
      <c r="O149" s="73"/>
      <c r="P149" s="73"/>
      <c r="Q149" s="73"/>
      <c r="R149" s="73"/>
      <c r="S149" s="73"/>
      <c r="T149" s="73"/>
      <c r="U149" s="73"/>
      <c r="V149" s="73"/>
      <c r="W149" s="102"/>
      <c r="X149" s="61"/>
      <c r="Y149" s="61"/>
      <c r="Z149" s="61"/>
      <c r="AA149" s="61"/>
    </row>
    <row r="150" spans="1:27" ht="15.4">
      <c r="A150" s="61"/>
      <c r="B150" s="74" t="s">
        <v>245</v>
      </c>
      <c r="C150" s="75"/>
      <c r="D150" s="75"/>
      <c r="E150" s="75"/>
      <c r="F150" s="75"/>
      <c r="G150" s="75"/>
      <c r="H150" s="75"/>
      <c r="I150" s="75"/>
      <c r="J150" s="75"/>
      <c r="K150" s="75"/>
      <c r="L150" s="75"/>
      <c r="M150" s="75"/>
      <c r="N150" s="75"/>
      <c r="O150" s="75"/>
      <c r="P150" s="75"/>
      <c r="Q150" s="75"/>
      <c r="R150" s="75"/>
      <c r="S150" s="75"/>
      <c r="T150" s="75"/>
      <c r="U150" s="75"/>
      <c r="V150" s="75"/>
      <c r="W150" s="103"/>
      <c r="X150" s="61"/>
      <c r="Y150" s="61"/>
      <c r="Z150" s="61"/>
      <c r="AA150" s="61"/>
    </row>
    <row r="151" spans="1:27" ht="15.75">
      <c r="A151" s="1"/>
      <c r="B151" s="60"/>
      <c r="C151" s="60"/>
      <c r="D151" s="60"/>
      <c r="E151" s="60"/>
      <c r="F151" s="1"/>
      <c r="G151" s="1"/>
      <c r="H151" s="1"/>
      <c r="I151" s="1"/>
      <c r="J151" s="1"/>
      <c r="K151" s="1"/>
      <c r="L151" s="1"/>
      <c r="M151" s="1"/>
      <c r="N151" s="1"/>
      <c r="O151" s="1"/>
      <c r="P151" s="1"/>
      <c r="Q151" s="1"/>
      <c r="R151" s="1"/>
      <c r="S151" s="1"/>
      <c r="T151" s="1"/>
      <c r="U151" s="1"/>
      <c r="V151" s="1"/>
      <c r="W151" s="1"/>
      <c r="X151" s="1"/>
      <c r="Y151" s="1"/>
      <c r="Z151" s="1"/>
      <c r="AA151" s="1"/>
    </row>
    <row r="152" spans="1:27" ht="15.75">
      <c r="A152" s="1"/>
      <c r="B152" s="76" t="s">
        <v>246</v>
      </c>
      <c r="C152" s="76" t="s">
        <v>30</v>
      </c>
      <c r="D152" s="76" t="s">
        <v>31</v>
      </c>
      <c r="E152" s="60"/>
      <c r="F152" s="1"/>
      <c r="G152" s="1"/>
      <c r="H152" s="1"/>
      <c r="I152" s="1"/>
      <c r="J152" s="1"/>
      <c r="K152" s="1"/>
      <c r="L152" s="1"/>
      <c r="M152" s="1"/>
      <c r="N152" s="1"/>
      <c r="O152" s="1"/>
      <c r="P152" s="1"/>
      <c r="Q152" s="1"/>
      <c r="R152" s="1"/>
      <c r="S152" s="1"/>
      <c r="T152" s="1"/>
      <c r="U152" s="1"/>
      <c r="V152" s="1"/>
      <c r="W152" s="1"/>
      <c r="X152" s="1"/>
      <c r="Y152" s="1"/>
      <c r="Z152" s="1"/>
      <c r="AA152" s="1"/>
    </row>
    <row r="153" spans="1:27" ht="15.75">
      <c r="A153" s="1"/>
      <c r="B153" s="76" t="s">
        <v>247</v>
      </c>
      <c r="C153" s="77">
        <f>SUM(C149:W149)</f>
        <v>0</v>
      </c>
      <c r="D153" s="77">
        <f>SUM(C150:W150)</f>
        <v>0</v>
      </c>
      <c r="E153" s="60"/>
      <c r="F153" s="1"/>
      <c r="G153" s="1"/>
      <c r="H153" s="1"/>
      <c r="I153" s="1"/>
      <c r="J153" s="1"/>
      <c r="K153" s="1"/>
      <c r="L153" s="1"/>
      <c r="M153" s="1"/>
      <c r="N153" s="1"/>
      <c r="O153" s="1"/>
      <c r="P153" s="1"/>
      <c r="Q153" s="1"/>
      <c r="R153" s="1"/>
      <c r="S153" s="1"/>
      <c r="T153" s="1"/>
      <c r="U153" s="1"/>
      <c r="V153" s="1"/>
      <c r="W153" s="1"/>
      <c r="X153" s="1"/>
      <c r="Y153" s="1"/>
      <c r="Z153" s="1"/>
      <c r="AA153" s="1"/>
    </row>
    <row r="154" spans="1:27" ht="15.75">
      <c r="A154" s="1"/>
      <c r="B154" s="76" t="s">
        <v>29</v>
      </c>
      <c r="C154" s="78" t="e">
        <f>C120</f>
        <v>#NUM!</v>
      </c>
      <c r="D154" s="78" t="e">
        <f>C125</f>
        <v>#NUM!</v>
      </c>
      <c r="E154" s="60"/>
      <c r="F154" s="1"/>
      <c r="G154" s="1"/>
      <c r="H154" s="1"/>
      <c r="I154" s="1"/>
      <c r="J154" s="1"/>
      <c r="K154" s="1"/>
      <c r="L154" s="1"/>
      <c r="M154" s="1"/>
      <c r="N154" s="1"/>
      <c r="O154" s="1"/>
      <c r="P154" s="1"/>
      <c r="Q154" s="1"/>
      <c r="R154" s="1"/>
      <c r="S154" s="1"/>
      <c r="T154" s="1"/>
      <c r="U154" s="1"/>
      <c r="V154" s="1"/>
      <c r="W154" s="1"/>
      <c r="X154" s="1"/>
      <c r="Y154" s="1"/>
      <c r="Z154" s="1"/>
      <c r="AA154" s="1"/>
    </row>
    <row r="155" spans="1:27" ht="15.75" hidden="1">
      <c r="A155" s="1"/>
      <c r="B155" s="76" t="s">
        <v>276</v>
      </c>
      <c r="C155" s="79"/>
      <c r="D155" s="80"/>
      <c r="E155" s="60"/>
      <c r="F155" s="1"/>
      <c r="G155" s="1"/>
      <c r="H155" s="1"/>
      <c r="I155" s="1"/>
      <c r="J155" s="1"/>
      <c r="K155" s="1"/>
      <c r="L155" s="1"/>
      <c r="M155" s="1"/>
      <c r="N155" s="1"/>
      <c r="O155" s="1"/>
      <c r="P155" s="1"/>
      <c r="Q155" s="1"/>
      <c r="R155" s="1"/>
      <c r="S155" s="1"/>
      <c r="T155" s="1"/>
      <c r="U155" s="1"/>
      <c r="V155" s="1"/>
      <c r="W155" s="1"/>
      <c r="X155" s="1"/>
      <c r="Y155" s="1"/>
      <c r="Z155" s="1"/>
      <c r="AA155" s="1"/>
    </row>
    <row r="156" spans="1:27" ht="15.75">
      <c r="A156" s="1"/>
      <c r="B156" s="81" t="s">
        <v>248</v>
      </c>
      <c r="C156" s="82" t="e">
        <f t="array" ref="C156">(NPV($C$146,E71:W71)+D71)/(NPV(C146,D75:W75)+C75)</f>
        <v>#DIV/0!</v>
      </c>
      <c r="D156" s="80"/>
      <c r="E156" s="60"/>
      <c r="F156" s="1"/>
      <c r="G156" s="1"/>
      <c r="H156" s="1"/>
      <c r="I156" s="1"/>
      <c r="J156" s="1"/>
      <c r="K156" s="1"/>
      <c r="L156" s="1"/>
      <c r="M156" s="1"/>
      <c r="N156" s="1"/>
      <c r="O156" s="1"/>
      <c r="P156" s="1"/>
      <c r="Q156" s="1"/>
      <c r="R156" s="1"/>
      <c r="S156" s="1"/>
      <c r="T156" s="1"/>
      <c r="U156" s="1"/>
      <c r="V156" s="1"/>
      <c r="W156" s="1"/>
      <c r="X156" s="1"/>
      <c r="Y156" s="1"/>
      <c r="Z156" s="1"/>
      <c r="AA156" s="1"/>
    </row>
    <row r="157" spans="1:27" ht="15.75">
      <c r="A157" s="1"/>
      <c r="B157" s="60"/>
      <c r="C157" s="60"/>
      <c r="D157" s="60"/>
      <c r="E157" s="60"/>
      <c r="F157" s="1"/>
      <c r="G157" s="1"/>
      <c r="H157" s="1"/>
      <c r="I157" s="1"/>
      <c r="J157" s="1"/>
      <c r="K157" s="1"/>
      <c r="L157" s="1"/>
      <c r="M157" s="1"/>
      <c r="N157" s="1"/>
      <c r="O157" s="1"/>
      <c r="P157" s="1"/>
      <c r="Q157" s="1"/>
      <c r="R157" s="1"/>
      <c r="S157" s="1"/>
      <c r="T157" s="1"/>
      <c r="U157" s="1"/>
      <c r="V157" s="1"/>
      <c r="W157" s="1"/>
      <c r="X157" s="1"/>
      <c r="Y157" s="1"/>
      <c r="Z157" s="1"/>
      <c r="AA157" s="1"/>
    </row>
    <row r="158" spans="1:27" ht="15.75">
      <c r="A158" s="1"/>
      <c r="B158" s="60"/>
      <c r="C158" s="60"/>
      <c r="D158" s="60"/>
      <c r="E158" s="60"/>
      <c r="F158" s="1"/>
      <c r="G158" s="1"/>
      <c r="H158" s="1"/>
      <c r="I158" s="1"/>
      <c r="J158" s="1"/>
      <c r="K158" s="1"/>
      <c r="L158" s="1"/>
      <c r="M158" s="1"/>
      <c r="N158" s="1"/>
      <c r="O158" s="1"/>
      <c r="P158" s="1"/>
      <c r="Q158" s="1"/>
      <c r="R158" s="1"/>
      <c r="S158" s="1"/>
      <c r="T158" s="1"/>
      <c r="U158" s="1"/>
      <c r="V158" s="1"/>
      <c r="W158" s="1"/>
      <c r="X158" s="1"/>
      <c r="Y158" s="1"/>
      <c r="Z158" s="1"/>
      <c r="AA158" s="1"/>
    </row>
    <row r="159" spans="1:27" ht="15.75">
      <c r="A159" s="42">
        <v>2</v>
      </c>
      <c r="B159" s="83" t="s">
        <v>19</v>
      </c>
      <c r="C159" s="60"/>
      <c r="D159" s="60"/>
      <c r="E159" s="60"/>
      <c r="F159" s="1"/>
      <c r="G159" s="1"/>
      <c r="H159" s="1"/>
      <c r="I159" s="1"/>
      <c r="J159" s="1"/>
      <c r="K159" s="1"/>
      <c r="L159" s="1"/>
      <c r="M159" s="1"/>
      <c r="N159" s="1"/>
      <c r="O159" s="1"/>
      <c r="P159" s="1"/>
      <c r="Q159" s="1"/>
      <c r="R159" s="1"/>
      <c r="S159" s="1"/>
      <c r="T159" s="1"/>
      <c r="U159" s="1"/>
      <c r="V159" s="1"/>
      <c r="W159" s="1"/>
      <c r="X159" s="1"/>
      <c r="Y159" s="1"/>
      <c r="Z159" s="1"/>
      <c r="AA159" s="1"/>
    </row>
    <row r="160" spans="1:27" ht="15.75">
      <c r="A160" s="1"/>
      <c r="B160" s="60"/>
      <c r="C160" s="60"/>
      <c r="D160" s="60"/>
      <c r="E160" s="60"/>
      <c r="F160" s="1"/>
      <c r="G160" s="1"/>
      <c r="H160" s="1"/>
      <c r="I160" s="1"/>
      <c r="J160" s="1"/>
      <c r="K160" s="1"/>
      <c r="L160" s="1"/>
      <c r="M160" s="1"/>
      <c r="N160" s="1"/>
      <c r="O160" s="1"/>
      <c r="P160" s="1"/>
      <c r="Q160" s="1"/>
      <c r="R160" s="1"/>
      <c r="S160" s="1"/>
      <c r="T160" s="1"/>
      <c r="U160" s="1"/>
      <c r="V160" s="1"/>
      <c r="W160" s="1"/>
      <c r="X160" s="1"/>
      <c r="Y160" s="1"/>
      <c r="Z160" s="1"/>
      <c r="AA160" s="1"/>
    </row>
    <row r="161" spans="1:27" ht="15.4">
      <c r="A161" s="1"/>
      <c r="B161" s="5" t="s">
        <v>173</v>
      </c>
      <c r="C161" s="6">
        <v>2007</v>
      </c>
      <c r="D161" s="6">
        <v>2008</v>
      </c>
      <c r="E161" s="6">
        <v>2009</v>
      </c>
      <c r="F161" s="6">
        <v>2010</v>
      </c>
      <c r="G161" s="6">
        <v>2011</v>
      </c>
      <c r="H161" s="6">
        <v>2012</v>
      </c>
      <c r="I161" s="6">
        <v>2013</v>
      </c>
      <c r="J161" s="6">
        <v>2014</v>
      </c>
      <c r="K161" s="6">
        <v>2015</v>
      </c>
      <c r="L161" s="6">
        <v>2016</v>
      </c>
      <c r="M161" s="6">
        <v>2017</v>
      </c>
      <c r="N161" s="6">
        <v>2018</v>
      </c>
      <c r="O161" s="6">
        <v>2019</v>
      </c>
      <c r="P161" s="6">
        <v>2020</v>
      </c>
      <c r="Q161" s="6">
        <v>2021</v>
      </c>
      <c r="R161" s="6">
        <v>2022</v>
      </c>
      <c r="S161" s="6">
        <v>2023</v>
      </c>
      <c r="T161" s="6">
        <v>2024</v>
      </c>
      <c r="U161" s="6">
        <v>2025</v>
      </c>
      <c r="V161" s="6">
        <v>2026</v>
      </c>
      <c r="W161" s="6">
        <v>2027</v>
      </c>
      <c r="X161" s="1"/>
      <c r="Y161" s="1"/>
      <c r="Z161" s="1"/>
      <c r="AA161" s="1"/>
    </row>
    <row r="162" spans="1:27" ht="15.4">
      <c r="A162" s="1"/>
      <c r="B162" s="7" t="s">
        <v>159</v>
      </c>
      <c r="C162" s="8">
        <v>0</v>
      </c>
      <c r="D162" s="8">
        <v>1</v>
      </c>
      <c r="E162" s="8">
        <v>2</v>
      </c>
      <c r="F162" s="8">
        <v>3</v>
      </c>
      <c r="G162" s="8">
        <v>4</v>
      </c>
      <c r="H162" s="8">
        <v>5</v>
      </c>
      <c r="I162" s="8">
        <v>6</v>
      </c>
      <c r="J162" s="8">
        <v>7</v>
      </c>
      <c r="K162" s="8">
        <v>8</v>
      </c>
      <c r="L162" s="8">
        <v>9</v>
      </c>
      <c r="M162" s="8">
        <v>10</v>
      </c>
      <c r="N162" s="8">
        <v>11</v>
      </c>
      <c r="O162" s="8">
        <v>12</v>
      </c>
      <c r="P162" s="8">
        <v>13</v>
      </c>
      <c r="Q162" s="8">
        <v>14</v>
      </c>
      <c r="R162" s="8">
        <v>15</v>
      </c>
      <c r="S162" s="8">
        <v>16</v>
      </c>
      <c r="T162" s="8">
        <v>17</v>
      </c>
      <c r="U162" s="8">
        <v>18</v>
      </c>
      <c r="V162" s="8">
        <v>19</v>
      </c>
      <c r="W162" s="8">
        <v>20</v>
      </c>
      <c r="X162" s="1"/>
      <c r="Y162" s="1"/>
      <c r="Z162" s="1"/>
      <c r="AA162" s="1"/>
    </row>
    <row r="163" spans="1:27" ht="15.4">
      <c r="A163" s="1"/>
      <c r="B163" s="1" t="s">
        <v>172</v>
      </c>
      <c r="C163" s="1"/>
      <c r="D163" s="9"/>
      <c r="E163" s="9"/>
      <c r="F163" s="9"/>
      <c r="G163" s="9"/>
      <c r="H163" s="9"/>
      <c r="I163" s="9"/>
      <c r="J163" s="9"/>
      <c r="K163" s="9"/>
      <c r="L163" s="9"/>
      <c r="M163" s="9"/>
      <c r="N163" s="9"/>
      <c r="O163" s="9"/>
      <c r="P163" s="9"/>
      <c r="Q163" s="9"/>
      <c r="R163" s="9"/>
      <c r="S163" s="9"/>
      <c r="T163" s="9"/>
      <c r="U163" s="9"/>
      <c r="V163" s="9"/>
      <c r="W163" s="9"/>
      <c r="X163" s="1"/>
      <c r="Y163" s="1"/>
      <c r="Z163" s="1"/>
      <c r="AA163" s="1"/>
    </row>
    <row r="164" spans="1:27" ht="15.4">
      <c r="A164" s="1"/>
      <c r="B164" s="1" t="s">
        <v>104</v>
      </c>
      <c r="C164" s="1"/>
      <c r="D164" s="12"/>
      <c r="E164" s="12"/>
      <c r="F164" s="12"/>
      <c r="G164" s="12"/>
      <c r="H164" s="12"/>
      <c r="I164" s="12"/>
      <c r="J164" s="12"/>
      <c r="K164" s="12"/>
      <c r="L164" s="12"/>
      <c r="M164" s="12"/>
      <c r="N164" s="12"/>
      <c r="O164" s="12"/>
      <c r="P164" s="12"/>
      <c r="Q164" s="12"/>
      <c r="R164" s="12"/>
      <c r="S164" s="12"/>
      <c r="T164" s="12"/>
      <c r="U164" s="12"/>
      <c r="V164" s="12"/>
      <c r="W164" s="12"/>
      <c r="X164" s="1"/>
      <c r="Y164" s="1"/>
      <c r="Z164" s="1"/>
      <c r="AA164" s="1"/>
    </row>
    <row r="165" spans="1:27" ht="15.4">
      <c r="A165" s="1"/>
      <c r="B165" s="1" t="s">
        <v>107</v>
      </c>
      <c r="C165" s="1"/>
      <c r="D165" s="12"/>
      <c r="E165" s="12"/>
      <c r="F165" s="12"/>
      <c r="G165" s="12"/>
      <c r="H165" s="12"/>
      <c r="I165" s="12"/>
      <c r="J165" s="12"/>
      <c r="K165" s="12"/>
      <c r="L165" s="12"/>
      <c r="M165" s="12"/>
      <c r="N165" s="12"/>
      <c r="O165" s="12"/>
      <c r="P165" s="12"/>
      <c r="Q165" s="12"/>
      <c r="R165" s="12"/>
      <c r="S165" s="12"/>
      <c r="T165" s="12"/>
      <c r="U165" s="12"/>
      <c r="V165" s="12"/>
      <c r="W165" s="12"/>
      <c r="X165" s="1"/>
      <c r="Y165" s="1"/>
      <c r="Z165" s="1"/>
      <c r="AA165" s="1"/>
    </row>
    <row r="166" spans="1:27" ht="15.4">
      <c r="A166" s="1"/>
      <c r="B166" s="1" t="s">
        <v>110</v>
      </c>
      <c r="C166" s="1"/>
      <c r="D166" s="12"/>
      <c r="E166" s="12"/>
      <c r="F166" s="12"/>
      <c r="G166" s="12"/>
      <c r="H166" s="12"/>
      <c r="I166" s="12"/>
      <c r="J166" s="12"/>
      <c r="K166" s="12"/>
      <c r="L166" s="12"/>
      <c r="M166" s="12"/>
      <c r="N166" s="12"/>
      <c r="O166" s="12"/>
      <c r="P166" s="12"/>
      <c r="Q166" s="12"/>
      <c r="R166" s="12"/>
      <c r="S166" s="12"/>
      <c r="T166" s="12"/>
      <c r="U166" s="12"/>
      <c r="V166" s="12"/>
      <c r="W166" s="12"/>
      <c r="X166" s="1"/>
      <c r="Y166" s="1"/>
      <c r="Z166" s="1"/>
      <c r="AA166" s="1"/>
    </row>
    <row r="167" spans="1:27" ht="15.4">
      <c r="A167" s="1"/>
      <c r="B167" s="1" t="s">
        <v>112</v>
      </c>
      <c r="C167" s="1"/>
      <c r="D167" s="12"/>
      <c r="E167" s="12"/>
      <c r="F167" s="12"/>
      <c r="G167" s="12"/>
      <c r="H167" s="12"/>
      <c r="I167" s="12"/>
      <c r="J167" s="12"/>
      <c r="K167" s="12"/>
      <c r="L167" s="12"/>
      <c r="M167" s="12"/>
      <c r="N167" s="12"/>
      <c r="O167" s="12"/>
      <c r="P167" s="12"/>
      <c r="Q167" s="12"/>
      <c r="R167" s="12"/>
      <c r="S167" s="12"/>
      <c r="T167" s="12"/>
      <c r="U167" s="12"/>
      <c r="V167" s="12"/>
      <c r="W167" s="12"/>
      <c r="X167" s="1"/>
      <c r="Y167" s="1"/>
      <c r="Z167" s="1"/>
      <c r="AA167" s="1"/>
    </row>
    <row r="168" spans="1:27" ht="15.4">
      <c r="A168" s="1"/>
      <c r="B168" s="1" t="s">
        <v>115</v>
      </c>
      <c r="C168" s="1"/>
      <c r="D168" s="12"/>
      <c r="E168" s="12"/>
      <c r="F168" s="12"/>
      <c r="G168" s="12"/>
      <c r="H168" s="12"/>
      <c r="I168" s="12"/>
      <c r="J168" s="12"/>
      <c r="K168" s="12"/>
      <c r="L168" s="12"/>
      <c r="M168" s="12"/>
      <c r="N168" s="12"/>
      <c r="O168" s="12"/>
      <c r="P168" s="12"/>
      <c r="Q168" s="12"/>
      <c r="R168" s="12"/>
      <c r="S168" s="12"/>
      <c r="T168" s="12"/>
      <c r="U168" s="12"/>
      <c r="V168" s="12"/>
      <c r="W168" s="12"/>
      <c r="X168" s="1"/>
      <c r="Y168" s="1"/>
      <c r="Z168" s="1"/>
      <c r="AA168" s="1"/>
    </row>
    <row r="169" spans="1:27" ht="15.4">
      <c r="A169" s="1"/>
      <c r="B169" s="1" t="s">
        <v>174</v>
      </c>
      <c r="C169" s="1"/>
      <c r="D169" s="12"/>
      <c r="E169" s="12"/>
      <c r="F169" s="12"/>
      <c r="G169" s="12"/>
      <c r="H169" s="12"/>
      <c r="I169" s="12"/>
      <c r="J169" s="12"/>
      <c r="K169" s="12"/>
      <c r="L169" s="12"/>
      <c r="M169" s="12"/>
      <c r="N169" s="12"/>
      <c r="O169" s="12"/>
      <c r="P169" s="12"/>
      <c r="Q169" s="12"/>
      <c r="R169" s="12"/>
      <c r="S169" s="12"/>
      <c r="T169" s="12"/>
      <c r="U169" s="12"/>
      <c r="V169" s="12"/>
      <c r="W169" s="12"/>
      <c r="X169" s="1"/>
      <c r="Y169" s="1"/>
      <c r="Z169" s="1"/>
      <c r="AA169" s="1"/>
    </row>
    <row r="170" spans="1:27" ht="15.4">
      <c r="A170" s="1"/>
      <c r="B170" s="1" t="s">
        <v>119</v>
      </c>
      <c r="C170" s="1"/>
      <c r="D170" s="12"/>
      <c r="E170" s="12"/>
      <c r="F170" s="12"/>
      <c r="G170" s="12"/>
      <c r="H170" s="12"/>
      <c r="I170" s="12"/>
      <c r="J170" s="12"/>
      <c r="K170" s="12"/>
      <c r="L170" s="12"/>
      <c r="M170" s="12"/>
      <c r="N170" s="12"/>
      <c r="O170" s="12"/>
      <c r="P170" s="12"/>
      <c r="Q170" s="12"/>
      <c r="R170" s="12"/>
      <c r="S170" s="12"/>
      <c r="T170" s="12"/>
      <c r="U170" s="12"/>
      <c r="V170" s="12"/>
      <c r="W170" s="12"/>
      <c r="X170" s="1"/>
      <c r="Y170" s="1"/>
      <c r="Z170" s="1"/>
      <c r="AA170" s="1"/>
    </row>
    <row r="171" spans="1:27" ht="15.4">
      <c r="A171" s="1"/>
      <c r="B171" s="1" t="s">
        <v>121</v>
      </c>
      <c r="C171" s="1"/>
      <c r="D171" s="12"/>
      <c r="E171" s="12"/>
      <c r="F171" s="12"/>
      <c r="G171" s="12"/>
      <c r="H171" s="12"/>
      <c r="I171" s="12"/>
      <c r="J171" s="12"/>
      <c r="K171" s="12"/>
      <c r="L171" s="12"/>
      <c r="M171" s="12"/>
      <c r="N171" s="12"/>
      <c r="O171" s="12"/>
      <c r="P171" s="12"/>
      <c r="Q171" s="12"/>
      <c r="R171" s="12"/>
      <c r="S171" s="12"/>
      <c r="T171" s="12"/>
      <c r="U171" s="12"/>
      <c r="V171" s="12"/>
      <c r="W171" s="12"/>
      <c r="X171" s="1"/>
      <c r="Y171" s="1"/>
      <c r="Z171" s="1"/>
      <c r="AA171" s="1"/>
    </row>
    <row r="172" spans="1:27" ht="15.4">
      <c r="A172" s="1"/>
      <c r="B172" s="13" t="s">
        <v>143</v>
      </c>
      <c r="C172" s="13"/>
      <c r="D172" s="14"/>
      <c r="E172" s="14"/>
      <c r="F172" s="14"/>
      <c r="G172" s="14"/>
      <c r="H172" s="14"/>
      <c r="I172" s="14"/>
      <c r="J172" s="14"/>
      <c r="K172" s="14"/>
      <c r="L172" s="14"/>
      <c r="M172" s="14"/>
      <c r="N172" s="14"/>
      <c r="O172" s="14"/>
      <c r="P172" s="14"/>
      <c r="Q172" s="14"/>
      <c r="R172" s="14"/>
      <c r="S172" s="14"/>
      <c r="T172" s="14"/>
      <c r="U172" s="14"/>
      <c r="V172" s="14"/>
      <c r="W172" s="14"/>
      <c r="X172" s="1"/>
      <c r="Y172" s="1"/>
      <c r="Z172" s="1"/>
      <c r="AA172" s="1"/>
    </row>
    <row r="173" spans="1:27" ht="15.4">
      <c r="A173" s="1"/>
      <c r="B173" s="47"/>
      <c r="C173" s="49"/>
      <c r="D173" s="49"/>
      <c r="E173" s="49"/>
      <c r="F173" s="49"/>
      <c r="G173" s="49"/>
      <c r="H173" s="49"/>
      <c r="I173" s="49"/>
      <c r="J173" s="49"/>
      <c r="K173" s="49"/>
      <c r="L173" s="49"/>
      <c r="M173" s="49"/>
      <c r="N173" s="49"/>
      <c r="O173" s="49"/>
      <c r="P173" s="49"/>
      <c r="Q173" s="49"/>
      <c r="R173" s="49"/>
      <c r="S173" s="49"/>
      <c r="T173" s="49"/>
      <c r="U173" s="49"/>
      <c r="V173" s="49"/>
      <c r="W173" s="49"/>
      <c r="X173" s="1"/>
      <c r="Y173" s="1"/>
      <c r="Z173" s="1"/>
      <c r="AA173" s="1"/>
    </row>
    <row r="174" spans="1:27" ht="15.4">
      <c r="A174" s="1"/>
      <c r="B174" s="17" t="s">
        <v>131</v>
      </c>
      <c r="C174" s="84">
        <v>2007</v>
      </c>
      <c r="D174" s="84">
        <v>2008</v>
      </c>
      <c r="E174" s="84">
        <v>2009</v>
      </c>
      <c r="F174" s="84">
        <v>2010</v>
      </c>
      <c r="G174" s="84">
        <v>2011</v>
      </c>
      <c r="H174" s="84">
        <v>2012</v>
      </c>
      <c r="I174" s="84">
        <v>2013</v>
      </c>
      <c r="J174" s="84">
        <v>2014</v>
      </c>
      <c r="K174" s="84">
        <v>2015</v>
      </c>
      <c r="L174" s="84">
        <v>2016</v>
      </c>
      <c r="M174" s="84">
        <v>2017</v>
      </c>
      <c r="N174" s="84">
        <v>2018</v>
      </c>
      <c r="O174" s="84">
        <v>2019</v>
      </c>
      <c r="P174" s="84">
        <v>2020</v>
      </c>
      <c r="Q174" s="84">
        <v>2021</v>
      </c>
      <c r="R174" s="84">
        <v>2022</v>
      </c>
      <c r="S174" s="84">
        <v>2023</v>
      </c>
      <c r="T174" s="84">
        <v>2024</v>
      </c>
      <c r="U174" s="84">
        <v>2025</v>
      </c>
      <c r="V174" s="84">
        <v>2026</v>
      </c>
      <c r="W174" s="84">
        <v>2027</v>
      </c>
      <c r="X174" s="1"/>
      <c r="Y174" s="1"/>
      <c r="Z174" s="1"/>
      <c r="AA174" s="1"/>
    </row>
    <row r="175" spans="1:27" ht="15.4">
      <c r="A175" s="1"/>
      <c r="B175" s="7" t="s">
        <v>159</v>
      </c>
      <c r="C175" s="85">
        <v>0</v>
      </c>
      <c r="D175" s="85">
        <v>1</v>
      </c>
      <c r="E175" s="85">
        <v>2</v>
      </c>
      <c r="F175" s="85">
        <v>3</v>
      </c>
      <c r="G175" s="85">
        <v>4</v>
      </c>
      <c r="H175" s="85">
        <v>5</v>
      </c>
      <c r="I175" s="85">
        <v>6</v>
      </c>
      <c r="J175" s="85">
        <v>7</v>
      </c>
      <c r="K175" s="85">
        <v>8</v>
      </c>
      <c r="L175" s="85">
        <v>9</v>
      </c>
      <c r="M175" s="85">
        <v>10</v>
      </c>
      <c r="N175" s="85">
        <v>11</v>
      </c>
      <c r="O175" s="85">
        <v>12</v>
      </c>
      <c r="P175" s="85">
        <v>13</v>
      </c>
      <c r="Q175" s="85">
        <v>14</v>
      </c>
      <c r="R175" s="85">
        <v>15</v>
      </c>
      <c r="S175" s="85">
        <v>16</v>
      </c>
      <c r="T175" s="85">
        <v>17</v>
      </c>
      <c r="U175" s="85">
        <v>18</v>
      </c>
      <c r="V175" s="85">
        <v>19</v>
      </c>
      <c r="W175" s="85">
        <v>20</v>
      </c>
      <c r="X175" s="1"/>
      <c r="Y175" s="1"/>
      <c r="Z175" s="1"/>
      <c r="AA175" s="1"/>
    </row>
    <row r="176" spans="1:27" ht="15.4">
      <c r="A176" s="1"/>
      <c r="B176" s="49" t="s">
        <v>131</v>
      </c>
      <c r="C176" s="49"/>
      <c r="D176" s="86"/>
      <c r="E176" s="86"/>
      <c r="F176" s="86"/>
      <c r="G176" s="86"/>
      <c r="H176" s="86"/>
      <c r="I176" s="86"/>
      <c r="J176" s="86"/>
      <c r="K176" s="86"/>
      <c r="L176" s="86"/>
      <c r="M176" s="86"/>
      <c r="N176" s="86"/>
      <c r="O176" s="86"/>
      <c r="P176" s="86"/>
      <c r="Q176" s="86"/>
      <c r="R176" s="86"/>
      <c r="S176" s="86"/>
      <c r="T176" s="86"/>
      <c r="U176" s="86"/>
      <c r="V176" s="86"/>
      <c r="W176" s="49"/>
      <c r="X176" s="1"/>
      <c r="Y176" s="1"/>
      <c r="Z176" s="1"/>
      <c r="AA176" s="1"/>
    </row>
    <row r="177" spans="1:27" ht="15.4">
      <c r="A177" s="1"/>
      <c r="B177" s="87" t="s">
        <v>189</v>
      </c>
      <c r="C177" s="87"/>
      <c r="D177" s="88"/>
      <c r="E177" s="88"/>
      <c r="F177" s="88"/>
      <c r="G177" s="88"/>
      <c r="H177" s="88"/>
      <c r="I177" s="88"/>
      <c r="J177" s="88"/>
      <c r="K177" s="88"/>
      <c r="L177" s="88"/>
      <c r="M177" s="88"/>
      <c r="N177" s="88"/>
      <c r="O177" s="88"/>
      <c r="P177" s="88"/>
      <c r="Q177" s="88"/>
      <c r="R177" s="88"/>
      <c r="S177" s="88"/>
      <c r="T177" s="88"/>
      <c r="U177" s="88"/>
      <c r="V177" s="88"/>
      <c r="W177" s="88"/>
      <c r="X177" s="1"/>
      <c r="Y177" s="1"/>
      <c r="Z177" s="1"/>
      <c r="AA177" s="1"/>
    </row>
    <row r="178" spans="1:27" ht="15.4">
      <c r="A178" s="1"/>
      <c r="B178" s="47"/>
      <c r="C178" s="49"/>
      <c r="D178" s="49"/>
      <c r="E178" s="49"/>
      <c r="F178" s="49"/>
      <c r="G178" s="49"/>
      <c r="H178" s="49"/>
      <c r="I178" s="49"/>
      <c r="J178" s="49"/>
      <c r="K178" s="49"/>
      <c r="L178" s="49"/>
      <c r="M178" s="49"/>
      <c r="N178" s="49"/>
      <c r="O178" s="49"/>
      <c r="P178" s="49"/>
      <c r="Q178" s="49"/>
      <c r="R178" s="49"/>
      <c r="S178" s="49"/>
      <c r="T178" s="49"/>
      <c r="U178" s="49"/>
      <c r="V178" s="49"/>
      <c r="W178" s="49"/>
      <c r="X178" s="1"/>
      <c r="Y178" s="1"/>
      <c r="Z178" s="1"/>
      <c r="AA178" s="1"/>
    </row>
    <row r="179" spans="1:27" ht="15.4">
      <c r="A179" s="1"/>
      <c r="B179" s="17" t="s">
        <v>249</v>
      </c>
      <c r="C179" s="84">
        <v>2007</v>
      </c>
      <c r="D179" s="84">
        <v>2008</v>
      </c>
      <c r="E179" s="84">
        <v>2009</v>
      </c>
      <c r="F179" s="84">
        <v>2010</v>
      </c>
      <c r="G179" s="84">
        <v>2011</v>
      </c>
      <c r="H179" s="84">
        <v>2012</v>
      </c>
      <c r="I179" s="84">
        <v>2013</v>
      </c>
      <c r="J179" s="84">
        <v>2014</v>
      </c>
      <c r="K179" s="84">
        <v>2015</v>
      </c>
      <c r="L179" s="84">
        <v>2016</v>
      </c>
      <c r="M179" s="84">
        <v>2017</v>
      </c>
      <c r="N179" s="84">
        <v>2018</v>
      </c>
      <c r="O179" s="84">
        <v>2019</v>
      </c>
      <c r="P179" s="84">
        <v>2020</v>
      </c>
      <c r="Q179" s="84">
        <v>2021</v>
      </c>
      <c r="R179" s="84">
        <v>2022</v>
      </c>
      <c r="S179" s="84">
        <v>2023</v>
      </c>
      <c r="T179" s="84">
        <v>2024</v>
      </c>
      <c r="U179" s="84">
        <v>2025</v>
      </c>
      <c r="V179" s="84">
        <v>2026</v>
      </c>
      <c r="W179" s="84">
        <v>2027</v>
      </c>
      <c r="X179" s="1"/>
      <c r="Y179" s="1"/>
      <c r="Z179" s="1"/>
      <c r="AA179" s="1"/>
    </row>
    <row r="180" spans="1:27" ht="15.4">
      <c r="A180" s="1"/>
      <c r="B180" s="7" t="s">
        <v>159</v>
      </c>
      <c r="C180" s="85">
        <v>0</v>
      </c>
      <c r="D180" s="85">
        <v>1</v>
      </c>
      <c r="E180" s="85">
        <v>2</v>
      </c>
      <c r="F180" s="85">
        <v>3</v>
      </c>
      <c r="G180" s="85">
        <v>4</v>
      </c>
      <c r="H180" s="85">
        <v>5</v>
      </c>
      <c r="I180" s="85">
        <v>6</v>
      </c>
      <c r="J180" s="85">
        <v>7</v>
      </c>
      <c r="K180" s="85">
        <v>8</v>
      </c>
      <c r="L180" s="85">
        <v>9</v>
      </c>
      <c r="M180" s="85">
        <v>10</v>
      </c>
      <c r="N180" s="85">
        <v>11</v>
      </c>
      <c r="O180" s="85">
        <v>12</v>
      </c>
      <c r="P180" s="85">
        <v>13</v>
      </c>
      <c r="Q180" s="85">
        <v>14</v>
      </c>
      <c r="R180" s="85">
        <v>15</v>
      </c>
      <c r="S180" s="85">
        <v>16</v>
      </c>
      <c r="T180" s="85">
        <v>17</v>
      </c>
      <c r="U180" s="85">
        <v>18</v>
      </c>
      <c r="V180" s="85">
        <v>19</v>
      </c>
      <c r="W180" s="85">
        <v>20</v>
      </c>
      <c r="X180" s="1"/>
      <c r="Y180" s="1"/>
      <c r="Z180" s="1"/>
      <c r="AA180" s="1"/>
    </row>
    <row r="181" spans="1:27" ht="15.4">
      <c r="A181" s="1"/>
      <c r="B181" s="89" t="s">
        <v>250</v>
      </c>
      <c r="C181" s="49"/>
      <c r="D181" s="49"/>
      <c r="E181" s="49"/>
      <c r="F181" s="49"/>
      <c r="G181" s="49"/>
      <c r="H181" s="49"/>
      <c r="I181" s="49"/>
      <c r="J181" s="49"/>
      <c r="K181" s="49"/>
      <c r="L181" s="49"/>
      <c r="M181" s="49"/>
      <c r="N181" s="49"/>
      <c r="O181" s="49"/>
      <c r="P181" s="49"/>
      <c r="Q181" s="49"/>
      <c r="R181" s="49"/>
      <c r="S181" s="49"/>
      <c r="T181" s="49"/>
      <c r="U181" s="49"/>
      <c r="V181" s="49"/>
      <c r="W181" s="49"/>
      <c r="X181" s="1"/>
      <c r="Y181" s="1"/>
      <c r="Z181" s="1"/>
      <c r="AA181" s="1"/>
    </row>
    <row r="182" spans="1:27" ht="15.4">
      <c r="A182" s="1"/>
      <c r="B182" s="49" t="s">
        <v>171</v>
      </c>
      <c r="C182" s="49"/>
      <c r="D182" s="86"/>
      <c r="E182" s="86"/>
      <c r="F182" s="86"/>
      <c r="G182" s="86"/>
      <c r="H182" s="86"/>
      <c r="I182" s="86"/>
      <c r="J182" s="86"/>
      <c r="K182" s="86"/>
      <c r="L182" s="86"/>
      <c r="M182" s="86"/>
      <c r="N182" s="86"/>
      <c r="O182" s="86"/>
      <c r="P182" s="86"/>
      <c r="Q182" s="86"/>
      <c r="R182" s="86"/>
      <c r="S182" s="86"/>
      <c r="T182" s="86"/>
      <c r="U182" s="86"/>
      <c r="V182" s="86"/>
      <c r="W182" s="86"/>
      <c r="X182" s="1"/>
      <c r="Y182" s="1"/>
      <c r="Z182" s="1"/>
      <c r="AA182" s="1"/>
    </row>
    <row r="183" spans="1:27" ht="15.75">
      <c r="A183" s="1"/>
      <c r="B183" s="49" t="s">
        <v>251</v>
      </c>
      <c r="C183" s="49"/>
      <c r="D183" s="90"/>
      <c r="E183" s="49"/>
      <c r="F183" s="49"/>
      <c r="G183" s="49"/>
      <c r="H183" s="49"/>
      <c r="I183" s="49"/>
      <c r="J183" s="49"/>
      <c r="K183" s="49"/>
      <c r="L183" s="49"/>
      <c r="M183" s="49"/>
      <c r="N183" s="49"/>
      <c r="O183" s="49"/>
      <c r="P183" s="49"/>
      <c r="Q183" s="49"/>
      <c r="R183" s="49"/>
      <c r="S183" s="49"/>
      <c r="T183" s="49"/>
      <c r="U183" s="49"/>
      <c r="V183" s="49"/>
      <c r="W183" s="86"/>
      <c r="X183" s="1"/>
      <c r="Y183" s="1"/>
      <c r="Z183" s="1"/>
      <c r="AA183" s="1"/>
    </row>
    <row r="184" spans="1:27" ht="15.4">
      <c r="A184" s="1"/>
      <c r="B184" s="91" t="s">
        <v>252</v>
      </c>
      <c r="C184" s="87"/>
      <c r="D184" s="88"/>
      <c r="E184" s="88"/>
      <c r="F184" s="88"/>
      <c r="G184" s="88"/>
      <c r="H184" s="88"/>
      <c r="I184" s="88"/>
      <c r="J184" s="88"/>
      <c r="K184" s="88"/>
      <c r="L184" s="88"/>
      <c r="M184" s="88"/>
      <c r="N184" s="88"/>
      <c r="O184" s="88"/>
      <c r="P184" s="88"/>
      <c r="Q184" s="88"/>
      <c r="R184" s="88"/>
      <c r="S184" s="88"/>
      <c r="T184" s="88"/>
      <c r="U184" s="88"/>
      <c r="V184" s="88"/>
      <c r="W184" s="88"/>
      <c r="X184" s="1"/>
      <c r="Y184" s="1"/>
      <c r="Z184" s="1"/>
      <c r="AA184" s="1"/>
    </row>
    <row r="185" spans="1:27" ht="15.4">
      <c r="A185" s="1"/>
      <c r="B185" s="89" t="s">
        <v>253</v>
      </c>
      <c r="C185" s="49"/>
      <c r="D185" s="49"/>
      <c r="E185" s="49"/>
      <c r="F185" s="49"/>
      <c r="G185" s="49"/>
      <c r="H185" s="49"/>
      <c r="I185" s="49"/>
      <c r="J185" s="49"/>
      <c r="K185" s="49"/>
      <c r="L185" s="49"/>
      <c r="M185" s="49"/>
      <c r="N185" s="49"/>
      <c r="O185" s="49"/>
      <c r="P185" s="49"/>
      <c r="Q185" s="49"/>
      <c r="R185" s="49"/>
      <c r="S185" s="49"/>
      <c r="T185" s="49"/>
      <c r="U185" s="49"/>
      <c r="V185" s="49"/>
      <c r="W185" s="49"/>
      <c r="X185" s="1"/>
      <c r="Y185" s="1"/>
      <c r="Z185" s="1"/>
      <c r="AA185" s="1"/>
    </row>
    <row r="186" spans="1:27" ht="15.4">
      <c r="A186" s="1"/>
      <c r="B186" s="49" t="s">
        <v>254</v>
      </c>
      <c r="C186" s="86"/>
      <c r="D186" s="49"/>
      <c r="E186" s="49"/>
      <c r="F186" s="49"/>
      <c r="G186" s="49"/>
      <c r="H186" s="49"/>
      <c r="I186" s="49"/>
      <c r="J186" s="49"/>
      <c r="K186" s="49"/>
      <c r="L186" s="49"/>
      <c r="M186" s="49"/>
      <c r="N186" s="49"/>
      <c r="O186" s="49"/>
      <c r="P186" s="49"/>
      <c r="Q186" s="49"/>
      <c r="R186" s="49"/>
      <c r="S186" s="49"/>
      <c r="T186" s="49"/>
      <c r="U186" s="49"/>
      <c r="V186" s="49"/>
      <c r="W186" s="49"/>
      <c r="X186" s="1"/>
      <c r="Y186" s="1"/>
      <c r="Z186" s="1"/>
      <c r="AA186" s="1"/>
    </row>
    <row r="187" spans="1:27" ht="15.4">
      <c r="A187" s="1"/>
      <c r="B187" s="49" t="s">
        <v>255</v>
      </c>
      <c r="C187" s="49"/>
      <c r="D187" s="86"/>
      <c r="E187" s="86"/>
      <c r="F187" s="86"/>
      <c r="G187" s="86"/>
      <c r="H187" s="86"/>
      <c r="I187" s="86"/>
      <c r="J187" s="86"/>
      <c r="K187" s="86"/>
      <c r="L187" s="86"/>
      <c r="M187" s="86"/>
      <c r="N187" s="86"/>
      <c r="O187" s="86"/>
      <c r="P187" s="86"/>
      <c r="Q187" s="86"/>
      <c r="R187" s="86"/>
      <c r="S187" s="86"/>
      <c r="T187" s="86"/>
      <c r="U187" s="86"/>
      <c r="V187" s="86"/>
      <c r="W187" s="86"/>
      <c r="X187" s="1"/>
      <c r="Y187" s="1"/>
      <c r="Z187" s="1"/>
      <c r="AA187" s="1"/>
    </row>
    <row r="188" spans="1:27" ht="15.4">
      <c r="A188" s="1"/>
      <c r="B188" s="49" t="s">
        <v>173</v>
      </c>
      <c r="C188" s="49"/>
      <c r="D188" s="86"/>
      <c r="E188" s="86"/>
      <c r="F188" s="86"/>
      <c r="G188" s="86"/>
      <c r="H188" s="86"/>
      <c r="I188" s="86"/>
      <c r="J188" s="86"/>
      <c r="K188" s="86"/>
      <c r="L188" s="86"/>
      <c r="M188" s="86"/>
      <c r="N188" s="86"/>
      <c r="O188" s="86"/>
      <c r="P188" s="86"/>
      <c r="Q188" s="86"/>
      <c r="R188" s="86"/>
      <c r="S188" s="86"/>
      <c r="T188" s="86"/>
      <c r="U188" s="86"/>
      <c r="V188" s="86"/>
      <c r="W188" s="86"/>
      <c r="X188" s="1"/>
      <c r="Y188" s="1"/>
      <c r="Z188" s="1"/>
      <c r="AA188" s="1"/>
    </row>
    <row r="189" spans="1:27" ht="15.4">
      <c r="A189" s="1"/>
      <c r="B189" s="49" t="s">
        <v>256</v>
      </c>
      <c r="C189" s="92"/>
      <c r="D189" s="92"/>
      <c r="E189" s="92"/>
      <c r="F189" s="92"/>
      <c r="G189" s="92"/>
      <c r="H189" s="92"/>
      <c r="I189" s="92"/>
      <c r="J189" s="92"/>
      <c r="K189" s="92"/>
      <c r="L189" s="92"/>
      <c r="M189" s="92"/>
      <c r="N189" s="92"/>
      <c r="O189" s="92"/>
      <c r="P189" s="92"/>
      <c r="Q189" s="92"/>
      <c r="R189" s="92"/>
      <c r="S189" s="92"/>
      <c r="T189" s="92"/>
      <c r="U189" s="92"/>
      <c r="V189" s="92"/>
      <c r="W189" s="92"/>
      <c r="X189" s="1"/>
      <c r="Y189" s="1"/>
      <c r="Z189" s="1"/>
      <c r="AA189" s="1"/>
    </row>
    <row r="190" spans="1:27" ht="15.4">
      <c r="A190" s="1"/>
      <c r="B190" s="49" t="s">
        <v>257</v>
      </c>
      <c r="C190" s="49"/>
      <c r="D190" s="93"/>
      <c r="E190" s="93"/>
      <c r="F190" s="93"/>
      <c r="G190" s="93"/>
      <c r="H190" s="93"/>
      <c r="I190" s="93"/>
      <c r="J190" s="93"/>
      <c r="K190" s="93"/>
      <c r="L190" s="93"/>
      <c r="M190" s="93"/>
      <c r="N190" s="93"/>
      <c r="O190" s="93"/>
      <c r="P190" s="93"/>
      <c r="Q190" s="93"/>
      <c r="R190" s="93"/>
      <c r="S190" s="93"/>
      <c r="T190" s="93"/>
      <c r="U190" s="93"/>
      <c r="V190" s="93"/>
      <c r="W190" s="93"/>
      <c r="X190" s="1"/>
      <c r="Y190" s="1"/>
      <c r="Z190" s="1"/>
      <c r="AA190" s="1"/>
    </row>
    <row r="191" spans="1:27" ht="15.4">
      <c r="A191" s="1"/>
      <c r="B191" s="91" t="s">
        <v>258</v>
      </c>
      <c r="C191" s="88"/>
      <c r="D191" s="88"/>
      <c r="E191" s="88"/>
      <c r="F191" s="88"/>
      <c r="G191" s="88"/>
      <c r="H191" s="88"/>
      <c r="I191" s="88"/>
      <c r="J191" s="88"/>
      <c r="K191" s="88"/>
      <c r="L191" s="88"/>
      <c r="M191" s="88"/>
      <c r="N191" s="88"/>
      <c r="O191" s="88"/>
      <c r="P191" s="88"/>
      <c r="Q191" s="88"/>
      <c r="R191" s="88"/>
      <c r="S191" s="88"/>
      <c r="T191" s="88"/>
      <c r="U191" s="88"/>
      <c r="V191" s="88"/>
      <c r="W191" s="88"/>
      <c r="X191" s="1"/>
      <c r="Y191" s="1"/>
      <c r="Z191" s="1"/>
      <c r="AA191" s="1"/>
    </row>
    <row r="192" spans="1:27" ht="15.4">
      <c r="A192" s="1"/>
      <c r="B192" s="94" t="s">
        <v>259</v>
      </c>
      <c r="C192" s="95"/>
      <c r="D192" s="95"/>
      <c r="E192" s="95"/>
      <c r="F192" s="95"/>
      <c r="G192" s="95"/>
      <c r="H192" s="95"/>
      <c r="I192" s="95"/>
      <c r="J192" s="95"/>
      <c r="K192" s="95"/>
      <c r="L192" s="95"/>
      <c r="M192" s="95"/>
      <c r="N192" s="95"/>
      <c r="O192" s="95"/>
      <c r="P192" s="95"/>
      <c r="Q192" s="95"/>
      <c r="R192" s="95"/>
      <c r="S192" s="95"/>
      <c r="T192" s="95"/>
      <c r="U192" s="95"/>
      <c r="V192" s="95"/>
      <c r="W192" s="95"/>
      <c r="X192" s="1"/>
      <c r="Y192" s="1"/>
      <c r="Z192" s="1"/>
      <c r="AA192" s="1"/>
    </row>
    <row r="193" spans="1:27" ht="15.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4">
      <c r="A194" s="1"/>
      <c r="B194" s="42" t="s">
        <v>19</v>
      </c>
      <c r="C194" s="43"/>
      <c r="D194" s="43"/>
      <c r="E194" s="43"/>
      <c r="F194" s="1"/>
      <c r="G194" s="1"/>
      <c r="H194" s="1"/>
      <c r="I194" s="1"/>
      <c r="J194" s="1"/>
      <c r="K194" s="1"/>
      <c r="L194" s="1"/>
      <c r="M194" s="1"/>
      <c r="N194" s="1"/>
      <c r="O194" s="1"/>
      <c r="P194" s="1"/>
      <c r="Q194" s="1"/>
      <c r="R194" s="1"/>
      <c r="S194" s="1"/>
      <c r="T194" s="1"/>
      <c r="U194" s="1"/>
      <c r="V194" s="1"/>
      <c r="W194" s="1"/>
      <c r="X194" s="1"/>
      <c r="Y194" s="1"/>
      <c r="Z194" s="1"/>
      <c r="AA194" s="1"/>
    </row>
    <row r="195" spans="1:27" ht="15.4">
      <c r="A195" s="1"/>
      <c r="B195" s="44" t="s">
        <v>221</v>
      </c>
      <c r="C195" s="45">
        <f>E109</f>
        <v>0.11342809917420432</v>
      </c>
      <c r="D195" s="45">
        <v>0</v>
      </c>
      <c r="E195" s="45">
        <f>'Variables 0'!C35</f>
        <v>0.03</v>
      </c>
      <c r="F195" s="45">
        <f>'Variables 0'!D35</f>
        <v>0.05</v>
      </c>
      <c r="G195" s="45">
        <f>'Variables 0'!E35</f>
        <v>0.08</v>
      </c>
      <c r="H195" s="43"/>
      <c r="I195" s="1"/>
      <c r="J195" s="1"/>
      <c r="K195" s="1"/>
      <c r="L195" s="1"/>
      <c r="M195" s="1"/>
      <c r="N195" s="1"/>
      <c r="O195" s="1"/>
      <c r="P195" s="1"/>
      <c r="Q195" s="1"/>
      <c r="R195" s="1"/>
      <c r="S195" s="1"/>
      <c r="T195" s="1"/>
      <c r="U195" s="1"/>
      <c r="V195" s="1"/>
      <c r="W195" s="1"/>
      <c r="X195" s="1"/>
      <c r="Y195" s="1"/>
      <c r="Z195" s="1"/>
      <c r="AA195" s="1"/>
    </row>
    <row r="196" spans="1:27" ht="15.4">
      <c r="A196" s="1"/>
      <c r="B196" s="44" t="s">
        <v>222</v>
      </c>
      <c r="C196" s="46">
        <f t="shared" ref="C196:G196" si="21">NPV(C195,$D$192:$W$192)+$C$192</f>
        <v>0</v>
      </c>
      <c r="D196" s="46">
        <f t="shared" si="21"/>
        <v>0</v>
      </c>
      <c r="E196" s="46">
        <f t="shared" si="21"/>
        <v>0</v>
      </c>
      <c r="F196" s="46">
        <f t="shared" si="21"/>
        <v>0</v>
      </c>
      <c r="G196" s="46">
        <f t="shared" si="21"/>
        <v>0</v>
      </c>
      <c r="H196" s="1"/>
      <c r="I196" s="1"/>
      <c r="J196" s="1"/>
      <c r="K196" s="1"/>
      <c r="L196" s="1"/>
      <c r="M196" s="1"/>
      <c r="N196" s="1"/>
      <c r="O196" s="1"/>
      <c r="P196" s="1"/>
      <c r="Q196" s="1"/>
      <c r="R196" s="1"/>
      <c r="S196" s="1"/>
      <c r="T196" s="1"/>
      <c r="U196" s="1"/>
      <c r="V196" s="1"/>
      <c r="W196" s="1"/>
      <c r="X196" s="1"/>
      <c r="Y196" s="1"/>
      <c r="Z196" s="1"/>
      <c r="AA196" s="1"/>
    </row>
    <row r="197" spans="1:27" ht="15.4">
      <c r="A197" s="1"/>
      <c r="B197" s="44" t="s">
        <v>29</v>
      </c>
      <c r="C197" s="45" t="e">
        <f>IRR(C192:W192)</f>
        <v>#NUM!</v>
      </c>
      <c r="D197" s="43"/>
      <c r="E197" s="43"/>
      <c r="F197" s="1"/>
      <c r="G197" s="1"/>
      <c r="H197" s="1"/>
      <c r="I197" s="1"/>
      <c r="J197" s="1"/>
      <c r="K197" s="1"/>
      <c r="L197" s="1"/>
      <c r="M197" s="1"/>
      <c r="N197" s="1"/>
      <c r="O197" s="1"/>
      <c r="P197" s="1"/>
      <c r="Q197" s="1"/>
      <c r="R197" s="1"/>
      <c r="S197" s="1"/>
      <c r="T197" s="1"/>
      <c r="U197" s="1"/>
      <c r="V197" s="1"/>
      <c r="W197" s="1"/>
      <c r="X197" s="1"/>
      <c r="Y197" s="1"/>
      <c r="Z197" s="1"/>
      <c r="AA197" s="1"/>
    </row>
    <row r="198" spans="1:27" ht="15.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4">
      <c r="A199" s="42">
        <v>3</v>
      </c>
      <c r="B199" s="83" t="s">
        <v>20</v>
      </c>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4">
      <c r="A201" s="1"/>
      <c r="B201" s="104" t="s">
        <v>260</v>
      </c>
      <c r="C201" s="105">
        <f t="shared" ref="C201:W201" si="22">C179</f>
        <v>2007</v>
      </c>
      <c r="D201" s="105">
        <f t="shared" si="22"/>
        <v>2008</v>
      </c>
      <c r="E201" s="105">
        <f t="shared" si="22"/>
        <v>2009</v>
      </c>
      <c r="F201" s="105">
        <f t="shared" si="22"/>
        <v>2010</v>
      </c>
      <c r="G201" s="105">
        <f t="shared" si="22"/>
        <v>2011</v>
      </c>
      <c r="H201" s="105">
        <f t="shared" si="22"/>
        <v>2012</v>
      </c>
      <c r="I201" s="105">
        <f t="shared" si="22"/>
        <v>2013</v>
      </c>
      <c r="J201" s="105">
        <f t="shared" si="22"/>
        <v>2014</v>
      </c>
      <c r="K201" s="105">
        <f t="shared" si="22"/>
        <v>2015</v>
      </c>
      <c r="L201" s="105">
        <f t="shared" si="22"/>
        <v>2016</v>
      </c>
      <c r="M201" s="105">
        <f t="shared" si="22"/>
        <v>2017</v>
      </c>
      <c r="N201" s="105">
        <f t="shared" si="22"/>
        <v>2018</v>
      </c>
      <c r="O201" s="105">
        <f t="shared" si="22"/>
        <v>2019</v>
      </c>
      <c r="P201" s="105">
        <f t="shared" si="22"/>
        <v>2020</v>
      </c>
      <c r="Q201" s="105">
        <f t="shared" si="22"/>
        <v>2021</v>
      </c>
      <c r="R201" s="105">
        <f t="shared" si="22"/>
        <v>2022</v>
      </c>
      <c r="S201" s="105">
        <f t="shared" si="22"/>
        <v>2023</v>
      </c>
      <c r="T201" s="105">
        <f t="shared" si="22"/>
        <v>2024</v>
      </c>
      <c r="U201" s="105">
        <f t="shared" si="22"/>
        <v>2025</v>
      </c>
      <c r="V201" s="105">
        <f t="shared" si="22"/>
        <v>2026</v>
      </c>
      <c r="W201" s="105">
        <f t="shared" si="22"/>
        <v>2027</v>
      </c>
      <c r="X201" s="1"/>
      <c r="Y201" s="1"/>
      <c r="Z201" s="1"/>
      <c r="AA201" s="1"/>
    </row>
    <row r="202" spans="1:27" ht="15.4">
      <c r="A202" s="1"/>
      <c r="B202" s="106" t="s">
        <v>159</v>
      </c>
      <c r="C202" s="107">
        <f t="shared" ref="C202:W202" si="23">C180</f>
        <v>0</v>
      </c>
      <c r="D202" s="107">
        <f t="shared" si="23"/>
        <v>1</v>
      </c>
      <c r="E202" s="107">
        <f t="shared" si="23"/>
        <v>2</v>
      </c>
      <c r="F202" s="107">
        <f t="shared" si="23"/>
        <v>3</v>
      </c>
      <c r="G202" s="107">
        <f t="shared" si="23"/>
        <v>4</v>
      </c>
      <c r="H202" s="107">
        <f t="shared" si="23"/>
        <v>5</v>
      </c>
      <c r="I202" s="107">
        <f t="shared" si="23"/>
        <v>6</v>
      </c>
      <c r="J202" s="107">
        <f t="shared" si="23"/>
        <v>7</v>
      </c>
      <c r="K202" s="107">
        <f t="shared" si="23"/>
        <v>8</v>
      </c>
      <c r="L202" s="107">
        <f t="shared" si="23"/>
        <v>9</v>
      </c>
      <c r="M202" s="107">
        <f t="shared" si="23"/>
        <v>10</v>
      </c>
      <c r="N202" s="107">
        <f t="shared" si="23"/>
        <v>11</v>
      </c>
      <c r="O202" s="107">
        <f t="shared" si="23"/>
        <v>12</v>
      </c>
      <c r="P202" s="107">
        <f t="shared" si="23"/>
        <v>13</v>
      </c>
      <c r="Q202" s="107">
        <f t="shared" si="23"/>
        <v>14</v>
      </c>
      <c r="R202" s="107">
        <f t="shared" si="23"/>
        <v>15</v>
      </c>
      <c r="S202" s="107">
        <f t="shared" si="23"/>
        <v>16</v>
      </c>
      <c r="T202" s="107">
        <f t="shared" si="23"/>
        <v>17</v>
      </c>
      <c r="U202" s="107">
        <f t="shared" si="23"/>
        <v>18</v>
      </c>
      <c r="V202" s="107">
        <f t="shared" si="23"/>
        <v>19</v>
      </c>
      <c r="W202" s="107">
        <f t="shared" si="23"/>
        <v>20</v>
      </c>
      <c r="X202" s="1"/>
      <c r="Y202" s="1"/>
      <c r="Z202" s="1"/>
      <c r="AA202" s="1"/>
    </row>
    <row r="203" spans="1:27" ht="15.4">
      <c r="A203" s="1"/>
      <c r="B203" s="108" t="s">
        <v>261</v>
      </c>
      <c r="C203" s="109"/>
      <c r="D203" s="109"/>
      <c r="E203" s="109"/>
      <c r="F203" s="109"/>
      <c r="G203" s="109"/>
      <c r="H203" s="109"/>
      <c r="I203" s="109"/>
      <c r="J203" s="109"/>
      <c r="K203" s="109"/>
      <c r="L203" s="109"/>
      <c r="M203" s="109"/>
      <c r="N203" s="61"/>
      <c r="O203" s="61"/>
      <c r="P203" s="61"/>
      <c r="Q203" s="61"/>
      <c r="R203" s="61"/>
      <c r="S203" s="61"/>
      <c r="T203" s="61"/>
      <c r="U203" s="61"/>
      <c r="V203" s="61"/>
      <c r="W203" s="61"/>
      <c r="X203" s="1"/>
      <c r="Y203" s="1"/>
      <c r="Z203" s="1"/>
      <c r="AA203" s="1"/>
    </row>
    <row r="204" spans="1:27" ht="15.4">
      <c r="A204" s="1"/>
      <c r="B204" s="110" t="s">
        <v>259</v>
      </c>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
      <c r="Y204" s="1"/>
      <c r="Z204" s="1"/>
      <c r="AA204" s="1"/>
    </row>
    <row r="205" spans="1:27" ht="15.4">
      <c r="A205" s="1"/>
      <c r="B205" s="61" t="s">
        <v>210</v>
      </c>
      <c r="C205" s="67"/>
      <c r="D205" s="67"/>
      <c r="E205" s="67"/>
      <c r="F205" s="67"/>
      <c r="G205" s="67"/>
      <c r="H205" s="67"/>
      <c r="I205" s="67"/>
      <c r="J205" s="67"/>
      <c r="K205" s="67"/>
      <c r="L205" s="67"/>
      <c r="M205" s="67"/>
      <c r="N205" s="67"/>
      <c r="O205" s="67"/>
      <c r="P205" s="67"/>
      <c r="Q205" s="67"/>
      <c r="R205" s="67"/>
      <c r="S205" s="67"/>
      <c r="T205" s="67"/>
      <c r="U205" s="67"/>
      <c r="V205" s="67"/>
      <c r="W205" s="67"/>
      <c r="X205" s="1"/>
      <c r="Y205" s="1"/>
      <c r="Z205" s="1"/>
      <c r="AA205" s="1"/>
    </row>
    <row r="206" spans="1:27" ht="15.4">
      <c r="A206" s="1"/>
      <c r="B206" s="61" t="s">
        <v>262</v>
      </c>
      <c r="C206" s="67"/>
      <c r="D206" s="67"/>
      <c r="E206" s="67"/>
      <c r="F206" s="67"/>
      <c r="G206" s="67"/>
      <c r="H206" s="67"/>
      <c r="I206" s="67"/>
      <c r="J206" s="67"/>
      <c r="K206" s="67"/>
      <c r="L206" s="67"/>
      <c r="M206" s="67"/>
      <c r="N206" s="67"/>
      <c r="O206" s="67"/>
      <c r="P206" s="67"/>
      <c r="Q206" s="67"/>
      <c r="R206" s="67"/>
      <c r="S206" s="67"/>
      <c r="T206" s="67"/>
      <c r="U206" s="67"/>
      <c r="V206" s="67"/>
      <c r="W206" s="67"/>
      <c r="X206" s="1"/>
      <c r="Y206" s="1"/>
      <c r="Z206" s="1"/>
      <c r="AA206" s="1"/>
    </row>
    <row r="207" spans="1:27" ht="15.4">
      <c r="A207" s="1"/>
      <c r="B207" s="108" t="s">
        <v>263</v>
      </c>
      <c r="C207" s="61"/>
      <c r="D207" s="61"/>
      <c r="E207" s="61"/>
      <c r="F207" s="61"/>
      <c r="G207" s="61"/>
      <c r="H207" s="61"/>
      <c r="I207" s="61"/>
      <c r="J207" s="61"/>
      <c r="K207" s="61"/>
      <c r="L207" s="61"/>
      <c r="M207" s="61"/>
      <c r="N207" s="61"/>
      <c r="O207" s="61"/>
      <c r="P207" s="61"/>
      <c r="Q207" s="61"/>
      <c r="R207" s="61"/>
      <c r="S207" s="61"/>
      <c r="T207" s="61"/>
      <c r="U207" s="61"/>
      <c r="V207" s="61"/>
      <c r="W207" s="61"/>
      <c r="X207" s="1"/>
      <c r="Y207" s="1"/>
      <c r="Z207" s="1"/>
      <c r="AA207" s="1"/>
    </row>
    <row r="208" spans="1:27" ht="15.4">
      <c r="A208" s="1"/>
      <c r="B208" s="112" t="s">
        <v>264</v>
      </c>
      <c r="C208" s="67"/>
      <c r="D208" s="67"/>
      <c r="E208" s="67"/>
      <c r="F208" s="67"/>
      <c r="G208" s="67"/>
      <c r="H208" s="67"/>
      <c r="I208" s="67"/>
      <c r="J208" s="67"/>
      <c r="K208" s="67"/>
      <c r="L208" s="67"/>
      <c r="M208" s="67"/>
      <c r="N208" s="61"/>
      <c r="O208" s="61"/>
      <c r="P208" s="61"/>
      <c r="Q208" s="61"/>
      <c r="R208" s="61"/>
      <c r="S208" s="61"/>
      <c r="T208" s="61"/>
      <c r="U208" s="61"/>
      <c r="V208" s="61"/>
      <c r="W208" s="61"/>
      <c r="X208" s="1"/>
      <c r="Y208" s="1"/>
      <c r="Z208" s="1"/>
      <c r="AA208" s="1"/>
    </row>
    <row r="209" spans="1:27" ht="15.4">
      <c r="A209" s="1"/>
      <c r="B209" s="112" t="s">
        <v>265</v>
      </c>
      <c r="C209" s="67"/>
      <c r="D209" s="67"/>
      <c r="E209" s="67"/>
      <c r="F209" s="67"/>
      <c r="G209" s="67"/>
      <c r="H209" s="67"/>
      <c r="I209" s="67"/>
      <c r="J209" s="67"/>
      <c r="K209" s="67"/>
      <c r="L209" s="67"/>
      <c r="M209" s="67"/>
      <c r="N209" s="67"/>
      <c r="O209" s="67"/>
      <c r="P209" s="67"/>
      <c r="Q209" s="67"/>
      <c r="R209" s="67"/>
      <c r="S209" s="67"/>
      <c r="T209" s="67"/>
      <c r="U209" s="67"/>
      <c r="V209" s="67"/>
      <c r="W209" s="67"/>
      <c r="X209" s="1"/>
      <c r="Y209" s="1"/>
      <c r="Z209" s="1"/>
      <c r="AA209" s="1"/>
    </row>
    <row r="210" spans="1:27" ht="15.4">
      <c r="A210" s="1"/>
      <c r="B210" s="61" t="s">
        <v>266</v>
      </c>
      <c r="C210" s="67"/>
      <c r="D210" s="67"/>
      <c r="E210" s="67"/>
      <c r="F210" s="67"/>
      <c r="G210" s="67"/>
      <c r="H210" s="67"/>
      <c r="I210" s="67"/>
      <c r="J210" s="67"/>
      <c r="K210" s="67"/>
      <c r="L210" s="67"/>
      <c r="M210" s="67"/>
      <c r="N210" s="67"/>
      <c r="O210" s="67"/>
      <c r="P210" s="67"/>
      <c r="Q210" s="67"/>
      <c r="R210" s="67"/>
      <c r="S210" s="67"/>
      <c r="T210" s="67"/>
      <c r="U210" s="67"/>
      <c r="V210" s="67"/>
      <c r="W210" s="67"/>
      <c r="X210" s="1"/>
      <c r="Y210" s="1"/>
      <c r="Z210" s="1"/>
      <c r="AA210" s="1"/>
    </row>
    <row r="211" spans="1:27" ht="15.4">
      <c r="A211" s="1"/>
      <c r="B211" s="61" t="s">
        <v>152</v>
      </c>
      <c r="C211" s="67"/>
      <c r="D211" s="67"/>
      <c r="E211" s="67"/>
      <c r="F211" s="67"/>
      <c r="G211" s="67"/>
      <c r="H211" s="67"/>
      <c r="I211" s="67"/>
      <c r="J211" s="67"/>
      <c r="K211" s="67"/>
      <c r="L211" s="67"/>
      <c r="M211" s="67"/>
      <c r="N211" s="67"/>
      <c r="O211" s="67"/>
      <c r="P211" s="67"/>
      <c r="Q211" s="67"/>
      <c r="R211" s="67"/>
      <c r="S211" s="67"/>
      <c r="T211" s="67"/>
      <c r="U211" s="67"/>
      <c r="V211" s="67"/>
      <c r="W211" s="67"/>
      <c r="X211" s="1"/>
      <c r="Y211" s="1"/>
      <c r="Z211" s="1"/>
      <c r="AA211" s="1"/>
    </row>
    <row r="212" spans="1:27" ht="15.4">
      <c r="A212" s="1"/>
      <c r="B212" s="61" t="s">
        <v>267</v>
      </c>
      <c r="C212" s="67"/>
      <c r="D212" s="67"/>
      <c r="E212" s="67"/>
      <c r="F212" s="67"/>
      <c r="G212" s="67"/>
      <c r="H212" s="67"/>
      <c r="I212" s="67"/>
      <c r="J212" s="67"/>
      <c r="K212" s="67"/>
      <c r="L212" s="67"/>
      <c r="M212" s="67"/>
      <c r="N212" s="67"/>
      <c r="O212" s="67"/>
      <c r="P212" s="67"/>
      <c r="Q212" s="67"/>
      <c r="R212" s="67"/>
      <c r="S212" s="67"/>
      <c r="T212" s="67"/>
      <c r="U212" s="67"/>
      <c r="V212" s="67"/>
      <c r="W212" s="67"/>
      <c r="X212" s="1"/>
      <c r="Y212" s="1"/>
      <c r="Z212" s="1"/>
      <c r="AA212" s="1"/>
    </row>
    <row r="213" spans="1:27" ht="15.4">
      <c r="A213" s="1"/>
      <c r="B213" s="61" t="s">
        <v>268</v>
      </c>
      <c r="C213" s="67"/>
      <c r="D213" s="67"/>
      <c r="E213" s="67"/>
      <c r="F213" s="67"/>
      <c r="G213" s="67"/>
      <c r="H213" s="67"/>
      <c r="I213" s="67"/>
      <c r="J213" s="67"/>
      <c r="K213" s="67"/>
      <c r="L213" s="67"/>
      <c r="M213" s="67"/>
      <c r="N213" s="67"/>
      <c r="O213" s="67"/>
      <c r="P213" s="67"/>
      <c r="Q213" s="67"/>
      <c r="R213" s="67"/>
      <c r="S213" s="67"/>
      <c r="T213" s="67"/>
      <c r="U213" s="67"/>
      <c r="V213" s="67"/>
      <c r="W213" s="67"/>
      <c r="X213" s="1"/>
      <c r="Y213" s="1"/>
      <c r="Z213" s="1"/>
      <c r="AA213" s="1"/>
    </row>
    <row r="214" spans="1:27" ht="15.4">
      <c r="A214" s="1"/>
      <c r="B214" s="61" t="s">
        <v>269</v>
      </c>
      <c r="C214" s="67"/>
      <c r="D214" s="67"/>
      <c r="E214" s="67"/>
      <c r="F214" s="67"/>
      <c r="G214" s="67"/>
      <c r="H214" s="67"/>
      <c r="I214" s="67"/>
      <c r="J214" s="67"/>
      <c r="K214" s="67"/>
      <c r="L214" s="67"/>
      <c r="M214" s="67"/>
      <c r="N214" s="67"/>
      <c r="O214" s="67"/>
      <c r="P214" s="67"/>
      <c r="Q214" s="67"/>
      <c r="R214" s="67"/>
      <c r="S214" s="67"/>
      <c r="T214" s="67"/>
      <c r="U214" s="67"/>
      <c r="V214" s="67"/>
      <c r="W214" s="67"/>
      <c r="X214" s="1"/>
      <c r="Y214" s="1"/>
      <c r="Z214" s="1"/>
      <c r="AA214" s="1"/>
    </row>
    <row r="215" spans="1:27" ht="15.4">
      <c r="A215" s="1"/>
      <c r="B215" s="61" t="s">
        <v>270</v>
      </c>
      <c r="C215" s="67"/>
      <c r="D215" s="67"/>
      <c r="E215" s="67"/>
      <c r="F215" s="67"/>
      <c r="G215" s="67"/>
      <c r="H215" s="67"/>
      <c r="I215" s="67"/>
      <c r="J215" s="67"/>
      <c r="K215" s="67"/>
      <c r="L215" s="67"/>
      <c r="M215" s="67"/>
      <c r="N215" s="67"/>
      <c r="O215" s="67"/>
      <c r="P215" s="67"/>
      <c r="Q215" s="67"/>
      <c r="R215" s="67"/>
      <c r="S215" s="67"/>
      <c r="T215" s="67"/>
      <c r="U215" s="67"/>
      <c r="V215" s="67"/>
      <c r="W215" s="67"/>
      <c r="X215" s="1"/>
      <c r="Y215" s="1"/>
      <c r="Z215" s="1"/>
      <c r="AA215" s="1"/>
    </row>
    <row r="216" spans="1:27" ht="15.4">
      <c r="A216" s="1"/>
      <c r="B216" s="61" t="s">
        <v>271</v>
      </c>
      <c r="C216" s="67"/>
      <c r="D216" s="67"/>
      <c r="E216" s="67"/>
      <c r="F216" s="67"/>
      <c r="G216" s="67"/>
      <c r="H216" s="67"/>
      <c r="I216" s="67"/>
      <c r="J216" s="67"/>
      <c r="K216" s="67"/>
      <c r="L216" s="67"/>
      <c r="M216" s="67"/>
      <c r="N216" s="67"/>
      <c r="O216" s="67"/>
      <c r="P216" s="67"/>
      <c r="Q216" s="67"/>
      <c r="R216" s="67"/>
      <c r="S216" s="67"/>
      <c r="T216" s="67"/>
      <c r="U216" s="67"/>
      <c r="V216" s="67"/>
      <c r="W216" s="67"/>
      <c r="X216" s="1"/>
      <c r="Y216" s="1"/>
      <c r="Z216" s="1"/>
      <c r="AA216" s="1"/>
    </row>
    <row r="217" spans="1:27" ht="15.4">
      <c r="A217" s="1"/>
      <c r="B217" s="61" t="s">
        <v>150</v>
      </c>
      <c r="C217" s="67"/>
      <c r="D217" s="67"/>
      <c r="E217" s="67"/>
      <c r="F217" s="67"/>
      <c r="G217" s="67"/>
      <c r="H217" s="67"/>
      <c r="I217" s="67"/>
      <c r="J217" s="67"/>
      <c r="K217" s="67"/>
      <c r="L217" s="67"/>
      <c r="M217" s="67"/>
      <c r="N217" s="67"/>
      <c r="O217" s="67"/>
      <c r="P217" s="67"/>
      <c r="Q217" s="67"/>
      <c r="R217" s="67"/>
      <c r="S217" s="67"/>
      <c r="T217" s="67"/>
      <c r="U217" s="67"/>
      <c r="V217" s="67"/>
      <c r="W217" s="67"/>
      <c r="X217" s="1"/>
      <c r="Y217" s="1"/>
      <c r="Z217" s="1"/>
      <c r="AA217" s="1"/>
    </row>
    <row r="218" spans="1:27" ht="15.4">
      <c r="A218" s="1"/>
      <c r="B218" s="61" t="s">
        <v>272</v>
      </c>
      <c r="C218" s="67"/>
      <c r="D218" s="67"/>
      <c r="E218" s="67"/>
      <c r="F218" s="67"/>
      <c r="G218" s="67"/>
      <c r="H218" s="67"/>
      <c r="I218" s="67"/>
      <c r="J218" s="67"/>
      <c r="K218" s="67"/>
      <c r="L218" s="67"/>
      <c r="M218" s="67"/>
      <c r="N218" s="67"/>
      <c r="O218" s="67"/>
      <c r="P218" s="67"/>
      <c r="Q218" s="67"/>
      <c r="R218" s="67"/>
      <c r="S218" s="67"/>
      <c r="T218" s="67"/>
      <c r="U218" s="67"/>
      <c r="V218" s="67"/>
      <c r="W218" s="67"/>
      <c r="X218" s="1"/>
      <c r="Y218" s="1"/>
      <c r="Z218" s="1"/>
      <c r="AA218" s="1"/>
    </row>
    <row r="219" spans="1:27" ht="15.4">
      <c r="A219" s="1"/>
      <c r="B219" s="61" t="s">
        <v>167</v>
      </c>
      <c r="C219" s="67"/>
      <c r="D219" s="67"/>
      <c r="E219" s="67"/>
      <c r="F219" s="67"/>
      <c r="G219" s="67"/>
      <c r="H219" s="67"/>
      <c r="I219" s="67"/>
      <c r="J219" s="67"/>
      <c r="K219" s="67"/>
      <c r="L219" s="67"/>
      <c r="M219" s="67"/>
      <c r="N219" s="67"/>
      <c r="O219" s="67"/>
      <c r="P219" s="67"/>
      <c r="Q219" s="67"/>
      <c r="R219" s="67"/>
      <c r="S219" s="67"/>
      <c r="T219" s="67"/>
      <c r="U219" s="67"/>
      <c r="V219" s="67"/>
      <c r="W219" s="67"/>
      <c r="X219" s="1"/>
      <c r="Y219" s="1"/>
      <c r="Z219" s="1"/>
      <c r="AA219" s="1"/>
    </row>
    <row r="220" spans="1:27" ht="15.4">
      <c r="A220" s="1"/>
      <c r="B220" s="112" t="s">
        <v>104</v>
      </c>
      <c r="C220" s="61"/>
      <c r="D220" s="67"/>
      <c r="E220" s="67"/>
      <c r="F220" s="67"/>
      <c r="G220" s="67"/>
      <c r="H220" s="67"/>
      <c r="I220" s="67"/>
      <c r="J220" s="67"/>
      <c r="K220" s="67"/>
      <c r="L220" s="67"/>
      <c r="M220" s="67"/>
      <c r="N220" s="67"/>
      <c r="O220" s="67"/>
      <c r="P220" s="67"/>
      <c r="Q220" s="67"/>
      <c r="R220" s="67"/>
      <c r="S220" s="67"/>
      <c r="T220" s="67"/>
      <c r="U220" s="67"/>
      <c r="V220" s="67"/>
      <c r="W220" s="67"/>
      <c r="X220" s="1"/>
      <c r="Y220" s="1"/>
      <c r="Z220" s="1"/>
      <c r="AA220" s="1"/>
    </row>
    <row r="221" spans="1:27" ht="15.4">
      <c r="A221" s="1"/>
      <c r="B221" s="112" t="s">
        <v>273</v>
      </c>
      <c r="C221" s="61"/>
      <c r="D221" s="61"/>
      <c r="E221" s="61"/>
      <c r="F221" s="61"/>
      <c r="G221" s="61"/>
      <c r="H221" s="61"/>
      <c r="I221" s="61"/>
      <c r="J221" s="61"/>
      <c r="K221" s="61"/>
      <c r="L221" s="61"/>
      <c r="M221" s="61"/>
      <c r="N221" s="61"/>
      <c r="O221" s="61"/>
      <c r="P221" s="61"/>
      <c r="Q221" s="61"/>
      <c r="R221" s="61"/>
      <c r="S221" s="61"/>
      <c r="T221" s="61"/>
      <c r="U221" s="61"/>
      <c r="V221" s="61"/>
      <c r="W221" s="61"/>
      <c r="X221" s="1"/>
      <c r="Y221" s="1"/>
      <c r="Z221" s="1"/>
      <c r="AA221" s="1"/>
    </row>
    <row r="222" spans="1:27" ht="15.4">
      <c r="A222" s="1"/>
      <c r="B222" s="112" t="s">
        <v>274</v>
      </c>
      <c r="C222" s="67"/>
      <c r="D222" s="67"/>
      <c r="E222" s="67"/>
      <c r="F222" s="67"/>
      <c r="G222" s="67"/>
      <c r="H222" s="67"/>
      <c r="I222" s="67"/>
      <c r="J222" s="67"/>
      <c r="K222" s="67"/>
      <c r="L222" s="67"/>
      <c r="M222" s="67"/>
      <c r="N222" s="67"/>
      <c r="O222" s="67"/>
      <c r="P222" s="67"/>
      <c r="Q222" s="67"/>
      <c r="R222" s="67"/>
      <c r="S222" s="67"/>
      <c r="T222" s="67"/>
      <c r="U222" s="67"/>
      <c r="V222" s="67"/>
      <c r="W222" s="67"/>
      <c r="X222" s="1"/>
      <c r="Y222" s="1"/>
      <c r="Z222" s="1"/>
      <c r="AA222" s="1"/>
    </row>
    <row r="223" spans="1:27" ht="17.649999999999999">
      <c r="A223" s="1"/>
      <c r="B223" s="113" t="s">
        <v>260</v>
      </c>
      <c r="C223" s="67"/>
      <c r="D223" s="67"/>
      <c r="E223" s="67"/>
      <c r="F223" s="67"/>
      <c r="G223" s="67"/>
      <c r="H223" s="67"/>
      <c r="I223" s="67"/>
      <c r="J223" s="67"/>
      <c r="K223" s="67"/>
      <c r="L223" s="67"/>
      <c r="M223" s="67"/>
      <c r="N223" s="67"/>
      <c r="O223" s="67"/>
      <c r="P223" s="67"/>
      <c r="Q223" s="67"/>
      <c r="R223" s="67"/>
      <c r="S223" s="67"/>
      <c r="T223" s="67"/>
      <c r="U223" s="67"/>
      <c r="V223" s="67"/>
      <c r="W223" s="67"/>
      <c r="X223" s="1"/>
      <c r="Y223" s="1"/>
      <c r="Z223" s="1"/>
      <c r="AA223" s="1"/>
    </row>
    <row r="224" spans="1:27" ht="15.4">
      <c r="A224" s="1"/>
      <c r="B224" s="114" t="s">
        <v>275</v>
      </c>
      <c r="C224" s="115">
        <f t="shared" ref="C224:W224" si="24">C206-C223</f>
        <v>0</v>
      </c>
      <c r="D224" s="115">
        <f t="shared" si="24"/>
        <v>0</v>
      </c>
      <c r="E224" s="115">
        <f t="shared" si="24"/>
        <v>0</v>
      </c>
      <c r="F224" s="115">
        <f t="shared" si="24"/>
        <v>0</v>
      </c>
      <c r="G224" s="115">
        <f t="shared" si="24"/>
        <v>0</v>
      </c>
      <c r="H224" s="115">
        <f t="shared" si="24"/>
        <v>0</v>
      </c>
      <c r="I224" s="115">
        <f t="shared" si="24"/>
        <v>0</v>
      </c>
      <c r="J224" s="115">
        <f t="shared" si="24"/>
        <v>0</v>
      </c>
      <c r="K224" s="115">
        <f t="shared" si="24"/>
        <v>0</v>
      </c>
      <c r="L224" s="115">
        <f t="shared" si="24"/>
        <v>0</v>
      </c>
      <c r="M224" s="115">
        <f t="shared" si="24"/>
        <v>0</v>
      </c>
      <c r="N224" s="115">
        <f t="shared" si="24"/>
        <v>0</v>
      </c>
      <c r="O224" s="115">
        <f t="shared" si="24"/>
        <v>0</v>
      </c>
      <c r="P224" s="115">
        <f t="shared" si="24"/>
        <v>0</v>
      </c>
      <c r="Q224" s="115">
        <f t="shared" si="24"/>
        <v>0</v>
      </c>
      <c r="R224" s="115">
        <f t="shared" si="24"/>
        <v>0</v>
      </c>
      <c r="S224" s="115">
        <f t="shared" si="24"/>
        <v>0</v>
      </c>
      <c r="T224" s="115">
        <f t="shared" si="24"/>
        <v>0</v>
      </c>
      <c r="U224" s="115">
        <f t="shared" si="24"/>
        <v>0</v>
      </c>
      <c r="V224" s="115">
        <f t="shared" si="24"/>
        <v>0</v>
      </c>
      <c r="W224" s="115">
        <f t="shared" si="24"/>
        <v>0</v>
      </c>
      <c r="X224" s="1"/>
      <c r="Y224" s="1"/>
      <c r="Z224" s="1"/>
      <c r="AA224" s="1"/>
    </row>
    <row r="225" spans="1:27" ht="15.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4">
      <c r="A226" s="1"/>
      <c r="B226" s="42" t="s">
        <v>20</v>
      </c>
      <c r="C226" s="43"/>
      <c r="D226" s="43"/>
      <c r="E226" s="43"/>
      <c r="F226" s="1"/>
      <c r="G226" s="1"/>
      <c r="H226" s="1"/>
      <c r="I226" s="1"/>
      <c r="J226" s="1"/>
      <c r="K226" s="1"/>
      <c r="L226" s="1"/>
      <c r="M226" s="1"/>
      <c r="N226" s="1"/>
      <c r="O226" s="1"/>
      <c r="P226" s="1"/>
      <c r="Q226" s="1"/>
      <c r="R226" s="1"/>
      <c r="S226" s="1"/>
      <c r="T226" s="1"/>
      <c r="U226" s="1"/>
      <c r="V226" s="1"/>
      <c r="W226" s="1"/>
      <c r="X226" s="1"/>
      <c r="Y226" s="1"/>
      <c r="Z226" s="1"/>
      <c r="AA226" s="1"/>
    </row>
    <row r="227" spans="1:27" ht="15.4">
      <c r="A227" s="1"/>
      <c r="B227" s="44" t="s">
        <v>221</v>
      </c>
      <c r="C227" s="45">
        <v>0.11</v>
      </c>
      <c r="D227" s="45">
        <v>0</v>
      </c>
      <c r="E227" s="45">
        <f>'Variables 0'!C35</f>
        <v>0.03</v>
      </c>
      <c r="F227" s="45">
        <f>'Variables 0'!D35</f>
        <v>0.05</v>
      </c>
      <c r="G227" s="45">
        <f>'Variables 0'!E35</f>
        <v>0.08</v>
      </c>
      <c r="H227" s="1"/>
      <c r="I227" s="1"/>
      <c r="J227" s="1"/>
      <c r="K227" s="1"/>
      <c r="L227" s="1"/>
      <c r="M227" s="1"/>
      <c r="N227" s="1"/>
      <c r="O227" s="1"/>
      <c r="P227" s="1"/>
      <c r="Q227" s="1"/>
      <c r="R227" s="1"/>
      <c r="S227" s="1"/>
      <c r="T227" s="1"/>
      <c r="U227" s="1"/>
      <c r="V227" s="1"/>
      <c r="W227" s="1"/>
      <c r="X227" s="1"/>
      <c r="Y227" s="1"/>
      <c r="Z227" s="1"/>
      <c r="AA227" s="1"/>
    </row>
    <row r="228" spans="1:27" ht="15.4">
      <c r="A228" s="1"/>
      <c r="B228" s="44" t="s">
        <v>222</v>
      </c>
      <c r="C228" s="46">
        <f t="shared" ref="C228:G228" si="25">NPV(C227,$D$223:$W$223)+$C$223</f>
        <v>0</v>
      </c>
      <c r="D228" s="46">
        <f t="shared" si="25"/>
        <v>0</v>
      </c>
      <c r="E228" s="46">
        <f t="shared" si="25"/>
        <v>0</v>
      </c>
      <c r="F228" s="46">
        <f t="shared" si="25"/>
        <v>0</v>
      </c>
      <c r="G228" s="46">
        <f t="shared" si="25"/>
        <v>0</v>
      </c>
      <c r="H228" s="1"/>
      <c r="I228" s="1"/>
      <c r="J228" s="1"/>
      <c r="K228" s="1"/>
      <c r="L228" s="1"/>
      <c r="M228" s="1"/>
      <c r="N228" s="1"/>
      <c r="O228" s="1"/>
      <c r="P228" s="1"/>
      <c r="Q228" s="1"/>
      <c r="R228" s="1"/>
      <c r="S228" s="1"/>
      <c r="T228" s="1"/>
      <c r="U228" s="1"/>
      <c r="V228" s="1"/>
      <c r="W228" s="1"/>
      <c r="X228" s="1"/>
      <c r="Y228" s="1"/>
      <c r="Z228" s="1"/>
      <c r="AA228" s="1"/>
    </row>
    <row r="229" spans="1:27" ht="15.4">
      <c r="A229" s="1"/>
      <c r="B229" s="1"/>
      <c r="C229" s="1"/>
      <c r="D229" s="43"/>
      <c r="E229" s="43"/>
      <c r="F229" s="1"/>
      <c r="G229" s="1"/>
      <c r="H229" s="1"/>
      <c r="I229" s="1"/>
      <c r="J229" s="1"/>
      <c r="K229" s="1"/>
      <c r="L229" s="1"/>
      <c r="M229" s="1"/>
      <c r="N229" s="1"/>
      <c r="O229" s="1"/>
      <c r="P229" s="1"/>
      <c r="Q229" s="1"/>
      <c r="R229" s="1"/>
      <c r="S229" s="1"/>
      <c r="T229" s="1"/>
      <c r="U229" s="1"/>
      <c r="V229" s="1"/>
      <c r="W229" s="1"/>
      <c r="X229" s="1"/>
      <c r="Y229" s="1"/>
      <c r="Z229" s="1"/>
      <c r="AA229" s="1"/>
    </row>
    <row r="230" spans="1:27" ht="15.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5.4">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5.4">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5.4">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5.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5.4">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5.4">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5.4">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5.4">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ht="15.4">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ht="15.4">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spans="1:27" ht="15.4">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spans="1:27" ht="15.4">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spans="1:27" ht="15.4">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spans="1:27" ht="15.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spans="1:27" ht="15.4">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spans="1:27" ht="15.4">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spans="1:27" ht="15.4">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spans="1:27" ht="15.4">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spans="1:27" ht="15.4">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spans="1:27" ht="15.4">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spans="1:27" ht="15.4">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spans="1:27" ht="15.4">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spans="1:27" ht="15.4">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spans="1:27" ht="15.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row r="1025" spans="1:27" ht="15.4">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row>
    <row r="1026" spans="1:27" ht="15.4">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row>
    <row r="1027" spans="1:27" ht="15.4">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row>
    <row r="1028" spans="1:27" ht="15.4">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row>
    <row r="1029" spans="1:27" ht="15.4">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row>
    <row r="1030" spans="1:27" ht="15.4">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row>
    <row r="1031" spans="1:27" ht="15.4">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row>
    <row r="1032" spans="1:27" ht="15.4">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row>
    <row r="1033" spans="1:27" ht="15.4">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row>
    <row r="1034" spans="1:27" ht="15.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row>
    <row r="1035" spans="1:27" ht="15.4">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row>
    <row r="1036" spans="1:27" ht="15.4">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row>
    <row r="1037" spans="1:27" ht="15.4">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row>
    <row r="1038" spans="1:27" ht="15.4">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row>
    <row r="1039" spans="1:27" ht="15.4">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row>
    <row r="1040" spans="1:27" ht="15.4">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row>
    <row r="1041" spans="1:27" ht="15.4">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row>
    <row r="1042" spans="1:27" ht="15.4">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row>
    <row r="1043" spans="1:27" ht="15.4">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row>
    <row r="1044" spans="1:27" ht="15.4">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row>
    <row r="1045" spans="1:27" ht="15.4">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row>
    <row r="1046" spans="1:27" ht="15.4">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row>
    <row r="1047" spans="1:27" ht="15.4">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row>
    <row r="1048" spans="1:27" ht="15.4">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row>
    <row r="1049" spans="1:27" ht="15.4">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row>
    <row r="1050" spans="1:27" ht="15.4">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row>
    <row r="1051" spans="1:27" ht="15.4">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row>
    <row r="1052" spans="1:27" ht="15.4">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row>
    <row r="1053" spans="1:27" ht="15.4">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row>
    <row r="1054" spans="1:27" ht="15.4">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row>
    <row r="1055" spans="1:27" ht="15.4">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row>
    <row r="1056" spans="1:27" ht="15.4">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row>
    <row r="1057" spans="1:27" ht="15.4">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row>
    <row r="1058" spans="1:27" ht="15.4">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row>
    <row r="1059" spans="1:27" ht="15.4">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row>
    <row r="1060" spans="1:27" ht="15.4">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row>
    <row r="1061" spans="1:27" ht="15.4">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row>
    <row r="1062" spans="1:27" ht="15.4">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row>
    <row r="1063" spans="1:27" ht="15.4">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row>
    <row r="1064" spans="1:27" ht="15.4">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row>
    <row r="1065" spans="1:27" ht="15.4">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row>
    <row r="1066" spans="1:27" ht="15.4">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row>
    <row r="1067" spans="1:27" ht="15.4">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row>
    <row r="1068" spans="1:27" ht="15.4">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row>
    <row r="1069" spans="1:27" ht="15.4">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row>
    <row r="1070" spans="1:27" ht="15.4">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row>
    <row r="1071" spans="1:27" ht="15.4">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row>
    <row r="1072" spans="1:27" ht="15.4">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row>
    <row r="1073" spans="1:27" ht="15.4">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row>
    <row r="1074" spans="1:27" ht="15.4">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row>
    <row r="1075" spans="1:27" ht="15.4">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row>
    <row r="1076" spans="1:27" ht="15.4">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row>
  </sheetData>
  <mergeCells count="2">
    <mergeCell ref="B2:W2"/>
    <mergeCell ref="B3:W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ferenceId xmlns="afaf8324-4a8f-4905-bada-b9e13427705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336F66E2E4C8743A16DB6EDFDD9E893" ma:contentTypeVersion="3" ma:contentTypeDescription="Create a new document." ma:contentTypeScope="" ma:versionID="88bf3fd3bc3c680227c9f2d1d4335c67">
  <xsd:schema xmlns:xsd="http://www.w3.org/2001/XMLSchema" xmlns:xs="http://www.w3.org/2001/XMLSchema" xmlns:p="http://schemas.microsoft.com/office/2006/metadata/properties" xmlns:ns2="afaf8324-4a8f-4905-bada-b9e134277053" targetNamespace="http://schemas.microsoft.com/office/2006/metadata/properties" ma:root="true" ma:fieldsID="49b7880b459c8e0f045c25d512bda6cd" ns2:_="">
    <xsd:import namespace="afaf8324-4a8f-4905-bada-b9e134277053"/>
    <xsd:element name="properties">
      <xsd:complexType>
        <xsd:sequence>
          <xsd:element name="documentManagement">
            <xsd:complexType>
              <xsd:all>
                <xsd:element ref="ns2:ReferenceId"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af8324-4a8f-4905-bada-b9e134277053"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FD600E-5FC9-4487-92A0-2E1CC8A9ABFB}">
  <ds:schemaRefs>
    <ds:schemaRef ds:uri="http://schemas.microsoft.com/sharepoint/v3/contenttype/forms"/>
  </ds:schemaRefs>
</ds:datastoreItem>
</file>

<file path=customXml/itemProps2.xml><?xml version="1.0" encoding="utf-8"?>
<ds:datastoreItem xmlns:ds="http://schemas.openxmlformats.org/officeDocument/2006/customXml" ds:itemID="{C587B7A8-DD0C-4A54-85EF-49B7C916BEE4}">
  <ds:schemaRefs>
    <ds:schemaRef ds:uri="http://schemas.microsoft.com/office/2006/metadata/properties"/>
    <ds:schemaRef ds:uri="http://schemas.microsoft.com/office/infopath/2007/PartnerControls"/>
    <ds:schemaRef ds:uri="afaf8324-4a8f-4905-bada-b9e134277053"/>
  </ds:schemaRefs>
</ds:datastoreItem>
</file>

<file path=customXml/itemProps3.xml><?xml version="1.0" encoding="utf-8"?>
<ds:datastoreItem xmlns:ds="http://schemas.openxmlformats.org/officeDocument/2006/customXml" ds:itemID="{D545AB44-D7FE-46B5-9D54-E30859AC83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af8324-4a8f-4905-bada-b9e1342770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PHƯƠNG ÁN</vt:lpstr>
      <vt:lpstr>SUMMARY</vt:lpstr>
      <vt:lpstr>Variables 0</vt:lpstr>
      <vt:lpstr>Option 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Phùng Thanh Bình</cp:lastModifiedBy>
  <dcterms:created xsi:type="dcterms:W3CDTF">2023-02-24T12:40:00Z</dcterms:created>
  <dcterms:modified xsi:type="dcterms:W3CDTF">2023-12-06T00:39:15Z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8C9611B0517A4948BD17F945B563E4C5</vt:lpwstr>
  </property>
  <property fmtid="{D5CDD505-2E9C-101B-9397-08002B2CF9AE}" pid="3" name="KSOProductBuildVer">
    <vt:lpwstr>1033-11.2.0.11516</vt:lpwstr>
  </property>
  <property fmtid="{D5CDD505-2E9C-101B-9397-08002B2CF9AE}" pid="4" name="ContentTypeId">
    <vt:lpwstr>0x0101009336F66E2E4C8743A16DB6EDFDD9E893</vt:lpwstr>
  </property>
</Properties>
</file>