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D:\1. Teaching\Thực hành TĐDA\Campbell &amp; Brown 2016 _ Case studies\Dự án nhóm K47\"/>
    </mc:Choice>
  </mc:AlternateContent>
  <xr:revisionPtr revIDLastSave="0" documentId="13_ncr:1_{CC650B9B-8C91-4EE3-A4FA-9B1931FBEE6B}" xr6:coauthVersionLast="47" xr6:coauthVersionMax="47" xr10:uidLastSave="{00000000-0000-0000-0000-000000000000}"/>
  <bookViews>
    <workbookView xWindow="-98" yWindow="-98" windowWidth="20715" windowHeight="13155" tabRatio="428" xr2:uid="{00000000-000D-0000-FFFF-FFFF00000000}"/>
  </bookViews>
  <sheets>
    <sheet name="Phương án 1" sheetId="8" r:id="rId1"/>
    <sheet name="Phân tích phương án 1" sheetId="10" r:id="rId2"/>
    <sheet name="Phương án 2" sheetId="11" r:id="rId3"/>
    <sheet name="Phân tích phương án 2" sheetId="2" r:id="rId4"/>
    <sheet name="CB_DATA_" sheetId="5" state="veryHidden" r:id="rId5"/>
    <sheet name="A12 TIẾNG VIỆT" sheetId="3"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CB_0632d2b666004a94a83ae5bcc486867d" localSheetId="4" hidden="1">#N/A</definedName>
    <definedName name="CB_0c789722574f42f5900a93aae5ee03e0" localSheetId="4" hidden="1">#N/A</definedName>
    <definedName name="CB_25b16e2e05f44691be337f63270cba48" localSheetId="3" hidden="1">'Phân tích phương án 2'!$B$86</definedName>
    <definedName name="CB_27ac723524c5419eb2b4d76b1c658ef4" localSheetId="4" hidden="1">#N/A</definedName>
    <definedName name="CB_2834dd56f61d442e8f2379e9e4b622c0" localSheetId="2" hidden="1">'Phương án 2'!$C$53</definedName>
    <definedName name="CB_2aed3ee1669f44e2837c67ee58999980" localSheetId="0" hidden="1">'Phương án 1'!$B$27</definedName>
    <definedName name="CB_2b2ca55e3a42405a9949a0ee0f30c9bd" localSheetId="4" hidden="1">#N/A</definedName>
    <definedName name="CB_2b6d3c785fda4bf6ac4dabcbe5b2c9e9" localSheetId="4" hidden="1">#N/A</definedName>
    <definedName name="CB_3217b2c6dcfb475e9bb112d465a10e10" localSheetId="3" hidden="1">'Phân tích phương án 2'!$B$97</definedName>
    <definedName name="CB_344be53e96b84cf49e21ec2158b4dd73" localSheetId="4" hidden="1">#N/A</definedName>
    <definedName name="CB_37bd8e108ca84fa9b98567cc19be798d" localSheetId="4" hidden="1">#N/A</definedName>
    <definedName name="CB_38d1bb0a2cca4d4aabc28267e22e0e99" localSheetId="4" hidden="1">#N/A</definedName>
    <definedName name="CB_3aa006f0e96b4247aae4866dcc667398" localSheetId="3" hidden="1">'Phân tích phương án 2'!$B$154</definedName>
    <definedName name="CB_48ad533fa17e40e8bc9b2e6322192834" localSheetId="2" hidden="1">'Phương án 2'!$H$6</definedName>
    <definedName name="CB_4ec9ad61c7f64faea1d7a6b0facd1caf" localSheetId="4" hidden="1">#N/A</definedName>
    <definedName name="CB_5d318ef24f3d4db0838d6e464cf9421e" localSheetId="1" hidden="1">'Phân tích phương án 1'!$B$99</definedName>
    <definedName name="CB_5d7df0e1630d44b7bba48052d9e52166" localSheetId="2" hidden="1">'Phương án 2'!$H$7</definedName>
    <definedName name="CB_5e95a4081fb448059af82bb721ffd11f" localSheetId="4" hidden="1">#N/A</definedName>
    <definedName name="CB_67fa980ec8fb49e6aefee017a6544ff6" localSheetId="0" hidden="1">'Phương án 1'!$F$7</definedName>
    <definedName name="CB_723a42cda99843d997a774b93627e4d4" localSheetId="2" hidden="1">'Phương án 2'!$E$14</definedName>
    <definedName name="CB_77ee160254c745bfbd323ece3df539dd" localSheetId="2" hidden="1">'Phương án 2'!$C$49</definedName>
    <definedName name="CB_7803b237a1f44f5aa322c3f2ff92f7f5" localSheetId="4" hidden="1">#N/A</definedName>
    <definedName name="CB_8e28b73a56d7491baa4b1417e7d0393d" localSheetId="4" hidden="1">#N/A</definedName>
    <definedName name="CB_951618ac407b4c51867b1921483754e2" localSheetId="4" hidden="1">#N/A</definedName>
    <definedName name="CB_9b3d366edb464a0f99acbc5c5c540c03" localSheetId="0" hidden="1">'Phương án 1'!$F$21</definedName>
    <definedName name="CB_9ec59682b9b14ea0ba13932b9a803d86" localSheetId="3" hidden="1">'Phân tích phương án 2'!$B$130</definedName>
    <definedName name="CB_aa2f0c990252446fab83e92db397f2fb" localSheetId="4" hidden="1">#N/A</definedName>
    <definedName name="CB_aa33c414a5b047d0ac9658d2e0975e03" localSheetId="2" hidden="1">'Phương án 2'!$B$25</definedName>
    <definedName name="CB_b1c4dcfd031d429bad2566a71bd36444" localSheetId="4" hidden="1">#N/A</definedName>
    <definedName name="CB_b2c85563edd54cb9a40f014d8d322f9d" localSheetId="2" hidden="1">'Phương án 2'!$C$40</definedName>
    <definedName name="CB_Block_00000000000000000000000000000000" localSheetId="4" hidden="1">"'7.0.0.0"</definedName>
    <definedName name="CB_Block_00000000000000000000000000000000" localSheetId="1" hidden="1">"'7.0.0.0"</definedName>
    <definedName name="CB_Block_00000000000000000000000000000000" localSheetId="3" hidden="1">"'7.0.0.0"</definedName>
    <definedName name="CB_Block_00000000000000000000000000000000" localSheetId="0" hidden="1">"'7.0.0.0"</definedName>
    <definedName name="CB_Block_00000000000000000000000000000000" localSheetId="2" hidden="1">"'7.0.0.0"</definedName>
    <definedName name="CB_Block_00000000000000000000000000000001" localSheetId="4" hidden="1">"'638079304520971540"</definedName>
    <definedName name="CB_Block_00000000000000000000000000000001" localSheetId="1" hidden="1">"'638079304519882253"</definedName>
    <definedName name="CB_Block_00000000000000000000000000000001" localSheetId="3" hidden="1">"'638079304520503823"</definedName>
    <definedName name="CB_Block_00000000000000000000000000000001" localSheetId="0" hidden="1">"'638079304520011472"</definedName>
    <definedName name="CB_Block_00000000000000000000000000000001" localSheetId="2" hidden="1">"'638079304521110905"</definedName>
    <definedName name="CB_Block_00000000000000000000000000000003" localSheetId="4" hidden="1">"'11.1.4716.0"</definedName>
    <definedName name="CB_Block_00000000000000000000000000000003" localSheetId="1" hidden="1">"'11.1.4716.0"</definedName>
    <definedName name="CB_Block_00000000000000000000000000000003" localSheetId="3" hidden="1">"'11.1.4716.0"</definedName>
    <definedName name="CB_Block_00000000000000000000000000000003" localSheetId="0" hidden="1">"'11.1.4716.0"</definedName>
    <definedName name="CB_Block_00000000000000000000000000000003" localSheetId="2" hidden="1">"'11.1.4716.0"</definedName>
    <definedName name="CB_BlockExt_00000000000000000000000000000003" localSheetId="4" hidden="1">"'11.1.2.4.850"</definedName>
    <definedName name="CB_BlockExt_00000000000000000000000000000003" localSheetId="1" hidden="1">"'11.1.2.4.850"</definedName>
    <definedName name="CB_BlockExt_00000000000000000000000000000003" localSheetId="3" hidden="1">"'11.1.2.4.850"</definedName>
    <definedName name="CB_BlockExt_00000000000000000000000000000003" localSheetId="0" hidden="1">"'11.1.2.4.850"</definedName>
    <definedName name="CB_BlockExt_00000000000000000000000000000003" localSheetId="2" hidden="1">"'11.1.2.4.850"</definedName>
    <definedName name="CB_c26890653a234e24aa7af0a068d45ef5" localSheetId="0" hidden="1">'Phương án 1'!$F$17</definedName>
    <definedName name="CB_c52943c3b49b4c10ae24b663e4aa121f" localSheetId="0" hidden="1">'Phương án 1'!$B$28</definedName>
    <definedName name="CB_c727eda56859453daef6fce0ea0faeff" localSheetId="0" hidden="1">'Phương án 1'!$F$8</definedName>
    <definedName name="CB_c86f7c1c3e0f4dbb91083b600588a8da" localSheetId="2" hidden="1">'Phương án 2'!$C$44</definedName>
    <definedName name="CB_c932a20252514ea8a9649a2f0dec2a67" localSheetId="0" hidden="1">'Phương án 1'!$B$24</definedName>
    <definedName name="CB_cbcb57b3ada24ee6af962cd99db3ed80" localSheetId="4" hidden="1">#N/A</definedName>
    <definedName name="CB_cea554092deb43ad87ccbbf6514bde7f" localSheetId="4" hidden="1">#N/A</definedName>
    <definedName name="CB_d16861bf3f5f40fa961330deb9b86f7b" localSheetId="4" hidden="1">#N/A</definedName>
    <definedName name="CB_de02f364aa5d4cfa890a6e892f4fbfcf" localSheetId="4" hidden="1">#N/A</definedName>
    <definedName name="CB_e04c08cb4275456fbcf9d31c14da8450" localSheetId="1" hidden="1">'Phân tích phương án 1'!$B$69</definedName>
    <definedName name="CB_e420558b872c4495915aa1f0a5612a66" localSheetId="3" hidden="1">'Phân tích phương án 2'!$B$189</definedName>
    <definedName name="CB_e7cdca774af742ae964b82ed75db5232" localSheetId="4" hidden="1">#N/A</definedName>
    <definedName name="CB_ebb9667c69964630b934e800d84f4db0" localSheetId="1" hidden="1">'Phân tích phương án 1'!$B$45</definedName>
    <definedName name="CB_f33f9ab1d33344c0bf422752a1d0fcf1" localSheetId="1" hidden="1">'Phân tích phương án 1'!$B$67</definedName>
    <definedName name="CB_f93a9921bc5449358698d979b47573d4" localSheetId="2" hidden="1">'Phương án 2'!$H$17</definedName>
    <definedName name="CB_fa32d1f78144410d941ca2aac2ee9644" localSheetId="3" hidden="1">'Phân tích phương án 2'!$B$152</definedName>
    <definedName name="CBWorkbookPriority" localSheetId="4" hidden="1">-2213553167916320</definedName>
    <definedName name="CBx_1b98f1903b3f4deaabd6770101860c78" localSheetId="4" hidden="1">"'CB_DATA_'!$A$1"</definedName>
    <definedName name="CBx_80e36a5cb3b0494a86489e28b10b8082" localSheetId="4" hidden="1">"'Thông số'!$A$1"</definedName>
    <definedName name="CBx_a930a6200c8147cc86a9b89af5fd6c9c" localSheetId="4" hidden="1">"'Phương án 2'!$A$1"</definedName>
    <definedName name="CBx_c344aa33a1c8496c8060abfebccf436d" localSheetId="4" hidden="1">"'Phương án 1'!$A$1"</definedName>
    <definedName name="CBx_c8058413c3794623aa28a8a5f0ccfd18" localSheetId="4" hidden="1">"'Phân tích phương án 2'!$A$1"</definedName>
    <definedName name="CBx_e279ecc44e254a2c9bdc6b232e9deb8b" localSheetId="4" hidden="1">"'Phân tích phương án 1'!$A$1"</definedName>
    <definedName name="CBx_e5201e6058984c29b17fef56a836e9ce" localSheetId="4" hidden="1">"'Giả định pp'!$A$1"</definedName>
    <definedName name="CBx_Sheet_Guid" localSheetId="4" hidden="1">"'1b98f190-3b3f-4dea-abd6-770101860c78"</definedName>
    <definedName name="CBx_Sheet_Guid" localSheetId="1" hidden="1">"'e279ecc4-4e25-4a2c-9bdc-6b232e9deb8b"</definedName>
    <definedName name="CBx_Sheet_Guid" localSheetId="3" hidden="1">"'c8058413-c379-4623-aa28-a8a5f0ccfd18"</definedName>
    <definedName name="CBx_Sheet_Guid" localSheetId="0" hidden="1">"'c344aa33-a1c8-496c-8060-abfebccf436d"</definedName>
    <definedName name="CBx_Sheet_Guid" localSheetId="2" hidden="1">"'a930a620-0c81-47cc-86a9-b89af5fd6c9c"</definedName>
    <definedName name="CBx_SheetRef" localSheetId="4" hidden="1">CB_DATA_!$A$14</definedName>
    <definedName name="CBx_SheetRef" localSheetId="1" hidden="1">CB_DATA_!$F$14</definedName>
    <definedName name="CBx_SheetRef" localSheetId="3" hidden="1">CB_DATA_!$D$14</definedName>
    <definedName name="CBx_SheetRef" localSheetId="0" hidden="1">CB_DATA_!$E$14</definedName>
    <definedName name="CBx_SheetRef" localSheetId="2" hidden="1">CB_DATA_!$G$14</definedName>
    <definedName name="CBx_StorageType" localSheetId="4" hidden="1">2</definedName>
    <definedName name="CBx_StorageType" localSheetId="1" hidden="1">2</definedName>
    <definedName name="CBx_StorageType" localSheetId="3" hidden="1">2</definedName>
    <definedName name="CBx_StorageType" localSheetId="0" hidden="1">2</definedName>
    <definedName name="CBx_StorageType" localSheetId="2"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2" l="1"/>
  <c r="F19" i="2"/>
  <c r="G19" i="2"/>
  <c r="H19" i="2"/>
  <c r="I19" i="2"/>
  <c r="J19" i="2"/>
  <c r="K19" i="2"/>
  <c r="L19" i="2"/>
  <c r="M19" i="2"/>
  <c r="N19" i="2"/>
  <c r="O19" i="2"/>
  <c r="P19" i="2"/>
  <c r="Q19" i="2"/>
  <c r="R19" i="2"/>
  <c r="S19" i="2"/>
  <c r="T19" i="2"/>
  <c r="U19" i="2"/>
  <c r="V19" i="2"/>
  <c r="W19" i="2"/>
  <c r="X19" i="2"/>
  <c r="Y19" i="2"/>
  <c r="Z19" i="2"/>
  <c r="AA19" i="2"/>
  <c r="D19" i="2"/>
  <c r="E7" i="10"/>
  <c r="F7" i="10"/>
  <c r="G7" i="10"/>
  <c r="H7" i="10"/>
  <c r="I7" i="10"/>
  <c r="J7" i="10"/>
  <c r="K7" i="10"/>
  <c r="L7" i="10"/>
  <c r="M7" i="10"/>
  <c r="N7" i="10"/>
  <c r="O7" i="10"/>
  <c r="P7" i="10"/>
  <c r="Q7" i="10"/>
  <c r="R7" i="10"/>
  <c r="S7" i="10"/>
  <c r="T7" i="10"/>
  <c r="U7" i="10"/>
  <c r="V7" i="10"/>
  <c r="W7" i="10"/>
  <c r="X7" i="10"/>
  <c r="Y7" i="10"/>
  <c r="Z7" i="10"/>
  <c r="AA7" i="10"/>
  <c r="D7" i="10"/>
  <c r="B188" i="2" l="1"/>
  <c r="B98" i="10"/>
  <c r="A205" i="2"/>
  <c r="A204" i="2"/>
  <c r="A203" i="2"/>
  <c r="A202" i="2"/>
  <c r="A111" i="10"/>
  <c r="A110" i="10"/>
  <c r="C125" i="2"/>
  <c r="B125" i="2"/>
  <c r="C174" i="2"/>
  <c r="B174" i="2"/>
  <c r="B179" i="2"/>
  <c r="C183" i="2"/>
  <c r="C182" i="2" s="1"/>
  <c r="B183" i="2"/>
  <c r="B182" i="2" s="1"/>
  <c r="C91" i="10"/>
  <c r="B91"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I74" i="10"/>
  <c r="AJ74" i="10"/>
  <c r="AK74" i="10"/>
  <c r="AL74" i="10"/>
  <c r="AM74" i="10"/>
  <c r="AN74" i="10"/>
  <c r="AO74" i="10"/>
  <c r="AP74" i="10"/>
  <c r="AQ74" i="10"/>
  <c r="AR74" i="10"/>
  <c r="AS74" i="10"/>
  <c r="AT74" i="10"/>
  <c r="AU74" i="10"/>
  <c r="AV74" i="10"/>
  <c r="AW74" i="10"/>
  <c r="AX74" i="10"/>
  <c r="AY74" i="10"/>
  <c r="B74" i="10"/>
  <c r="P2" i="5"/>
  <c r="B151" i="2" l="1"/>
  <c r="C136" i="2"/>
  <c r="D136" i="2"/>
  <c r="E136" i="2"/>
  <c r="F136" i="2"/>
  <c r="G136" i="2"/>
  <c r="H136" i="2"/>
  <c r="I136" i="2"/>
  <c r="J136" i="2"/>
  <c r="K136" i="2"/>
  <c r="L136" i="2"/>
  <c r="M136" i="2"/>
  <c r="N136" i="2"/>
  <c r="O136" i="2"/>
  <c r="P136" i="2"/>
  <c r="Q136" i="2"/>
  <c r="R136" i="2"/>
  <c r="S136" i="2"/>
  <c r="T136" i="2"/>
  <c r="U136" i="2"/>
  <c r="V136" i="2"/>
  <c r="W136" i="2"/>
  <c r="X136" i="2"/>
  <c r="Y136" i="2"/>
  <c r="Z136" i="2"/>
  <c r="AA136" i="2"/>
  <c r="AB136" i="2"/>
  <c r="AC136" i="2"/>
  <c r="AD136" i="2"/>
  <c r="AE136" i="2"/>
  <c r="AF136" i="2"/>
  <c r="AG136" i="2"/>
  <c r="AH136" i="2"/>
  <c r="AI136" i="2"/>
  <c r="AJ136" i="2"/>
  <c r="AK136" i="2"/>
  <c r="AL136" i="2"/>
  <c r="AM136" i="2"/>
  <c r="AN136" i="2"/>
  <c r="AO136" i="2"/>
  <c r="AP136" i="2"/>
  <c r="AQ136" i="2"/>
  <c r="AR136" i="2"/>
  <c r="AS136" i="2"/>
  <c r="AT136" i="2"/>
  <c r="AU136" i="2"/>
  <c r="AV136" i="2"/>
  <c r="AW136" i="2"/>
  <c r="AX136" i="2"/>
  <c r="AY136" i="2"/>
  <c r="B136" i="2"/>
  <c r="B66" i="10"/>
  <c r="C51" i="10" l="1"/>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I51" i="10"/>
  <c r="AJ51" i="10"/>
  <c r="AK51" i="10"/>
  <c r="AL51" i="10"/>
  <c r="AM51" i="10"/>
  <c r="AN51" i="10"/>
  <c r="AO51" i="10"/>
  <c r="AP51" i="10"/>
  <c r="AQ51" i="10"/>
  <c r="AR51" i="10"/>
  <c r="AS51" i="10"/>
  <c r="AT51" i="10"/>
  <c r="AU51" i="10"/>
  <c r="AV51" i="10"/>
  <c r="AW51" i="10"/>
  <c r="AX51" i="10"/>
  <c r="AY51" i="10"/>
  <c r="B51" i="10"/>
  <c r="AC19" i="2" l="1"/>
  <c r="AD19" i="2"/>
  <c r="AE19" i="2"/>
  <c r="AF19" i="2"/>
  <c r="AG19" i="2"/>
  <c r="AH19" i="2"/>
  <c r="AI19" i="2"/>
  <c r="AJ19" i="2"/>
  <c r="AK19" i="2"/>
  <c r="AL19" i="2"/>
  <c r="AM19" i="2"/>
  <c r="AN19" i="2"/>
  <c r="AO19" i="2"/>
  <c r="AP19" i="2"/>
  <c r="AQ19" i="2"/>
  <c r="AR19" i="2"/>
  <c r="AS19" i="2"/>
  <c r="AT19" i="2"/>
  <c r="AU19" i="2"/>
  <c r="AV19" i="2"/>
  <c r="AW19" i="2"/>
  <c r="AX19" i="2"/>
  <c r="AY19" i="2"/>
  <c r="AB19" i="2"/>
  <c r="AF7" i="10"/>
  <c r="AG7" i="10"/>
  <c r="AH7" i="10"/>
  <c r="AI7" i="10"/>
  <c r="AJ7" i="10"/>
  <c r="AK7" i="10"/>
  <c r="AL7" i="10"/>
  <c r="AM7" i="10"/>
  <c r="AN7" i="10"/>
  <c r="AO7" i="10"/>
  <c r="AP7" i="10"/>
  <c r="AQ7" i="10"/>
  <c r="AR7" i="10"/>
  <c r="AS7" i="10"/>
  <c r="AT7" i="10"/>
  <c r="AU7" i="10"/>
  <c r="AV7" i="10"/>
  <c r="AW7" i="10"/>
  <c r="AX7" i="10"/>
  <c r="AY7" i="10"/>
  <c r="AE7" i="10"/>
  <c r="G11" i="5" l="1"/>
  <c r="F11" i="5"/>
  <c r="E11" i="5"/>
  <c r="B129" i="2" l="1"/>
  <c r="C122" i="2"/>
  <c r="C127" i="2" s="1"/>
  <c r="C168" i="2" s="1"/>
  <c r="B122" i="2"/>
  <c r="B127" i="2" s="1"/>
  <c r="B168" i="2" s="1"/>
  <c r="J14" i="11"/>
  <c r="K14" i="11" s="1"/>
  <c r="I14" i="11" l="1"/>
  <c r="H28" i="8"/>
  <c r="H29" i="8"/>
  <c r="H30" i="8"/>
  <c r="H31" i="8"/>
  <c r="H32" i="8"/>
  <c r="H33" i="8"/>
  <c r="I33" i="8" s="1"/>
  <c r="F34" i="8"/>
  <c r="AX75" i="2" l="1"/>
  <c r="AR75" i="2"/>
  <c r="AO75" i="2"/>
  <c r="AC75" i="2"/>
  <c r="AW75" i="2"/>
  <c r="AH75" i="2"/>
  <c r="AM75" i="2"/>
  <c r="AQ75" i="2"/>
  <c r="AL75" i="2"/>
  <c r="AS75" i="2"/>
  <c r="AT75" i="2"/>
  <c r="AP75" i="2"/>
  <c r="AF75" i="2"/>
  <c r="AY75" i="2"/>
  <c r="AK75" i="2"/>
  <c r="AI75" i="2"/>
  <c r="AV75" i="2"/>
  <c r="AN75" i="2"/>
  <c r="AG75" i="2"/>
  <c r="AD75" i="2"/>
  <c r="AE75" i="2"/>
  <c r="AJ75" i="2"/>
  <c r="AU75" i="2"/>
  <c r="AB75" i="2"/>
  <c r="G32" i="8"/>
  <c r="I29" i="8"/>
  <c r="I30" i="8"/>
  <c r="I28" i="8"/>
  <c r="G31" i="8"/>
  <c r="G33" i="8"/>
  <c r="I32" i="8"/>
  <c r="G28" i="8"/>
  <c r="I31" i="8"/>
  <c r="G29" i="8"/>
  <c r="G30" i="8"/>
  <c r="H34" i="8"/>
  <c r="B96" i="2"/>
  <c r="C79" i="2"/>
  <c r="C179" i="2" s="1"/>
  <c r="C60" i="11"/>
  <c r="B63" i="11"/>
  <c r="B62" i="11"/>
  <c r="B61" i="11"/>
  <c r="R23" i="2"/>
  <c r="S23" i="2"/>
  <c r="T23" i="2"/>
  <c r="U23" i="2"/>
  <c r="V23" i="2"/>
  <c r="W23" i="2"/>
  <c r="X23" i="2"/>
  <c r="Y23" i="2"/>
  <c r="Z23" i="2"/>
  <c r="AA23" i="2"/>
  <c r="AB23" i="2"/>
  <c r="AB29" i="2" s="1"/>
  <c r="AC23" i="2"/>
  <c r="AC29" i="2" s="1"/>
  <c r="AD23" i="2"/>
  <c r="AD29" i="2" s="1"/>
  <c r="AE23" i="2"/>
  <c r="AE29" i="2" s="1"/>
  <c r="AF23" i="2"/>
  <c r="AF29" i="2" s="1"/>
  <c r="AG23" i="2"/>
  <c r="AG29" i="2" s="1"/>
  <c r="AH23" i="2"/>
  <c r="AH29" i="2" s="1"/>
  <c r="AI23" i="2"/>
  <c r="AI29" i="2" s="1"/>
  <c r="AJ23" i="2"/>
  <c r="AJ29" i="2" s="1"/>
  <c r="AK23" i="2"/>
  <c r="AK29" i="2" s="1"/>
  <c r="AL23" i="2"/>
  <c r="AL29" i="2" s="1"/>
  <c r="AM23" i="2"/>
  <c r="AM29" i="2" s="1"/>
  <c r="AN23" i="2"/>
  <c r="AN29" i="2" s="1"/>
  <c r="AO23" i="2"/>
  <c r="AO29" i="2" s="1"/>
  <c r="AP23" i="2"/>
  <c r="AP29" i="2" s="1"/>
  <c r="AQ23" i="2"/>
  <c r="AQ29" i="2" s="1"/>
  <c r="AR23" i="2"/>
  <c r="AR29" i="2" s="1"/>
  <c r="AS23" i="2"/>
  <c r="AS29" i="2" s="1"/>
  <c r="AT23" i="2"/>
  <c r="AT29" i="2" s="1"/>
  <c r="AU23" i="2"/>
  <c r="AU29" i="2" s="1"/>
  <c r="AV23" i="2"/>
  <c r="AV29" i="2" s="1"/>
  <c r="AW23" i="2"/>
  <c r="AW29" i="2" s="1"/>
  <c r="AX23" i="2"/>
  <c r="AX29" i="2" s="1"/>
  <c r="AY23" i="2"/>
  <c r="AY29" i="2" s="1"/>
  <c r="D24" i="2"/>
  <c r="E24" i="2"/>
  <c r="F24" i="2"/>
  <c r="G24" i="2"/>
  <c r="H24" i="2"/>
  <c r="I24" i="2"/>
  <c r="B11" i="2"/>
  <c r="E15" i="11"/>
  <c r="C18" i="2"/>
  <c r="D18"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AG18" i="2"/>
  <c r="AH18" i="2"/>
  <c r="AI18" i="2"/>
  <c r="AJ18" i="2"/>
  <c r="AK18" i="2"/>
  <c r="AL18" i="2"/>
  <c r="AM18" i="2"/>
  <c r="AN18" i="2"/>
  <c r="AO18" i="2"/>
  <c r="AP18" i="2"/>
  <c r="AQ18" i="2"/>
  <c r="AR18" i="2"/>
  <c r="AS18" i="2"/>
  <c r="AT18" i="2"/>
  <c r="AU18" i="2"/>
  <c r="AV18" i="2"/>
  <c r="AW18" i="2"/>
  <c r="AX18" i="2"/>
  <c r="AY18" i="2"/>
  <c r="B18" i="2"/>
  <c r="J26" i="11"/>
  <c r="J27" i="11"/>
  <c r="J28" i="11"/>
  <c r="J25" i="11"/>
  <c r="C55" i="11"/>
  <c r="E55" i="11" s="1"/>
  <c r="F55" i="11" s="1"/>
  <c r="C56" i="11"/>
  <c r="E56" i="11" s="1"/>
  <c r="C54" i="11"/>
  <c r="C51" i="11"/>
  <c r="E51" i="11" s="1"/>
  <c r="F51" i="11" s="1"/>
  <c r="C52" i="11"/>
  <c r="E52" i="11" s="1"/>
  <c r="F52" i="11" s="1"/>
  <c r="C50" i="11"/>
  <c r="H29" i="11"/>
  <c r="B31" i="11"/>
  <c r="B32" i="11"/>
  <c r="C32" i="11"/>
  <c r="D32" i="11"/>
  <c r="D35" i="11" s="1"/>
  <c r="E32" i="11"/>
  <c r="E35" i="11" s="1"/>
  <c r="F32" i="11"/>
  <c r="G32" i="11"/>
  <c r="H32" i="11"/>
  <c r="I32" i="11"/>
  <c r="I35" i="11" s="1"/>
  <c r="B33" i="11"/>
  <c r="F33" i="11"/>
  <c r="B34" i="11"/>
  <c r="C34" i="11"/>
  <c r="F34" i="11"/>
  <c r="G34" i="11"/>
  <c r="C31" i="11"/>
  <c r="F31" i="11"/>
  <c r="G31" i="11"/>
  <c r="C29" i="11"/>
  <c r="D29" i="11"/>
  <c r="E29" i="11"/>
  <c r="F29" i="11"/>
  <c r="G29" i="11"/>
  <c r="I29" i="11"/>
  <c r="B29" i="11"/>
  <c r="E17" i="11" s="1"/>
  <c r="E12" i="11" s="1"/>
  <c r="E19" i="11" s="1"/>
  <c r="B85" i="2" s="1"/>
  <c r="E12" i="10"/>
  <c r="F12" i="10"/>
  <c r="G12" i="10"/>
  <c r="H12" i="10"/>
  <c r="I12" i="10"/>
  <c r="J12" i="10"/>
  <c r="K12" i="10"/>
  <c r="L12" i="10"/>
  <c r="M12" i="10"/>
  <c r="N12" i="10"/>
  <c r="O12" i="10"/>
  <c r="P12" i="10"/>
  <c r="Q12" i="10"/>
  <c r="D12" i="10"/>
  <c r="B10" i="8"/>
  <c r="T12" i="10" s="1"/>
  <c r="B15" i="11"/>
  <c r="B14" i="11"/>
  <c r="U24" i="2" s="1"/>
  <c r="B13" i="11"/>
  <c r="K24" i="2" s="1"/>
  <c r="C47" i="11"/>
  <c r="E47" i="11" s="1"/>
  <c r="F47" i="11" s="1"/>
  <c r="C46" i="11"/>
  <c r="E46" i="11" s="1"/>
  <c r="C45" i="11"/>
  <c r="C43" i="11"/>
  <c r="E43" i="11" s="1"/>
  <c r="F43" i="11" s="1"/>
  <c r="C42" i="11"/>
  <c r="E42" i="11" s="1"/>
  <c r="C41" i="11"/>
  <c r="E41" i="11" s="1"/>
  <c r="B44" i="10"/>
  <c r="D63" i="11" l="1"/>
  <c r="F63" i="11" s="1"/>
  <c r="E63" i="11" s="1"/>
  <c r="AT55" i="2" s="1"/>
  <c r="F46" i="11"/>
  <c r="AE39" i="2"/>
  <c r="AE70" i="2" s="1"/>
  <c r="AX39" i="2"/>
  <c r="AX70" i="2" s="1"/>
  <c r="AT39" i="2"/>
  <c r="AT70" i="2" s="1"/>
  <c r="AW39" i="2"/>
  <c r="AW70" i="2" s="1"/>
  <c r="AB39" i="2"/>
  <c r="AB70" i="2" s="1"/>
  <c r="AH39" i="2"/>
  <c r="AH70" i="2" s="1"/>
  <c r="AU39" i="2"/>
  <c r="AU70" i="2" s="1"/>
  <c r="AV39" i="2"/>
  <c r="AV70" i="2" s="1"/>
  <c r="AQ39" i="2"/>
  <c r="AQ70" i="2" s="1"/>
  <c r="AM39" i="2"/>
  <c r="AM70" i="2" s="1"/>
  <c r="AG39" i="2"/>
  <c r="AG70" i="2" s="1"/>
  <c r="AC39" i="2"/>
  <c r="AC70" i="2" s="1"/>
  <c r="AS39" i="2"/>
  <c r="AS70" i="2" s="1"/>
  <c r="AJ39" i="2"/>
  <c r="AJ70" i="2" s="1"/>
  <c r="AO39" i="2"/>
  <c r="AO70" i="2" s="1"/>
  <c r="AF39" i="2"/>
  <c r="AF70" i="2" s="1"/>
  <c r="AD39" i="2"/>
  <c r="AD70" i="2" s="1"/>
  <c r="AK39" i="2"/>
  <c r="AK70" i="2" s="1"/>
  <c r="AP39" i="2"/>
  <c r="AP70" i="2" s="1"/>
  <c r="AI39" i="2"/>
  <c r="AI70" i="2" s="1"/>
  <c r="AR39" i="2"/>
  <c r="AR70" i="2" s="1"/>
  <c r="AY39" i="2"/>
  <c r="AY70" i="2" s="1"/>
  <c r="AN39" i="2"/>
  <c r="AN70" i="2" s="1"/>
  <c r="AL39" i="2"/>
  <c r="AL70" i="2" s="1"/>
  <c r="D60" i="11"/>
  <c r="F60" i="11" s="1"/>
  <c r="E50" i="11"/>
  <c r="F50" i="11" s="1"/>
  <c r="F49" i="11" s="1"/>
  <c r="E54" i="11"/>
  <c r="M35" i="2"/>
  <c r="O35" i="2"/>
  <c r="S35" i="2"/>
  <c r="Y35" i="2"/>
  <c r="AA35" i="2"/>
  <c r="AJ35" i="2"/>
  <c r="R35" i="2"/>
  <c r="U35" i="2"/>
  <c r="K35" i="2"/>
  <c r="AL35" i="2"/>
  <c r="AW35" i="2"/>
  <c r="AK35" i="2"/>
  <c r="AE35" i="2"/>
  <c r="AI35" i="2"/>
  <c r="Q35" i="2"/>
  <c r="Z35" i="2"/>
  <c r="AX35" i="2"/>
  <c r="AB35" i="2"/>
  <c r="AY35" i="2"/>
  <c r="X35" i="2"/>
  <c r="V35" i="2"/>
  <c r="AU35" i="2"/>
  <c r="AN35" i="2"/>
  <c r="AH35" i="2"/>
  <c r="AV35" i="2"/>
  <c r="L35" i="2"/>
  <c r="AS35" i="2"/>
  <c r="P35" i="2"/>
  <c r="N35" i="2"/>
  <c r="AD35" i="2"/>
  <c r="AC35" i="2"/>
  <c r="AT35" i="2"/>
  <c r="W35" i="2"/>
  <c r="AP35" i="2"/>
  <c r="J35" i="2"/>
  <c r="T35" i="2"/>
  <c r="AR35" i="2"/>
  <c r="AQ35" i="2"/>
  <c r="AO35" i="2"/>
  <c r="AF35" i="2"/>
  <c r="AM35" i="2"/>
  <c r="AG35" i="2"/>
  <c r="D61" i="11"/>
  <c r="F61" i="11" s="1"/>
  <c r="E61" i="11" s="1"/>
  <c r="L55" i="2" s="1"/>
  <c r="E45" i="11"/>
  <c r="F45" i="11" s="1"/>
  <c r="D62" i="11"/>
  <c r="F62" i="11" s="1"/>
  <c r="E62" i="11" s="1"/>
  <c r="U55" i="2" s="1"/>
  <c r="K148" i="2"/>
  <c r="K183" i="2" s="1"/>
  <c r="K182" i="2" s="1"/>
  <c r="G148" i="2"/>
  <c r="G183" i="2" s="1"/>
  <c r="G182" i="2" s="1"/>
  <c r="AS147" i="2"/>
  <c r="AK147" i="2"/>
  <c r="AC147" i="2"/>
  <c r="U138" i="2"/>
  <c r="F148" i="2"/>
  <c r="F183" i="2" s="1"/>
  <c r="F182" i="2" s="1"/>
  <c r="AJ147" i="2"/>
  <c r="AB147" i="2"/>
  <c r="E148" i="2"/>
  <c r="E183" i="2" s="1"/>
  <c r="E182" i="2" s="1"/>
  <c r="D148" i="2"/>
  <c r="D183" i="2" s="1"/>
  <c r="AT147" i="2"/>
  <c r="AY147" i="2"/>
  <c r="U148" i="2"/>
  <c r="U183" i="2" s="1"/>
  <c r="U182" i="2" s="1"/>
  <c r="AX147" i="2"/>
  <c r="AP147" i="2"/>
  <c r="AH147" i="2"/>
  <c r="AR147" i="2"/>
  <c r="AW147" i="2"/>
  <c r="AO147" i="2"/>
  <c r="AG147" i="2"/>
  <c r="I138" i="2"/>
  <c r="AL147" i="2"/>
  <c r="AQ147" i="2"/>
  <c r="AV147" i="2"/>
  <c r="AN147" i="2"/>
  <c r="AF147" i="2"/>
  <c r="H138" i="2"/>
  <c r="I148" i="2"/>
  <c r="I183" i="2" s="1"/>
  <c r="I182" i="2" s="1"/>
  <c r="AD147" i="2"/>
  <c r="AI147" i="2"/>
  <c r="AU147" i="2"/>
  <c r="AM147" i="2"/>
  <c r="AE147" i="2"/>
  <c r="H148" i="2"/>
  <c r="H183" i="2" s="1"/>
  <c r="H182" i="2" s="1"/>
  <c r="AE36" i="2"/>
  <c r="AE40" i="2"/>
  <c r="AE72" i="2" s="1"/>
  <c r="AE74" i="2"/>
  <c r="AT36" i="2"/>
  <c r="AT40" i="2"/>
  <c r="AT72" i="2" s="1"/>
  <c r="AT74" i="2"/>
  <c r="AS36" i="2"/>
  <c r="AS40" i="2"/>
  <c r="AS72" i="2" s="1"/>
  <c r="AS74" i="2"/>
  <c r="AK36" i="2"/>
  <c r="AK40" i="2"/>
  <c r="AK72" i="2" s="1"/>
  <c r="AK74" i="2"/>
  <c r="AR40" i="2"/>
  <c r="AR72" i="2" s="1"/>
  <c r="AR74" i="2"/>
  <c r="AR36" i="2"/>
  <c r="AJ74" i="2"/>
  <c r="AJ36" i="2"/>
  <c r="AJ40" i="2"/>
  <c r="AJ72" i="2" s="1"/>
  <c r="AB36" i="2"/>
  <c r="AB74" i="2"/>
  <c r="AB40" i="2"/>
  <c r="AB72" i="2" s="1"/>
  <c r="AM40" i="2"/>
  <c r="AM72" i="2" s="1"/>
  <c r="AM74" i="2"/>
  <c r="AM36" i="2"/>
  <c r="AD36" i="2"/>
  <c r="AD40" i="2"/>
  <c r="AD72" i="2" s="1"/>
  <c r="AD74" i="2"/>
  <c r="AX74" i="2"/>
  <c r="AX36" i="2"/>
  <c r="AX40" i="2"/>
  <c r="AX72" i="2" s="1"/>
  <c r="AP74" i="2"/>
  <c r="AP40" i="2"/>
  <c r="AP72" i="2" s="1"/>
  <c r="AP36" i="2"/>
  <c r="AH74" i="2"/>
  <c r="AH40" i="2"/>
  <c r="AH72" i="2" s="1"/>
  <c r="AH36" i="2"/>
  <c r="AC36" i="2"/>
  <c r="AC40" i="2"/>
  <c r="AC72" i="2" s="1"/>
  <c r="AC74" i="2"/>
  <c r="AY74" i="2"/>
  <c r="AY36" i="2"/>
  <c r="AY40" i="2"/>
  <c r="AY72" i="2" s="1"/>
  <c r="AQ74" i="2"/>
  <c r="AQ40" i="2"/>
  <c r="AQ72" i="2" s="1"/>
  <c r="AQ36" i="2"/>
  <c r="AI74" i="2"/>
  <c r="AI40" i="2"/>
  <c r="AI72" i="2" s="1"/>
  <c r="AI36" i="2"/>
  <c r="AW74" i="2"/>
  <c r="AW36" i="2"/>
  <c r="AW40" i="2"/>
  <c r="AW72" i="2" s="1"/>
  <c r="AO74" i="2"/>
  <c r="AO36" i="2"/>
  <c r="AO40" i="2"/>
  <c r="AO72" i="2" s="1"/>
  <c r="AG74" i="2"/>
  <c r="AG40" i="2"/>
  <c r="AG72" i="2" s="1"/>
  <c r="AG36" i="2"/>
  <c r="AU74" i="2"/>
  <c r="AU36" i="2"/>
  <c r="AU40" i="2"/>
  <c r="AU72" i="2" s="1"/>
  <c r="AL36" i="2"/>
  <c r="AL40" i="2"/>
  <c r="AL72" i="2" s="1"/>
  <c r="AL74" i="2"/>
  <c r="AV74" i="2"/>
  <c r="AV40" i="2"/>
  <c r="AV72" i="2" s="1"/>
  <c r="AV36" i="2"/>
  <c r="AN36" i="2"/>
  <c r="AN74" i="2"/>
  <c r="AN40" i="2"/>
  <c r="AN72" i="2" s="1"/>
  <c r="AF74" i="2"/>
  <c r="AF40" i="2"/>
  <c r="AF72" i="2" s="1"/>
  <c r="AF36" i="2"/>
  <c r="U12" i="10"/>
  <c r="Q73" i="11"/>
  <c r="AY68" i="11"/>
  <c r="AC68" i="11"/>
  <c r="AW68" i="11"/>
  <c r="AW74" i="11" s="1"/>
  <c r="AW43" i="2" s="1"/>
  <c r="I34" i="8"/>
  <c r="U68" i="11"/>
  <c r="P68" i="11"/>
  <c r="AK73" i="11"/>
  <c r="AC73" i="11"/>
  <c r="L68" i="11"/>
  <c r="AG24" i="2"/>
  <c r="AG148" i="2" s="1"/>
  <c r="AG183" i="2" s="1"/>
  <c r="AG182" i="2" s="1"/>
  <c r="AO24" i="2"/>
  <c r="AO148" i="2" s="1"/>
  <c r="AO183" i="2" s="1"/>
  <c r="AO182" i="2" s="1"/>
  <c r="AW24" i="2"/>
  <c r="AW148" i="2" s="1"/>
  <c r="AW183" i="2" s="1"/>
  <c r="AW182" i="2" s="1"/>
  <c r="AL24" i="2"/>
  <c r="AL148" i="2" s="1"/>
  <c r="AL183" i="2" s="1"/>
  <c r="AL182" i="2" s="1"/>
  <c r="AM24" i="2"/>
  <c r="AM148" i="2" s="1"/>
  <c r="AM183" i="2" s="1"/>
  <c r="AM182" i="2" s="1"/>
  <c r="AN24" i="2"/>
  <c r="AN148" i="2" s="1"/>
  <c r="AN183" i="2" s="1"/>
  <c r="AN182" i="2" s="1"/>
  <c r="AH24" i="2"/>
  <c r="AH148" i="2" s="1"/>
  <c r="AH183" i="2" s="1"/>
  <c r="AH182" i="2" s="1"/>
  <c r="AP24" i="2"/>
  <c r="AP148" i="2" s="1"/>
  <c r="AP183" i="2" s="1"/>
  <c r="AP182" i="2" s="1"/>
  <c r="AX24" i="2"/>
  <c r="AX148" i="2" s="1"/>
  <c r="AX183" i="2" s="1"/>
  <c r="AX182" i="2" s="1"/>
  <c r="AK24" i="2"/>
  <c r="AK148" i="2" s="1"/>
  <c r="AK183" i="2" s="1"/>
  <c r="AK182" i="2" s="1"/>
  <c r="AT24" i="2"/>
  <c r="AT148" i="2" s="1"/>
  <c r="AT183" i="2" s="1"/>
  <c r="AT182" i="2" s="1"/>
  <c r="AU24" i="2"/>
  <c r="AU148" i="2" s="1"/>
  <c r="AU183" i="2" s="1"/>
  <c r="AU182" i="2" s="1"/>
  <c r="AV24" i="2"/>
  <c r="AV148" i="2" s="1"/>
  <c r="AV183" i="2" s="1"/>
  <c r="AV182" i="2" s="1"/>
  <c r="AI24" i="2"/>
  <c r="AI148" i="2" s="1"/>
  <c r="AI183" i="2" s="1"/>
  <c r="AI182" i="2" s="1"/>
  <c r="AQ24" i="2"/>
  <c r="AQ148" i="2" s="1"/>
  <c r="AQ183" i="2" s="1"/>
  <c r="AQ182" i="2" s="1"/>
  <c r="AY24" i="2"/>
  <c r="AY148" i="2" s="1"/>
  <c r="AY183" i="2" s="1"/>
  <c r="AY182" i="2" s="1"/>
  <c r="AJ24" i="2"/>
  <c r="AJ148" i="2" s="1"/>
  <c r="AJ183" i="2" s="1"/>
  <c r="AJ182" i="2" s="1"/>
  <c r="AC24" i="2"/>
  <c r="AC148" i="2" s="1"/>
  <c r="AC183" i="2" s="1"/>
  <c r="AC182" i="2" s="1"/>
  <c r="AD24" i="2"/>
  <c r="AD148" i="2" s="1"/>
  <c r="AD183" i="2" s="1"/>
  <c r="AD182" i="2" s="1"/>
  <c r="AF24" i="2"/>
  <c r="AF148" i="2" s="1"/>
  <c r="AF183" i="2" s="1"/>
  <c r="AF182" i="2" s="1"/>
  <c r="AB24" i="2"/>
  <c r="AB148" i="2" s="1"/>
  <c r="AB183" i="2" s="1"/>
  <c r="AB182" i="2" s="1"/>
  <c r="AR24" i="2"/>
  <c r="AR148" i="2" s="1"/>
  <c r="AR183" i="2" s="1"/>
  <c r="AR182" i="2" s="1"/>
  <c r="AS24" i="2"/>
  <c r="AS148" i="2" s="1"/>
  <c r="AS183" i="2" s="1"/>
  <c r="AS182" i="2" s="1"/>
  <c r="AE24" i="2"/>
  <c r="AE148" i="2" s="1"/>
  <c r="AE183" i="2" s="1"/>
  <c r="AE182" i="2" s="1"/>
  <c r="R12" i="10"/>
  <c r="V73" i="11"/>
  <c r="S71" i="11"/>
  <c r="AA71" i="11"/>
  <c r="AI71" i="11"/>
  <c r="AQ71" i="11"/>
  <c r="AF71" i="11"/>
  <c r="Z71" i="11"/>
  <c r="T71" i="11"/>
  <c r="AB71" i="11"/>
  <c r="AJ71" i="11"/>
  <c r="AR71" i="11"/>
  <c r="AE71" i="11"/>
  <c r="AM71" i="11"/>
  <c r="AN71" i="11"/>
  <c r="AG71" i="11"/>
  <c r="U71" i="11"/>
  <c r="AC71" i="11"/>
  <c r="AK71" i="11"/>
  <c r="AS71" i="11"/>
  <c r="X71" i="11"/>
  <c r="R71" i="11"/>
  <c r="AP71" i="11"/>
  <c r="V71" i="11"/>
  <c r="AD71" i="11"/>
  <c r="AL71" i="11"/>
  <c r="P71" i="11"/>
  <c r="W71" i="11"/>
  <c r="Q71" i="11"/>
  <c r="Y71" i="11"/>
  <c r="AO71" i="11"/>
  <c r="AH71" i="11"/>
  <c r="F68" i="11"/>
  <c r="AQ12" i="10"/>
  <c r="AJ12" i="10"/>
  <c r="AR12" i="10"/>
  <c r="AB12" i="10"/>
  <c r="AK12" i="10"/>
  <c r="AS12" i="10"/>
  <c r="AL12" i="10"/>
  <c r="AE12" i="10"/>
  <c r="AM12" i="10"/>
  <c r="AX12" i="10"/>
  <c r="AC12" i="10"/>
  <c r="AV12" i="10"/>
  <c r="AW12" i="10"/>
  <c r="AH12" i="10"/>
  <c r="AP12" i="10"/>
  <c r="AI12" i="10"/>
  <c r="AY12" i="10"/>
  <c r="AD12" i="10"/>
  <c r="AT12" i="10"/>
  <c r="AU12" i="10"/>
  <c r="AF12" i="10"/>
  <c r="AN12" i="10"/>
  <c r="AG12" i="10"/>
  <c r="AO12" i="10"/>
  <c r="AA12" i="10"/>
  <c r="Z12" i="10"/>
  <c r="Y12" i="10"/>
  <c r="AU68" i="11"/>
  <c r="AR68" i="11"/>
  <c r="AK68" i="11"/>
  <c r="S12" i="10"/>
  <c r="O70" i="11"/>
  <c r="W70" i="11"/>
  <c r="AE70" i="11"/>
  <c r="AM70" i="11"/>
  <c r="AF70" i="11"/>
  <c r="T70" i="11"/>
  <c r="U70" i="11"/>
  <c r="N70" i="11"/>
  <c r="P70" i="11"/>
  <c r="X70" i="11"/>
  <c r="J70" i="11"/>
  <c r="AA70" i="11"/>
  <c r="AB70" i="11"/>
  <c r="AC70" i="11"/>
  <c r="V70" i="11"/>
  <c r="Q70" i="11"/>
  <c r="Y70" i="11"/>
  <c r="AG70" i="11"/>
  <c r="K70" i="11"/>
  <c r="L70" i="11"/>
  <c r="M70" i="11"/>
  <c r="AL70" i="11"/>
  <c r="R70" i="11"/>
  <c r="Z70" i="11"/>
  <c r="AH70" i="11"/>
  <c r="S70" i="11"/>
  <c r="AI70" i="11"/>
  <c r="AJ70" i="11"/>
  <c r="AK70" i="11"/>
  <c r="AD70" i="11"/>
  <c r="AM68" i="11"/>
  <c r="X12" i="10"/>
  <c r="J33" i="11"/>
  <c r="K69" i="11"/>
  <c r="S69" i="11"/>
  <c r="AA69" i="11"/>
  <c r="X69" i="11"/>
  <c r="Q69" i="11"/>
  <c r="J69" i="11"/>
  <c r="Z69" i="11"/>
  <c r="L69" i="11"/>
  <c r="T69" i="11"/>
  <c r="AB69" i="11"/>
  <c r="G69" i="11"/>
  <c r="AE69" i="11"/>
  <c r="P69" i="11"/>
  <c r="AF69" i="11"/>
  <c r="Y69" i="11"/>
  <c r="E69" i="11"/>
  <c r="M69" i="11"/>
  <c r="U69" i="11"/>
  <c r="AC69" i="11"/>
  <c r="O69" i="11"/>
  <c r="H69" i="11"/>
  <c r="I69" i="11"/>
  <c r="AG69" i="11"/>
  <c r="R69" i="11"/>
  <c r="F69" i="11"/>
  <c r="N69" i="11"/>
  <c r="V69" i="11"/>
  <c r="AD69" i="11"/>
  <c r="W69" i="11"/>
  <c r="D69" i="11"/>
  <c r="AE68" i="11"/>
  <c r="W12" i="10"/>
  <c r="B35" i="11"/>
  <c r="B60" i="2" s="1"/>
  <c r="V12" i="10"/>
  <c r="AH73" i="11"/>
  <c r="H35" i="11"/>
  <c r="H36" i="11" s="1"/>
  <c r="T61" i="2" s="1"/>
  <c r="W72" i="11"/>
  <c r="AE72" i="11"/>
  <c r="AM72" i="11"/>
  <c r="AU72" i="11"/>
  <c r="AF72" i="11"/>
  <c r="AI72" i="11"/>
  <c r="AS72" i="11"/>
  <c r="X72" i="11"/>
  <c r="AN72" i="11"/>
  <c r="AV72" i="11"/>
  <c r="AQ72" i="11"/>
  <c r="AB72" i="11"/>
  <c r="AR72" i="11"/>
  <c r="V72" i="11"/>
  <c r="AC72" i="11"/>
  <c r="Y72" i="11"/>
  <c r="AG72" i="11"/>
  <c r="AO72" i="11"/>
  <c r="AW72" i="11"/>
  <c r="AY72" i="11"/>
  <c r="AJ72" i="11"/>
  <c r="AK72" i="11"/>
  <c r="AL72" i="11"/>
  <c r="Z72" i="11"/>
  <c r="AH72" i="11"/>
  <c r="AP72" i="11"/>
  <c r="AX72" i="11"/>
  <c r="AA72" i="11"/>
  <c r="AD72" i="11"/>
  <c r="AT72" i="11"/>
  <c r="N68" i="11"/>
  <c r="W68" i="11"/>
  <c r="AA31" i="2"/>
  <c r="AA56" i="2" s="1"/>
  <c r="AA107" i="2"/>
  <c r="AX52" i="2"/>
  <c r="AX91" i="2" s="1"/>
  <c r="AX159" i="2" s="1"/>
  <c r="AX103" i="2"/>
  <c r="AP52" i="2"/>
  <c r="AP91" i="2" s="1"/>
  <c r="AP159" i="2" s="1"/>
  <c r="AP103" i="2"/>
  <c r="AH52" i="2"/>
  <c r="AH91" i="2" s="1"/>
  <c r="AH159" i="2" s="1"/>
  <c r="AH103" i="2"/>
  <c r="Z29" i="2"/>
  <c r="Z103" i="2"/>
  <c r="R29" i="2"/>
  <c r="R103" i="2"/>
  <c r="AW52" i="2"/>
  <c r="AW91" i="2" s="1"/>
  <c r="AW159" i="2" s="1"/>
  <c r="AW103" i="2"/>
  <c r="AO52" i="2"/>
  <c r="AO91" i="2" s="1"/>
  <c r="AO159" i="2" s="1"/>
  <c r="AO103" i="2"/>
  <c r="AG52" i="2"/>
  <c r="AG91" i="2" s="1"/>
  <c r="AG159" i="2" s="1"/>
  <c r="AG103" i="2"/>
  <c r="Y29" i="2"/>
  <c r="Y103" i="2"/>
  <c r="AV52" i="2"/>
  <c r="AV91" i="2" s="1"/>
  <c r="AV159" i="2" s="1"/>
  <c r="AV103" i="2"/>
  <c r="AN52" i="2"/>
  <c r="AN91" i="2" s="1"/>
  <c r="AN159" i="2" s="1"/>
  <c r="AN103" i="2"/>
  <c r="AF52" i="2"/>
  <c r="AF91" i="2" s="1"/>
  <c r="AF159" i="2" s="1"/>
  <c r="AF103" i="2"/>
  <c r="X29" i="2"/>
  <c r="X103" i="2"/>
  <c r="AU52" i="2"/>
  <c r="AU91" i="2" s="1"/>
  <c r="AU159" i="2" s="1"/>
  <c r="AU103" i="2"/>
  <c r="AM52" i="2"/>
  <c r="AM91" i="2" s="1"/>
  <c r="AM159" i="2" s="1"/>
  <c r="AM103" i="2"/>
  <c r="AE52" i="2"/>
  <c r="AE91" i="2" s="1"/>
  <c r="AE159" i="2" s="1"/>
  <c r="AE103" i="2"/>
  <c r="W29" i="2"/>
  <c r="W103" i="2"/>
  <c r="AI52" i="2"/>
  <c r="AI91" i="2" s="1"/>
  <c r="AI159" i="2" s="1"/>
  <c r="AI103" i="2"/>
  <c r="AA52" i="2"/>
  <c r="AA91" i="2" s="1"/>
  <c r="AA159" i="2" s="1"/>
  <c r="AA103" i="2"/>
  <c r="AT52" i="2"/>
  <c r="AT91" i="2" s="1"/>
  <c r="AT159" i="2" s="1"/>
  <c r="AT103" i="2"/>
  <c r="AL52" i="2"/>
  <c r="AL91" i="2" s="1"/>
  <c r="AL159" i="2" s="1"/>
  <c r="AL103" i="2"/>
  <c r="AD52" i="2"/>
  <c r="AD91" i="2" s="1"/>
  <c r="AD159" i="2" s="1"/>
  <c r="AD103" i="2"/>
  <c r="V29" i="2"/>
  <c r="V103" i="2"/>
  <c r="AY52" i="2"/>
  <c r="AY91" i="2" s="1"/>
  <c r="AY159" i="2" s="1"/>
  <c r="AY103" i="2"/>
  <c r="AS52" i="2"/>
  <c r="AS91" i="2" s="1"/>
  <c r="AS159" i="2" s="1"/>
  <c r="AS103" i="2"/>
  <c r="AK52" i="2"/>
  <c r="AK91" i="2" s="1"/>
  <c r="AK159" i="2" s="1"/>
  <c r="AK103" i="2"/>
  <c r="AC52" i="2"/>
  <c r="AC91" i="2" s="1"/>
  <c r="AC159" i="2" s="1"/>
  <c r="AC103" i="2"/>
  <c r="U52" i="2"/>
  <c r="U91" i="2" s="1"/>
  <c r="U159" i="2" s="1"/>
  <c r="U103" i="2"/>
  <c r="AQ52" i="2"/>
  <c r="AQ91" i="2" s="1"/>
  <c r="AQ159" i="2" s="1"/>
  <c r="AQ103" i="2"/>
  <c r="S52" i="2"/>
  <c r="S91" i="2" s="1"/>
  <c r="S159" i="2" s="1"/>
  <c r="S103" i="2"/>
  <c r="AR52" i="2"/>
  <c r="AR91" i="2" s="1"/>
  <c r="AR159" i="2" s="1"/>
  <c r="AR103" i="2"/>
  <c r="AJ52" i="2"/>
  <c r="AJ91" i="2" s="1"/>
  <c r="AJ159" i="2" s="1"/>
  <c r="AJ103" i="2"/>
  <c r="AB52" i="2"/>
  <c r="AB91" i="2" s="1"/>
  <c r="AB159" i="2" s="1"/>
  <c r="AB103" i="2"/>
  <c r="T52" i="2"/>
  <c r="T91" i="2" s="1"/>
  <c r="T159" i="2" s="1"/>
  <c r="T103" i="2"/>
  <c r="K40" i="2"/>
  <c r="K72" i="2" s="1"/>
  <c r="Z40" i="2"/>
  <c r="Z72" i="2" s="1"/>
  <c r="R40" i="2"/>
  <c r="R72" i="2" s="1"/>
  <c r="J40" i="2"/>
  <c r="J72" i="2" s="1"/>
  <c r="S40" i="2"/>
  <c r="S72" i="2" s="1"/>
  <c r="Y40" i="2"/>
  <c r="Y72" i="2" s="1"/>
  <c r="Q40" i="2"/>
  <c r="Q72" i="2" s="1"/>
  <c r="I40" i="2"/>
  <c r="I72" i="2" s="1"/>
  <c r="X40" i="2"/>
  <c r="X72" i="2" s="1"/>
  <c r="P40" i="2"/>
  <c r="P72" i="2" s="1"/>
  <c r="H40" i="2"/>
  <c r="H72" i="2" s="1"/>
  <c r="AA39" i="2"/>
  <c r="AA40" i="2"/>
  <c r="AA72" i="2" s="1"/>
  <c r="W40" i="2"/>
  <c r="W72" i="2" s="1"/>
  <c r="O40" i="2"/>
  <c r="O72" i="2" s="1"/>
  <c r="G40" i="2"/>
  <c r="G72" i="2" s="1"/>
  <c r="V40" i="2"/>
  <c r="V72" i="2" s="1"/>
  <c r="N40" i="2"/>
  <c r="N72" i="2" s="1"/>
  <c r="F40" i="2"/>
  <c r="F72" i="2" s="1"/>
  <c r="U40" i="2"/>
  <c r="U72" i="2" s="1"/>
  <c r="M40" i="2"/>
  <c r="M72" i="2" s="1"/>
  <c r="E40" i="2"/>
  <c r="E72" i="2" s="1"/>
  <c r="T40" i="2"/>
  <c r="T72" i="2" s="1"/>
  <c r="L40" i="2"/>
  <c r="L72" i="2" s="1"/>
  <c r="D40" i="2"/>
  <c r="D72" i="2" s="1"/>
  <c r="Z52" i="2"/>
  <c r="Z91" i="2" s="1"/>
  <c r="Z159" i="2" s="1"/>
  <c r="R52" i="2"/>
  <c r="R91" i="2" s="1"/>
  <c r="R159" i="2" s="1"/>
  <c r="J29" i="11"/>
  <c r="T36" i="2"/>
  <c r="G34" i="8"/>
  <c r="U29" i="2"/>
  <c r="I60" i="2"/>
  <c r="U60" i="2"/>
  <c r="M36" i="2"/>
  <c r="Y52" i="2"/>
  <c r="Y91" i="2" s="1"/>
  <c r="Y159" i="2" s="1"/>
  <c r="T29" i="2"/>
  <c r="S36" i="2"/>
  <c r="L36" i="2"/>
  <c r="X52" i="2"/>
  <c r="X91" i="2" s="1"/>
  <c r="X159" i="2" s="1"/>
  <c r="S29" i="2"/>
  <c r="D36" i="2"/>
  <c r="R36" i="2"/>
  <c r="AA36" i="2"/>
  <c r="K36" i="2"/>
  <c r="W52" i="2"/>
  <c r="W91" i="2" s="1"/>
  <c r="W159" i="2" s="1"/>
  <c r="E36" i="2"/>
  <c r="Y36" i="2"/>
  <c r="Z36" i="2"/>
  <c r="V52" i="2"/>
  <c r="V91" i="2" s="1"/>
  <c r="V159" i="2" s="1"/>
  <c r="J36" i="2"/>
  <c r="X36" i="2"/>
  <c r="F36" i="2"/>
  <c r="Q36" i="2"/>
  <c r="I36" i="2"/>
  <c r="O36" i="2"/>
  <c r="W36" i="2"/>
  <c r="P36" i="2"/>
  <c r="H36" i="2"/>
  <c r="AA29" i="2"/>
  <c r="N36" i="2"/>
  <c r="V36" i="2"/>
  <c r="G36" i="2"/>
  <c r="U36" i="2"/>
  <c r="H60" i="2"/>
  <c r="L73" i="11"/>
  <c r="O73" i="11"/>
  <c r="X73" i="11"/>
  <c r="AD73" i="11"/>
  <c r="AJ73" i="11"/>
  <c r="F56" i="11"/>
  <c r="M68" i="11"/>
  <c r="E68" i="11"/>
  <c r="AL68" i="11"/>
  <c r="AD68" i="11"/>
  <c r="V68" i="11"/>
  <c r="AX68" i="11"/>
  <c r="K73" i="11"/>
  <c r="N73" i="11"/>
  <c r="W73" i="11"/>
  <c r="AI73" i="11"/>
  <c r="J73" i="11"/>
  <c r="S24" i="2"/>
  <c r="K68" i="11"/>
  <c r="AJ68" i="11"/>
  <c r="AB68" i="11"/>
  <c r="T68" i="11"/>
  <c r="AV68" i="11"/>
  <c r="I73" i="11"/>
  <c r="U73" i="11"/>
  <c r="AG73" i="11"/>
  <c r="P73" i="11"/>
  <c r="J32" i="11"/>
  <c r="J68" i="11"/>
  <c r="AQ68" i="11"/>
  <c r="AQ74" i="11" s="1"/>
  <c r="AQ43" i="2" s="1"/>
  <c r="AI68" i="11"/>
  <c r="AA68" i="11"/>
  <c r="S68" i="11"/>
  <c r="H73" i="11"/>
  <c r="AB73" i="11"/>
  <c r="T73" i="11"/>
  <c r="AN73" i="11"/>
  <c r="AF73" i="11"/>
  <c r="F35" i="11"/>
  <c r="F36" i="11" s="1"/>
  <c r="N61" i="2" s="1"/>
  <c r="J31" i="11"/>
  <c r="I68" i="11"/>
  <c r="AP68" i="11"/>
  <c r="AH68" i="11"/>
  <c r="Z68" i="11"/>
  <c r="R68" i="11"/>
  <c r="AT68" i="11"/>
  <c r="G73" i="11"/>
  <c r="AA73" i="11"/>
  <c r="S73" i="11"/>
  <c r="AM73" i="11"/>
  <c r="AE73" i="11"/>
  <c r="D68" i="11"/>
  <c r="H68" i="11"/>
  <c r="AO68" i="11"/>
  <c r="AG68" i="11"/>
  <c r="Y68" i="11"/>
  <c r="Q68" i="11"/>
  <c r="D73" i="11"/>
  <c r="F73" i="11"/>
  <c r="Z73" i="11"/>
  <c r="R73" i="11"/>
  <c r="AL73" i="11"/>
  <c r="F42" i="11"/>
  <c r="J34" i="11"/>
  <c r="T24" i="2"/>
  <c r="O68" i="11"/>
  <c r="G68" i="11"/>
  <c r="AN68" i="11"/>
  <c r="AF68" i="11"/>
  <c r="X68" i="11"/>
  <c r="AS68" i="11"/>
  <c r="M73" i="11"/>
  <c r="E73" i="11"/>
  <c r="Y73" i="11"/>
  <c r="J24" i="2"/>
  <c r="O24" i="2"/>
  <c r="P24" i="2"/>
  <c r="N24" i="2"/>
  <c r="R24" i="2"/>
  <c r="M24" i="2"/>
  <c r="Q24" i="2"/>
  <c r="L24" i="2"/>
  <c r="V24" i="2"/>
  <c r="W24" i="2"/>
  <c r="AA24" i="2"/>
  <c r="Z24" i="2"/>
  <c r="Y24" i="2"/>
  <c r="X24" i="2"/>
  <c r="D52" i="11"/>
  <c r="D55" i="11"/>
  <c r="D51" i="11"/>
  <c r="D56" i="11"/>
  <c r="I36" i="11"/>
  <c r="U61" i="2" s="1"/>
  <c r="D36" i="11"/>
  <c r="H61" i="2" s="1"/>
  <c r="E36" i="11"/>
  <c r="I61" i="2" s="1"/>
  <c r="G35" i="11"/>
  <c r="G36" i="11" s="1"/>
  <c r="O61" i="2" s="1"/>
  <c r="C35" i="11"/>
  <c r="C36" i="11" s="1"/>
  <c r="C61" i="2" s="1"/>
  <c r="C173" i="2" s="1"/>
  <c r="C172" i="2" s="1"/>
  <c r="D46" i="11"/>
  <c r="D43" i="11"/>
  <c r="D42" i="11"/>
  <c r="D47" i="11"/>
  <c r="I73" i="2" s="1"/>
  <c r="F50" i="3"/>
  <c r="F49" i="3"/>
  <c r="F48" i="3"/>
  <c r="I45" i="3"/>
  <c r="F45" i="3"/>
  <c r="I44" i="3"/>
  <c r="F44" i="3"/>
  <c r="L38" i="3"/>
  <c r="M38" i="3" s="1"/>
  <c r="H38" i="3"/>
  <c r="L37" i="3"/>
  <c r="M37" i="3" s="1"/>
  <c r="H37" i="3"/>
  <c r="L36" i="3"/>
  <c r="H36" i="3"/>
  <c r="L35" i="3"/>
  <c r="H35" i="3"/>
  <c r="M35" i="3" s="1"/>
  <c r="N35" i="3" s="1"/>
  <c r="B35" i="3"/>
  <c r="L34" i="3"/>
  <c r="M34" i="3" s="1"/>
  <c r="H34" i="3"/>
  <c r="B34" i="3"/>
  <c r="K33" i="3"/>
  <c r="L33" i="3" s="1"/>
  <c r="M33" i="3" s="1"/>
  <c r="H33" i="3"/>
  <c r="L32" i="3"/>
  <c r="M32" i="3" s="1"/>
  <c r="H32" i="3"/>
  <c r="L31" i="3"/>
  <c r="M31" i="3" s="1"/>
  <c r="H31" i="3"/>
  <c r="L30" i="3"/>
  <c r="I15" i="3" s="1"/>
  <c r="J15" i="3" s="1"/>
  <c r="H30" i="3"/>
  <c r="L29" i="3"/>
  <c r="M29" i="3" s="1"/>
  <c r="H29" i="3"/>
  <c r="L28" i="3"/>
  <c r="I18" i="3" s="1"/>
  <c r="J18" i="3" s="1"/>
  <c r="H28" i="3"/>
  <c r="L27" i="3"/>
  <c r="M27" i="3" s="1"/>
  <c r="H27" i="3"/>
  <c r="J22" i="3"/>
  <c r="H18" i="3"/>
  <c r="I17" i="3"/>
  <c r="J17" i="3" s="1"/>
  <c r="K17" i="3" s="1"/>
  <c r="H17" i="3"/>
  <c r="H16" i="3"/>
  <c r="H15" i="3"/>
  <c r="A12" i="3"/>
  <c r="A13" i="3" s="1"/>
  <c r="I11" i="3"/>
  <c r="J11" i="3" s="1"/>
  <c r="H11" i="3"/>
  <c r="E50" i="3" s="1"/>
  <c r="I10" i="3"/>
  <c r="J10" i="3" s="1"/>
  <c r="H10" i="3"/>
  <c r="E49" i="3" s="1"/>
  <c r="I9" i="3"/>
  <c r="J9" i="3" s="1"/>
  <c r="H9" i="3"/>
  <c r="E48" i="3" s="1"/>
  <c r="G48" i="3" s="1"/>
  <c r="D11" i="5"/>
  <c r="A11" i="5"/>
  <c r="Q23" i="2"/>
  <c r="Q103" i="2" s="1"/>
  <c r="P23" i="2"/>
  <c r="P103" i="2" s="1"/>
  <c r="O23" i="2"/>
  <c r="O103" i="2" s="1"/>
  <c r="N23" i="2"/>
  <c r="N103" i="2" s="1"/>
  <c r="M23" i="2"/>
  <c r="M103" i="2" s="1"/>
  <c r="L23" i="2"/>
  <c r="L103" i="2" s="1"/>
  <c r="K23" i="2"/>
  <c r="K103" i="2" s="1"/>
  <c r="J23" i="2"/>
  <c r="I23" i="2"/>
  <c r="I103" i="2" s="1"/>
  <c r="H23" i="2"/>
  <c r="H103" i="2" s="1"/>
  <c r="G23" i="2"/>
  <c r="G103" i="2" s="1"/>
  <c r="F23" i="2"/>
  <c r="F103" i="2" s="1"/>
  <c r="E23" i="2"/>
  <c r="E103" i="2" s="1"/>
  <c r="D23" i="2"/>
  <c r="D103" i="2" s="1"/>
  <c r="C23" i="2"/>
  <c r="C103" i="2" s="1"/>
  <c r="B23" i="2"/>
  <c r="B103" i="2" s="1"/>
  <c r="AY17" i="10"/>
  <c r="AX17" i="10"/>
  <c r="AW17" i="10"/>
  <c r="AV17" i="10"/>
  <c r="AU17" i="10"/>
  <c r="AT17" i="10"/>
  <c r="AS17" i="10"/>
  <c r="AR17" i="10"/>
  <c r="AQ17" i="10"/>
  <c r="AP17" i="10"/>
  <c r="AO17" i="10"/>
  <c r="AN17" i="10"/>
  <c r="AM17" i="10"/>
  <c r="AL17" i="10"/>
  <c r="AK17" i="10"/>
  <c r="AJ17" i="10"/>
  <c r="AI17" i="10"/>
  <c r="AH17"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B17" i="10"/>
  <c r="AY11" i="10"/>
  <c r="AX11" i="10"/>
  <c r="AW11" i="10"/>
  <c r="AV11" i="10"/>
  <c r="AU11" i="10"/>
  <c r="AT11" i="10"/>
  <c r="AS11" i="10"/>
  <c r="AR11" i="10"/>
  <c r="AQ11" i="10"/>
  <c r="AP11" i="10"/>
  <c r="AO11" i="10"/>
  <c r="AN11" i="10"/>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B11" i="10"/>
  <c r="AY6" i="10"/>
  <c r="AX6"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B6" i="10"/>
  <c r="F24" i="8"/>
  <c r="H24" i="8" s="1"/>
  <c r="I24" i="8" s="1"/>
  <c r="F23" i="8"/>
  <c r="H23" i="8" s="1"/>
  <c r="I23" i="8" s="1"/>
  <c r="F22" i="8"/>
  <c r="H22" i="8" s="1"/>
  <c r="I22" i="8" s="1"/>
  <c r="F20" i="8"/>
  <c r="H20" i="8" s="1"/>
  <c r="I20" i="8" s="1"/>
  <c r="F19" i="8"/>
  <c r="H19" i="8" s="1"/>
  <c r="I19" i="8" s="1"/>
  <c r="F18" i="8"/>
  <c r="H18" i="8" s="1"/>
  <c r="I18" i="8" s="1"/>
  <c r="F13" i="8"/>
  <c r="H12" i="8"/>
  <c r="G12" i="8" s="1"/>
  <c r="H11" i="8"/>
  <c r="I11" i="8" s="1"/>
  <c r="H10" i="8"/>
  <c r="I10" i="8" s="1"/>
  <c r="H8" i="8"/>
  <c r="G8" i="8" s="1"/>
  <c r="H7" i="8"/>
  <c r="G7" i="8" s="1"/>
  <c r="M28" i="3" l="1"/>
  <c r="AJ74" i="11"/>
  <c r="AJ43" i="2" s="1"/>
  <c r="G50" i="3"/>
  <c r="K9" i="3"/>
  <c r="H39" i="3"/>
  <c r="B36" i="3"/>
  <c r="H19" i="3"/>
  <c r="N37" i="3"/>
  <c r="AE34" i="2"/>
  <c r="AU34" i="2"/>
  <c r="AU33" i="2" s="1"/>
  <c r="AQ34" i="2"/>
  <c r="AQ33" i="2" s="1"/>
  <c r="AS34" i="2"/>
  <c r="AW34" i="2"/>
  <c r="AK34" i="2"/>
  <c r="AK33" i="2" s="1"/>
  <c r="AT34" i="2"/>
  <c r="AT33" i="2" s="1"/>
  <c r="AL34" i="2"/>
  <c r="AX34" i="2"/>
  <c r="AX33" i="2" s="1"/>
  <c r="AJ34" i="2"/>
  <c r="AJ33" i="2" s="1"/>
  <c r="AI34" i="2"/>
  <c r="AI33" i="2" s="1"/>
  <c r="AY34" i="2"/>
  <c r="AY33" i="2" s="1"/>
  <c r="AM34" i="2"/>
  <c r="AM33" i="2" s="1"/>
  <c r="AP34" i="2"/>
  <c r="AP33" i="2" s="1"/>
  <c r="AD34" i="2"/>
  <c r="AD33" i="2" s="1"/>
  <c r="AC34" i="2"/>
  <c r="AC33" i="2" s="1"/>
  <c r="AG34" i="2"/>
  <c r="AG33" i="2" s="1"/>
  <c r="AB34" i="2"/>
  <c r="AB33" i="2" s="1"/>
  <c r="AN34" i="2"/>
  <c r="AR34" i="2"/>
  <c r="AF34" i="2"/>
  <c r="AF33" i="2" s="1"/>
  <c r="AV34" i="2"/>
  <c r="AO34" i="2"/>
  <c r="AH34" i="2"/>
  <c r="AH33" i="2" s="1"/>
  <c r="V38" i="2"/>
  <c r="V69" i="2" s="1"/>
  <c r="E38" i="2"/>
  <c r="E69" i="2" s="1"/>
  <c r="I38" i="2"/>
  <c r="I69" i="2" s="1"/>
  <c r="D38" i="2"/>
  <c r="D69" i="2" s="1"/>
  <c r="H38" i="2"/>
  <c r="H69" i="2" s="1"/>
  <c r="F38" i="2"/>
  <c r="F69" i="2" s="1"/>
  <c r="AA38" i="2"/>
  <c r="AA69" i="2" s="1"/>
  <c r="K38" i="2"/>
  <c r="K69" i="2" s="1"/>
  <c r="AX38" i="2"/>
  <c r="AX37" i="2" s="1"/>
  <c r="M38" i="2"/>
  <c r="M69" i="2" s="1"/>
  <c r="G38" i="2"/>
  <c r="G69" i="2" s="1"/>
  <c r="AL38" i="2"/>
  <c r="AL69" i="2" s="1"/>
  <c r="AT30" i="2"/>
  <c r="AT54" i="2" s="1"/>
  <c r="AT57" i="2" s="1"/>
  <c r="AM38" i="2"/>
  <c r="AM37" i="2" s="1"/>
  <c r="K30" i="2"/>
  <c r="AF73" i="2"/>
  <c r="H30" i="2"/>
  <c r="D30" i="2"/>
  <c r="E30" i="2"/>
  <c r="F30" i="2"/>
  <c r="I30" i="2"/>
  <c r="G30" i="2"/>
  <c r="F44" i="11"/>
  <c r="AD38" i="2"/>
  <c r="AD37" i="2" s="1"/>
  <c r="AM73" i="2"/>
  <c r="AT38" i="2"/>
  <c r="AT37" i="2" s="1"/>
  <c r="F54" i="11"/>
  <c r="U38" i="2"/>
  <c r="U69" i="2" s="1"/>
  <c r="J38" i="2"/>
  <c r="J69" i="2" s="1"/>
  <c r="AI38" i="2"/>
  <c r="AI69" i="2" s="1"/>
  <c r="AY38" i="2"/>
  <c r="AY37" i="2" s="1"/>
  <c r="AC38" i="2"/>
  <c r="AC37" i="2" s="1"/>
  <c r="AP38" i="2"/>
  <c r="AP69" i="2" s="1"/>
  <c r="AR38" i="2"/>
  <c r="AR37" i="2" s="1"/>
  <c r="AY55" i="2"/>
  <c r="V30" i="2"/>
  <c r="L38" i="2"/>
  <c r="L69" i="2" s="1"/>
  <c r="Q38" i="2"/>
  <c r="Q69" i="2" s="1"/>
  <c r="AF38" i="2"/>
  <c r="AF37" i="2" s="1"/>
  <c r="AN38" i="2"/>
  <c r="AN37" i="2" s="1"/>
  <c r="AV38" i="2"/>
  <c r="AV37" i="2" s="1"/>
  <c r="AG38" i="2"/>
  <c r="AG69" i="2" s="1"/>
  <c r="AS38" i="2"/>
  <c r="AS69" i="2" s="1"/>
  <c r="W30" i="2"/>
  <c r="AU55" i="2"/>
  <c r="AD30" i="2"/>
  <c r="AD54" i="2" s="1"/>
  <c r="AQ30" i="2"/>
  <c r="AQ54" i="2" s="1"/>
  <c r="AA30" i="2"/>
  <c r="T38" i="2"/>
  <c r="T69" i="2" s="1"/>
  <c r="O38" i="2"/>
  <c r="O69" i="2" s="1"/>
  <c r="R38" i="2"/>
  <c r="R69" i="2" s="1"/>
  <c r="AV73" i="2"/>
  <c r="AW38" i="2"/>
  <c r="AW37" i="2" s="1"/>
  <c r="AP73" i="2"/>
  <c r="AJ38" i="2"/>
  <c r="AJ37" i="2" s="1"/>
  <c r="AO55" i="2"/>
  <c r="R55" i="2"/>
  <c r="R125" i="2" s="1"/>
  <c r="AX55" i="2"/>
  <c r="AK55" i="2"/>
  <c r="P38" i="2"/>
  <c r="P69" i="2" s="1"/>
  <c r="Y38" i="2"/>
  <c r="Y69" i="2" s="1"/>
  <c r="Z38" i="2"/>
  <c r="Z69" i="2" s="1"/>
  <c r="AU38" i="2"/>
  <c r="AU37" i="2" s="1"/>
  <c r="AO38" i="2"/>
  <c r="AO37" i="2" s="1"/>
  <c r="AB38" i="2"/>
  <c r="AB37" i="2" s="1"/>
  <c r="AK38" i="2"/>
  <c r="AK37" i="2" s="1"/>
  <c r="AE38" i="2"/>
  <c r="AE69" i="2" s="1"/>
  <c r="P55" i="2"/>
  <c r="P125" i="2" s="1"/>
  <c r="Q55" i="2"/>
  <c r="Q125" i="2" s="1"/>
  <c r="N38" i="2"/>
  <c r="N69" i="2" s="1"/>
  <c r="AW73" i="2"/>
  <c r="AY73" i="2"/>
  <c r="AH38" i="2"/>
  <c r="AH37" i="2" s="1"/>
  <c r="AB73" i="2"/>
  <c r="AT73" i="2"/>
  <c r="W38" i="2"/>
  <c r="W69" i="2" s="1"/>
  <c r="X38" i="2"/>
  <c r="X69" i="2" s="1"/>
  <c r="S38" i="2"/>
  <c r="S69" i="2" s="1"/>
  <c r="AQ38" i="2"/>
  <c r="AQ37" i="2" s="1"/>
  <c r="AF30" i="2"/>
  <c r="AF54" i="2" s="1"/>
  <c r="S30" i="2"/>
  <c r="AW55" i="2"/>
  <c r="AS55" i="2"/>
  <c r="L174" i="2"/>
  <c r="L125" i="2"/>
  <c r="T138" i="2"/>
  <c r="J45" i="3"/>
  <c r="AN73" i="2"/>
  <c r="AH73" i="2"/>
  <c r="AX73" i="2"/>
  <c r="AS73" i="2"/>
  <c r="W55" i="2"/>
  <c r="W174" i="2" s="1"/>
  <c r="AU30" i="2"/>
  <c r="AU54" i="2" s="1"/>
  <c r="AD55" i="2"/>
  <c r="AF55" i="2"/>
  <c r="Q30" i="2"/>
  <c r="AO30" i="2"/>
  <c r="AO54" i="2" s="1"/>
  <c r="AA55" i="2"/>
  <c r="AA125" i="2" s="1"/>
  <c r="R30" i="2"/>
  <c r="AP55" i="2"/>
  <c r="AY30" i="2"/>
  <c r="AY54" i="2" s="1"/>
  <c r="V55" i="2"/>
  <c r="V174" i="2" s="1"/>
  <c r="M30" i="2"/>
  <c r="AK30" i="2"/>
  <c r="AK54" i="2" s="1"/>
  <c r="M55" i="2"/>
  <c r="AP74" i="11"/>
  <c r="AP43" i="2" s="1"/>
  <c r="AO73" i="2"/>
  <c r="AC73" i="2"/>
  <c r="AJ73" i="2"/>
  <c r="AR73" i="2"/>
  <c r="AK73" i="2"/>
  <c r="AE73" i="2"/>
  <c r="O30" i="2"/>
  <c r="AM30" i="2"/>
  <c r="AM54" i="2" s="1"/>
  <c r="X30" i="2"/>
  <c r="S55" i="2"/>
  <c r="S174" i="2" s="1"/>
  <c r="AQ55" i="2"/>
  <c r="AG30" i="2"/>
  <c r="AG54" i="2" s="1"/>
  <c r="AH30" i="2"/>
  <c r="AH54" i="2" s="1"/>
  <c r="L30" i="2"/>
  <c r="AJ30" i="2"/>
  <c r="AJ54" i="2" s="1"/>
  <c r="AC30" i="2"/>
  <c r="AC54" i="2" s="1"/>
  <c r="N55" i="2"/>
  <c r="N28" i="3"/>
  <c r="T60" i="2"/>
  <c r="AY74" i="11"/>
  <c r="AY43" i="2" s="1"/>
  <c r="AL73" i="2"/>
  <c r="AG73" i="2"/>
  <c r="O138" i="2"/>
  <c r="AM55" i="2"/>
  <c r="X55" i="2"/>
  <c r="X174" i="2" s="1"/>
  <c r="AV30" i="2"/>
  <c r="AG55" i="2"/>
  <c r="B149" i="2"/>
  <c r="B162" i="2" s="1"/>
  <c r="B164" i="2" s="1"/>
  <c r="T30" i="2"/>
  <c r="AJ55" i="2"/>
  <c r="AC55" i="2"/>
  <c r="C149" i="2"/>
  <c r="C162" i="2" s="1"/>
  <c r="C164" i="2" s="1"/>
  <c r="I16" i="3"/>
  <c r="J16" i="3" s="1"/>
  <c r="J19" i="3" s="1"/>
  <c r="K19" i="3" s="1"/>
  <c r="AI73" i="2"/>
  <c r="AE30" i="2"/>
  <c r="AE54" i="2" s="1"/>
  <c r="AV55" i="2"/>
  <c r="AL30" i="2"/>
  <c r="AL54" i="2" s="1"/>
  <c r="AR30" i="2"/>
  <c r="AR54" i="2" s="1"/>
  <c r="J30" i="2"/>
  <c r="T55" i="2"/>
  <c r="T174" i="2" s="1"/>
  <c r="AB30" i="2"/>
  <c r="AB54" i="2" s="1"/>
  <c r="U30" i="2"/>
  <c r="O55" i="2"/>
  <c r="J55" i="2"/>
  <c r="K55" i="2"/>
  <c r="AR71" i="2"/>
  <c r="AD71" i="2"/>
  <c r="AX71" i="2"/>
  <c r="AU71" i="2"/>
  <c r="AI71" i="2"/>
  <c r="AK71" i="2"/>
  <c r="AG71" i="2"/>
  <c r="AQ71" i="2"/>
  <c r="AV71" i="2"/>
  <c r="AJ71" i="2"/>
  <c r="AP71" i="2"/>
  <c r="AC71" i="2"/>
  <c r="AO71" i="2"/>
  <c r="AM71" i="2"/>
  <c r="AH71" i="2"/>
  <c r="AB71" i="2"/>
  <c r="AY71" i="2"/>
  <c r="AW71" i="2"/>
  <c r="AN71" i="2"/>
  <c r="AL71" i="2"/>
  <c r="AE71" i="2"/>
  <c r="AS71" i="2"/>
  <c r="AF71" i="2"/>
  <c r="AT71" i="2"/>
  <c r="K11" i="3"/>
  <c r="AU73" i="2"/>
  <c r="AQ73" i="2"/>
  <c r="AD73" i="2"/>
  <c r="AE55" i="2"/>
  <c r="AI30" i="2"/>
  <c r="AI54" i="2" s="1"/>
  <c r="P30" i="2"/>
  <c r="AN30" i="2"/>
  <c r="AN54" i="2" s="1"/>
  <c r="AL55" i="2"/>
  <c r="Y30" i="2"/>
  <c r="AR55" i="2"/>
  <c r="Z30" i="2"/>
  <c r="AP30" i="2"/>
  <c r="AP54" i="2" s="1"/>
  <c r="AB55" i="2"/>
  <c r="N138" i="2"/>
  <c r="J44" i="3"/>
  <c r="X74" i="11"/>
  <c r="X43" i="2" s="1"/>
  <c r="AI55" i="2"/>
  <c r="AN55" i="2"/>
  <c r="Y55" i="2"/>
  <c r="Y125" i="2" s="1"/>
  <c r="AW30" i="2"/>
  <c r="AW54" i="2" s="1"/>
  <c r="Z55" i="2"/>
  <c r="Z125" i="2" s="1"/>
  <c r="AH55" i="2"/>
  <c r="AX30" i="2"/>
  <c r="AX54" i="2" s="1"/>
  <c r="N30" i="2"/>
  <c r="AS30" i="2"/>
  <c r="AS54" i="2" s="1"/>
  <c r="D182" i="2"/>
  <c r="U174" i="2"/>
  <c r="C80" i="2"/>
  <c r="C180" i="2" s="1"/>
  <c r="X148" i="2"/>
  <c r="X183" i="2" s="1"/>
  <c r="X182" i="2" s="1"/>
  <c r="M148" i="2"/>
  <c r="M183" i="2" s="1"/>
  <c r="M182" i="2" s="1"/>
  <c r="L148" i="2"/>
  <c r="L183" i="2" s="1"/>
  <c r="L182" i="2" s="1"/>
  <c r="T148" i="2"/>
  <c r="T183" i="2" s="1"/>
  <c r="T182" i="2" s="1"/>
  <c r="S148" i="2"/>
  <c r="S183" i="2" s="1"/>
  <c r="S182" i="2" s="1"/>
  <c r="Y148" i="2"/>
  <c r="Y183" i="2" s="1"/>
  <c r="Y182" i="2" s="1"/>
  <c r="R148" i="2"/>
  <c r="R183" i="2" s="1"/>
  <c r="R182" i="2" s="1"/>
  <c r="Q148" i="2"/>
  <c r="Q183" i="2" s="1"/>
  <c r="Q182" i="2" s="1"/>
  <c r="Z148" i="2"/>
  <c r="Z183" i="2" s="1"/>
  <c r="Z182" i="2" s="1"/>
  <c r="N148" i="2"/>
  <c r="N183" i="2" s="1"/>
  <c r="N182" i="2" s="1"/>
  <c r="AA148" i="2"/>
  <c r="AA183" i="2" s="1"/>
  <c r="AA182" i="2" s="1"/>
  <c r="P148" i="2"/>
  <c r="P183" i="2" s="1"/>
  <c r="P182" i="2" s="1"/>
  <c r="W148" i="2"/>
  <c r="W183" i="2" s="1"/>
  <c r="W182" i="2" s="1"/>
  <c r="O148" i="2"/>
  <c r="O183" i="2" s="1"/>
  <c r="O182" i="2" s="1"/>
  <c r="V148" i="2"/>
  <c r="V183" i="2" s="1"/>
  <c r="V182" i="2" s="1"/>
  <c r="J148" i="2"/>
  <c r="J183" i="2" s="1"/>
  <c r="J182" i="2" s="1"/>
  <c r="G63" i="10"/>
  <c r="G91" i="10" s="1"/>
  <c r="AU35" i="10"/>
  <c r="AU62" i="10"/>
  <c r="AU63" i="10"/>
  <c r="AU91" i="10" s="1"/>
  <c r="H63" i="10"/>
  <c r="H91" i="10" s="1"/>
  <c r="P63" i="10"/>
  <c r="P91" i="10" s="1"/>
  <c r="P62" i="10"/>
  <c r="X63" i="10"/>
  <c r="X91" i="10" s="1"/>
  <c r="AF35" i="10"/>
  <c r="AF63" i="10"/>
  <c r="AF91" i="10" s="1"/>
  <c r="AF62" i="10"/>
  <c r="AN35" i="10"/>
  <c r="AN63" i="10"/>
  <c r="AN91" i="10" s="1"/>
  <c r="AN62" i="10"/>
  <c r="AV35" i="10"/>
  <c r="AV63" i="10"/>
  <c r="AV91" i="10" s="1"/>
  <c r="AV62" i="10"/>
  <c r="AE35" i="10"/>
  <c r="AE63" i="10"/>
  <c r="AE91" i="10" s="1"/>
  <c r="AE62" i="10"/>
  <c r="J63" i="10"/>
  <c r="J91" i="10" s="1"/>
  <c r="R63" i="10"/>
  <c r="R91" i="10" s="1"/>
  <c r="Z35" i="10"/>
  <c r="Z63" i="10"/>
  <c r="Z91" i="10" s="1"/>
  <c r="Z62" i="10"/>
  <c r="AH35" i="10"/>
  <c r="AH63" i="10"/>
  <c r="AH91" i="10" s="1"/>
  <c r="AH62" i="10"/>
  <c r="AP35" i="10"/>
  <c r="AP63" i="10"/>
  <c r="AP91" i="10" s="1"/>
  <c r="AP62" i="10"/>
  <c r="AX35" i="10"/>
  <c r="AX63" i="10"/>
  <c r="AX91" i="10" s="1"/>
  <c r="AX62" i="10"/>
  <c r="K62" i="10"/>
  <c r="K63" i="10"/>
  <c r="K91" i="10" s="1"/>
  <c r="S63" i="10"/>
  <c r="S91" i="10" s="1"/>
  <c r="AA63" i="10"/>
  <c r="AA91" i="10" s="1"/>
  <c r="AI35" i="10"/>
  <c r="AI63" i="10"/>
  <c r="AI91" i="10" s="1"/>
  <c r="AI62" i="10"/>
  <c r="AQ35" i="10"/>
  <c r="AQ63" i="10"/>
  <c r="AQ91" i="10" s="1"/>
  <c r="AQ62" i="10"/>
  <c r="AY35" i="10"/>
  <c r="AY63" i="10"/>
  <c r="AY91" i="10" s="1"/>
  <c r="AY62" i="10"/>
  <c r="Q63" i="10"/>
  <c r="Q91" i="10" s="1"/>
  <c r="D63" i="10"/>
  <c r="D91" i="10" s="1"/>
  <c r="L63" i="10"/>
  <c r="L91" i="10" s="1"/>
  <c r="T63" i="10"/>
  <c r="T91" i="10" s="1"/>
  <c r="AB35" i="10"/>
  <c r="AB63" i="10"/>
  <c r="AB91" i="10" s="1"/>
  <c r="AB62" i="10"/>
  <c r="AB7" i="10"/>
  <c r="AJ35" i="10"/>
  <c r="AJ63" i="10"/>
  <c r="AJ91" i="10" s="1"/>
  <c r="AJ62" i="10"/>
  <c r="AR35" i="10"/>
  <c r="AR63" i="10"/>
  <c r="AR91" i="10" s="1"/>
  <c r="AR62" i="10"/>
  <c r="W63" i="10"/>
  <c r="W91" i="10" s="1"/>
  <c r="I63" i="10"/>
  <c r="I91" i="10" s="1"/>
  <c r="AG35" i="10"/>
  <c r="AG63" i="10"/>
  <c r="AG91" i="10" s="1"/>
  <c r="AG62" i="10"/>
  <c r="AW35" i="10"/>
  <c r="AW63" i="10"/>
  <c r="AW91" i="10" s="1"/>
  <c r="AW62" i="10"/>
  <c r="E63" i="10"/>
  <c r="E91" i="10" s="1"/>
  <c r="M63" i="10"/>
  <c r="M91" i="10" s="1"/>
  <c r="U63" i="10"/>
  <c r="U91" i="10" s="1"/>
  <c r="U62" i="10"/>
  <c r="AC35" i="10"/>
  <c r="AC63" i="10"/>
  <c r="AC91" i="10" s="1"/>
  <c r="AC62" i="10"/>
  <c r="AC7" i="10"/>
  <c r="AK35" i="10"/>
  <c r="AK63" i="10"/>
  <c r="AK91" i="10" s="1"/>
  <c r="AK62" i="10"/>
  <c r="AS35" i="10"/>
  <c r="AS63" i="10"/>
  <c r="AS91" i="10" s="1"/>
  <c r="AS62" i="10"/>
  <c r="O63" i="10"/>
  <c r="O91" i="10" s="1"/>
  <c r="AM35" i="10"/>
  <c r="AM62" i="10"/>
  <c r="AM63" i="10"/>
  <c r="AM91" i="10" s="1"/>
  <c r="Y63" i="10"/>
  <c r="Y91" i="10" s="1"/>
  <c r="AO35" i="10"/>
  <c r="AO63" i="10"/>
  <c r="AO91" i="10" s="1"/>
  <c r="AO62" i="10"/>
  <c r="F62" i="10"/>
  <c r="F63" i="10"/>
  <c r="F91" i="10" s="1"/>
  <c r="F35" i="10"/>
  <c r="N63" i="10"/>
  <c r="N91" i="10" s="1"/>
  <c r="V63" i="10"/>
  <c r="V91" i="10" s="1"/>
  <c r="AD35" i="10"/>
  <c r="AD63" i="10"/>
  <c r="AD91" i="10" s="1"/>
  <c r="AD62" i="10"/>
  <c r="AD7" i="10"/>
  <c r="AL35" i="10"/>
  <c r="AL63" i="10"/>
  <c r="AL91" i="10" s="1"/>
  <c r="AL62" i="10"/>
  <c r="AT35" i="10"/>
  <c r="AT63" i="10"/>
  <c r="AT91" i="10" s="1"/>
  <c r="AT62" i="10"/>
  <c r="AE33" i="2"/>
  <c r="G49" i="3"/>
  <c r="H49" i="3" s="1"/>
  <c r="M30" i="3"/>
  <c r="N30" i="3" s="1"/>
  <c r="H74" i="11"/>
  <c r="H43" i="2" s="1"/>
  <c r="W74" i="11"/>
  <c r="W43" i="2" s="1"/>
  <c r="J12" i="3"/>
  <c r="J21" i="3" s="1"/>
  <c r="N34" i="3"/>
  <c r="O60" i="2"/>
  <c r="N60" i="2"/>
  <c r="P74" i="11"/>
  <c r="P43" i="2" s="1"/>
  <c r="H45" i="3"/>
  <c r="Q74" i="11"/>
  <c r="Q43" i="2" s="1"/>
  <c r="AU74" i="11"/>
  <c r="AU43" i="2" s="1"/>
  <c r="N32" i="3"/>
  <c r="AE74" i="11"/>
  <c r="AE43" i="2" s="1"/>
  <c r="AC74" i="11"/>
  <c r="AC43" i="2" s="1"/>
  <c r="AG74" i="11"/>
  <c r="AG43" i="2" s="1"/>
  <c r="AM74" i="11"/>
  <c r="AM43" i="2" s="1"/>
  <c r="AK74" i="11"/>
  <c r="AK43" i="2" s="1"/>
  <c r="F74" i="11"/>
  <c r="F43" i="2" s="1"/>
  <c r="G63" i="11"/>
  <c r="U74" i="11"/>
  <c r="U43" i="2" s="1"/>
  <c r="B36" i="11"/>
  <c r="B61" i="2" s="1"/>
  <c r="S73" i="2"/>
  <c r="N74" i="11"/>
  <c r="N43" i="2" s="1"/>
  <c r="G61" i="11"/>
  <c r="G62" i="11"/>
  <c r="D73" i="2"/>
  <c r="O34" i="2"/>
  <c r="V34" i="2"/>
  <c r="Y34" i="2"/>
  <c r="G34" i="2"/>
  <c r="P34" i="2"/>
  <c r="I34" i="2"/>
  <c r="AA34" i="2"/>
  <c r="L34" i="2"/>
  <c r="F41" i="11"/>
  <c r="K34" i="2"/>
  <c r="E34" i="2"/>
  <c r="Z34" i="2"/>
  <c r="Q34" i="2"/>
  <c r="D34" i="2"/>
  <c r="F73" i="2"/>
  <c r="R34" i="2"/>
  <c r="J73" i="2"/>
  <c r="N31" i="3"/>
  <c r="K18" i="3"/>
  <c r="N29" i="3"/>
  <c r="I50" i="3"/>
  <c r="H50" i="3"/>
  <c r="J50" i="3"/>
  <c r="J51" i="3" s="1"/>
  <c r="N33" i="3"/>
  <c r="K15" i="3"/>
  <c r="N38" i="3"/>
  <c r="H48" i="3"/>
  <c r="G51" i="3"/>
  <c r="P35" i="10"/>
  <c r="H44" i="3"/>
  <c r="K44" i="3" s="1"/>
  <c r="AH74" i="11"/>
  <c r="AH43" i="2" s="1"/>
  <c r="L74" i="11"/>
  <c r="L43" i="2" s="1"/>
  <c r="E73" i="2"/>
  <c r="G73" i="2"/>
  <c r="Q73" i="2"/>
  <c r="H12" i="3"/>
  <c r="H21" i="3" s="1"/>
  <c r="K35" i="10"/>
  <c r="V73" i="2"/>
  <c r="P73" i="2"/>
  <c r="Z73" i="2"/>
  <c r="K10" i="3"/>
  <c r="Y74" i="11"/>
  <c r="Y43" i="2" s="1"/>
  <c r="I74" i="11"/>
  <c r="I43" i="2" s="1"/>
  <c r="M36" i="3"/>
  <c r="M39" i="3" s="1"/>
  <c r="N34" i="2"/>
  <c r="S34" i="2"/>
  <c r="T34" i="2"/>
  <c r="T73" i="2"/>
  <c r="U73" i="2"/>
  <c r="R73" i="2"/>
  <c r="AF74" i="11"/>
  <c r="AF43" i="2" s="1"/>
  <c r="W73" i="2"/>
  <c r="U35" i="10"/>
  <c r="N27" i="3"/>
  <c r="H34" i="2"/>
  <c r="F34" i="2"/>
  <c r="J34" i="2"/>
  <c r="H73" i="2"/>
  <c r="K73" i="2"/>
  <c r="AA74" i="11"/>
  <c r="AA43" i="2" s="1"/>
  <c r="V74" i="11"/>
  <c r="V43" i="2" s="1"/>
  <c r="C60" i="2"/>
  <c r="C76" i="2" s="1"/>
  <c r="M34" i="2"/>
  <c r="L73" i="2"/>
  <c r="N73" i="2"/>
  <c r="O73" i="2"/>
  <c r="Y73" i="2"/>
  <c r="AI74" i="11"/>
  <c r="AI43" i="2" s="1"/>
  <c r="U34" i="2"/>
  <c r="W34" i="2"/>
  <c r="X34" i="2"/>
  <c r="M73" i="2"/>
  <c r="AA73" i="2"/>
  <c r="X73" i="2"/>
  <c r="J52" i="2"/>
  <c r="J103" i="2"/>
  <c r="T71" i="2"/>
  <c r="T39" i="2"/>
  <c r="T70" i="2" s="1"/>
  <c r="F35" i="2"/>
  <c r="F39" i="2"/>
  <c r="F70" i="2" s="1"/>
  <c r="F71" i="2"/>
  <c r="N71" i="2"/>
  <c r="N39" i="2"/>
  <c r="N70" i="2" s="1"/>
  <c r="X39" i="2"/>
  <c r="X70" i="2" s="1"/>
  <c r="X71" i="2"/>
  <c r="L71" i="2"/>
  <c r="L39" i="2"/>
  <c r="L70" i="2" s="1"/>
  <c r="Y39" i="2"/>
  <c r="Y70" i="2" s="1"/>
  <c r="Y71" i="2"/>
  <c r="U39" i="2"/>
  <c r="U70" i="2" s="1"/>
  <c r="U71" i="2"/>
  <c r="W39" i="2"/>
  <c r="W70" i="2" s="1"/>
  <c r="W71" i="2"/>
  <c r="S71" i="2"/>
  <c r="S39" i="2"/>
  <c r="S70" i="2" s="1"/>
  <c r="AA70" i="2"/>
  <c r="AA71" i="2"/>
  <c r="P39" i="2"/>
  <c r="P70" i="2" s="1"/>
  <c r="P71" i="2"/>
  <c r="J71" i="2"/>
  <c r="J39" i="2"/>
  <c r="J70" i="2" s="1"/>
  <c r="E39" i="2"/>
  <c r="E70" i="2" s="1"/>
  <c r="E71" i="2"/>
  <c r="E35" i="2"/>
  <c r="D71" i="2"/>
  <c r="D35" i="2"/>
  <c r="D39" i="2"/>
  <c r="D70" i="2" s="1"/>
  <c r="O71" i="2"/>
  <c r="O39" i="2"/>
  <c r="O70" i="2" s="1"/>
  <c r="Q71" i="2"/>
  <c r="Q39" i="2"/>
  <c r="Q70" i="2" s="1"/>
  <c r="R71" i="2"/>
  <c r="R39" i="2"/>
  <c r="R70" i="2" s="1"/>
  <c r="M71" i="2"/>
  <c r="M39" i="2"/>
  <c r="M70" i="2" s="1"/>
  <c r="V39" i="2"/>
  <c r="V70" i="2" s="1"/>
  <c r="V71" i="2"/>
  <c r="I71" i="2"/>
  <c r="I35" i="2"/>
  <c r="I39" i="2"/>
  <c r="I70" i="2" s="1"/>
  <c r="G71" i="2"/>
  <c r="G35" i="2"/>
  <c r="G39" i="2"/>
  <c r="G70" i="2" s="1"/>
  <c r="H35" i="2"/>
  <c r="H71" i="2"/>
  <c r="H39" i="2"/>
  <c r="H70" i="2" s="1"/>
  <c r="Z39" i="2"/>
  <c r="Z70" i="2" s="1"/>
  <c r="Z71" i="2"/>
  <c r="K71" i="2"/>
  <c r="K39" i="2"/>
  <c r="K70" i="2" s="1"/>
  <c r="AV36" i="10"/>
  <c r="AG36" i="10"/>
  <c r="AO36" i="10"/>
  <c r="AW36" i="10"/>
  <c r="Z36" i="10"/>
  <c r="AH36" i="10"/>
  <c r="AP36" i="10"/>
  <c r="AX36" i="10"/>
  <c r="K36" i="10"/>
  <c r="AI36" i="10"/>
  <c r="AQ36" i="10"/>
  <c r="AY36" i="10"/>
  <c r="AB36" i="10"/>
  <c r="AJ36" i="10"/>
  <c r="AR36" i="10"/>
  <c r="AF36" i="10"/>
  <c r="U36" i="10"/>
  <c r="AC36" i="10"/>
  <c r="AK36" i="10"/>
  <c r="AS36" i="10"/>
  <c r="AN36" i="10"/>
  <c r="F36" i="10"/>
  <c r="AD36" i="10"/>
  <c r="AL36" i="10"/>
  <c r="AT36" i="10"/>
  <c r="P36" i="10"/>
  <c r="AE36" i="10"/>
  <c r="AM36" i="10"/>
  <c r="AU36" i="10"/>
  <c r="F29" i="2"/>
  <c r="F52" i="2"/>
  <c r="N29" i="2"/>
  <c r="N52" i="2"/>
  <c r="M29" i="2"/>
  <c r="M52" i="2"/>
  <c r="G29" i="2"/>
  <c r="G52" i="2"/>
  <c r="O29" i="2"/>
  <c r="O52" i="2"/>
  <c r="E29" i="2"/>
  <c r="E52" i="2"/>
  <c r="H29" i="2"/>
  <c r="H52" i="2"/>
  <c r="P29" i="2"/>
  <c r="P52" i="2"/>
  <c r="I29" i="2"/>
  <c r="I52" i="2"/>
  <c r="Q29" i="2"/>
  <c r="Q52" i="2"/>
  <c r="B29" i="2"/>
  <c r="B52" i="2"/>
  <c r="B91" i="2" s="1"/>
  <c r="B159" i="2" s="1"/>
  <c r="J29" i="2"/>
  <c r="C29" i="2"/>
  <c r="C52" i="2"/>
  <c r="C91" i="2" s="1"/>
  <c r="C159" i="2" s="1"/>
  <c r="K29" i="2"/>
  <c r="K52" i="2"/>
  <c r="D29" i="2"/>
  <c r="D52" i="2"/>
  <c r="L29" i="2"/>
  <c r="L52" i="2"/>
  <c r="G60" i="11"/>
  <c r="E60" i="11"/>
  <c r="G74" i="11"/>
  <c r="G43" i="2" s="1"/>
  <c r="AT74" i="11"/>
  <c r="AT43" i="2" s="1"/>
  <c r="J74" i="11"/>
  <c r="J43" i="2" s="1"/>
  <c r="AD74" i="11"/>
  <c r="AD43" i="2" s="1"/>
  <c r="AO74" i="11"/>
  <c r="AO43" i="2" s="1"/>
  <c r="O74" i="11"/>
  <c r="O43" i="2" s="1"/>
  <c r="D74" i="11"/>
  <c r="R74" i="11"/>
  <c r="R43" i="2" s="1"/>
  <c r="AV74" i="11"/>
  <c r="AV43" i="2" s="1"/>
  <c r="AL74" i="11"/>
  <c r="AL43" i="2" s="1"/>
  <c r="AR74" i="11"/>
  <c r="AR43" i="2" s="1"/>
  <c r="K74" i="11"/>
  <c r="K43" i="2" s="1"/>
  <c r="Z74" i="11"/>
  <c r="Z43" i="2" s="1"/>
  <c r="T74" i="11"/>
  <c r="T43" i="2" s="1"/>
  <c r="E74" i="11"/>
  <c r="E43" i="2" s="1"/>
  <c r="AX74" i="11"/>
  <c r="AX43" i="2" s="1"/>
  <c r="AB74" i="11"/>
  <c r="AB43" i="2" s="1"/>
  <c r="M74" i="11"/>
  <c r="M43" i="2" s="1"/>
  <c r="J35" i="11"/>
  <c r="AN74" i="11"/>
  <c r="AN43" i="2" s="1"/>
  <c r="AS74" i="11"/>
  <c r="AS43" i="2" s="1"/>
  <c r="S74" i="11"/>
  <c r="S43" i="2" s="1"/>
  <c r="I8" i="8"/>
  <c r="G10" i="8"/>
  <c r="G11" i="8"/>
  <c r="G18" i="8"/>
  <c r="G23" i="8"/>
  <c r="I7" i="8"/>
  <c r="H13" i="8"/>
  <c r="G20" i="8"/>
  <c r="I12" i="8"/>
  <c r="G19" i="8"/>
  <c r="G22" i="8"/>
  <c r="G24" i="8"/>
  <c r="K16" i="3" l="1"/>
  <c r="K45" i="3"/>
  <c r="AS33" i="2"/>
  <c r="AR33" i="2"/>
  <c r="AR42" i="2" s="1"/>
  <c r="AR46" i="2" s="1"/>
  <c r="AR47" i="2" s="1"/>
  <c r="AR79" i="2" s="1"/>
  <c r="AW33" i="2"/>
  <c r="AW42" i="2" s="1"/>
  <c r="AW46" i="2" s="1"/>
  <c r="AW47" i="2" s="1"/>
  <c r="AW79" i="2" s="1"/>
  <c r="AP76" i="2"/>
  <c r="AO33" i="2"/>
  <c r="AO42" i="2" s="1"/>
  <c r="AO46" i="2" s="1"/>
  <c r="AO47" i="2" s="1"/>
  <c r="AO79" i="2" s="1"/>
  <c r="AL33" i="2"/>
  <c r="AG76" i="2"/>
  <c r="AN33" i="2"/>
  <c r="AN42" i="2" s="1"/>
  <c r="AN46" i="2" s="1"/>
  <c r="AN47" i="2" s="1"/>
  <c r="AN79" i="2" s="1"/>
  <c r="AI76" i="2"/>
  <c r="AV33" i="2"/>
  <c r="AV42" i="2" s="1"/>
  <c r="AV46" i="2" s="1"/>
  <c r="AV47" i="2" s="1"/>
  <c r="AV79" i="2" s="1"/>
  <c r="AA37" i="2"/>
  <c r="AM69" i="2"/>
  <c r="O54" i="2"/>
  <c r="O57" i="2" s="1"/>
  <c r="AP37" i="2"/>
  <c r="AP42" i="2" s="1"/>
  <c r="AP46" i="2" s="1"/>
  <c r="AP47" i="2" s="1"/>
  <c r="AP79" i="2" s="1"/>
  <c r="F54" i="2"/>
  <c r="AC69" i="2"/>
  <c r="E54" i="2"/>
  <c r="AA54" i="2"/>
  <c r="AA57" i="2" s="1"/>
  <c r="D54" i="2"/>
  <c r="AG37" i="2"/>
  <c r="AG42" i="2" s="1"/>
  <c r="AG46" i="2" s="1"/>
  <c r="AG47" i="2" s="1"/>
  <c r="AG79" i="2" s="1"/>
  <c r="AP57" i="2"/>
  <c r="R54" i="2"/>
  <c r="R57" i="2" s="1"/>
  <c r="AL37" i="2"/>
  <c r="AS37" i="2"/>
  <c r="AQ69" i="2"/>
  <c r="F53" i="11"/>
  <c r="AF57" i="2"/>
  <c r="M54" i="2"/>
  <c r="M57" i="2" s="1"/>
  <c r="AU69" i="2"/>
  <c r="P174" i="2"/>
  <c r="AE37" i="2"/>
  <c r="AE42" i="2" s="1"/>
  <c r="AE46" i="2" s="1"/>
  <c r="AE47" i="2" s="1"/>
  <c r="AE79" i="2" s="1"/>
  <c r="AX69" i="2"/>
  <c r="AY69" i="2"/>
  <c r="AB69" i="2"/>
  <c r="AW69" i="2"/>
  <c r="AW76" i="2" s="1"/>
  <c r="AQ57" i="2"/>
  <c r="AI37" i="2"/>
  <c r="AI42" i="2" s="1"/>
  <c r="AI46" i="2" s="1"/>
  <c r="AI47" i="2" s="1"/>
  <c r="AI79" i="2" s="1"/>
  <c r="J54" i="2"/>
  <c r="J57" i="2" s="1"/>
  <c r="AU57" i="2"/>
  <c r="L54" i="2"/>
  <c r="L57" i="2" s="1"/>
  <c r="X125" i="2"/>
  <c r="K54" i="2"/>
  <c r="K57" i="2" s="1"/>
  <c r="AO69" i="2"/>
  <c r="AO76" i="2" s="1"/>
  <c r="AV69" i="2"/>
  <c r="AV76" i="2" s="1"/>
  <c r="H54" i="2"/>
  <c r="V54" i="2"/>
  <c r="V57" i="2" s="1"/>
  <c r="AH69" i="2"/>
  <c r="N54" i="2"/>
  <c r="N57" i="2" s="1"/>
  <c r="R174" i="2"/>
  <c r="AR57" i="2"/>
  <c r="AL80" i="2"/>
  <c r="AY57" i="2"/>
  <c r="AN69" i="2"/>
  <c r="AN76" i="2" s="1"/>
  <c r="T54" i="2"/>
  <c r="T57" i="2" s="1"/>
  <c r="AJ69" i="2"/>
  <c r="S125" i="2"/>
  <c r="Q54" i="2"/>
  <c r="Q57" i="2" s="1"/>
  <c r="AA174" i="2"/>
  <c r="AT80" i="2"/>
  <c r="AI57" i="2"/>
  <c r="AS57" i="2"/>
  <c r="AV80" i="2"/>
  <c r="AJ57" i="2"/>
  <c r="AG57" i="2"/>
  <c r="AH80" i="2"/>
  <c r="AK69" i="2"/>
  <c r="X54" i="2"/>
  <c r="X57" i="2" s="1"/>
  <c r="Y174" i="2"/>
  <c r="L122" i="2"/>
  <c r="L127" i="2" s="1"/>
  <c r="L168" i="2" s="1"/>
  <c r="AO57" i="2"/>
  <c r="AM80" i="2"/>
  <c r="S54" i="2"/>
  <c r="S57" i="2" s="1"/>
  <c r="AD69" i="2"/>
  <c r="I54" i="2"/>
  <c r="AR69" i="2"/>
  <c r="AR76" i="2" s="1"/>
  <c r="AC57" i="2"/>
  <c r="AY80" i="2"/>
  <c r="AR80" i="2"/>
  <c r="AB80" i="2"/>
  <c r="AO80" i="2"/>
  <c r="AI80" i="2"/>
  <c r="AL57" i="2"/>
  <c r="AW80" i="2"/>
  <c r="AN80" i="2"/>
  <c r="AX80" i="2"/>
  <c r="AP80" i="2"/>
  <c r="W54" i="2"/>
  <c r="W57" i="2" s="1"/>
  <c r="Q174" i="2"/>
  <c r="AW57" i="2"/>
  <c r="AS80" i="2"/>
  <c r="Z174" i="2"/>
  <c r="Z54" i="2"/>
  <c r="Z57" i="2" s="1"/>
  <c r="G54" i="2"/>
  <c r="AJ80" i="2"/>
  <c r="AD80" i="2"/>
  <c r="AB57" i="2"/>
  <c r="AK80" i="2"/>
  <c r="Y54" i="2"/>
  <c r="Y57" i="2" s="1"/>
  <c r="AT69" i="2"/>
  <c r="AE80" i="2"/>
  <c r="AQ80" i="2"/>
  <c r="AF69" i="2"/>
  <c r="AK57" i="2"/>
  <c r="AF80" i="2"/>
  <c r="AF42" i="2"/>
  <c r="AF46" i="2" s="1"/>
  <c r="AF47" i="2" s="1"/>
  <c r="AF79" i="2" s="1"/>
  <c r="W125" i="2"/>
  <c r="AM57" i="2"/>
  <c r="T125" i="2"/>
  <c r="AU80" i="2"/>
  <c r="AC80" i="2"/>
  <c r="AG80" i="2"/>
  <c r="U54" i="2"/>
  <c r="U57" i="2" s="1"/>
  <c r="P54" i="2"/>
  <c r="P57" i="2" s="1"/>
  <c r="AD57" i="2"/>
  <c r="K174" i="2"/>
  <c r="I55" i="2"/>
  <c r="I80" i="2" s="1"/>
  <c r="I180" i="2" s="1"/>
  <c r="H55" i="2"/>
  <c r="H80" i="2" s="1"/>
  <c r="H180" i="2" s="1"/>
  <c r="D55" i="2"/>
  <c r="D80" i="2" s="1"/>
  <c r="D180" i="2" s="1"/>
  <c r="F55" i="2"/>
  <c r="F80" i="2" s="1"/>
  <c r="F180" i="2" s="1"/>
  <c r="G55" i="2"/>
  <c r="G80" i="2" s="1"/>
  <c r="G180" i="2" s="1"/>
  <c r="E55" i="2"/>
  <c r="E80" i="2" s="1"/>
  <c r="E180" i="2" s="1"/>
  <c r="AH57" i="2"/>
  <c r="J174" i="2"/>
  <c r="O174" i="2"/>
  <c r="O125" i="2"/>
  <c r="N174" i="2"/>
  <c r="M174" i="2"/>
  <c r="B104" i="10"/>
  <c r="AN125" i="2"/>
  <c r="AN180" i="2" s="1"/>
  <c r="AN178" i="2" s="1"/>
  <c r="B196" i="2"/>
  <c r="AI125" i="2"/>
  <c r="AI180" i="2" s="1"/>
  <c r="AI178" i="2" s="1"/>
  <c r="AD125" i="2"/>
  <c r="AD180" i="2" s="1"/>
  <c r="AD178" i="2" s="1"/>
  <c r="AL125" i="2"/>
  <c r="AL180" i="2" s="1"/>
  <c r="AL178" i="2" s="1"/>
  <c r="AV125" i="2"/>
  <c r="AV180" i="2" s="1"/>
  <c r="AV178" i="2" s="1"/>
  <c r="AB125" i="2"/>
  <c r="AB180" i="2" s="1"/>
  <c r="AB178" i="2" s="1"/>
  <c r="AF125" i="2"/>
  <c r="AF180" i="2" s="1"/>
  <c r="AF178" i="2" s="1"/>
  <c r="AP125" i="2"/>
  <c r="AP180" i="2" s="1"/>
  <c r="AP178" i="2" s="1"/>
  <c r="AA122" i="2"/>
  <c r="AA127" i="2" s="1"/>
  <c r="AA168" i="2" s="1"/>
  <c r="AE125" i="2"/>
  <c r="AE180" i="2" s="1"/>
  <c r="AE178" i="2" s="1"/>
  <c r="AO125" i="2"/>
  <c r="AO180" i="2" s="1"/>
  <c r="AO178" i="2" s="1"/>
  <c r="AR125" i="2"/>
  <c r="AR180" i="2" s="1"/>
  <c r="AR178" i="2" s="1"/>
  <c r="AG125" i="2"/>
  <c r="AG180" i="2" s="1"/>
  <c r="AG178" i="2" s="1"/>
  <c r="P122" i="2"/>
  <c r="P127" i="2" s="1"/>
  <c r="P168" i="2" s="1"/>
  <c r="R122" i="2"/>
  <c r="R127" i="2" s="1"/>
  <c r="R168" i="2" s="1"/>
  <c r="F40" i="11"/>
  <c r="AS76" i="2"/>
  <c r="AL76" i="2"/>
  <c r="AE76" i="2"/>
  <c r="Q122" i="2"/>
  <c r="Q127" i="2" s="1"/>
  <c r="Q168" i="2" s="1"/>
  <c r="U125" i="2"/>
  <c r="U122" i="2"/>
  <c r="AU125" i="2"/>
  <c r="AU180" i="2" s="1"/>
  <c r="AU178" i="2" s="1"/>
  <c r="AH125" i="2"/>
  <c r="AH180" i="2" s="1"/>
  <c r="AH178" i="2" s="1"/>
  <c r="AK125" i="2"/>
  <c r="AK180" i="2" s="1"/>
  <c r="AK178" i="2" s="1"/>
  <c r="AJ125" i="2"/>
  <c r="AJ180" i="2" s="1"/>
  <c r="AJ178" i="2" s="1"/>
  <c r="AY125" i="2"/>
  <c r="AY180" i="2" s="1"/>
  <c r="AY178" i="2" s="1"/>
  <c r="Y122" i="2"/>
  <c r="Y127" i="2" s="1"/>
  <c r="Y168" i="2" s="1"/>
  <c r="AX125" i="2"/>
  <c r="AX180" i="2" s="1"/>
  <c r="AX178" i="2" s="1"/>
  <c r="AS125" i="2"/>
  <c r="AS180" i="2" s="1"/>
  <c r="AS178" i="2" s="1"/>
  <c r="AW125" i="2"/>
  <c r="AW180" i="2" s="1"/>
  <c r="AW178" i="2" s="1"/>
  <c r="AQ125" i="2"/>
  <c r="AQ180" i="2" s="1"/>
  <c r="AQ178" i="2" s="1"/>
  <c r="AC125" i="2"/>
  <c r="AC180" i="2" s="1"/>
  <c r="AC178" i="2" s="1"/>
  <c r="AT125" i="2"/>
  <c r="AT180" i="2" s="1"/>
  <c r="AT178" i="2" s="1"/>
  <c r="AM125" i="2"/>
  <c r="AM180" i="2" s="1"/>
  <c r="AM178" i="2" s="1"/>
  <c r="Z122" i="2"/>
  <c r="Z127" i="2" s="1"/>
  <c r="Z168" i="2" s="1"/>
  <c r="H173" i="2"/>
  <c r="G173" i="2"/>
  <c r="U173" i="2"/>
  <c r="U172" i="2" s="1"/>
  <c r="I173" i="2"/>
  <c r="O173" i="2"/>
  <c r="S173" i="2"/>
  <c r="S172" i="2" s="1"/>
  <c r="L173" i="2"/>
  <c r="L172" i="2" s="1"/>
  <c r="N173" i="2"/>
  <c r="T173" i="2"/>
  <c r="T172" i="2" s="1"/>
  <c r="Y173" i="2"/>
  <c r="F173" i="2"/>
  <c r="AA173" i="2"/>
  <c r="W173" i="2"/>
  <c r="W172" i="2" s="1"/>
  <c r="X173" i="2"/>
  <c r="X172" i="2" s="1"/>
  <c r="K173" i="2"/>
  <c r="M173" i="2"/>
  <c r="Q173" i="2"/>
  <c r="D173" i="2"/>
  <c r="J173" i="2"/>
  <c r="R173" i="2"/>
  <c r="Z173" i="2"/>
  <c r="V173" i="2"/>
  <c r="V172" i="2" s="1"/>
  <c r="E173" i="2"/>
  <c r="P173" i="2"/>
  <c r="AW173" i="2"/>
  <c r="AW172" i="2" s="1"/>
  <c r="AI173" i="2"/>
  <c r="AI172" i="2" s="1"/>
  <c r="AT173" i="2"/>
  <c r="AT172" i="2" s="1"/>
  <c r="AE173" i="2"/>
  <c r="AE172" i="2" s="1"/>
  <c r="AO173" i="2"/>
  <c r="AO172" i="2" s="1"/>
  <c r="AR173" i="2"/>
  <c r="AR172" i="2" s="1"/>
  <c r="AM173" i="2"/>
  <c r="AM172" i="2" s="1"/>
  <c r="AF173" i="2"/>
  <c r="AF172" i="2" s="1"/>
  <c r="AP173" i="2"/>
  <c r="AP172" i="2" s="1"/>
  <c r="AD173" i="2"/>
  <c r="AD172" i="2" s="1"/>
  <c r="AN173" i="2"/>
  <c r="AN172" i="2" s="1"/>
  <c r="AC173" i="2"/>
  <c r="AC172" i="2" s="1"/>
  <c r="AU173" i="2"/>
  <c r="AU172" i="2" s="1"/>
  <c r="AH173" i="2"/>
  <c r="AH172" i="2" s="1"/>
  <c r="AJ173" i="2"/>
  <c r="AJ172" i="2" s="1"/>
  <c r="AK173" i="2"/>
  <c r="AK172" i="2" s="1"/>
  <c r="AG173" i="2"/>
  <c r="AG172" i="2" s="1"/>
  <c r="AY173" i="2"/>
  <c r="AY172" i="2" s="1"/>
  <c r="AX173" i="2"/>
  <c r="AX172" i="2" s="1"/>
  <c r="AS173" i="2"/>
  <c r="AS172" i="2" s="1"/>
  <c r="AQ173" i="2"/>
  <c r="AQ172" i="2" s="1"/>
  <c r="AV173" i="2"/>
  <c r="AV172" i="2" s="1"/>
  <c r="AB173" i="2"/>
  <c r="AB172" i="2" s="1"/>
  <c r="AL173" i="2"/>
  <c r="AL172" i="2" s="1"/>
  <c r="B76" i="2"/>
  <c r="B173" i="2"/>
  <c r="B172" i="2" s="1"/>
  <c r="C178" i="2"/>
  <c r="C81" i="2"/>
  <c r="AT42" i="2"/>
  <c r="AT46" i="2" s="1"/>
  <c r="AT47" i="2" s="1"/>
  <c r="AT79" i="2" s="1"/>
  <c r="AU42" i="2"/>
  <c r="AU46" i="2" s="1"/>
  <c r="AU47" i="2" s="1"/>
  <c r="AU79" i="2" s="1"/>
  <c r="AB42" i="2"/>
  <c r="AB46" i="2" s="1"/>
  <c r="AB47" i="2" s="1"/>
  <c r="AB79" i="2" s="1"/>
  <c r="B80" i="2"/>
  <c r="B180" i="2" s="1"/>
  <c r="AC42" i="2"/>
  <c r="AC46" i="2" s="1"/>
  <c r="AC47" i="2" s="1"/>
  <c r="AC79" i="2" s="1"/>
  <c r="N80" i="2"/>
  <c r="N180" i="2" s="1"/>
  <c r="AJ42" i="2"/>
  <c r="AJ46" i="2" s="1"/>
  <c r="AJ47" i="2" s="1"/>
  <c r="AJ79" i="2" s="1"/>
  <c r="S80" i="2"/>
  <c r="S180" i="2" s="1"/>
  <c r="AX42" i="2"/>
  <c r="AX46" i="2" s="1"/>
  <c r="AX47" i="2" s="1"/>
  <c r="AX79" i="2" s="1"/>
  <c r="V80" i="2"/>
  <c r="V180" i="2" s="1"/>
  <c r="AD42" i="2"/>
  <c r="AD46" i="2" s="1"/>
  <c r="AD47" i="2" s="1"/>
  <c r="AD79" i="2" s="1"/>
  <c r="AQ42" i="2"/>
  <c r="AQ46" i="2" s="1"/>
  <c r="AQ47" i="2" s="1"/>
  <c r="AQ79" i="2" s="1"/>
  <c r="X80" i="2"/>
  <c r="X180" i="2" s="1"/>
  <c r="AV54" i="2"/>
  <c r="AV57" i="2" s="1"/>
  <c r="AN57" i="2"/>
  <c r="AY42" i="2"/>
  <c r="AY46" i="2" s="1"/>
  <c r="AY47" i="2" s="1"/>
  <c r="AY79" i="2" s="1"/>
  <c r="AM42" i="2"/>
  <c r="AM46" i="2" s="1"/>
  <c r="AM47" i="2" s="1"/>
  <c r="AM79" i="2" s="1"/>
  <c r="AX57" i="2"/>
  <c r="AE57" i="2"/>
  <c r="AK42" i="2"/>
  <c r="AK46" i="2" s="1"/>
  <c r="AK47" i="2" s="1"/>
  <c r="AK79" i="2" s="1"/>
  <c r="AA80" i="2"/>
  <c r="AA180" i="2" s="1"/>
  <c r="AH42" i="2"/>
  <c r="AH46" i="2" s="1"/>
  <c r="AH47" i="2" s="1"/>
  <c r="AH79" i="2" s="1"/>
  <c r="U80" i="2"/>
  <c r="U180" i="2" s="1"/>
  <c r="K80" i="2"/>
  <c r="K180" i="2" s="1"/>
  <c r="W80" i="2"/>
  <c r="W180" i="2" s="1"/>
  <c r="R80" i="2"/>
  <c r="R180" i="2" s="1"/>
  <c r="O80" i="2"/>
  <c r="O180" i="2" s="1"/>
  <c r="L80" i="2"/>
  <c r="L180" i="2" s="1"/>
  <c r="J80" i="2"/>
  <c r="J180" i="2" s="1"/>
  <c r="Q80" i="2"/>
  <c r="Q180" i="2" s="1"/>
  <c r="P80" i="2"/>
  <c r="P180" i="2" s="1"/>
  <c r="T80" i="2"/>
  <c r="T180" i="2" s="1"/>
  <c r="M80" i="2"/>
  <c r="M180" i="2" s="1"/>
  <c r="Z80" i="2"/>
  <c r="Z180" i="2" s="1"/>
  <c r="Y80" i="2"/>
  <c r="Y180" i="2" s="1"/>
  <c r="T37" i="2"/>
  <c r="U33" i="2"/>
  <c r="N37" i="2"/>
  <c r="L37" i="2"/>
  <c r="P33" i="2"/>
  <c r="H37" i="2"/>
  <c r="V37" i="2"/>
  <c r="E37" i="2"/>
  <c r="Q33" i="2"/>
  <c r="I48" i="3"/>
  <c r="I51" i="3" s="1"/>
  <c r="H51" i="3"/>
  <c r="M33" i="2"/>
  <c r="S33" i="2"/>
  <c r="N36" i="3"/>
  <c r="I13" i="8"/>
  <c r="R33" i="2"/>
  <c r="G13" i="8"/>
  <c r="T33" i="2"/>
  <c r="Z37" i="2"/>
  <c r="N33" i="2"/>
  <c r="O37" i="2"/>
  <c r="Y37" i="2"/>
  <c r="W33" i="2"/>
  <c r="S37" i="2"/>
  <c r="J37" i="2"/>
  <c r="X37" i="2"/>
  <c r="K37" i="2"/>
  <c r="R37" i="2"/>
  <c r="I37" i="2"/>
  <c r="M37" i="2"/>
  <c r="K33" i="2"/>
  <c r="G33" i="2"/>
  <c r="Q37" i="2"/>
  <c r="AA33" i="2"/>
  <c r="D33" i="2"/>
  <c r="E33" i="2"/>
  <c r="I33" i="2"/>
  <c r="Z33" i="2"/>
  <c r="H33" i="2"/>
  <c r="Y33" i="2"/>
  <c r="U37" i="2"/>
  <c r="X33" i="2"/>
  <c r="P37" i="2"/>
  <c r="L33" i="2"/>
  <c r="F33" i="2"/>
  <c r="D37" i="2"/>
  <c r="O33" i="2"/>
  <c r="J33" i="2"/>
  <c r="G37" i="2"/>
  <c r="E76" i="2"/>
  <c r="W37" i="2"/>
  <c r="V33" i="2"/>
  <c r="F37" i="2"/>
  <c r="AQ76" i="2" l="1"/>
  <c r="AS42" i="2"/>
  <c r="AS46" i="2" s="1"/>
  <c r="AS47" i="2" s="1"/>
  <c r="AS79" i="2" s="1"/>
  <c r="AS81" i="2" s="1"/>
  <c r="AS83" i="2" s="1"/>
  <c r="AS92" i="2" s="1"/>
  <c r="AS94" i="2" s="1"/>
  <c r="AS149" i="2" s="1"/>
  <c r="AS162" i="2" s="1"/>
  <c r="AS164" i="2" s="1"/>
  <c r="AT76" i="2"/>
  <c r="AY76" i="2"/>
  <c r="AU76" i="2"/>
  <c r="AF76" i="2"/>
  <c r="AX76" i="2"/>
  <c r="AK76" i="2"/>
  <c r="AD76" i="2"/>
  <c r="AL42" i="2"/>
  <c r="AL46" i="2" s="1"/>
  <c r="AL47" i="2" s="1"/>
  <c r="AL79" i="2" s="1"/>
  <c r="AL81" i="2" s="1"/>
  <c r="AL83" i="2" s="1"/>
  <c r="AL92" i="2" s="1"/>
  <c r="AL94" i="2" s="1"/>
  <c r="AL149" i="2" s="1"/>
  <c r="AL162" i="2" s="1"/>
  <c r="AL164" i="2" s="1"/>
  <c r="AJ76" i="2"/>
  <c r="AB76" i="2"/>
  <c r="AC76" i="2"/>
  <c r="AM76" i="2"/>
  <c r="AH76" i="2"/>
  <c r="AA42" i="2"/>
  <c r="AA46" i="2" s="1"/>
  <c r="AA47" i="2" s="1"/>
  <c r="AA79" i="2" s="1"/>
  <c r="AA81" i="2" s="1"/>
  <c r="AB81" i="2"/>
  <c r="P172" i="2"/>
  <c r="AT81" i="2"/>
  <c r="X122" i="2"/>
  <c r="X127" i="2" s="1"/>
  <c r="X168" i="2" s="1"/>
  <c r="S122" i="2"/>
  <c r="S127" i="2" s="1"/>
  <c r="S168" i="2" s="1"/>
  <c r="R172" i="2"/>
  <c r="AE81" i="2"/>
  <c r="AE83" i="2" s="1"/>
  <c r="AE92" i="2" s="1"/>
  <c r="AE94" i="2" s="1"/>
  <c r="AE149" i="2" s="1"/>
  <c r="AE162" i="2" s="1"/>
  <c r="AE164" i="2" s="1"/>
  <c r="AR81" i="2"/>
  <c r="AR83" i="2" s="1"/>
  <c r="AR92" i="2" s="1"/>
  <c r="AR94" i="2" s="1"/>
  <c r="AR149" i="2" s="1"/>
  <c r="AR162" i="2" s="1"/>
  <c r="AR164" i="2" s="1"/>
  <c r="AP81" i="2"/>
  <c r="AP83" i="2" s="1"/>
  <c r="AP92" i="2" s="1"/>
  <c r="AP94" i="2" s="1"/>
  <c r="AP149" i="2" s="1"/>
  <c r="AP162" i="2" s="1"/>
  <c r="AP164" i="2" s="1"/>
  <c r="AA172" i="2"/>
  <c r="AN81" i="2"/>
  <c r="AN83" i="2" s="1"/>
  <c r="AN92" i="2" s="1"/>
  <c r="AN94" i="2" s="1"/>
  <c r="AN149" i="2" s="1"/>
  <c r="AN162" i="2" s="1"/>
  <c r="AN164" i="2" s="1"/>
  <c r="AI81" i="2"/>
  <c r="AI83" i="2" s="1"/>
  <c r="AI92" i="2" s="1"/>
  <c r="AI94" i="2" s="1"/>
  <c r="AI149" i="2" s="1"/>
  <c r="AI162" i="2" s="1"/>
  <c r="AI164" i="2" s="1"/>
  <c r="AH81" i="2"/>
  <c r="AM81" i="2"/>
  <c r="AX81" i="2"/>
  <c r="AY81" i="2"/>
  <c r="AV81" i="2"/>
  <c r="AV83" i="2" s="1"/>
  <c r="AV92" i="2" s="1"/>
  <c r="AV94" i="2" s="1"/>
  <c r="AV149" i="2" s="1"/>
  <c r="AV162" i="2" s="1"/>
  <c r="AV164" i="2" s="1"/>
  <c r="AW81" i="2"/>
  <c r="AW83" i="2" s="1"/>
  <c r="AW92" i="2" s="1"/>
  <c r="AW94" i="2" s="1"/>
  <c r="AW149" i="2" s="1"/>
  <c r="AW162" i="2" s="1"/>
  <c r="AW164" i="2" s="1"/>
  <c r="AK81" i="2"/>
  <c r="Y172" i="2"/>
  <c r="AF81" i="2"/>
  <c r="T64" i="10"/>
  <c r="T77" i="10" s="1"/>
  <c r="T79" i="10" s="1"/>
  <c r="AX64" i="10"/>
  <c r="AX77" i="10" s="1"/>
  <c r="AX79" i="10" s="1"/>
  <c r="AD81" i="2"/>
  <c r="AC81" i="2"/>
  <c r="Z172" i="2"/>
  <c r="W122" i="2"/>
  <c r="W127" i="2" s="1"/>
  <c r="W168" i="2" s="1"/>
  <c r="Q172" i="2"/>
  <c r="E64" i="10"/>
  <c r="E77" i="10" s="1"/>
  <c r="E79" i="10" s="1"/>
  <c r="F64" i="10"/>
  <c r="F77" i="10" s="1"/>
  <c r="F79" i="10" s="1"/>
  <c r="AO81" i="2"/>
  <c r="AO83" i="2" s="1"/>
  <c r="AO92" i="2" s="1"/>
  <c r="AO94" i="2" s="1"/>
  <c r="AO149" i="2" s="1"/>
  <c r="AO162" i="2" s="1"/>
  <c r="AO164" i="2" s="1"/>
  <c r="AJ81" i="2"/>
  <c r="AU81" i="2"/>
  <c r="AQ81" i="2"/>
  <c r="AG81" i="2"/>
  <c r="AG83" i="2" s="1"/>
  <c r="AG92" i="2" s="1"/>
  <c r="AG94" i="2" s="1"/>
  <c r="AG149" i="2" s="1"/>
  <c r="AG162" i="2" s="1"/>
  <c r="AG164" i="2" s="1"/>
  <c r="M172" i="2"/>
  <c r="N172" i="2"/>
  <c r="O172" i="2"/>
  <c r="T122" i="2"/>
  <c r="T127" i="2" s="1"/>
  <c r="T168" i="2" s="1"/>
  <c r="N64" i="10"/>
  <c r="N77" i="10" s="1"/>
  <c r="N79" i="10" s="1"/>
  <c r="J172" i="2"/>
  <c r="V125" i="2"/>
  <c r="V122" i="2"/>
  <c r="I174" i="2"/>
  <c r="I172" i="2" s="1"/>
  <c r="M125" i="2"/>
  <c r="M122" i="2"/>
  <c r="K125" i="2"/>
  <c r="K122" i="2"/>
  <c r="N125" i="2"/>
  <c r="N122" i="2"/>
  <c r="E174" i="2"/>
  <c r="E172" i="2" s="1"/>
  <c r="K172" i="2"/>
  <c r="G174" i="2"/>
  <c r="G172" i="2" s="1"/>
  <c r="F174" i="2"/>
  <c r="F172" i="2" s="1"/>
  <c r="B64" i="10"/>
  <c r="B77" i="10" s="1"/>
  <c r="B79" i="10" s="1"/>
  <c r="C64" i="10"/>
  <c r="C77" i="10" s="1"/>
  <c r="C79" i="10" s="1"/>
  <c r="D174" i="2"/>
  <c r="D172" i="2" s="1"/>
  <c r="J125" i="2"/>
  <c r="J122" i="2"/>
  <c r="H174" i="2"/>
  <c r="H172" i="2" s="1"/>
  <c r="O122" i="2"/>
  <c r="O127" i="2" s="1"/>
  <c r="O168" i="2" s="1"/>
  <c r="AY64" i="10"/>
  <c r="AY77" i="10" s="1"/>
  <c r="AY79" i="10" s="1"/>
  <c r="L64" i="10"/>
  <c r="L77" i="10" s="1"/>
  <c r="L79" i="10" s="1"/>
  <c r="U127" i="2"/>
  <c r="U168" i="2" s="1"/>
  <c r="B178" i="2"/>
  <c r="B81" i="2"/>
  <c r="S76" i="2"/>
  <c r="G76" i="2"/>
  <c r="F76" i="2"/>
  <c r="I76" i="2"/>
  <c r="Z76" i="2"/>
  <c r="K76" i="2"/>
  <c r="U76" i="2"/>
  <c r="O76" i="2"/>
  <c r="V76" i="2"/>
  <c r="W76" i="2"/>
  <c r="J76" i="2"/>
  <c r="AA76" i="2"/>
  <c r="L76" i="2"/>
  <c r="D76" i="2"/>
  <c r="Q76" i="2"/>
  <c r="M76" i="2"/>
  <c r="H76" i="2"/>
  <c r="Y76" i="2"/>
  <c r="R76" i="2"/>
  <c r="T76" i="2"/>
  <c r="N76" i="2"/>
  <c r="X76" i="2"/>
  <c r="AD122" i="2"/>
  <c r="AD127" i="2" s="1"/>
  <c r="AY122" i="2"/>
  <c r="AY127" i="2" s="1"/>
  <c r="AX122" i="2"/>
  <c r="AX127" i="2" s="1"/>
  <c r="AX168" i="2" s="1"/>
  <c r="AX184" i="2" s="1"/>
  <c r="AJ122" i="2"/>
  <c r="AJ127" i="2" s="1"/>
  <c r="AJ168" i="2" s="1"/>
  <c r="AF122" i="2"/>
  <c r="AF127" i="2" s="1"/>
  <c r="AF168" i="2" s="1"/>
  <c r="AG122" i="2"/>
  <c r="AG127" i="2" s="1"/>
  <c r="AU122" i="2"/>
  <c r="AU127" i="2" s="1"/>
  <c r="AU168" i="2" s="1"/>
  <c r="AU184" i="2" s="1"/>
  <c r="AQ122" i="2"/>
  <c r="AQ127" i="2" s="1"/>
  <c r="AQ168" i="2" s="1"/>
  <c r="AN122" i="2"/>
  <c r="AN127" i="2" s="1"/>
  <c r="AN168" i="2" s="1"/>
  <c r="AE122" i="2"/>
  <c r="AE127" i="2" s="1"/>
  <c r="AE168" i="2" s="1"/>
  <c r="AV122" i="2"/>
  <c r="AV127" i="2" s="1"/>
  <c r="AV168" i="2" s="1"/>
  <c r="AI122" i="2"/>
  <c r="AI127" i="2" s="1"/>
  <c r="AT122" i="2"/>
  <c r="AT127" i="2" s="1"/>
  <c r="AT168" i="2" s="1"/>
  <c r="AK122" i="2"/>
  <c r="AK127" i="2" s="1"/>
  <c r="AK168" i="2" s="1"/>
  <c r="AK184" i="2" s="1"/>
  <c r="AW122" i="2"/>
  <c r="AW127" i="2" s="1"/>
  <c r="AW168" i="2" s="1"/>
  <c r="AL122" i="2"/>
  <c r="AL127" i="2" s="1"/>
  <c r="AL168" i="2" s="1"/>
  <c r="AR122" i="2"/>
  <c r="AR127" i="2" s="1"/>
  <c r="AR168" i="2" s="1"/>
  <c r="AS122" i="2"/>
  <c r="AS127" i="2" s="1"/>
  <c r="AS168" i="2" s="1"/>
  <c r="AO122" i="2"/>
  <c r="AO127" i="2" s="1"/>
  <c r="AO168" i="2" s="1"/>
  <c r="AB122" i="2"/>
  <c r="AB127" i="2" s="1"/>
  <c r="AB168" i="2" s="1"/>
  <c r="AP122" i="2"/>
  <c r="AP127" i="2" s="1"/>
  <c r="AH122" i="2"/>
  <c r="AH127" i="2" s="1"/>
  <c r="AH168" i="2" s="1"/>
  <c r="AC122" i="2"/>
  <c r="AC127" i="2" s="1"/>
  <c r="AC168" i="2" s="1"/>
  <c r="AM122" i="2"/>
  <c r="AM127" i="2" s="1"/>
  <c r="AM168" i="2" s="1"/>
  <c r="AM184" i="2" s="1"/>
  <c r="AW64" i="10"/>
  <c r="AW77" i="10" s="1"/>
  <c r="AW79" i="10" s="1"/>
  <c r="AJ64" i="10"/>
  <c r="AJ77" i="10" s="1"/>
  <c r="AJ79" i="10" s="1"/>
  <c r="Q64" i="10"/>
  <c r="Q77" i="10" s="1"/>
  <c r="Q79" i="10" s="1"/>
  <c r="M85" i="10"/>
  <c r="M40" i="10"/>
  <c r="I85" i="10"/>
  <c r="I40" i="10"/>
  <c r="AS85" i="10"/>
  <c r="AS40" i="10"/>
  <c r="O40" i="10"/>
  <c r="O85" i="10"/>
  <c r="T85" i="10"/>
  <c r="T40" i="10"/>
  <c r="H40" i="10"/>
  <c r="H85" i="10"/>
  <c r="AI85" i="10"/>
  <c r="AI40" i="10"/>
  <c r="L40" i="10"/>
  <c r="L85" i="10"/>
  <c r="AF40" i="10"/>
  <c r="AF85" i="10"/>
  <c r="J85" i="10"/>
  <c r="J40" i="10"/>
  <c r="AD85" i="10"/>
  <c r="AD40" i="10"/>
  <c r="AA85" i="10"/>
  <c r="AA40" i="10"/>
  <c r="U85" i="10"/>
  <c r="U40" i="10"/>
  <c r="X40" i="10"/>
  <c r="X85" i="10"/>
  <c r="W40" i="10"/>
  <c r="W85" i="10"/>
  <c r="AE40" i="10"/>
  <c r="AE85" i="10"/>
  <c r="AN40" i="10"/>
  <c r="AN85" i="10"/>
  <c r="R85" i="10"/>
  <c r="R40" i="10"/>
  <c r="AL40" i="10"/>
  <c r="AL85" i="10"/>
  <c r="Y85" i="10"/>
  <c r="Y40" i="10"/>
  <c r="C85" i="10"/>
  <c r="C40" i="10"/>
  <c r="F85" i="10"/>
  <c r="F40" i="10"/>
  <c r="AU40" i="10"/>
  <c r="AU85" i="10"/>
  <c r="S85" i="10"/>
  <c r="S40" i="10"/>
  <c r="AJ40" i="10"/>
  <c r="AJ85" i="10"/>
  <c r="E85" i="10"/>
  <c r="E40" i="10"/>
  <c r="AX85" i="10"/>
  <c r="AX40" i="10"/>
  <c r="AM40" i="10"/>
  <c r="AM85" i="10"/>
  <c r="AQ85" i="10"/>
  <c r="AQ40" i="10"/>
  <c r="V85" i="10"/>
  <c r="V40" i="10"/>
  <c r="Q85" i="10"/>
  <c r="Q40" i="10"/>
  <c r="AH85" i="10"/>
  <c r="AH40" i="10"/>
  <c r="K85" i="10"/>
  <c r="K40" i="10"/>
  <c r="G40" i="10"/>
  <c r="G85" i="10"/>
  <c r="AY85" i="10"/>
  <c r="AY40" i="10"/>
  <c r="Y64" i="10"/>
  <c r="Y77" i="10" s="1"/>
  <c r="Y79" i="10" s="1"/>
  <c r="AB40" i="10"/>
  <c r="AB85" i="10"/>
  <c r="P40" i="10"/>
  <c r="P85" i="10"/>
  <c r="AR85" i="10"/>
  <c r="AR40" i="10"/>
  <c r="N85" i="10"/>
  <c r="N40" i="10"/>
  <c r="P64" i="10"/>
  <c r="P77" i="10" s="1"/>
  <c r="P79" i="10" s="1"/>
  <c r="O64" i="10"/>
  <c r="O77" i="10" s="1"/>
  <c r="O79" i="10" s="1"/>
  <c r="AK85" i="10"/>
  <c r="AK40" i="10"/>
  <c r="Z85" i="10"/>
  <c r="Z40" i="10"/>
  <c r="AT85" i="10"/>
  <c r="AT40" i="10"/>
  <c r="D40" i="10"/>
  <c r="D85" i="10"/>
  <c r="AP85" i="10"/>
  <c r="AP40" i="10"/>
  <c r="AC85" i="10"/>
  <c r="AC40" i="10"/>
  <c r="AI64" i="10"/>
  <c r="AI77" i="10" s="1"/>
  <c r="AI79" i="10" s="1"/>
  <c r="AD64" i="10"/>
  <c r="AD77" i="10" s="1"/>
  <c r="AD79" i="10" s="1"/>
  <c r="G64" i="10"/>
  <c r="G77" i="10" s="1"/>
  <c r="G79" i="10" s="1"/>
  <c r="AO64" i="10"/>
  <c r="AO77" i="10" s="1"/>
  <c r="AO79" i="10" s="1"/>
  <c r="AU64" i="10"/>
  <c r="AU77" i="10" s="1"/>
  <c r="AU79" i="10" s="1"/>
  <c r="AH64" i="10"/>
  <c r="AH77" i="10" s="1"/>
  <c r="AH79" i="10" s="1"/>
  <c r="AC64" i="10"/>
  <c r="AC77" i="10" s="1"/>
  <c r="AC79" i="10" s="1"/>
  <c r="U64" i="10"/>
  <c r="U77" i="10" s="1"/>
  <c r="U79" i="10" s="1"/>
  <c r="W64" i="10"/>
  <c r="W77" i="10" s="1"/>
  <c r="W79" i="10" s="1"/>
  <c r="AP64" i="10"/>
  <c r="AP77" i="10" s="1"/>
  <c r="AP79" i="10" s="1"/>
  <c r="AT64" i="10"/>
  <c r="AT77" i="10" s="1"/>
  <c r="AT79" i="10" s="1"/>
  <c r="J64" i="10"/>
  <c r="J77" i="10" s="1"/>
  <c r="J79" i="10" s="1"/>
  <c r="AL64" i="10"/>
  <c r="AL77" i="10" s="1"/>
  <c r="AL79" i="10" s="1"/>
  <c r="AM64" i="10"/>
  <c r="AM77" i="10" s="1"/>
  <c r="AM79" i="10" s="1"/>
  <c r="AQ64" i="10"/>
  <c r="AQ77" i="10" s="1"/>
  <c r="AQ79" i="10" s="1"/>
  <c r="AG64" i="10"/>
  <c r="AG77" i="10" s="1"/>
  <c r="AG79" i="10" s="1"/>
  <c r="AA64" i="10"/>
  <c r="AA77" i="10" s="1"/>
  <c r="AA79" i="10" s="1"/>
  <c r="K64" i="10"/>
  <c r="K77" i="10" s="1"/>
  <c r="K79" i="10" s="1"/>
  <c r="M64" i="10"/>
  <c r="M77" i="10" s="1"/>
  <c r="M79" i="10" s="1"/>
  <c r="AS64" i="10"/>
  <c r="AS77" i="10" s="1"/>
  <c r="AS79" i="10" s="1"/>
  <c r="Z64" i="10"/>
  <c r="Z77" i="10" s="1"/>
  <c r="Z79" i="10" s="1"/>
  <c r="AN64" i="10"/>
  <c r="AN77" i="10" s="1"/>
  <c r="AN79" i="10" s="1"/>
  <c r="X64" i="10"/>
  <c r="X77" i="10" s="1"/>
  <c r="X79" i="10" s="1"/>
  <c r="AR64" i="10"/>
  <c r="AR77" i="10" s="1"/>
  <c r="AR79" i="10" s="1"/>
  <c r="AK64" i="10"/>
  <c r="AK77" i="10" s="1"/>
  <c r="AK79" i="10" s="1"/>
  <c r="AF64" i="10"/>
  <c r="AF77" i="10" s="1"/>
  <c r="AF79" i="10" s="1"/>
  <c r="R64" i="10"/>
  <c r="R77" i="10" s="1"/>
  <c r="R79" i="10" s="1"/>
  <c r="AE64" i="10"/>
  <c r="AE77" i="10" s="1"/>
  <c r="AE79" i="10" s="1"/>
  <c r="V64" i="10"/>
  <c r="V77" i="10" s="1"/>
  <c r="V79" i="10" s="1"/>
  <c r="AV64" i="10"/>
  <c r="AV77" i="10" s="1"/>
  <c r="AV79" i="10" s="1"/>
  <c r="AB64" i="10"/>
  <c r="D64" i="10"/>
  <c r="H64" i="10"/>
  <c r="H77" i="10" s="1"/>
  <c r="H79" i="10" s="1"/>
  <c r="I64" i="10"/>
  <c r="I77" i="10" s="1"/>
  <c r="I79" i="10" s="1"/>
  <c r="S64" i="10"/>
  <c r="S77" i="10" s="1"/>
  <c r="S79" i="10" s="1"/>
  <c r="T42" i="2"/>
  <c r="T46" i="2" s="1"/>
  <c r="T47" i="2" s="1"/>
  <c r="T79" i="2" s="1"/>
  <c r="P76" i="2"/>
  <c r="U42" i="2"/>
  <c r="U46" i="2" s="1"/>
  <c r="U47" i="2" s="1"/>
  <c r="U79" i="2" s="1"/>
  <c r="E42" i="2"/>
  <c r="O42" i="2"/>
  <c r="N42" i="2"/>
  <c r="V42" i="2"/>
  <c r="V46" i="2" s="1"/>
  <c r="V47" i="2" s="1"/>
  <c r="V79" i="2" s="1"/>
  <c r="Q42" i="2"/>
  <c r="F57" i="2"/>
  <c r="L42" i="2"/>
  <c r="M42" i="2"/>
  <c r="H42" i="2"/>
  <c r="P42" i="2"/>
  <c r="D57" i="2"/>
  <c r="I57" i="2"/>
  <c r="Z42" i="2"/>
  <c r="Z46" i="2" s="1"/>
  <c r="Z47" i="2" s="1"/>
  <c r="Z79" i="2" s="1"/>
  <c r="S42" i="2"/>
  <c r="S46" i="2" s="1"/>
  <c r="S47" i="2" s="1"/>
  <c r="S79" i="2" s="1"/>
  <c r="G57" i="2"/>
  <c r="Y42" i="2"/>
  <c r="Y46" i="2" s="1"/>
  <c r="Y47" i="2" s="1"/>
  <c r="Y79" i="2" s="1"/>
  <c r="R42" i="2"/>
  <c r="R46" i="2" s="1"/>
  <c r="R47" i="2" s="1"/>
  <c r="R79" i="2" s="1"/>
  <c r="H57" i="2"/>
  <c r="G42" i="2"/>
  <c r="E57" i="2"/>
  <c r="J42" i="2"/>
  <c r="D42" i="2"/>
  <c r="X42" i="2"/>
  <c r="X46" i="2" s="1"/>
  <c r="X47" i="2" s="1"/>
  <c r="X79" i="2" s="1"/>
  <c r="K42" i="2"/>
  <c r="W42" i="2"/>
  <c r="W46" i="2" s="1"/>
  <c r="W47" i="2" s="1"/>
  <c r="W79" i="2" s="1"/>
  <c r="I42" i="2"/>
  <c r="F42" i="2"/>
  <c r="C37" i="10"/>
  <c r="AO85" i="10"/>
  <c r="AG85" i="10"/>
  <c r="AV40" i="10"/>
  <c r="AW85" i="10"/>
  <c r="AT83" i="2" l="1"/>
  <c r="AT92" i="2" s="1"/>
  <c r="AT94" i="2" s="1"/>
  <c r="AT149" i="2" s="1"/>
  <c r="AT162" i="2" s="1"/>
  <c r="AT164" i="2" s="1"/>
  <c r="AQ83" i="2"/>
  <c r="AQ92" i="2" s="1"/>
  <c r="AQ94" i="2" s="1"/>
  <c r="AQ149" i="2" s="1"/>
  <c r="AQ162" i="2" s="1"/>
  <c r="AQ164" i="2" s="1"/>
  <c r="AD83" i="2"/>
  <c r="AD92" i="2" s="1"/>
  <c r="AD94" i="2" s="1"/>
  <c r="AD149" i="2" s="1"/>
  <c r="AD162" i="2" s="1"/>
  <c r="AD164" i="2" s="1"/>
  <c r="AF83" i="2"/>
  <c r="AF92" i="2" s="1"/>
  <c r="AF94" i="2" s="1"/>
  <c r="AF149" i="2" s="1"/>
  <c r="AF162" i="2" s="1"/>
  <c r="AF164" i="2" s="1"/>
  <c r="AY83" i="2"/>
  <c r="AY92" i="2" s="1"/>
  <c r="AY94" i="2" s="1"/>
  <c r="AY149" i="2" s="1"/>
  <c r="AY162" i="2" s="1"/>
  <c r="AY164" i="2" s="1"/>
  <c r="AU83" i="2"/>
  <c r="AU92" i="2" s="1"/>
  <c r="AU94" i="2" s="1"/>
  <c r="AU149" i="2" s="1"/>
  <c r="AU162" i="2" s="1"/>
  <c r="AU164" i="2" s="1"/>
  <c r="AU186" i="2" s="1"/>
  <c r="AX83" i="2"/>
  <c r="AX92" i="2" s="1"/>
  <c r="AX94" i="2" s="1"/>
  <c r="AX149" i="2" s="1"/>
  <c r="AX162" i="2" s="1"/>
  <c r="AX164" i="2" s="1"/>
  <c r="AX186" i="2" s="1"/>
  <c r="AC83" i="2"/>
  <c r="AC92" i="2" s="1"/>
  <c r="AC94" i="2" s="1"/>
  <c r="AC149" i="2" s="1"/>
  <c r="AC162" i="2" s="1"/>
  <c r="AC164" i="2" s="1"/>
  <c r="AK83" i="2"/>
  <c r="AK92" i="2" s="1"/>
  <c r="AK94" i="2" s="1"/>
  <c r="AK149" i="2" s="1"/>
  <c r="AK162" i="2" s="1"/>
  <c r="AK164" i="2" s="1"/>
  <c r="AK186" i="2" s="1"/>
  <c r="AJ83" i="2"/>
  <c r="AJ92" i="2" s="1"/>
  <c r="AJ94" i="2" s="1"/>
  <c r="AJ149" i="2" s="1"/>
  <c r="AJ162" i="2" s="1"/>
  <c r="AJ164" i="2" s="1"/>
  <c r="AB83" i="2"/>
  <c r="AB92" i="2" s="1"/>
  <c r="AB94" i="2" s="1"/>
  <c r="AB149" i="2" s="1"/>
  <c r="AB162" i="2" s="1"/>
  <c r="AB164" i="2" s="1"/>
  <c r="AM83" i="2"/>
  <c r="AM92" i="2" s="1"/>
  <c r="AM94" i="2" s="1"/>
  <c r="AM149" i="2" s="1"/>
  <c r="AM162" i="2" s="1"/>
  <c r="AM164" i="2" s="1"/>
  <c r="AM186" i="2" s="1"/>
  <c r="AH83" i="2"/>
  <c r="AH92" i="2" s="1"/>
  <c r="AH94" i="2" s="1"/>
  <c r="AH149" i="2" s="1"/>
  <c r="AH162" i="2" s="1"/>
  <c r="AH164" i="2" s="1"/>
  <c r="AA179" i="2"/>
  <c r="AA178" i="2" s="1"/>
  <c r="V127" i="2"/>
  <c r="V168" i="2" s="1"/>
  <c r="K127" i="2"/>
  <c r="K168" i="2" s="1"/>
  <c r="B193" i="2"/>
  <c r="AB77" i="10"/>
  <c r="AB79" i="10" s="1"/>
  <c r="B69" i="10"/>
  <c r="G125" i="2"/>
  <c r="G122" i="2"/>
  <c r="D122" i="2"/>
  <c r="D125" i="2"/>
  <c r="M127" i="2"/>
  <c r="M168" i="2" s="1"/>
  <c r="E125" i="2"/>
  <c r="E122" i="2"/>
  <c r="H125" i="2"/>
  <c r="H122" i="2"/>
  <c r="F125" i="2"/>
  <c r="F122" i="2"/>
  <c r="N127" i="2"/>
  <c r="N168" i="2" s="1"/>
  <c r="J127" i="2"/>
  <c r="J168" i="2" s="1"/>
  <c r="I125" i="2"/>
  <c r="I122" i="2"/>
  <c r="B67" i="10"/>
  <c r="B68" i="10" s="1"/>
  <c r="D77" i="10"/>
  <c r="D79" i="10" s="1"/>
  <c r="B99" i="10" s="1"/>
  <c r="C111" i="10"/>
  <c r="D111" i="10"/>
  <c r="B111" i="10"/>
  <c r="C87" i="10"/>
  <c r="C42" i="10"/>
  <c r="AC184" i="2"/>
  <c r="AC188" i="2"/>
  <c r="AA83" i="2"/>
  <c r="AA92" i="2" s="1"/>
  <c r="AA94" i="2" s="1"/>
  <c r="AA170" i="2" s="1"/>
  <c r="W179" i="2"/>
  <c r="W178" i="2" s="1"/>
  <c r="W81" i="2"/>
  <c r="W83" i="2" s="1"/>
  <c r="W92" i="2" s="1"/>
  <c r="W94" i="2" s="1"/>
  <c r="Y179" i="2"/>
  <c r="Y178" i="2" s="1"/>
  <c r="Y81" i="2"/>
  <c r="Y83" i="2" s="1"/>
  <c r="Y92" i="2" s="1"/>
  <c r="Y94" i="2" s="1"/>
  <c r="Z179" i="2"/>
  <c r="Z178" i="2" s="1"/>
  <c r="Z81" i="2"/>
  <c r="Z83" i="2" s="1"/>
  <c r="Z92" i="2" s="1"/>
  <c r="Z94" i="2" s="1"/>
  <c r="Z170" i="2" s="1"/>
  <c r="U81" i="2"/>
  <c r="U83" i="2" s="1"/>
  <c r="U92" i="2" s="1"/>
  <c r="U94" i="2" s="1"/>
  <c r="U179" i="2"/>
  <c r="U178" i="2" s="1"/>
  <c r="X179" i="2"/>
  <c r="X178" i="2" s="1"/>
  <c r="X81" i="2"/>
  <c r="X83" i="2" s="1"/>
  <c r="X92" i="2" s="1"/>
  <c r="X94" i="2" s="1"/>
  <c r="V179" i="2"/>
  <c r="V178" i="2" s="1"/>
  <c r="V81" i="2"/>
  <c r="V83" i="2" s="1"/>
  <c r="V92" i="2" s="1"/>
  <c r="V94" i="2" s="1"/>
  <c r="V170" i="2" s="1"/>
  <c r="S81" i="2"/>
  <c r="S83" i="2" s="1"/>
  <c r="S92" i="2" s="1"/>
  <c r="S94" i="2" s="1"/>
  <c r="S170" i="2" s="1"/>
  <c r="S179" i="2"/>
  <c r="S178" i="2" s="1"/>
  <c r="T179" i="2"/>
  <c r="T178" i="2" s="1"/>
  <c r="T81" i="2"/>
  <c r="T83" i="2" s="1"/>
  <c r="T92" i="2" s="1"/>
  <c r="T94" i="2" s="1"/>
  <c r="T170" i="2" s="1"/>
  <c r="R179" i="2"/>
  <c r="R178" i="2" s="1"/>
  <c r="R81" i="2"/>
  <c r="R83" i="2" s="1"/>
  <c r="R92" i="2" s="1"/>
  <c r="R94" i="2" s="1"/>
  <c r="R170" i="2" s="1"/>
  <c r="AE184" i="2"/>
  <c r="AE186" i="2" s="1"/>
  <c r="AR184" i="2"/>
  <c r="AR186" i="2" s="1"/>
  <c r="AW184" i="2"/>
  <c r="AW186" i="2" s="1"/>
  <c r="AQ184" i="2"/>
  <c r="AJ184" i="2"/>
  <c r="AB184" i="2"/>
  <c r="AH184" i="2"/>
  <c r="AS184" i="2"/>
  <c r="AS186" i="2" s="1"/>
  <c r="AT184" i="2"/>
  <c r="AV184" i="2"/>
  <c r="AV186" i="2" s="1"/>
  <c r="AO184" i="2"/>
  <c r="AO186" i="2" s="1"/>
  <c r="AL184" i="2"/>
  <c r="AL186" i="2" s="1"/>
  <c r="AN184" i="2"/>
  <c r="AN186" i="2" s="1"/>
  <c r="AF184" i="2"/>
  <c r="AD168" i="2"/>
  <c r="S149" i="2"/>
  <c r="S162" i="2" s="1"/>
  <c r="S164" i="2" s="1"/>
  <c r="AY168" i="2"/>
  <c r="AG168" i="2"/>
  <c r="AP168" i="2"/>
  <c r="AA149" i="2"/>
  <c r="AA162" i="2" s="1"/>
  <c r="AA164" i="2" s="1"/>
  <c r="V149" i="2"/>
  <c r="V162" i="2" s="1"/>
  <c r="V164" i="2" s="1"/>
  <c r="T149" i="2"/>
  <c r="T162" i="2" s="1"/>
  <c r="T164" i="2" s="1"/>
  <c r="Z149" i="2"/>
  <c r="Z162" i="2" s="1"/>
  <c r="Z164" i="2" s="1"/>
  <c r="R149" i="2"/>
  <c r="R162" i="2" s="1"/>
  <c r="R164" i="2" s="1"/>
  <c r="AI168" i="2"/>
  <c r="AW40" i="10"/>
  <c r="AW87" i="10" s="1"/>
  <c r="B85" i="10"/>
  <c r="B87" i="10" s="1"/>
  <c r="B40" i="10"/>
  <c r="AV85" i="10"/>
  <c r="AO40" i="10"/>
  <c r="AO87" i="10" s="1"/>
  <c r="AG40" i="10"/>
  <c r="AG87" i="10" s="1"/>
  <c r="AJ87" i="10"/>
  <c r="H87" i="10"/>
  <c r="AB87" i="10"/>
  <c r="V87" i="10"/>
  <c r="AA87" i="10"/>
  <c r="E87" i="10"/>
  <c r="L87" i="10"/>
  <c r="J87" i="10"/>
  <c r="K87" i="10"/>
  <c r="T87" i="10"/>
  <c r="Y87" i="10"/>
  <c r="AQ87" i="10"/>
  <c r="AM87" i="10"/>
  <c r="S87" i="10"/>
  <c r="AI87" i="10"/>
  <c r="M87" i="10"/>
  <c r="AC87" i="10"/>
  <c r="AS87" i="10"/>
  <c r="G87" i="10"/>
  <c r="R87" i="10"/>
  <c r="X87" i="10"/>
  <c r="W87" i="10"/>
  <c r="O87" i="10"/>
  <c r="AD87" i="10"/>
  <c r="Z87" i="10"/>
  <c r="AE87" i="10"/>
  <c r="AP87" i="10"/>
  <c r="F87" i="10"/>
  <c r="AT87" i="10"/>
  <c r="AH87" i="10"/>
  <c r="I87" i="10"/>
  <c r="N87" i="10"/>
  <c r="AV87" i="10"/>
  <c r="D87" i="10"/>
  <c r="AR87" i="10"/>
  <c r="AX87" i="10"/>
  <c r="AN87" i="10"/>
  <c r="AY87" i="10"/>
  <c r="AU87" i="10"/>
  <c r="AK87" i="10"/>
  <c r="P87" i="10"/>
  <c r="Q87" i="10"/>
  <c r="U87" i="10"/>
  <c r="AL87" i="10"/>
  <c r="AF87" i="10"/>
  <c r="AB37" i="10"/>
  <c r="AB42" i="10" s="1"/>
  <c r="AJ37" i="10"/>
  <c r="AJ42" i="10" s="1"/>
  <c r="AP37" i="10"/>
  <c r="AP42" i="10" s="1"/>
  <c r="AC37" i="10"/>
  <c r="AC42" i="10" s="1"/>
  <c r="B37" i="10"/>
  <c r="O37" i="10"/>
  <c r="O42" i="10" s="1"/>
  <c r="AX37" i="10"/>
  <c r="AX42" i="10" s="1"/>
  <c r="S37" i="10"/>
  <c r="S42" i="10" s="1"/>
  <c r="X37" i="10"/>
  <c r="X42" i="10" s="1"/>
  <c r="V37" i="10"/>
  <c r="V42" i="10" s="1"/>
  <c r="AD37" i="10"/>
  <c r="AD42" i="10" s="1"/>
  <c r="AL37" i="10"/>
  <c r="AL42" i="10" s="1"/>
  <c r="AF37" i="10"/>
  <c r="AF42" i="10" s="1"/>
  <c r="I37" i="10"/>
  <c r="I42" i="10" s="1"/>
  <c r="N37" i="10"/>
  <c r="N42" i="10" s="1"/>
  <c r="AQ37" i="10"/>
  <c r="AQ42" i="10" s="1"/>
  <c r="F37" i="10"/>
  <c r="F42" i="10" s="1"/>
  <c r="L37" i="10"/>
  <c r="L42" i="10" s="1"/>
  <c r="D37" i="10"/>
  <c r="D42" i="10" s="1"/>
  <c r="AU37" i="10"/>
  <c r="AU42" i="10" s="1"/>
  <c r="AA37" i="10"/>
  <c r="AA42" i="10" s="1"/>
  <c r="K37" i="10"/>
  <c r="K42" i="10" s="1"/>
  <c r="Y37" i="10"/>
  <c r="Y42" i="10" s="1"/>
  <c r="AI37" i="10"/>
  <c r="AI42" i="10" s="1"/>
  <c r="E37" i="10"/>
  <c r="E42" i="10" s="1"/>
  <c r="AR37" i="10"/>
  <c r="AR42" i="10" s="1"/>
  <c r="W37" i="10"/>
  <c r="W42" i="10" s="1"/>
  <c r="AT37" i="10"/>
  <c r="AT42" i="10" s="1"/>
  <c r="AS37" i="10"/>
  <c r="AS42" i="10" s="1"/>
  <c r="AK37" i="10"/>
  <c r="AK42" i="10" s="1"/>
  <c r="U37" i="10"/>
  <c r="U42" i="10" s="1"/>
  <c r="T37" i="10"/>
  <c r="T42" i="10" s="1"/>
  <c r="J37" i="10"/>
  <c r="J42" i="10" s="1"/>
  <c r="P37" i="10"/>
  <c r="P42" i="10" s="1"/>
  <c r="H37" i="10"/>
  <c r="H42" i="10" s="1"/>
  <c r="Q37" i="10"/>
  <c r="Q42" i="10" s="1"/>
  <c r="Z37" i="10"/>
  <c r="Z42" i="10" s="1"/>
  <c r="AE37" i="10"/>
  <c r="AE42" i="10" s="1"/>
  <c r="R37" i="10"/>
  <c r="R42" i="10" s="1"/>
  <c r="AN37" i="10"/>
  <c r="AN42" i="10" s="1"/>
  <c r="AY37" i="10"/>
  <c r="AY42" i="10" s="1"/>
  <c r="AM37" i="10"/>
  <c r="AM42" i="10" s="1"/>
  <c r="M37" i="10"/>
  <c r="M42" i="10" s="1"/>
  <c r="G37" i="10"/>
  <c r="G42" i="10" s="1"/>
  <c r="AH37" i="10"/>
  <c r="AH42" i="10" s="1"/>
  <c r="B83" i="2"/>
  <c r="AG37" i="10"/>
  <c r="AW37" i="10"/>
  <c r="AV37" i="10"/>
  <c r="AV42" i="10" s="1"/>
  <c r="AO37" i="10"/>
  <c r="AT186" i="2" l="1"/>
  <c r="AQ186" i="2"/>
  <c r="AF186" i="2"/>
  <c r="AJ186" i="2"/>
  <c r="AB186" i="2"/>
  <c r="AH186" i="2"/>
  <c r="B99" i="2"/>
  <c r="B154" i="2"/>
  <c r="AA184" i="2"/>
  <c r="AA186" i="2" s="1"/>
  <c r="AO42" i="10"/>
  <c r="AO94" i="10" s="1"/>
  <c r="AO96" i="10" s="1"/>
  <c r="M94" i="10"/>
  <c r="M96" i="10" s="1"/>
  <c r="AC186" i="2"/>
  <c r="D94" i="10"/>
  <c r="D96" i="10" s="1"/>
  <c r="AM94" i="10"/>
  <c r="AM96" i="10" s="1"/>
  <c r="AD94" i="10"/>
  <c r="AD96" i="10" s="1"/>
  <c r="F127" i="2"/>
  <c r="F168" i="2" s="1"/>
  <c r="D127" i="2"/>
  <c r="D168" i="2" s="1"/>
  <c r="H127" i="2"/>
  <c r="H168" i="2" s="1"/>
  <c r="AG42" i="10"/>
  <c r="AG94" i="10" s="1"/>
  <c r="AG96" i="10" s="1"/>
  <c r="I127" i="2"/>
  <c r="I168" i="2" s="1"/>
  <c r="E127" i="2"/>
  <c r="E168" i="2" s="1"/>
  <c r="G127" i="2"/>
  <c r="B103" i="10"/>
  <c r="B102" i="10"/>
  <c r="V184" i="2"/>
  <c r="V186" i="2" s="1"/>
  <c r="AP94" i="10"/>
  <c r="AP96" i="10" s="1"/>
  <c r="Z94" i="10"/>
  <c r="Z96" i="10" s="1"/>
  <c r="H94" i="10"/>
  <c r="H96" i="10" s="1"/>
  <c r="AW42" i="10"/>
  <c r="AW94" i="10" s="1"/>
  <c r="AW96" i="10" s="1"/>
  <c r="AE94" i="10"/>
  <c r="AE96" i="10" s="1"/>
  <c r="AK94" i="10"/>
  <c r="AK96" i="10" s="1"/>
  <c r="T94" i="10"/>
  <c r="T96" i="10" s="1"/>
  <c r="AS94" i="10"/>
  <c r="AS96" i="10" s="1"/>
  <c r="Z184" i="2"/>
  <c r="Z186" i="2" s="1"/>
  <c r="T184" i="2"/>
  <c r="T186" i="2" s="1"/>
  <c r="R184" i="2"/>
  <c r="R186" i="2" s="1"/>
  <c r="S184" i="2"/>
  <c r="S186" i="2" s="1"/>
  <c r="AP184" i="2"/>
  <c r="AP186" i="2" s="1"/>
  <c r="AG184" i="2"/>
  <c r="AG186" i="2" s="1"/>
  <c r="AY184" i="2"/>
  <c r="AY186" i="2" s="1"/>
  <c r="AI184" i="2"/>
  <c r="AI186" i="2" s="1"/>
  <c r="AD184" i="2"/>
  <c r="AD186" i="2" s="1"/>
  <c r="W149" i="2"/>
  <c r="W162" i="2" s="1"/>
  <c r="W164" i="2" s="1"/>
  <c r="W170" i="2"/>
  <c r="W184" i="2" s="1"/>
  <c r="X149" i="2"/>
  <c r="X162" i="2" s="1"/>
  <c r="X164" i="2" s="1"/>
  <c r="X170" i="2"/>
  <c r="X184" i="2" s="1"/>
  <c r="Y149" i="2"/>
  <c r="Y162" i="2" s="1"/>
  <c r="Y164" i="2" s="1"/>
  <c r="Y170" i="2"/>
  <c r="Y184" i="2" s="1"/>
  <c r="U149" i="2"/>
  <c r="U162" i="2" s="1"/>
  <c r="U164" i="2" s="1"/>
  <c r="U170" i="2"/>
  <c r="U184" i="2" s="1"/>
  <c r="R94" i="10"/>
  <c r="R96" i="10" s="1"/>
  <c r="AR94" i="10"/>
  <c r="AR96" i="10" s="1"/>
  <c r="V94" i="10"/>
  <c r="V96" i="10" s="1"/>
  <c r="F94" i="10"/>
  <c r="F96" i="10" s="1"/>
  <c r="AB94" i="10"/>
  <c r="AB96" i="10" s="1"/>
  <c r="P94" i="10"/>
  <c r="P96" i="10" s="1"/>
  <c r="I94" i="10"/>
  <c r="I96" i="10" s="1"/>
  <c r="AV94" i="10"/>
  <c r="AV96" i="10" s="1"/>
  <c r="B42" i="10"/>
  <c r="B94" i="10" s="1"/>
  <c r="B96" i="10" s="1"/>
  <c r="AU94" i="10"/>
  <c r="AU96" i="10" s="1"/>
  <c r="AC94" i="10"/>
  <c r="AC96" i="10" s="1"/>
  <c r="Q94" i="10"/>
  <c r="Q96" i="10" s="1"/>
  <c r="N94" i="10"/>
  <c r="N96" i="10" s="1"/>
  <c r="U94" i="10"/>
  <c r="U96" i="10" s="1"/>
  <c r="X94" i="10"/>
  <c r="X96" i="10" s="1"/>
  <c r="L94" i="10"/>
  <c r="L96" i="10" s="1"/>
  <c r="Y94" i="10"/>
  <c r="Y96" i="10" s="1"/>
  <c r="K94" i="10"/>
  <c r="K96" i="10" s="1"/>
  <c r="O94" i="10"/>
  <c r="O96" i="10" s="1"/>
  <c r="AY94" i="10"/>
  <c r="AY96" i="10" s="1"/>
  <c r="AA94" i="10"/>
  <c r="AA96" i="10" s="1"/>
  <c r="AF94" i="10"/>
  <c r="AF96" i="10" s="1"/>
  <c r="AJ94" i="10"/>
  <c r="AJ96" i="10" s="1"/>
  <c r="AH94" i="10"/>
  <c r="AH96" i="10" s="1"/>
  <c r="G94" i="10"/>
  <c r="G96" i="10" s="1"/>
  <c r="AI94" i="10"/>
  <c r="AI96" i="10" s="1"/>
  <c r="AQ94" i="10"/>
  <c r="AQ96" i="10" s="1"/>
  <c r="J94" i="10"/>
  <c r="J96" i="10" s="1"/>
  <c r="AN94" i="10"/>
  <c r="AN96" i="10" s="1"/>
  <c r="AT94" i="10"/>
  <c r="AT96" i="10" s="1"/>
  <c r="AL94" i="10"/>
  <c r="AL96" i="10" s="1"/>
  <c r="W94" i="10"/>
  <c r="W96" i="10" s="1"/>
  <c r="S94" i="10"/>
  <c r="S96" i="10" s="1"/>
  <c r="AX94" i="10"/>
  <c r="AX96" i="10" s="1"/>
  <c r="E94" i="10"/>
  <c r="E96" i="10" s="1"/>
  <c r="B92" i="2"/>
  <c r="B12" i="2"/>
  <c r="B176" i="2" s="1"/>
  <c r="C6" i="2"/>
  <c r="G168" i="2" l="1"/>
  <c r="B191" i="2" s="1"/>
  <c r="C204" i="2"/>
  <c r="B204" i="2"/>
  <c r="B130" i="2"/>
  <c r="B131" i="2" s="1"/>
  <c r="D204" i="2"/>
  <c r="C94" i="10"/>
  <c r="C96" i="10" s="1"/>
  <c r="B101" i="10"/>
  <c r="B100" i="10" s="1"/>
  <c r="D110" i="10"/>
  <c r="C110" i="10"/>
  <c r="B110" i="10"/>
  <c r="B45" i="10"/>
  <c r="B46" i="10" s="1"/>
  <c r="X186" i="2"/>
  <c r="W186" i="2"/>
  <c r="U186" i="2"/>
  <c r="Y186" i="2"/>
  <c r="B93" i="2"/>
  <c r="B94" i="2" s="1"/>
  <c r="B170" i="2" s="1"/>
  <c r="B184" i="2" s="1"/>
  <c r="B186" i="2" s="1"/>
  <c r="P91" i="2"/>
  <c r="P159" i="2" s="1"/>
  <c r="L91" i="2"/>
  <c r="L159" i="2" s="1"/>
  <c r="N91" i="2"/>
  <c r="N159" i="2" s="1"/>
  <c r="O91" i="2"/>
  <c r="O159" i="2" s="1"/>
  <c r="M91" i="2"/>
  <c r="M159" i="2" s="1"/>
  <c r="J91" i="2"/>
  <c r="J159" i="2" s="1"/>
  <c r="K91" i="2"/>
  <c r="K159" i="2" s="1"/>
  <c r="I91" i="2"/>
  <c r="I159" i="2" s="1"/>
  <c r="Q91" i="2"/>
  <c r="Q159" i="2" s="1"/>
  <c r="H8" i="2"/>
  <c r="H12" i="2" s="1"/>
  <c r="H176" i="2" s="1"/>
  <c r="P8" i="2"/>
  <c r="P12" i="2" s="1"/>
  <c r="P176" i="2" s="1"/>
  <c r="O8" i="2"/>
  <c r="O12" i="2" s="1"/>
  <c r="O176" i="2" s="1"/>
  <c r="I8" i="2"/>
  <c r="I12" i="2" s="1"/>
  <c r="I176" i="2" s="1"/>
  <c r="Q8" i="2"/>
  <c r="Q12" i="2" s="1"/>
  <c r="Q176" i="2" s="1"/>
  <c r="M8" i="2"/>
  <c r="M12" i="2" s="1"/>
  <c r="M176" i="2" s="1"/>
  <c r="J8" i="2"/>
  <c r="J12" i="2" s="1"/>
  <c r="J176" i="2" s="1"/>
  <c r="C8" i="2"/>
  <c r="K8" i="2"/>
  <c r="K12" i="2" s="1"/>
  <c r="K176" i="2" s="1"/>
  <c r="C7" i="2"/>
  <c r="C10" i="2" s="1"/>
  <c r="C44" i="2" s="1"/>
  <c r="C46" i="2" s="1"/>
  <c r="D8" i="2"/>
  <c r="L8" i="2"/>
  <c r="L12" i="2" s="1"/>
  <c r="L176" i="2" s="1"/>
  <c r="E8" i="2"/>
  <c r="E12" i="2" s="1"/>
  <c r="E176" i="2" s="1"/>
  <c r="F8" i="2"/>
  <c r="F12" i="2" s="1"/>
  <c r="F176" i="2" s="1"/>
  <c r="N8" i="2"/>
  <c r="N12" i="2" s="1"/>
  <c r="N176" i="2" s="1"/>
  <c r="G8" i="2"/>
  <c r="G12" i="2" s="1"/>
  <c r="G176" i="2" s="1"/>
  <c r="B112" i="10" l="1"/>
  <c r="D112" i="10"/>
  <c r="C112" i="10"/>
  <c r="Q93" i="2"/>
  <c r="O93" i="2"/>
  <c r="E93" i="2"/>
  <c r="P93" i="2"/>
  <c r="L93" i="2"/>
  <c r="K93" i="2"/>
  <c r="H93" i="2"/>
  <c r="G93" i="2"/>
  <c r="I93" i="2"/>
  <c r="N93" i="2"/>
  <c r="J93" i="2"/>
  <c r="F93" i="2"/>
  <c r="M93" i="2"/>
  <c r="C11" i="2"/>
  <c r="D6" i="2" s="1"/>
  <c r="D12" i="2"/>
  <c r="D176" i="2" s="1"/>
  <c r="C9" i="2"/>
  <c r="C12" i="2"/>
  <c r="C176" i="2" s="1"/>
  <c r="B194" i="2" l="1"/>
  <c r="C93" i="2"/>
  <c r="D93" i="2"/>
  <c r="D7" i="2"/>
  <c r="D10" i="2" l="1"/>
  <c r="D11" i="2"/>
  <c r="D9" i="2" l="1"/>
  <c r="D44" i="2"/>
  <c r="D46" i="2" s="1"/>
  <c r="D47" i="2" s="1"/>
  <c r="D79" i="2" s="1"/>
  <c r="E6" i="2"/>
  <c r="E7" i="2" s="1"/>
  <c r="D179" i="2" l="1"/>
  <c r="D81" i="2"/>
  <c r="D91" i="2"/>
  <c r="D159" i="2" s="1"/>
  <c r="E11" i="2"/>
  <c r="F6" i="2" s="1"/>
  <c r="E10" i="2"/>
  <c r="D178" i="2" l="1"/>
  <c r="E9" i="2"/>
  <c r="E44" i="2"/>
  <c r="E46" i="2" s="1"/>
  <c r="E47" i="2" s="1"/>
  <c r="E79" i="2" s="1"/>
  <c r="F7" i="2"/>
  <c r="F10" i="2" s="1"/>
  <c r="E179" i="2" l="1"/>
  <c r="E178" i="2" s="1"/>
  <c r="E81" i="2"/>
  <c r="F9" i="2"/>
  <c r="F44" i="2"/>
  <c r="F46" i="2" s="1"/>
  <c r="F47" i="2" s="1"/>
  <c r="F79" i="2" s="1"/>
  <c r="E91" i="2"/>
  <c r="E159" i="2" s="1"/>
  <c r="F91" i="2"/>
  <c r="F159" i="2" s="1"/>
  <c r="F11" i="2"/>
  <c r="F179" i="2" l="1"/>
  <c r="F178" i="2" s="1"/>
  <c r="F81" i="2"/>
  <c r="G6" i="2"/>
  <c r="G7" i="2" l="1"/>
  <c r="G10" i="2" s="1"/>
  <c r="G9" i="2" l="1"/>
  <c r="G44" i="2"/>
  <c r="G46" i="2" s="1"/>
  <c r="G47" i="2" s="1"/>
  <c r="G79" i="2" s="1"/>
  <c r="G11" i="2"/>
  <c r="G179" i="2" l="1"/>
  <c r="G178" i="2" s="1"/>
  <c r="G81" i="2"/>
  <c r="G91" i="2"/>
  <c r="G159" i="2" s="1"/>
  <c r="H6" i="2"/>
  <c r="H7" i="2" l="1"/>
  <c r="H11" i="2" s="1"/>
  <c r="I6" i="2" s="1"/>
  <c r="I7" i="2" l="1"/>
  <c r="I10" i="2" s="1"/>
  <c r="H10" i="2"/>
  <c r="H9" i="2" l="1"/>
  <c r="H44" i="2"/>
  <c r="H46" i="2" s="1"/>
  <c r="H47" i="2" s="1"/>
  <c r="H79" i="2" s="1"/>
  <c r="I9" i="2"/>
  <c r="I44" i="2"/>
  <c r="I46" i="2" s="1"/>
  <c r="I47" i="2" s="1"/>
  <c r="I79" i="2" s="1"/>
  <c r="I11" i="2"/>
  <c r="J6" i="2" s="1"/>
  <c r="J7" i="2" s="1"/>
  <c r="J10" i="2" s="1"/>
  <c r="I179" i="2" l="1"/>
  <c r="I178" i="2" s="1"/>
  <c r="I81" i="2"/>
  <c r="H179" i="2"/>
  <c r="H178" i="2" s="1"/>
  <c r="H81" i="2"/>
  <c r="J9" i="2"/>
  <c r="J44" i="2"/>
  <c r="J46" i="2" s="1"/>
  <c r="J47" i="2" s="1"/>
  <c r="J79" i="2" s="1"/>
  <c r="H91" i="2"/>
  <c r="H159" i="2" s="1"/>
  <c r="J11" i="2"/>
  <c r="K6" i="2" s="1"/>
  <c r="K7" i="2" s="1"/>
  <c r="K10" i="2" s="1"/>
  <c r="J179" i="2" l="1"/>
  <c r="J178" i="2" s="1"/>
  <c r="J81" i="2"/>
  <c r="K9" i="2"/>
  <c r="K44" i="2"/>
  <c r="K46" i="2" s="1"/>
  <c r="K47" i="2" s="1"/>
  <c r="K79" i="2" s="1"/>
  <c r="K11" i="2"/>
  <c r="L6" i="2" s="1"/>
  <c r="L7" i="2" s="1"/>
  <c r="L10" i="2" s="1"/>
  <c r="K179" i="2" l="1"/>
  <c r="K178" i="2" s="1"/>
  <c r="K81" i="2"/>
  <c r="L9" i="2"/>
  <c r="L44" i="2"/>
  <c r="L46" i="2" s="1"/>
  <c r="L47" i="2" s="1"/>
  <c r="L79" i="2" s="1"/>
  <c r="L11" i="2"/>
  <c r="M6" i="2" s="1"/>
  <c r="M7" i="2" s="1"/>
  <c r="M10" i="2" s="1"/>
  <c r="L179" i="2" l="1"/>
  <c r="L178" i="2" s="1"/>
  <c r="L81" i="2"/>
  <c r="M9" i="2"/>
  <c r="M44" i="2"/>
  <c r="M46" i="2" s="1"/>
  <c r="M47" i="2" s="1"/>
  <c r="M79" i="2" s="1"/>
  <c r="M11" i="2"/>
  <c r="N6" i="2" s="1"/>
  <c r="N7" i="2" s="1"/>
  <c r="N10" i="2" s="1"/>
  <c r="M81" i="2" l="1"/>
  <c r="M179" i="2"/>
  <c r="M178" i="2" s="1"/>
  <c r="N9" i="2"/>
  <c r="N44" i="2"/>
  <c r="N46" i="2" s="1"/>
  <c r="N47" i="2" s="1"/>
  <c r="N79" i="2" s="1"/>
  <c r="N11" i="2"/>
  <c r="O6" i="2" s="1"/>
  <c r="N179" i="2" l="1"/>
  <c r="N178" i="2" s="1"/>
  <c r="N81" i="2"/>
  <c r="O7" i="2"/>
  <c r="O10" i="2" s="1"/>
  <c r="O9" i="2" l="1"/>
  <c r="O44" i="2"/>
  <c r="O46" i="2" s="1"/>
  <c r="O47" i="2" s="1"/>
  <c r="O79" i="2" s="1"/>
  <c r="O11" i="2"/>
  <c r="P6" i="2" s="1"/>
  <c r="P7" i="2" s="1"/>
  <c r="P10" i="2" s="1"/>
  <c r="O179" i="2" l="1"/>
  <c r="O178" i="2" s="1"/>
  <c r="O81" i="2"/>
  <c r="P9" i="2"/>
  <c r="P44" i="2"/>
  <c r="P46" i="2" s="1"/>
  <c r="P47" i="2" s="1"/>
  <c r="P79" i="2" s="1"/>
  <c r="P11" i="2"/>
  <c r="Q6" i="2" s="1"/>
  <c r="Q7" i="2" s="1"/>
  <c r="Q10" i="2" s="1"/>
  <c r="P179" i="2" l="1"/>
  <c r="P178" i="2" s="1"/>
  <c r="P81" i="2"/>
  <c r="O83" i="2"/>
  <c r="Q9" i="2"/>
  <c r="Q44" i="2"/>
  <c r="Q46" i="2" s="1"/>
  <c r="Q47" i="2" s="1"/>
  <c r="Q79" i="2" s="1"/>
  <c r="Q11" i="2"/>
  <c r="Q179" i="2" l="1"/>
  <c r="Q178" i="2" s="1"/>
  <c r="B195" i="2" s="1"/>
  <c r="Q81" i="2"/>
  <c r="P83" i="2"/>
  <c r="Q83" i="2" l="1"/>
  <c r="C83" i="2"/>
  <c r="C92" i="2" l="1"/>
  <c r="C94" i="2" s="1"/>
  <c r="C170" i="2" l="1"/>
  <c r="C184" i="2" s="1"/>
  <c r="D83" i="2"/>
  <c r="C186" i="2" l="1"/>
  <c r="D92" i="2"/>
  <c r="D94" i="2" s="1"/>
  <c r="D170" i="2" l="1"/>
  <c r="D184" i="2" s="1"/>
  <c r="H83" i="2"/>
  <c r="J83" i="2"/>
  <c r="J92" i="2" s="1"/>
  <c r="J94" i="2" s="1"/>
  <c r="P92" i="2"/>
  <c r="P94" i="2" s="1"/>
  <c r="I83" i="2"/>
  <c r="I92" i="2" s="1"/>
  <c r="I94" i="2" s="1"/>
  <c r="L83" i="2"/>
  <c r="L92" i="2" s="1"/>
  <c r="L94" i="2" s="1"/>
  <c r="O92" i="2"/>
  <c r="O94" i="2" s="1"/>
  <c r="K83" i="2"/>
  <c r="N83" i="2"/>
  <c r="F83" i="2"/>
  <c r="F92" i="2" s="1"/>
  <c r="F94" i="2" s="1"/>
  <c r="M83" i="2"/>
  <c r="G83" i="2"/>
  <c r="E83" i="2"/>
  <c r="C202" i="2" l="1"/>
  <c r="B202" i="2"/>
  <c r="D202" i="2"/>
  <c r="D149" i="2"/>
  <c r="O149" i="2"/>
  <c r="O162" i="2" s="1"/>
  <c r="O164" i="2" s="1"/>
  <c r="O170" i="2"/>
  <c r="O184" i="2" s="1"/>
  <c r="J149" i="2"/>
  <c r="J162" i="2" s="1"/>
  <c r="J164" i="2" s="1"/>
  <c r="J170" i="2"/>
  <c r="L149" i="2"/>
  <c r="L162" i="2" s="1"/>
  <c r="L164" i="2" s="1"/>
  <c r="L170" i="2"/>
  <c r="L184" i="2" s="1"/>
  <c r="I149" i="2"/>
  <c r="I162" i="2" s="1"/>
  <c r="I164" i="2" s="1"/>
  <c r="I170" i="2"/>
  <c r="I184" i="2" s="1"/>
  <c r="P149" i="2"/>
  <c r="P162" i="2" s="1"/>
  <c r="P164" i="2" s="1"/>
  <c r="P170" i="2"/>
  <c r="P184" i="2" s="1"/>
  <c r="F149" i="2"/>
  <c r="F162" i="2" s="1"/>
  <c r="F164" i="2" s="1"/>
  <c r="F170" i="2"/>
  <c r="F184" i="2" s="1"/>
  <c r="B86" i="2"/>
  <c r="E92" i="2"/>
  <c r="E94" i="2" s="1"/>
  <c r="G92" i="2"/>
  <c r="G94" i="2" s="1"/>
  <c r="Q92" i="2"/>
  <c r="Q94" i="2" s="1"/>
  <c r="M92" i="2"/>
  <c r="M94" i="2" s="1"/>
  <c r="K92" i="2"/>
  <c r="K94" i="2" s="1"/>
  <c r="N92" i="2"/>
  <c r="N94" i="2" s="1"/>
  <c r="H92" i="2"/>
  <c r="H94" i="2" s="1"/>
  <c r="D162" i="2" l="1"/>
  <c r="D164" i="2" s="1"/>
  <c r="E170" i="2"/>
  <c r="E184" i="2" s="1"/>
  <c r="D203" i="2"/>
  <c r="B203" i="2"/>
  <c r="C203" i="2"/>
  <c r="J184" i="2"/>
  <c r="J186" i="2" s="1"/>
  <c r="I186" i="2"/>
  <c r="F186" i="2"/>
  <c r="L186" i="2"/>
  <c r="P186" i="2"/>
  <c r="O186" i="2"/>
  <c r="G149" i="2"/>
  <c r="G162" i="2" s="1"/>
  <c r="G164" i="2" s="1"/>
  <c r="G170" i="2"/>
  <c r="G184" i="2" s="1"/>
  <c r="H149" i="2"/>
  <c r="H162" i="2" s="1"/>
  <c r="H164" i="2" s="1"/>
  <c r="H170" i="2"/>
  <c r="H184" i="2" s="1"/>
  <c r="Q149" i="2"/>
  <c r="Q162" i="2" s="1"/>
  <c r="Q164" i="2" s="1"/>
  <c r="Q170" i="2"/>
  <c r="N149" i="2"/>
  <c r="N162" i="2" s="1"/>
  <c r="N164" i="2" s="1"/>
  <c r="N170" i="2"/>
  <c r="N184" i="2" s="1"/>
  <c r="K149" i="2"/>
  <c r="K162" i="2" s="1"/>
  <c r="K164" i="2" s="1"/>
  <c r="K170" i="2"/>
  <c r="K184" i="2" s="1"/>
  <c r="M149" i="2"/>
  <c r="M162" i="2" s="1"/>
  <c r="M164" i="2" s="1"/>
  <c r="M170" i="2"/>
  <c r="M184" i="2" s="1"/>
  <c r="B98" i="2"/>
  <c r="B97" i="2"/>
  <c r="Q184" i="2" l="1"/>
  <c r="C206" i="2" s="1"/>
  <c r="B192" i="2"/>
  <c r="B190" i="2" s="1"/>
  <c r="D186" i="2"/>
  <c r="G186" i="2"/>
  <c r="M186" i="2"/>
  <c r="K186" i="2"/>
  <c r="H186" i="2"/>
  <c r="N186" i="2"/>
  <c r="E149" i="2"/>
  <c r="B152" i="2" l="1"/>
  <c r="B153" i="2" s="1"/>
  <c r="C205" i="2"/>
  <c r="D205" i="2"/>
  <c r="B205" i="2"/>
  <c r="B206" i="2"/>
  <c r="Q186" i="2"/>
  <c r="D206" i="2"/>
  <c r="E162" i="2"/>
  <c r="E164" i="2" s="1"/>
  <c r="B189" i="2" s="1"/>
  <c r="E18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4" authorId="0" shapeId="0" xr:uid="{00000000-0006-0000-0200-000001000000}">
      <text>
        <r>
          <rPr>
            <b/>
            <sz val="9"/>
            <color indexed="81"/>
            <rFont val="Tahoma"/>
            <family val="2"/>
          </rPr>
          <t>1% trên mức lạm phát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USER</author>
  </authors>
  <commentList>
    <comment ref="H11" authorId="0" shapeId="0" xr:uid="{00000000-0006-0000-0400-000001000000}">
      <text>
        <r>
          <rPr>
            <sz val="9"/>
            <color indexed="81"/>
            <rFont val="Tahoma"/>
            <family val="2"/>
            <charset val="163"/>
          </rPr>
          <t>Từ năm 2011</t>
        </r>
      </text>
    </comment>
    <comment ref="H17" authorId="0" shapeId="0" xr:uid="{00000000-0006-0000-0400-000002000000}">
      <text>
        <r>
          <rPr>
            <b/>
            <sz val="9"/>
            <color indexed="81"/>
            <rFont val="Tahoma"/>
            <family val="2"/>
          </rPr>
          <t xml:space="preserve">$/ML từ 2011-2034
</t>
        </r>
      </text>
    </comment>
    <comment ref="B19" authorId="0" shapeId="0" xr:uid="{00000000-0006-0000-0400-000003000000}">
      <text>
        <r>
          <rPr>
            <b/>
            <sz val="9"/>
            <color indexed="81"/>
            <rFont val="Tahoma"/>
            <family val="2"/>
          </rPr>
          <t>1% trên mức lạm phát</t>
        </r>
      </text>
    </comment>
    <comment ref="C59" authorId="1" shapeId="0" xr:uid="{00000000-0006-0000-0400-000004000000}">
      <text>
        <r>
          <rPr>
            <b/>
            <sz val="9"/>
            <color indexed="81"/>
            <rFont val="Tahoma"/>
            <family val="2"/>
          </rPr>
          <t>Giá đã bao gồm các loại thuế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PC</author>
  </authors>
  <commentList>
    <comment ref="A27" authorId="0" shapeId="0" xr:uid="{00000000-0006-0000-0500-000001000000}">
      <text>
        <r>
          <rPr>
            <b/>
            <sz val="9"/>
            <color indexed="81"/>
            <rFont val="Tahoma"/>
            <family val="2"/>
          </rPr>
          <t>kê khai tính thuế theo pp khấu trừ</t>
        </r>
      </text>
    </comment>
    <comment ref="C47" authorId="1" shapeId="0" xr:uid="{00000000-0006-0000-0500-000002000000}">
      <text>
        <r>
          <rPr>
            <b/>
            <sz val="9"/>
            <color indexed="81"/>
            <rFont val="Tahoma"/>
            <family val="2"/>
          </rPr>
          <t xml:space="preserve">AV có khả năng bù lỗ từ những nguồn thu khác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9" authorId="0" shapeId="0" xr:uid="{00000000-0006-0000-0700-000001000000}">
      <text>
        <r>
          <rPr>
            <sz val="10"/>
            <color rgb="FF000000"/>
            <rFont val="Arial"/>
            <family val="2"/>
          </rPr>
          <t>======
ID#AAAAPX3IAHw
THIEN NGUYEN THI MINH    (2021-09-13 06:53:10)
ei ei WACC ko phải là market rate nha :((( hôm qua mới tìm hiểu thử thì market rate giống social discount rate là suất chiết khấu xã hội á, dùng để chiết khấu ENPV</t>
        </r>
      </text>
    </comment>
    <comment ref="G54" authorId="0" shapeId="0" xr:uid="{00000000-0006-0000-0700-000002000000}">
      <text>
        <r>
          <rPr>
            <sz val="10"/>
            <color rgb="FF000000"/>
            <rFont val="Arial"/>
            <family val="2"/>
          </rPr>
          <t>======
ID#AAAAPX3IAHs
THIEN NGUYEN THI MINH    (2021-09-13 06:52:18)
danh nghĩa</t>
        </r>
      </text>
    </comment>
  </commentList>
</comments>
</file>

<file path=xl/sharedStrings.xml><?xml version="1.0" encoding="utf-8"?>
<sst xmlns="http://schemas.openxmlformats.org/spreadsheetml/2006/main" count="838" uniqueCount="322">
  <si>
    <t>Suất chiết khấu</t>
  </si>
  <si>
    <t>Vòng đời</t>
  </si>
  <si>
    <t>Năm</t>
  </si>
  <si>
    <t>Vòng đời dự án</t>
  </si>
  <si>
    <t>Đầu tư cố định</t>
  </si>
  <si>
    <t>Giá thị trường</t>
  </si>
  <si>
    <t>Giá trị tài chính (sau VAT)</t>
  </si>
  <si>
    <t>Thuế VAT</t>
  </si>
  <si>
    <t>Giá trị tài chính (trước VAT)</t>
  </si>
  <si>
    <t>Giá trị kinh tế</t>
  </si>
  <si>
    <t>Thiết bị</t>
  </si>
  <si>
    <t>Công suất</t>
  </si>
  <si>
    <t>%</t>
  </si>
  <si>
    <t>Khác</t>
  </si>
  <si>
    <t>Cơ cấu vốn</t>
  </si>
  <si>
    <t>Các mức thuế suất và giá ẩn</t>
  </si>
  <si>
    <t xml:space="preserve">Giá ẩn lao động không kỹ năng </t>
  </si>
  <si>
    <t>Thuế TNDN</t>
  </si>
  <si>
    <t>TỔNG</t>
  </si>
  <si>
    <t>Vốn lưu động</t>
  </si>
  <si>
    <t>Lạm phát</t>
  </si>
  <si>
    <t>Hệ số chuyển đổi</t>
  </si>
  <si>
    <t>LỊCH KHẤU HAO</t>
  </si>
  <si>
    <t>Chi phí</t>
  </si>
  <si>
    <t>2013</t>
  </si>
  <si>
    <t>2014</t>
  </si>
  <si>
    <t xml:space="preserve">Năm </t>
  </si>
  <si>
    <t>LỊCH VAY VÀ TRẢ NỢ</t>
  </si>
  <si>
    <t>Đơn vị: Triệu VNĐ</t>
  </si>
  <si>
    <t>Nợ đầu kỳ</t>
  </si>
  <si>
    <t>Lãi phát sinh</t>
  </si>
  <si>
    <t>Trả nợ</t>
  </si>
  <si>
    <t xml:space="preserve">  Nợ gốc</t>
  </si>
  <si>
    <t xml:space="preserve">  Trả lãi</t>
  </si>
  <si>
    <t>Nợ cuối kỳ</t>
  </si>
  <si>
    <t>CHỈ SỐ GIÁ</t>
  </si>
  <si>
    <t>Tỷ lệ lạm phát</t>
  </si>
  <si>
    <t>CÔNG SUẤT</t>
  </si>
  <si>
    <t>BÁO CÁO THU NHẬP</t>
  </si>
  <si>
    <t>Doanh thu thuần</t>
  </si>
  <si>
    <t>EBITDA</t>
  </si>
  <si>
    <t>Khấu hao</t>
  </si>
  <si>
    <t>Trả lãi</t>
  </si>
  <si>
    <t>EBT</t>
  </si>
  <si>
    <t>BÁO CÁO NGÂN LƯU QUAN ĐIỂM TỔNG ĐẦU TƯ</t>
  </si>
  <si>
    <t>Ngân lưu vào</t>
  </si>
  <si>
    <t>Doanh thu</t>
  </si>
  <si>
    <t xml:space="preserve">      VAT @10%</t>
  </si>
  <si>
    <t>Tổng</t>
  </si>
  <si>
    <t>Ngân lưu ra</t>
  </si>
  <si>
    <t xml:space="preserve">   Khác</t>
  </si>
  <si>
    <t>Nộp thuế</t>
  </si>
  <si>
    <t>Thuế VAT phải nộp (+) / hoàn lại (-)</t>
  </si>
  <si>
    <t>Tổng thuế phải nộp</t>
  </si>
  <si>
    <t>NCF (TIPV, sau thuế)</t>
  </si>
  <si>
    <t>WACC</t>
  </si>
  <si>
    <t>NCF (EPV, sau thuế)</t>
  </si>
  <si>
    <r>
      <t>r</t>
    </r>
    <r>
      <rPr>
        <b/>
        <vertAlign val="subscript"/>
        <sz val="10"/>
        <color theme="0"/>
        <rFont val="Calibri"/>
        <family val="2"/>
        <scheme val="major"/>
      </rPr>
      <t>e</t>
    </r>
  </si>
  <si>
    <t>Vốn vay</t>
  </si>
  <si>
    <t>Crystal Ball Data</t>
  </si>
  <si>
    <t>Workbook Variables</t>
  </si>
  <si>
    <t>Last Var Column</t>
  </si>
  <si>
    <t xml:space="preserve">    Name:</t>
  </si>
  <si>
    <t xml:space="preserve">    Value:</t>
  </si>
  <si>
    <t>Worksheet Data</t>
  </si>
  <si>
    <t>Last Data Column Used</t>
  </si>
  <si>
    <t>Sheet Ref</t>
  </si>
  <si>
    <t>Sheet Guid</t>
  </si>
  <si>
    <t>1b98f190-3b3f-4dea-abd6-770101860c78</t>
  </si>
  <si>
    <t>c8058413-c379-4623-aa28-a8a5f0ccfd18</t>
  </si>
  <si>
    <t>Deleted sheet count</t>
  </si>
  <si>
    <t>Last row used</t>
  </si>
  <si>
    <t>Data blocks</t>
  </si>
  <si>
    <t>CB_Block_0</t>
  </si>
  <si>
    <t>CB_Block_7.0.0.0:1</t>
  </si>
  <si>
    <t>㜸〱敤㕣㕢㙣ㅣ㔷ㄹ摥㌳摥㕤敦慣敤搸㡤搳㑢㑡㘹㑤㑢㈹搴挱㡤搳㠶㔲㈰〴㕦㥡㑢㜱㘲㌷㜶㔲㄰愰捤㜸昷㑣㍣捤捥㡣㍢㌳敢挴愵愸〵捡㑤㕣㉡㤵㡢㈸㉤㔰㔵愸ㄲ㉦㕣㕥愰〵ㅥ㐰〲㠱㔰㤱㜸㈸て㐸㍣ㄴ㠴攰〱㠴㈲昱〰て㐸昰㝤㘷㘶㜶㘷㜶扤㘳㜷摢㠲㡢㝣搲晤㝤收摣收㥣昳㕦捦晦㥦㘹㑥攴㜲戹㝦㈳昱㉦㔳㥥㤹㙢ㄶ搷晤㐰摡ㄳ㌳㙥扤㉥慢㠱攵㍡晥挴㤴攷ㄹ敢㜳㤶ㅦ昴愱㐱戱㘲愱摥㉦㔴㝣敢㝥㔹慡慣㐹捦㐷愳㐲㉥㔷㉡改ㅡ敡㌹〸㝦㈳昱㠳捥㕥㠳㜹㠰愵㤹改昹攵㝢㌱敡㘲攰㝡㜲摦搸㤹戰敦愱挹挹㠹挹㠹摢㙥㥦㝣换挴晥㝤㘳㌳㡤㝡搰昰攴㈱㐷㌶〲捦愸敦ㅢ㕢㘸㉣搷慤敡扢攵晡㤲㝢㕥㍡㠷攴昲晥㕢㤷㡤摢摥㍡㜹摢挱㠳收ㅤ㜷扣㜵㄰慦捥㥤㥣㤹㕥昰愴改扦㑣㘳ㄶ㌸攵摢㘶㘵搵攲摡愴昴㉣攷摣挴捣㌴晥㑢捣ㅦ㑦户㑦㉣慥㐸ㄹ昰搵搲㤳㑥㔵晡㍡㍡づ搸㔳扥摦戰㔷戹㜹扡㝤〴㑢慤ㅡ㝥㔰戰㘷㘴扤慥摢昱愸㈵㝢ㅥ㝢㔷㌷搶〷敤㐵改昸㔶㘰慤㔹挱㝡搱㕥挲㐰戵㈱晢戴㉦㑦ㄹ捥㌹㜹搲戰㘵挱㍥摡戰㙡昹㌰攵晡㙥㡡㠷㐸㑥㑣㉤㝦㘲捡户㘷㔶っ㑦捤挸攷挶㘴戴㍤攲㔵搳㙤㙦攸㍥㉥愷慥摥挰㌱㙦散摥づ㌵㘷っ慦搹㜲扣㝢换㘸昱改ㄹ摣搲扤㝤㘲㡦搲㝤摥搴扤㡦摡捡㜴㙢㌱㄰搱户摡㔱㉣㐶㉦ㄲ昴ㄳ㤴〸㠸㐰扤㑣㌰㐰㌰〸㈰昲㝦〷㤷㈴㍢戲㑡慢ㄸ㕡㘵㔹慢㔴戵㑡㑤慢㐸慤㘲㙡㤵㜳㕡㘵㐵慢㔸㕡攵㕥慤㜲ㅥ㙤攲㔴敡敦搷愲昴晣愵㍦慤㍦㝡挷捦收㍦昵攳てㄷ㍦㔴晤挷昵㠳扢搰攸敥㘸㔲戳㥥㜱〱愴搶愲攲〳ㄳ晢昹㙦㜳慥〰㔳㤸〷捤摢捤挹挹摡挱晤挶慤㐶㠱换捡㐰㝥㡡㔰㐶搰㜶搰扣挷㜲㙡敥〵㠵扢㙢愶つ㕦戶㌶㙥㍣慡㥢㜶ㅢ㑥捤㝦捤挶㤵㡢㠱ㄱ挸慢摢敢㕡㠳㜴㜴㕢〴㕢㐹㕦扤敦摡昶㙥㘷㡣㝡㐳㑥㕤戴挲敡搷戶㔵摢ぢ㥥扢摣扤昶㠸㈷敦㙢搶㜶捣㘸ち㐲㙤㑤㡤摤戱捡戰㉡㥣搷搸捣㡡敢㑢㐷㑤㙦摣㕥戰慡攷愵户㈸㈹ㄲ㘵㑤㉤昵㜲㔶㐵㕣㍦㍥敦㘰愱攰搶摡昵挹㔲昳捥㡢〱㤸㔹搶㌰摦㔵改〵敢㑢挶㜲㕤㕥㤱㙡ㄲ扥ㄳㄵ㝢㔳挵㐷摣㙡挳㥦㜱㥤挰㜳敢改㥡愹摡㥡〱㐹㔳㍢攱搶㘴㍥㥦㔳㐲〱〲户慦㑦㠸摣捤摤㜹㐱㈱㈲㠱㘲㌲昲㔵㘹戲㥢㌸㠵搵㘱ㄵ㜵㐹㥡搴㕥扦挹㘰㥣慦㤲㌱ㄹㅣ㤸㔸ㄳ昵〷㕦晡挶㑤㠶㙤㘲敥㤵㙤慣㘹愳搱敡敦㕣㤳㑥㜰捣㜰㙡㜵改㘵㙡㍦挱ㄹ改挳〰㠵㑢㄰〸㕤㜷㡦慡㑥㕣ㄴ敢㠵ぢ㔶㉤㔸㈹慥㐸敢摣㑡㠰㌲㘸挸㔲㠹㕢摢㤱昴换㔰愴敦㈶ㄸ〵㈸㤷㜳挵㍤㙣㔴㉣㈳攵ち㤴㑥ㄹ扣㥣ㄲ攴散㤷攲攵㐱昳㠸㔵て㘴㈸㤴㠷㑤㘰㈴搴㙡ち㝤㐳㈴㔱捦愸㠶ち㘳㡦㌹〳㉡㌵㉣㈷㔸㙦昱㙤〷㤷㠴㐴戴㈳ぢ戶㥤㉣愰㈸㐸换㠳っ㕥〳搱戴㐹㠳散挶〹㈲㈲ㅢ㘴㘸㜶㡣㥣㈶㌲戶捦㤰ㄱ㘸㥦㈴㐲戶摥摦㕤㐶㤰搸㍢㠹㤴㥤扡昲攳㡥㌴摢挸㤶て愵搹攵搸㌸晤ち㠲㉢〹慥㈲搸ぢ㈰晥〴〹㐷㈹㠷㝣㍡改慦挱戳㝥つ挱㙢〱㈰㥦㜴捡㥣㐸㔴搱㠶摡㡡ㅤ挹㜶㐳戰㤳㤵㔱ㅣ㡡㈲㕡挶㑤㍢㜳挸㔶㠸㡥慣捥敤愱㙢昳㑡挷扥愱㍢㙤㈶㤷㐳㡡捣㘸㥡㕣敢㈶㑤㤳ㅢ挱愶㍤敡慤敢搰㔵ㅦ㈳㜸ㅤ㐰㔹扦㥥㄰捡㠵〶敦搶㉣㝡㥡㤴慦ち戳㈸㌴㠶㝡㔴昰ㄱ㈱昳〸㤰㈱攴㍡㡥㉦㍢㌶㌴捤挱㜱昳㔵㙦㐳敦敢捥摦ㄱ搲摢昴收㡥摥愱扦攸㐵㕡搱㌷㠰扤挴敦扡敡㤸ㅢ㔱慤扦㠱攰㈶㠰㌶ㅤ挳搳昷㡢昵ㄴ㈸戳搸㑥㘰㙥㌷扤㉥捡捡㕤㕡㕦㤵㑡〳つ㥡㑢㠶㜷㑥〶昰㘰ㅣ㥦㠵㉤散㝡㥥慣攳㔰㕢㔳〵㍣扦㕣㤹㉥昴㡦㜸慥捤昲ㅤㅢ搹㝦㔵㈸㠶㝣㕥敢换戵搹挸ㄹ戶㘶挲攷㤴愰ㅣ敡攰㕢扢ぢ㠹㐴愷㌴㜹戱㕦昶昹㜲㐷㤲昴㈰㐹摥㠴㙤搵㙦〶㠰㤴㄰扦改㉡㔱昶戱搹㥢㔵戳戴挵㑡て㕦挶改愴捤㠷搸㈱㐷〶㐲㠷敤㌴晣〷晥㤰扤㘸搹㑤㘱㌱㘰㉦㐸慦ち摦㠲㔵㤷攵搰㉤㑢㔱戳㈳㉢㕥㈵戲愲慦慦攳㍣㥤攱㕦㔳㜴搲㈶㈵㌲戹㍤戳㌲攳㉣摥㈲㉡扡㈱㈹㔴㌲㕣㐳㑤〹㐴捡㘳摢ㅤㄱ搳㠳㠸戹〵ㅢ愷敦㈷㤸㈴㌸〰㔰昸ㄵ㈴捤㔶㌷㥥攱戰晥㌵扡戴㉢㤵㕣㠹㘸㔰㉥挲攷扡ち慢㠳㝣捤㕢〸㙥〷㘸㌳㝦攸㠰捣㈰㐴㠵昲〴㈱慡㌰㠶㜹挶㤲ㄷ㐸〳扢㑣〴㤶㘶ㅡ㝥攰摡㡣㉣つ㤹戳敥㐹㌷㤸戵晣㔵㐴愲㐶捤㈸㜳捦㡡㜴㐰㕤ㅥ㙣㥦戶㌲㜷㜵㔵搶㜴㜳搱㙤㐰戴ㅤ㥦摤づ〷㜳㙣〷㙣㐹㜵㌶搷〴㔲㙦攷㘳っ㈱戰搳捡摦㑡㙦散㤶扣摦㍣昴つ户㜶㜴挹ち敡㜲挰っ㤹㡥昹㤲㠹㕤㐴攴愰搶㙦㉥慤㜸㔲捥づ㤹㐷㍤慢㔶户ㅣ㐹㘴挰挶㘴戰㙥㑥㥥㐳㤴㘰挱㘵っ搰㜵㠶捣㈵捦㜰晣㔵㠳〱挵昵摤愹㈷ㄵㄶ㈹㤸搳㤶攳攳㌵ち㡢捣て㥢㡢㉢敥〵㐴㙣ㅢ戶㜳搴㔸昵户〵㔶㐸昴㘱㔲愸ㄱ㥡搰㌴㔱搲㑡扤攲㠷〷昲㕣㡥扣㤷㈷㔰戸捡ㄵ攸㌳捦搰摥戴敢愳ㄸつ敤㜴捥㘹㄰搱愳㘶㘱㕦愶ㄴ㈶愷敡㜷戰捦摢〰敥㍡㝡晡㜸㉢㌲昷㤲㘲搶〵㝡昹㌳㘴扣㈲㡢㘶㈰㠴㍥扡㕤㈱愹戰㡣㤴〳づ〴挶昹搴㑥㝥㘵㔳戵㈱昵敤㙡㘵㡦㈰㤲㌴㘸捥ㄹ换戲㡥㜸戴㙤〴扢挲〷㥡戱戶㔱昷愳扡ㄹ搷戶つ㤲ㄶ挹㜲戱㙡㤰㠲愷ㅡ㠱㝢挲㜲㜴ㄳ㐰搱㕦㔴㘴㕣㐴㤱㜱㔱ㄵつ㥡愷ㄸㅡ㔴㜹㡥攵㥥㌳㍣㉢㔸戱慤㙡㠹てっ摦㙤ぢ㥡〴㤳㔳昲挶㈹㤶ㄹ㘳㙤搶晣㘹㤸㙣晥〴搰㍤〱㌹捡慤㈳晡㐱戹㥡㈸攲㥦攸搱戱〴〱愳㍣愵晡㍢㌰㕡㐱摤㡥㠰挸㔱改㔲㝣〷攳搲㠳㈸〹㠵㄰戱㥥㐱㈲昰ち㈶㠴㍣㕤摣㐵昳戴㘳〵挰ㅥ㌱㜶挴ち㘶㝤愰ㅣ〰㔹㜵扣扤㕡㘱㌵搱㘹扣愹ㄵ慥敢慣㑡愹㠹㙢㍢敢㤳㝡攳昵ㅢ㔴㠷ㅡ㈵愱㐸㌶㙢愴㌴换〶㜳摣㑥慡㐶㈸挵ㅤ㙢ㅢ㤱攵㌶㙤敤㍢愵挸㑢㔰㑣㡡㘶㜲晡㍢ㄵ愱㈰搰ㅢ改㈸晡散戳挹㈳ㄱ戱愱つ㔰愶㥥ち换㠶愲㤰攰㜱㕣㍢愹挹㜲昴〴晥摥ㄵ㘵攷ㅢ㐱慡挶戸㌸ㅡ搵㑣搵敢昳づ慣㠴慡攱搵戶〹㑢㘳㙤愱㠶㔱摣搹慢昶て户㌷挱㠸ㄱㅢ㌲㉣㤲攱〷〶ㅢ㠲戹ㄲㄱ㔵㕡㘷㐳摣敡㘶㜱㠹㑦㈷愴攱㈸っ㉣〶戵㔹戹愶捣戰㤶㈵㍦慡㍡㌴㑦㡢㑡㡥敡收搴戲て㤵ㅥ㔰㡥㐷㌹挵攰扡㜹㡡㙥㈹㕣㘲㠰搸㡤㜲ぢ搵〰愱摤收〰㍣ㄹ㙣ㅦ散㘰㐷挲搰〹慤㌳㑡搰㘲〶攱愶ㄷ㐱摥改ㄱ愳㄰愴愶㑡㝦㍢㉣扥昲ㄸ搳㌷て攷攲㑣挴㐴っ㜷㘵㔸て㐰㙥㌲㌲㐹㉥ㅡ㡤〳收愱㘴㔳㐲㙢㌰㉥愳㠹㌱㐴㤳捦ぢ㜰㡢㠷戱慣㘱戲㑤ㅤ昷摣〲ぢ摡戴扥扥换㍣敥㔴敢㡤㥡㔴慡㌸㤶搵㑡㈳㙦ぢ㝣愹㉢㠰㈱㌷㘵散㑢戴㈹挷㜱㤴攲㤲㠹愴摥敤㙥晤㌰扡㉢㈱㠷㌱㐲搵挷〰㘴㠶㕢㑥〵挴㍡敥㈹搰㍥摣摤扡挰愰㉥捦㐱愴㜵ㄴ㔱㤶捤攱㍥㕥㌳㡡慣戸㉤搱㙣捥㥤㜳㘹戳㈷㡡㡥㔹㘱搱戶挰ㄱ搶ㄹち扣㘲ㄱ挶㐸㡦摣挱㐱㜲㤷愲攸敥愵〷搵㘳敥ㄲ㔰愱㌰㈰ㄸ攳攵㈹㈸㠷㕤〵㈳搱攰搶㕡㔶户㘰昴㤷㤶户㍥〵㈰ㄸ〶愶㐱㡢㤶愱㠱㌳㠳晣收〶捥㜵㘸㤵ㄱ㈱㑤〶㔳ㄹ愳ㅣ㠵挳ㅥ㐸〳㌷昱㈰扤攴㐲〹〵㝢搴挵戰昸㙥攲戸㡤㈳㤰敢㕤搱㔶戸㘰〴戸晥攲散㙤㉢㥥慡搵㘸敥挲㍦户㉤戰㡡慢ㅢ愱㌹扡愷敤㔲㤶㕡ㄳ敤扢ㅢ摡㉡愲换㠲〷㘶㈷㡥ㄹ㐱㜵㘵㌱㔸て㉦㙥昵㑡ㄲ㠵ㅦ挱ㅦ戱攱摢㘹㌳攷ㅤ㕥㐴㕤攳摥㤷捦㍢敥〵㐷捤慢攰昳搶ㅦ㈸〴㔷㈸晢㌹挹㜲敥摦昸愷㤲㤶㉢晣㄰㈳㙥㘵摡ㅣ愰攵㈰攱㌸㉡㠵搲㘰っ昹っ㍡㠱敤摥扣㌵㐰㍡搹搳㐶㈷㑡㄰散㄰㡡㜳敥㘵㈳ㄴ昱〳愰㤵挴ㄲㅥ挹戱攷㑦㠳昵挵戳㈸㈱挲昱ㅣ㠹㤱挲敢㤰换㐰㥤ㄲ攴搱ㄵて㕥〸昹晦挱㔲捣捤ㅢ戲搳㝦㠱㤹挵㌳敤㈸扡㤶㈸晡㝥〷㡡〴慦㠱㈸晥扤ぢ㤹㌸ㄵㄸ㥥㝤㔱㠱㜰慥㘹攷〰晡㡡㕦昸晤ㅦㅥ㐰攷㈲攲㔰㌶ㅡ㐲㙤㌷攲戹㘹㈲昴㜵㤸〸っ摥㉢ㄳ攱〴㌲㠲㔱晣搰㐴㠸㝣㈰昳㈸搸摣㐴㘰㙣㉦挳㄰㑣㠴㕡ㄳ㙥つ㥥挰慥戰改ㅦ㍢㠶㡢户搲㐷㍣ㅦ㑡换㥦㠱㐷敡捡捥攲〵挳㌳散扤慡晣愸㈷愱捣扣㈵摣攴㔶㕤搸攳敡つ㙢㔴愷つ㝣ㄵ戱㤷㝤挷㥦戲戵晢敢挰㔴㤸㐲昷扤㈸㠹攲㑢昰㤴〸㥥ㅢ㜲ㅦ摣昳慤愳扦扦晦攱挳扣慤ㄶ搱㙡攱㘶攴㝢〹搹搳㥥㐰㔰㌷㜱㔱攴㜲㝥㤸㜳〲㥦㈸㔹慢㜵㌹㙤㜸捡ち昲㜵㍢捥㠶㠴㤷㈰捣㤰昸戶㠳㠹㠹㝢て愱㠹㌹搱收敥㔴ㅦ㌶㈹ㄷ攱㐴㘲攲捡愷ㄷ㠷つ㐵㔷㐵搶愳戵㔹昸づ㔴搱㡢㥣㐸摡㑡攴愹㤳㐹㠸㙦户敢扡㠳搴㜵攱㐱㠶㘱晦㔸㑡㈱晥㐰ち㐹ㅥ㘴㜸㈱㐰㐹愹㔳挸ㄴ㙥〱挸㠸慣戵㠷㜸改て搸ㄱ〲戲㜹改慦挷㡦㔸戰㡢挰㘲散㡢敦昵㐴㑢㕢㌴㔶㑤っ搵㉡㥢㘶ㄱㄹ㜵㜸㘱挱㘴㕣㥡戲㜴づ愰㜴换敥㈸扥㘴挸づ〳㙦㈱㘳ㄷ㙣晡摡捡昶㥤㑥〳㌷㍦愰㘷㡡㑡㘱㌸扢㔹㡣〳愹㡡搱㠵㑤换㘱ㄱ攱㜰㤸㙤㜶ㅡ㠸慡愰戳㥣扤㌸㤵㈲昸挷㉦㠵㔸㍦摥ㅡ晡昲昶ㅡ敡㌸愷ㅦぢ攴て昶搷戵ㄹ㡣㡤户㤲㘳㈰㘱户搴慡ㄴ㕥て㍦㡤㉥㕣㜴㑥攸慤慣㝡ㄶ〷昱㈷收慣㍥慤㐳晦㌳㝡慤㌸敢っ㝢㌳㡣㥤搲晦敦㐱挱愶晡㕦㌰昶愶㄰昹摥㈸挳㠷〲攳㈷㥢㠶㙣戸㈳昰㙣㈳㜸愳づ挶扡捡㌲攴ㅤ收ㄶ昱昱㙡㔸慤㈴㌸晣㕥昹昶慢ㄱ捤扥戴㙤〷扡ち㐰挶㠶ち㑦㐳〴㜵敤㥦㤶㕢昱改戶昸㍥㜴摣㜳挲慡㝡慥敦㥡挱搸㈲㠲扥㘳晣昶捣㠴捤㌳㈵扥搱㉥搴㙥挰㑥っ㝥〰㝤㑥捥㐳㘰㥦㤴挱换ㄵ㡢㘴㘴㘱㙢㤱っ㝥㠷㌴㤲〸㉦㔱㍢昸㤷㤹㜷㌷㡣㍡㍥㕤㥤㠷慦㌳㘰搱戶㔰㜶愱挷戹晤㠶〶户づ㜷戴摥つ㝦㤰慣㑦㈰㌸愶㤶昰扥て㜰㕦摢昷㈰摤㌶㕡㥢捦㤶扤昹摣捡㠵愷㠰搳慤扤㈵㑤㌲㝣㈷扦㐸㉥敢ㄵ㐲㕣摡㍦㡣扦㕢㜷搰㜲戴㔱搰㜹昴㐱㌷ㅤ㘱攳㜵戸捦戶㄰晤㍥㡢慥㘲㡡〰㍦摤㠸㌲㝣㄰昴昲㤱ㄵ挵搷戰㉣㌲〰昲戹㘲ㄵ愰㍢㔵㍦戱ㄱ㔵㡦挴〲㔹昰㡣㐱㜲㉣㡢挷搱㤰摢ㄵ㉥ㅢ㉣挱㘵ぢ㜵㤶㐰㕥㡦㝢㈰㥦ㄳ㍣㑢愸㠹㝣ㄹㅤ㥡ㄳ戱㔰摡㝤㈲㕦摡㘸㈲㠲㔶㠰㕡㘸㜲晣㤱㔸㡢攸㜵㔴敢㌶㠱㐳攰〲っ㔳㉣㔲搶ㄴ挳搰挲戳挴っ搲慦愳扦㉦ㅣ晥搵㜳㑣㝦㍤㉣㤴㈰㐴㔵㝡昲ㄴ㠴㙡昲㡦㈴㈷敦愱戴晢攴㍦扢搱攴㐷㈸㈳㌹ㄳ㍤〰ㄸ敡ㄳㄵ晣㔱㡢㘹㈰挳㝤攴㑦㥣㈵挰㉦㌵㡢ㄱ〳㈵慡敦〵㘴搰㤷ㅢ慥㕡㕤㐴㈶敥㕢攰晡㌳㍥敥㔱昶ㄱ㉦㐲搲㤷㔳っ㥤戱挵㔰㉢㤶散挸ぢ扢㉤㘴〳㤶挴慦㘵扢㡡昴㘲㡦ㄱ㝥昱㠹ㄸ㌱挷㡥挵㕦㑥㘹㔱捣〹㠴ㄱ㕡愴愴ㅦ㙥愴昸㜸摣昸扢摦㙢戹㑣㔱㠱〴敡〹ㅢ㤳捥㔴攳㡦挵㡤て攰慢㉣搵㈶挷ㅢ〴㑣㉦挴㡤㐹㡦慡昱挳㜱攳扦ㅣ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㐷㘲捣收ㅥ㙡搱㡣晥㈰㤰〳改〸挸㡣晥㄰㘰ㄸ㠸攱㙤攵摣〸昹㕦㌱昷㐷㔸昱㔱㠲㠷〱捡㠲捣㑥㍡㈸㝥っ㘰㌸晥ㅦ㔵㡣慤㈹㝦㠹㈶敥㡦㕦㤶㈴㈳晤ㄳ散昰㐹㠰㍥戸㙦㐵㐴㠴㘵晤㔳㈸㐹扥㤴㠲㐳扤昴搳慣昸っ挱㘷〱捡〵㑥㜶换扢挶㌵昵愸戹㍥㠷慥攲㈱〲晣昴㐷愲っㅦち摣㠷户㜷户㤵㜹ㄴ㡥㍦散㐷愸㌳昵〵晦㥤昸㈲㝦㥤㡢敥挳晦㤰愴愰っ晢扣昶戶摥挶㈲ㄳ搰㈶㔷扦㔵㙣昶㑢ㄸ㠷敢㙡㐵㔰㌸㈲㤵㑡㐹㉢ち攲㥢ぢㄶ㉥摥挰户ㅣ㔲ㄵ㐲㤰〶㔴㠵ㄳ㔵ㅣ㐶㠱晥㜹㌶㈵㡥㠹㈷晤ぢ㝣㈲㙡搵㈶㝥㌱捡昰㐱㄰慦慡晢扤㔱昷昸㠵挴戵慡戰摡㕥㐸晣慢㡡㤵攴ぢㅦ攳㘰ち㔹挸愴戵ㄲ㤱愶㘸攸㜱㘴㠶晡㠶㌹户㝢昰搳㉥㡡敡搹摡搹戳晦ㅣ捥㡦㕤㥤㝦捦扢〶ㅦ㝢攱㤷㝦㜸昴昹昷ㅦ晡昳扦㥥㜸攲昹㍦㍥晡摣扦㝥戴㝣攸攷㑦㍤昵搳扢扥晥摣ㅦ㜶㥢㑦㙡摦晢攷摣㤳て㑣㥥㝦攰㍥昳昴捤㐷ㅦ㜸敦扤㜷㑦㉥㕣㌶摥搷搷摦㝦搳攸㉦慥㝡攳挸㐳昷㍤㈳㝥昲摢㉢ㅤ愱㤶㡢ㄷ愴愷挱㘵慢㘹㝣ㄵㄹ㑣㠳㌳㝥㐵愷挱攵慡㡤㕡㡥㌶㙡ㅡ〵㈵昸㌴㌸〱㔵㘱愴㉢〶晥〳〴㐲戴ㄶ</t>
  </si>
  <si>
    <t>Decisioneering:7.0.0.0</t>
  </si>
  <si>
    <t>㜸〱敤㕣㕢㙣ㅣ搷㜹摥㌳㝢攱捥㤲ㄴ㘹㔱扥挸㜱㙣㍡戶攳ぢ㤵戵㈸㕢㜱㥣㔶㔵㜸戱㉥づ㈵搲㈲㈵㈷㐸㠳搵㜰昷㡣㌸搶捥っ㍤㌳㑢㠹慥〱ㅢ愹㤳㌸㐸㔳〳㑥㕡搴㡤摢ㅡ㐶ㄱ㈰㉦戹扣愴㐹㥢㤷〲〱㤲ㄴ㌶搰㠷昴愱㐰ㅥ㥣㈰㐸ㅦㄲ〴〲昲攲〷〳挹昷㥤㤹搹㥤搹攵づ改戵摤搲〵㡦扣㍦捦㥣摢㥣㜳晥敢昹晦㌳捥㠹㕣㉥昷〷㈴晥㘵㉡㌰㜳换昲愶ㅦ㐸扢㍡攷㌶㥢戲ㅥ㔸慥攳㔷㘷㍣捦搸㕣戰晣㈰㡦〶愵㥡㠵㝡扦㔸昳慤愷㘴戹戶㈱㍤ㅦ㡤㡡戹㕣戹慣㙢愸攷㈰晣㡤挷て㍡㝢㡤ㄴ〰㔶收㘶ㄷ㔷㥦挰愸换㠱敢挹㐳㤳ㄷ挲扥挷愶愷慢搳搵〷ㅦ㥡晥㘸昵昰愱挹戹㔶㌳㘸㜹昲㤸㈳㕢㠱㘷㌴て㑤㉥戵㔶㥢㔶晤㤳㜲㜳挵扤㉣㥤㘳㜲昵昰〳慢挶㠳ㅦ㥢㝥昰攸㔱昳攱㠷㍦㌶㠲㔷攷捥捥捤㉥㜹搲昴摦愵㌱㡢㥣昲㠳昳戲㙥㜱㙤㔲㝡㤶㜳愹㍡㌷㡢晦ㄲ昳挷搳㐳搵攵㌵㈹〳扥㕡㝡搲愹㑢㕦㐷挷㘱㝢挶昷㕢昶㍡㌷㑦户㑦㘰愹㜵挳て㡡昶㥣㙣㌶㜵㍢ㅥ戵㙣㉦㘲敦㥡挶收㠸扤㉣ㅤ摦ち慣つ㉢搸㉣搹㉢ㄸ愸㌱㙡㥦昷攵㌹挳戹㈴捦ㅡ戶㉣摡㈷㕢㔶愳㄰愶㕣晥敥㜸㠸攴挴搴昲慢㌳扥㍤户㘶㜸㙡㐶㍥㌷㈶愳敤〹慦㥥㙥㝢㐷晦㜱㌹㜵昵〶㡥㜹㔷晦㜶愸戹㘰㜸敤㤶㔳晤㕢㐶㡢㑦捦攰晥晥敤ㄳ㝢㤴敥㜳㙦晦㍥㙡㉢搳慤挵㜰㐴摦㙡㐷戱ㄸ扤㐴㌰㐴㔰㈶㈰〲昵ち挱㌰挱〸㠰㈸晣ㅥ㕣㤲散挸㉡慤㘶㘸戵㔵慤㔶搷㙡つ慤㈶戵㥡愹搵㉥㘹戵㌵慤㘶㘹戵㈷戴摡㘵戴㠹㔳㜹㘸㐸㡢搲㑦敦㥤愸㍥㍦昲愵搹敦っ扦㤸扦晢昹扢㡥㡥散㐳愳挷愲㐹捤㝢挶ㄵ㤰㕡㠷㡡㡦㔴て昳摦昶㕣〱愶㌰㡦㥡て㤹搳搳㡤愳㠷㡤〷㡣㈲㤷㤵㠱晣ㄴ愱㡣愳敤㠸昹戸攵㌴摣㉢ち㜷户捣ㅡ扥散㙣摣㔴㔴㌷敢戶㥣㠶晦㠱慤㉢㤷〳㈳㤰㌷㜷搷㜵〶改改戶っ戶㤲扥㝡摦慤摤摤㉥ㄸ捤㤶㥣戹㙡㠵搵ㅦ散慡戶㤷㍣㜷戵㝦敤〹㑦㍥搹慥敤㤹搱っ㠴摡㠶ㅡ扢㘷㤵㘱㔵㌸慦挹戹㌵搷㤷㡥㥡摥㤴扤㘴搵㉦㑢㙦㔹㔲㈴捡㠶㕡敡昵慣㡡戸㝥㙡搱挱㐲挱慤㡤て㈵㑢捤㐷慥〶㘰㘶搹挰㝣搷愵ㄷ㙣慥ㄸ慢㑤㜹㐳慡㐹昸㑥㔴ㅣ㑣ㄵ㥦㜰敢㉤㝦捥㜵〲捦㙤愶㙢㘶ㅡㅢ〶㈴㑤攳㡣摢㤰㠵㐲㑥〹〵〸摣㝣㕥㠸摣㝤晤㜹㐱㈱㈲㠱㘲㌲昲㑤㘹戲慢㥥挳敡戰㡡愶㈴㑤㙡㜷㙥㌳ㄸ攷慢㘴㑣〶〷㈶搶㐴晤挱㤷摥戳捤戰㙤捣扤户㡤㌵㙤㈲㕡晤㈳ㅢ搲〹㑥ㄹ㑥愳㈹扤㑣敤㈷㌸㈳㝤っ愰㜸つ〲愱敦敥㔱搵㠹慢㘲戳㜸挵㙡〴㙢愵㌵㘹㕤㕡ぢ㔰〶つ㔹㉥㜳㙢㝢㤲㝥ㅤ㡡昴晤〴ㄳ〰㤵㑡慥㜴㠰㡤㑡ㄵ愴㕣㤱搲㈹㠳㤷㔳㠲㥣晤㔲扣㍣㘲㥥戰㥡㠱っ㠵昲㤸〹㡣㠴㕡㑤愱㙦㤴㈴敡ㄹ昵㔰㘱ㅣ㌰攷㐰愵㠶攵〴㥢ㅤ扥敤攱㤲㤰㠸昶㘴挱慥㤳〵ㄴ〵㘹㜹㤰挱㙢㈰㥡㉥㘹㤰摤㌸㐱㐴㘴㠳っ捤㡥㤱搳㐴挶昶ㄹ㌲〲敤㤳㐴挸搶㠷晢换〸ㄲ㝢㉦㤱戲㔳㕦㝥摣㤳㘶㕢搹昲愱㌴扢ㅥㅢ愷摦㐰㜰㈳挱㑤〴〷〱挴慦㈱攱㈸攵㤰㑦㈷晤〳㜸搶㙦㈱昸㈰〰攴㤳㑥㤹ㄳ㠹㉡摡㔰㍢戱㈳搹㙥ㄴ㜶戲㌲㡡㐳㔱㐴换戸㙤㘷㡥摡ち搱㤱搵戹㍢㜴㙤㐱改搸て昷愷捤攴㜲㐸㤱ㄹ㑤㤳㙢摤愶㘹㜲㈳搸㜴㐰扤㜵ㅢ扡敡㤳〴户〳㔴昴てㄱ㐲戹搰攰摤㤹㐵㑦㤳昲㝤㘱ㄶ㠵挶搰㠰ち㍥㈲㘴ㅥ〱㌲㠴㕣捦昱㘵捦㠶愶㌹㌸㘵扥敦㙤攸㐳晤昹㍢㐲㝡㤷摥摣搳㍢昴ㄷ扤㑤㉢晡づ戰㤷昸㜹㕦ㅤ㜳ㄷ慡昵てㄳ摣つ搰愵㘳㜸晡㝥扢㥥〲㘵ㄶ摢〹捣敤愷搷㐵㔹戹㉢㥢敢㔲㘹愰ㄱ㜳挵昰㉥挹〰ㅥ㡣搳昳戰㠵㕤捦㤳㑤ㅣ㙡ㅢ慡㠰攷㤷ㅢ搳㠵晥〹捦戵㔹扥㘷㈳晢敦ぢ挵㔰㈸㘸昹㕣㤷㡤㥣㘱㙢㈶㝣㑥〹捡愱づ㝥愰扦㤰㐸㜴㑡㤳ㄷ晢㘵㥦㉦昷㈴挹〰㤲攴㕥㙣慢㝥ㅦ〰愴㠴昸慦扥ㄲ攵㄰㥢㝤㐴㌵㑢㕢慣昴昰㘵㥣㑥扡㝣㠸㍤㜲㘴㌸㜴搸捥挲㝦攰㡦摡换㤶摤ㄶㄶ挳昶㤲昴敡昰㉤㔸㑤㔹〹摤戲ㄴ㌵㝢戲攲㝤㈲㉢昲昹㥥昳㜴㠶㝦㑤搱㐹㤷㤴挸攴昶捣捡㡣戳㜸㠷愸攸㠶愴㔰挹㜰つ戵㈵㄰㈹㡦㙤昷㐴捣〰㈲收㝥㙣㥣㝥㤸㘰㥡攰〸㐰昱㜵㐸㥡㥤㙥㍣挳㘱㐳ㅢ㜴㘹搷㙡戹㌲搱愰㕣㠴慦昵ㄵ㔶㐷昹㥡㡦ㄲ㍣〴搰㘵晥搰〱㤹㐱㠸ち攵〹㐲㔴㘱っ昳㠲㈵慦㤰〶昶㤹〸㉣捤戵晣挰戵ㄹ㔹ㅡ㌵攷摤戳㙥㌰㙦昹敢㠸㐴㑤㤸㔱收昱㌵改㠰扡㍣搸㍥㕤㘵敥晡扡㙣攸收戲摢㠲㘸㍢㍤扦ㅢづ收搸づ搸㤲敡㙣慥〹愴挱捥挷ㄸ㐲㘰愷㤵扦㤵摥搸ㅤ㜹扦㜹攸ㅢ敢散攸㡡ㄵ㌴攵戰ㄹ㌲ㅤ昳㘵ㄳ扢㠸挸㐱㘳挸㕣㔹昳愴㥣ㅦ㌵㑦㝡㔶愳㘹㌹㤲挸㠰㡤挹㘰摤㠲扣㠴㈸挱㤲换ㄸ愰敢㡣㥡㉢㥥攱昸敢〶〳㡡㥢晢㔳㑦㉡㉣㔲㌴㘷㉤挷挷㙢ㄴㄶ㤹ㅦ㌳㤷搷摣㉢㠸搸戶㙣攷愴戱敥敦ち慣㤰攸挳愴㔰㈳㌴愱㘹愲慣㤵〷挵てて攴戹ㅣ㜹慦㐰愰㜰㤵㉢搲㘷㥥愱扤㘹搷㐷㌱ㅡ摡改㥣搳〸愲㐷敤挲㝣愶ㄴ㈶愷敡て戳捦挷〱ㅥ㍤㜹晥㜴㈷㌲昷㡥㘲搶㐵㝡昹㌳㘴扣㈲㡢㜶㈰㠴㍥扡㝤㈱愹戰㡣㤴〳づ〴挶昹搴㑤㝥ㄵ㔳戵㈱昵敤敢㘴㑦㈰㤲㌴㘲㉥ㄸ慢戲㠹㜸戴㙤〴晢挲〷㥡戱戶搱昴愳扡㌹搷戶つ㤲ㄶ挹㜲戹㙥㤰㠲㘷㕡㠱㝢挶㜲㜴ㄳ㐰搱㕦㔴㘴㕣㐵㤱㜱㔵ㄵ㡤㤸攷ㄸㅡ㔴㜹㡥攵㕥㌲㍣㉢㔸戳慤㝡㤹てっ摦敤ち㥡〴㤳㔳昲挶㈹㤶ㄹ㤳㕤搶晣㜹㤸㙣㝥ㄵ攸慥㐲㡥㜲敢㠸㝥㔰慥㈶㑡昸㈷〶㜴㉣㐱挰㈸㑦愹晥愷ㄸ慤愸㙥㐷㐰攴愸㜴㉤扥㠳㜱敤ㄹ㤴㠴㐲㠸㔸捦㈰ㄱ㜸〵ㄳ㐲㥥㉥敥㤲㜹摥戱〲㘰㡦ㄸ㍢㘱〵昳㍥㔰づ㠰慣㍡摥摥慣戰㥡攸㌴搵搶ち户昵㔶愵搴挴慤扤昵㐹扤㜱攷ㄶ搵愱㐶㐹㈸㤲敤ㅡ㈹捤戲挵ㅣ㜷㤳慡ㄱ㑡㜱挷摡㐶㘴戹㑤㍢晢㑥㈹昲づㄴ㤳愲㤹㥣晥㘷㡡㔰㄰攸㡤㜴ㄴ㝤昶搹攴㤱㠸搸搰〶愸㔰㑦㠵㘵愳㔱㐸昰㌴慥㥤㌴㘴㈵㝡〲㝦敦㡢戲㡢慤㈰㔵㘳㕣㥤㠸㙡㘶㥡捤㐵〷㔶㐲摤昰ㅡ扢㠴愵戱戶㔰挳㈸敥ㅣ㔴晢㠷摢㥢㘰挴㠸つㄹㄶ挹昰〳㠳つ挱㕣㠹㠸㉡慤戳㔱㙥㜵扢戸捣愷㌳搲㜰ㄴ〶㤶㠳挶扣摣㔰㘶㔸挷㤲㥦㔰ㅤ摡愷㐵㈵㐷㜵㜳㘶搵㠷㑡て㈸挷愳㥣㘲㜰摤㍣㐷户ㄴ㉥㌱㐰散㐶戹愵㝡㠰搰㙥㝢〰㥥っ㜶て㜶戰㈳㘱攸㠴搶ㄹ㈵㘸㈹㠳㜰搳㡢㈰敦っ㠸㔱〸㔲㔳愵摦ㅤㄷ㝦晦ㄲ搳㌷㡦攷攲㑣挴㐴っ㜷㘵㔸て㐰㙥㌲㌲㐹㉥㥡㠸〳收愱㘴㔳㐲㙢㈴㉥愳㠹㌱㑡㤳捦ぢ㜰㡢㠷戱慣㌱戲㑤ㄳ昷摣〲ぢ摡戴戹戹捦㍣敤搴㥢慤㠶㔴慡㌸㤶搵㑡㈳敦ち㝣愹㉢㠰㈱㌷㘵散㑢戴㈹愷㜱㤴攲㤲㠹愴挱敤㙥晤㌸扡㉢㈱㠷㌱㐲搵挷〰㘴㠶㕢㑥〵挴㝡敥㈹搰㍥摣摦戹挰愰㉥捦㐱愴昵ㄴ㔱㤶㉤攰㍥㕥㍢㡡慣戸㉤搱㙣挱㕤㜰㘹戳㈷㡡㑥㔹㘱搱慥挰ㄱ搶ㄹち扣㔲〹挶挸㠰摣挱㐱㜲搷愲攸敥戵㘷搴㘳敥ㅡ㔰愱㌰㈰ㄸ攳攵㈹㈸㠷㕤〵㈳搱攰搶㍡㔶户㘰昴㤷㤶户㍥〳㈰ㄸ〶愶㐱㡢㤶愱㠱㌳㠷晣昶〶捥㙤㘸㤵ㄱ㈱㑤〶㔳ㄹ愳㥣㠰挳ㅥ㐸〳㌷昱㈰扤攲㐲〹〵〷搴挵戰昸㙥攲㤴㡤㈳㤰敢摤搰㔵戸㘴〴戸晥攲ㅣ散㉡㥥㘹㌴㘸敥挲㍦户㉢戰㡡慢ㅢ愱㌹㝡愰敢㔲㤶㕡ㄳ敤扢㍢扡㉡愲换㠲㐷收慢愷㡣愰扥戶ㅣ㙣㠶ㄷ户〶㈵㠹攲て攱㡦搸昲敤戴㤹ぢづ㉦愲㙥㜰敦㉢㤷ㅤ昷㡡愳收㔵昴㜹敢てㄴ㠲㉢㤴㐳㥣㘴㈵昷〷晣㔳㐹换ㄵ晦つ㈳敥㘴摡ㅣ愰攳㈰攱㌸㉡㠵搲㘰ㄲ昹っ㍡㠱敤摥扥㌵㐰㍡㌹搰㐵㈷㑡㄰散ㄱ㡡㜳改㕤㈳ㄴ昱慦㐰㉢㠹㈵㍣㤲㘳捦扦〱搶ㄷ㍦㐰〹ㄱ㡥攷㐸㡣ㄴ㙦㐷㉥〳㜵㑡㤰㐷㔷㍣㜸㈱攴晦て㤶㘲㙥摥㤲㥤晥ㄷ㤸㔹㝣扦ㅢ㐵户ㄲ㐵晦搲㠳㈲挱㙢㈰㡡㝦ㅦ㐵㈶㑥㐵㠶㘷摦㔶㈰㥣㙢摡㍢㠰扥攷ㄷ㝥晦てて愰ぢㄱ㜱㈸ㅢつ愱戶扢昰摣㌶ㄱ昲㍤㈶〲㠳昷捡㐴㌸㠳㡣㘰ㄴ㍦㌴ㄱ㈲ㅦ挸㈲ち戶㌷ㄱㄸ摢换㌰〴ㄳ愱搶㠴㕢㠳㈷戰ㅢ㙣晡挷㑥攱攲慤昴ㄱ捦㠷搲昲攷攰㤱扡戱户㜸挹昰っ晢愰㉡㍦改㐹㈸㌳㙦〵㌷戹㔵ㄷ昶戸㜹换ㅡ搵㘹ぢ㕦㐵散㘵摦昳愷散散晥㍡㌰ㄵ愶搰㝤㉦捡愲昴づ㍣㈵㠲攷㠶摣㕦ㅣ昸搶挹㕦㍣昵摣㜱摥㔶㡢㘸戵㜸ㅦ昲㠳㠴散㘹㑦㈰愸㥢戸㈸㜲㍤㍦捣㌹㠳㑦㤴慣昵愶㥣㌵㍣㘵〵昹扡ㅤ㘷㐳挲㑢㄰㘶㐸㝣扢挱挴挴扤㠷搰挴慣㜶戹㍢搵㠷㑤捡㐵㔸㑤㑣㕣昹昴攲戰愱攸慢挸〶戴㌶㡢摦㠱㉡㝡㥢ㄳ㐹㕢㠹㍣㜵㌲〹昱敤㙥㕤㜷㤴扡㉥㍣挸㌰散ㅦ㑢㈹挴ㅦ㐸㈱挹㠳っ㉦〴㈸㈹㜵づ㤹攲晤〰ㄹ㤱戵敥㄰㉦晤〱㝢㐲㐰戶㉦晤つ昸ㄱぢ㜶ㄱ㔸㡣㝤昱㠳㥥㘸㘹㡢挶慡㠹愱㕡㘵搳㉣㈳愳づ㉦㉣㤸㡥㑢㔳㤶捥ㄱ㤴敥搸ㅤ挵㤷㡣摡㘱攰㉤㘴散愲㑤㕦㕢挵㝥挴㘹攱收〷昴㑣㐹㈹っ㘷㍦㡢㜱㈰㔵㌱扡戰㘹㈵㉣㈲ㅣぢ戳敤㑥挳㔱ㄵ㜴㤶㜳㄰愷㔲〴晦昸愵㄰敢愷㍡㐳㕦摦㕤㐳ㅤ攷っ㘱㠱晣挱晥扡㌵㠳戱昱㔶㜲っ㈴散㡥㕡㤵挳敢攱攷搱㠵㡢捥〹扤㤳㔵捦攲㈸晥挴㥣㤵搷㝡昴㍦愳搷㡡戳㉥戰㌷挳搸㈹晤晦㈹ㄴ㙣慢晦〵㘳㙦ち㤱㥦㡥㌲㝣㈸㌲㝥戲㙤挸㠶㍢〲捦㌶㠲㌷敡㘰慣慢㉣㐳摥㘱㙥ㄹㅦ慦㠶搵㑡㠲挳敦㔵攸扥ㅡ搱敥㑢摢㜶戸慦〰㘴㙣愸昸つ㠸愰扥晤搳㜲㉢㍥摤㤶㍥㠳㡥〷捥㔸㜵捦昵㕤㌳㤸㕣㐶搰㜷㤲摦㥥㤹戰㜹㘶挴㍦㜷ぢ戵㍢戰ㄳ㈳㥦㐵㥦戳㡢㄰搸㘷㘵昰㙥挵㈲ㄹ㔹搸㔹㈴㠳摦㈱㡤㈷挲㑢搴づ晥㜵收㘳㉤愳㠹㑦㔷ㄷ攱敢っ㔸戴㉢㤴㕤攸㜱敥扥愱挱慤挳ㅤ慤㑦挲ㅦ㈴㥢㔵〴挷搴ㄲ㍥昳㔹敥㙢昷ㅥ愴摢㐶㙢昳搹㜲㌰㥦㕢愵昸㉡㜰扡戳户愴㐹㠶敦攴ㄷ挹ㄵ扤㐶㠸㑢晢挷昱㜷攷づ㕡㡥㌶〱㍡㡦㍥攸愶㈳㙣慡〹昷搹づ愲摦ㄷ搱㔵捣㄰攰愷ㅢ㔱㠶て㠲㕥㍥戲愲昸㐷㉣㡢っ㠰㝣慥㔴〷攸㑦搵㉦㙦㐵搵攳戱㐰ㄶ㍣㘳㤰ㅣ㉢攲敢㘸挸敤ち㤷つ㤶攰戲㠵㍡㑢㈰慦挷㍤㤰捦〹㥥㈵搴㐴晥づㅤ摡ㄳ戱㔰摡㝦㈲㝦扢搵㐴〴慤〰戵搰攴昸攳戱ㄶ搱㥢愸搶㙤〲㠷挰〵ㄸ愳㔸愴慣㈹㠵愱㠵ㅦ㄰㌳㐸晦ㄹ晤㝤攳昸敢慦㌱晤昶戸㔰㠲㄰㔵改挹㔳㄰慡挹扦㤰㥣扣㠷搲晥㤳晦捡㔶㤳ㅦ愷㡣攴㑣昴〰㘰㌴㉦㙡昸愳ㄶ搳㐲㠶晢挸㥦戸㐸㠰㕦㙡ㄶ攳〶㑡㔴摦㉢挸愰㉦㌷㕣戵扡㡡㑣摣户挸昵㘷㝣摣愳散㈳㕥㠴愴㉦愷ㄴ㍡㘳㑢愱㔶㉣摢㤱ㄷ㜶㔷挸〶㉣㠹㕦换昶ㄵ改愵〱㈳晣攲㡢㌱㘲㑥㥤㡡扦㥣搲愲㤸ㄳ〸㈳戴㐸㐹㍦摣㐸昱㠵戸昱㜷扦搷㜱㤹愲〲〹搴ㄳ㌶㈶㥤愹挶㥦㡦ㅢㅦ挱㔷㔹慡㑤㡥㌷〸㤸摥㠸ㅢ㤳ㅥ㔵攳攷攲挶扦㌹㜲戰摤㌸愶挳㜰攴㈲㠹㈴挳搶㔵搶㝦攲ぢ敤㌱㌴㉦㥡搴㥦挳㘶㔸㑣挹愹㐲挷㑤愵㐱㐷㜰ㄹ挴挳㌷搲ぢ戸摢㠴㉢㈰㄰戲攱晦㉡攱㌴敥㍣捤ㅢ㠱㠱㑦愰㌷㄰㙣昶㜴昵挴捥㈵㜳搱㐳挱㤰㜹摡挷㤹慡戱慢㐸〴收㐰㈱摣摦㙤㥣昲ㄹ愶㘳㘷㍦攲㈰㤹挶㍢㈴㠳㈹てㄵ㔸㈹㠸捦挵㤸捤㍤摢愱ㄹ晤ㄹ㈰〷搲ㄱ㤰ㄹ晤㔹挰㌰㄰挳摢捡戹㜱昲扦㘲敥捦戱攲㉦〹㥥〳愸〸㌲㍢改愰昴㜹㠰戱昸㝦㔴㌱戹愱晣㈵㥡㜸㉡㝥㔹㤲㡣昴㉦戲挳昳〰㜹戸㙦㐵㐴㠴ㄵ晤㑢㈸㐹扥㤴㠲㐳扤昴换慣昸㉢㠲慦〰㔴㡡㥣散㡥㜷㡤㙢ㅡ㔰㜳晤㌵扡㡡㘷〹昰搳㕦㠸㌲㝣㈸㜲ㅦ晥愴扦慤捣愳㜰晣㘱㍦㐲㥤愹㉦昸ㅦ挱ㄷ昹㥢㕣㜴ㅥ晦㐳㤲愲㌲散ぢ摡挷〷ㅢ㡢㑣㐰㥢㕣晤搶戱搹敦㘰ㅣ慥慢ㄳ㐱攱㠸㔴㉡㘵慤㈴㠸㙦㉥㔸戸㜸〳摦㜲㑣㔵〸㐱ㅡ㔰ㄵ㑥㔴㜱ㅣ〵晡㔷搹㤴㌸㈶㥥昴慦昱㠹愸㔵㥢昸㌷㔱㠶て㠲㜸㔵摤㥦㠸扡挷㉦㈴慥㔵㠵搵昵㐲攲㕦㔵慣㈵㕦昸ㄲ〷㔳挸㐲㈶慤㤵㠸㌴㐵㐳㕦㐷㘶㌴㍦挶戹㍤㡥㥦㜶㔵搴㉦㌶㉥㕥㝣㜳慣㌰㜹㜳攱㔳㥦ㄸ㜹改㡤晦昸攵㡢㍦晢昳㘳晦昳搶换㉦晦散㔷㉦扥昶搶て㔷㡦晤昸搵㔷㝦昴攸㍦扤昶换晤收㉢摡昷摥㕣㜸攵改改换㑦㍦㘹㥥扦敦攴搳㥦㝥攲戱改愵敢愶昲昹愱愱扢㈷㝥㜲搳㍤攳捦㍥昹㝤昱敦晦㝤愳㈳搴㜲昱㠲昴㌴戸㙣㌵㡤㝦㐰〶搳攰㡣摦搳㘹㜰戹㙡愳㔶愳㡤㥡㐵㐱ㄹ㍥つ㑥㐰㔵ㄸ改㡡攱㍦〲㍥户戰㌶</t>
  </si>
  <si>
    <t>DỰ ÁN QUẢ ÓC CHÓ TASMANIA</t>
  </si>
  <si>
    <t xml:space="preserve">Vòng đời </t>
  </si>
  <si>
    <t>CHI PHÍ ĐẦU TƯ</t>
  </si>
  <si>
    <t xml:space="preserve">Tài chính </t>
  </si>
  <si>
    <t>Kinh tế</t>
  </si>
  <si>
    <t>Thiết bị nông trại</t>
  </si>
  <si>
    <t>Số lương</t>
  </si>
  <si>
    <t>Giá</t>
  </si>
  <si>
    <t xml:space="preserve">Phương tiện </t>
  </si>
  <si>
    <t>(Đơn vị)</t>
  </si>
  <si>
    <t>($)</t>
  </si>
  <si>
    <t>Xây dựng</t>
  </si>
  <si>
    <t>Chi phí cố định</t>
  </si>
  <si>
    <t xml:space="preserve">     Thiết bị nông trại (đơn vị)</t>
  </si>
  <si>
    <t>Công suất sản xuất (năm)</t>
  </si>
  <si>
    <t>Phần trăm</t>
  </si>
  <si>
    <t xml:space="preserve">     Phương tiện (đơn vị)</t>
  </si>
  <si>
    <t xml:space="preserve">     Xây dựng (m2)</t>
  </si>
  <si>
    <t>2017+</t>
  </si>
  <si>
    <t xml:space="preserve">     Dự trữ phân bón (tấn)</t>
  </si>
  <si>
    <t>Thuế</t>
  </si>
  <si>
    <t xml:space="preserve">     Dự trữ thuốc trừ sâu (lít)         </t>
  </si>
  <si>
    <t xml:space="preserve">     Phụ tùng (đơn vị)</t>
  </si>
  <si>
    <t>Thuế nhập khẩu-thiết bị nông trại</t>
  </si>
  <si>
    <t xml:space="preserve">     Dự trữ nhiên liệu (lít)</t>
  </si>
  <si>
    <t>Thuế nhập khẩu- phụ tùng</t>
  </si>
  <si>
    <t>Thuế nhập khẩu - phương tiện</t>
  </si>
  <si>
    <t>Thuế nhập khẩu- óc chó</t>
  </si>
  <si>
    <t>Giá trị thanh lý</t>
  </si>
  <si>
    <t>Phục hồi đất</t>
  </si>
  <si>
    <t>2033</t>
  </si>
  <si>
    <t>CHI PHÍ VẬN HÀNH</t>
  </si>
  <si>
    <t>Đơn vị, $</t>
  </si>
  <si>
    <t>Tài chính</t>
  </si>
  <si>
    <t>Đơn vị</t>
  </si>
  <si>
    <t>Giá ($)</t>
  </si>
  <si>
    <t xml:space="preserve"> %</t>
  </si>
  <si>
    <t xml:space="preserve">   Thuê đất (Ha)</t>
  </si>
  <si>
    <t xml:space="preserve">   Chi phí đất đai</t>
  </si>
  <si>
    <t>re (thực)</t>
  </si>
  <si>
    <t xml:space="preserve">   Nhiên liệu (lít)</t>
  </si>
  <si>
    <t xml:space="preserve">   Thuế nhiên liệu</t>
  </si>
  <si>
    <t>Suất chiết khấu thị trường (dn)</t>
  </si>
  <si>
    <t xml:space="preserve">   Hạt giống (Kg)</t>
  </si>
  <si>
    <t xml:space="preserve">   Trợ cấp hạt giống</t>
  </si>
  <si>
    <t xml:space="preserve">   Phân bón (tấn)</t>
  </si>
  <si>
    <t xml:space="preserve">   Trợ cấp phân bón</t>
  </si>
  <si>
    <t xml:space="preserve">   Thuốc diệt côn trùng (lít)   </t>
  </si>
  <si>
    <t xml:space="preserve">   Trợ cấp thuốc diệt côn trùng</t>
  </si>
  <si>
    <t>Chi phí môi trường</t>
  </si>
  <si>
    <t xml:space="preserve">   Nước (ML)</t>
  </si>
  <si>
    <t xml:space="preserve">   Trợ cấp nước</t>
  </si>
  <si>
    <t>Vùng đệm (Ha)</t>
  </si>
  <si>
    <t xml:space="preserve">   Phụ tùng</t>
  </si>
  <si>
    <t xml:space="preserve">   Thuế phụ tùng</t>
  </si>
  <si>
    <t>Ảnh hưởng dân cư hạ lưu</t>
  </si>
  <si>
    <t xml:space="preserve">   Lao động phổ thông (ngày)</t>
  </si>
  <si>
    <t xml:space="preserve">    Chi phí lao động</t>
  </si>
  <si>
    <t>Giảm độ mặn</t>
  </si>
  <si>
    <t xml:space="preserve">   Hành chính (Administration)</t>
  </si>
  <si>
    <t xml:space="preserve">    Hành chính (Administration)</t>
  </si>
  <si>
    <t>Lợi ích-chi phí</t>
  </si>
  <si>
    <t xml:space="preserve">   Bảo hiềm (p.a.)</t>
  </si>
  <si>
    <t xml:space="preserve">   Bảo hiểm (p.a.)</t>
  </si>
  <si>
    <t xml:space="preserve">   Quản lý</t>
  </si>
  <si>
    <t>TỔNG (giá thị trường)</t>
  </si>
  <si>
    <t>TỔNG (giá ẩn)</t>
  </si>
  <si>
    <t>DOANH THU</t>
  </si>
  <si>
    <t>Số lượng (đơn vị)</t>
  </si>
  <si>
    <t>Óc chó</t>
  </si>
  <si>
    <t>Gỗ</t>
  </si>
  <si>
    <t>Lịch khấu hao</t>
  </si>
  <si>
    <t>Chi phí ($)</t>
  </si>
  <si>
    <t>Vòng đời (năm)</t>
  </si>
  <si>
    <t>$/pa</t>
  </si>
  <si>
    <t>Năm 1-7</t>
  </si>
  <si>
    <t>Năm 8-13</t>
  </si>
  <si>
    <t>Năm 14-20</t>
  </si>
  <si>
    <t>Phương tiện</t>
  </si>
  <si>
    <t>Tổng khấu hao</t>
  </si>
  <si>
    <t>TÀI TRỢ</t>
  </si>
  <si>
    <t>Số lượng ($)</t>
  </si>
  <si>
    <t>Lãi suất (p/a) (dn)</t>
  </si>
  <si>
    <t>Số kỳ (năm)</t>
  </si>
  <si>
    <t>Vay</t>
  </si>
  <si>
    <t>Thấu chi</t>
  </si>
  <si>
    <t>Thuế VAT (chi phí vốn)</t>
  </si>
  <si>
    <t>Nhà máy xử lý nước</t>
  </si>
  <si>
    <t>2035-2058</t>
  </si>
  <si>
    <t>Nhà máy, công trình và thiết bị</t>
  </si>
  <si>
    <t>Hệ thống kết nối đập</t>
  </si>
  <si>
    <t>2012-2034</t>
  </si>
  <si>
    <r>
      <rPr>
        <b/>
        <i/>
        <sz val="20"/>
        <color rgb="FF000000"/>
        <rFont val="Calibri"/>
        <family val="2"/>
        <scheme val="major"/>
      </rPr>
      <t>HAI PHƯƠNG ÁN</t>
    </r>
    <r>
      <rPr>
        <i/>
        <sz val="11"/>
        <color rgb="FF000000"/>
        <rFont val="Calibri"/>
        <family val="2"/>
        <scheme val="major"/>
      </rPr>
      <t xml:space="preserve">
</t>
    </r>
    <r>
      <rPr>
        <b/>
        <i/>
        <sz val="11"/>
        <color rgb="FF000000"/>
        <rFont val="Calibri"/>
        <family val="2"/>
        <scheme val="major"/>
      </rPr>
      <t>PHƯƠNG ÁN 1</t>
    </r>
    <r>
      <rPr>
        <i/>
        <sz val="11"/>
        <color rgb="FF000000"/>
        <rFont val="Calibri"/>
        <family val="2"/>
        <scheme val="major"/>
      </rPr>
      <t xml:space="preserve">: DWR TỪ CHỐI ĐỀ XUẤT CỦA AV VÀ THỰC HIỆN DỰ ÁN ĐẬP TRÊN SÔNG ELIZABETH
</t>
    </r>
    <r>
      <rPr>
        <b/>
        <i/>
        <sz val="11"/>
        <color rgb="FF000000"/>
        <rFont val="Calibri"/>
        <family val="2"/>
        <scheme val="major"/>
      </rPr>
      <t>PHƯƠNG ÁN 2</t>
    </r>
    <r>
      <rPr>
        <i/>
        <sz val="11"/>
        <color rgb="FF000000"/>
        <rFont val="Calibri"/>
        <family val="2"/>
        <scheme val="major"/>
      </rPr>
      <t>: DWR CHẤP THUẬN ĐỀ XUẤT CỦA AV VÀ XÂY DỰNG HỆ THỐNG NHÀ MÁY KHỬ MUỐI</t>
    </r>
  </si>
  <si>
    <t>DỰ ÁN CẤP NƯỚC ĐÔ THỊ Ở ĐÔNG NAM QUEENSLAND</t>
  </si>
  <si>
    <t>(ML/a)</t>
  </si>
  <si>
    <t>2011-2024</t>
  </si>
  <si>
    <t xml:space="preserve">     Lương nhân viên, nhân công</t>
  </si>
  <si>
    <t xml:space="preserve">     Năng lượng</t>
  </si>
  <si>
    <t xml:space="preserve">     Nguyên vật liệu</t>
  </si>
  <si>
    <t>Tỉ lệ</t>
  </si>
  <si>
    <t>CHI PHÍ HOẠT ĐỘNG (TỪ NĂM 2011)</t>
  </si>
  <si>
    <t>Thuế lương</t>
  </si>
  <si>
    <t>Hệ số tăng chi phí năng lượng</t>
  </si>
  <si>
    <t>Chi phí ngoại tác</t>
  </si>
  <si>
    <t>Cố định ($ million/pa)</t>
  </si>
  <si>
    <t>Chi phí biến đổi</t>
  </si>
  <si>
    <t>Đơn vị: Triệu $</t>
  </si>
  <si>
    <t>Biến đổi ($/ML)</t>
  </si>
  <si>
    <t>-</t>
  </si>
  <si>
    <t>Đầu tư ban đầu</t>
  </si>
  <si>
    <t>(triệu $/a)</t>
  </si>
  <si>
    <t>Môi trường</t>
  </si>
  <si>
    <t>Cải thiện vốn</t>
  </si>
  <si>
    <t xml:space="preserve">          Thuế lương @3%</t>
  </si>
  <si>
    <t>2011-2016</t>
  </si>
  <si>
    <t>2017-2022</t>
  </si>
  <si>
    <t>2023-2028</t>
  </si>
  <si>
    <t>2029-2034</t>
  </si>
  <si>
    <t xml:space="preserve">          VAT @2%</t>
  </si>
  <si>
    <t xml:space="preserve">          VAT @10%</t>
  </si>
  <si>
    <t>CHI PHÍ ĐẦU TƯ BAN ĐẦU</t>
  </si>
  <si>
    <t>TÀI CHÍNH (TRIỆU $)</t>
  </si>
  <si>
    <t>Nhà máy 1</t>
  </si>
  <si>
    <t>Nhà máy 2</t>
  </si>
  <si>
    <t>Nhà mày 3</t>
  </si>
  <si>
    <t>Nhà máy 4</t>
  </si>
  <si>
    <t>Đường hầm và cơ sở hạ tầng biển</t>
  </si>
  <si>
    <t>Nhà máy, công trình, thiết bị</t>
  </si>
  <si>
    <t>KINH TẾ (TRIỆU $)</t>
  </si>
  <si>
    <t>THUẾ VAT</t>
  </si>
  <si>
    <t>Thuế VAT (đầu tư ban đầu)</t>
  </si>
  <si>
    <t>Nhà máy 1 và 3</t>
  </si>
  <si>
    <t>Nhà máy 2 và 4</t>
  </si>
  <si>
    <t>Vốn chủ sỡ hữu</t>
  </si>
  <si>
    <t xml:space="preserve">     Thời gian trả nợ</t>
  </si>
  <si>
    <t xml:space="preserve">     Lãi suất (thực)</t>
  </si>
  <si>
    <t>($/ML)</t>
  </si>
  <si>
    <t>DWR</t>
  </si>
  <si>
    <t xml:space="preserve">     Lãi suất (dn)</t>
  </si>
  <si>
    <t>Bán nước</t>
  </si>
  <si>
    <t>Bán nhà máy</t>
  </si>
  <si>
    <t>$/ML</t>
  </si>
  <si>
    <t>Triệu $</t>
  </si>
  <si>
    <t>Đơn vị: ML/a</t>
  </si>
  <si>
    <t>Giai đoạn</t>
  </si>
  <si>
    <t>Ngân lưu vay vốn</t>
  </si>
  <si>
    <t xml:space="preserve">     re (thực)</t>
  </si>
  <si>
    <t>Vốn nâng cấp</t>
  </si>
  <si>
    <r>
      <rPr>
        <b/>
        <i/>
        <sz val="20"/>
        <color rgb="FF000000"/>
        <rFont val="Calibri"/>
        <family val="2"/>
        <scheme val="major"/>
      </rPr>
      <t>HAI PHƯƠNG ÁN</t>
    </r>
    <r>
      <rPr>
        <i/>
        <sz val="11"/>
        <color rgb="FF000000"/>
        <rFont val="Calibri"/>
        <family val="2"/>
        <scheme val="major"/>
      </rPr>
      <t xml:space="preserve">
</t>
    </r>
    <r>
      <rPr>
        <b/>
        <i/>
        <sz val="11"/>
        <color rgb="FF000000"/>
        <rFont val="Calibri"/>
        <family val="2"/>
        <scheme val="major"/>
      </rPr>
      <t>PHƯƠNG ÁN 1</t>
    </r>
    <r>
      <rPr>
        <i/>
        <sz val="11"/>
        <color rgb="FF000000"/>
        <rFont val="Calibri"/>
        <family val="2"/>
        <scheme val="major"/>
      </rPr>
      <t xml:space="preserve">: DWR TỪ CHỐI ĐỀ XUẤT CỦA AV VÀ THỰC HIỆN DỰ ÁN ĐẬP TRÊN SÔNG ELIZABETH
</t>
    </r>
    <r>
      <rPr>
        <b/>
        <i/>
        <sz val="11"/>
        <color rgb="FF000000"/>
        <rFont val="Calibri"/>
        <family val="2"/>
        <scheme val="major"/>
      </rPr>
      <t>PHƯƠNG ÁN 2</t>
    </r>
    <r>
      <rPr>
        <i/>
        <sz val="11"/>
        <color rgb="FF000000"/>
        <rFont val="Calibri"/>
        <family val="2"/>
        <scheme val="major"/>
      </rPr>
      <t>: DWR CHẤP THUẬN DỰ ÁN XÂY NHÀ MÁY KHỬ MUỐI CỦA AV</t>
    </r>
  </si>
  <si>
    <t>2025-2058</t>
  </si>
  <si>
    <t>Đường ống và trạm bơm</t>
  </si>
  <si>
    <t>Nhà máy</t>
  </si>
  <si>
    <t>Hồ chứa</t>
  </si>
  <si>
    <t>Lương nhân viên, nhân công</t>
  </si>
  <si>
    <t>Năng lượng</t>
  </si>
  <si>
    <t>Nguyên vật liệu</t>
  </si>
  <si>
    <t>Mức giá chung</t>
  </si>
  <si>
    <t>Giá năng lượng</t>
  </si>
  <si>
    <t>CHI PHÍ ĐẦU TƯ BAN ĐẦU (2009-2010) - Triệu $</t>
  </si>
  <si>
    <t>VỐN NÂNG CẤP (TRIỆU $)</t>
  </si>
  <si>
    <t xml:space="preserve">         VAT @2%</t>
  </si>
  <si>
    <t>Phân tích hiệu quả - chi phí ($/ML)</t>
  </si>
  <si>
    <t>Giá trị tài chính (sau VAT/thuế lương)</t>
  </si>
  <si>
    <t>Thuế VAT/lương</t>
  </si>
  <si>
    <t>Giá trị tài chính (trước VAT/thuế lương)</t>
  </si>
  <si>
    <t>2029-2058</t>
  </si>
  <si>
    <t>2011-2034</t>
  </si>
  <si>
    <t>Chi phí đất</t>
  </si>
  <si>
    <t>Thuế VAT/tiền lương</t>
  </si>
  <si>
    <t>Giá trị tài chính (trước VAT/tiền lương)</t>
  </si>
  <si>
    <t>Giá trị tài chính (sau VAT/tiền lương)</t>
  </si>
  <si>
    <t>Đường ống, máy bơm, hồ chứa</t>
  </si>
  <si>
    <t>Đường ống, máy bơm và hồ chứa</t>
  </si>
  <si>
    <t>Nhà máy 3</t>
  </si>
  <si>
    <t>Nhà máy 1 hoạt động</t>
  </si>
  <si>
    <t>Nhà máy 2 hoạt động</t>
  </si>
  <si>
    <t>Nhà máy 3 hoạt động</t>
  </si>
  <si>
    <t>Nhà máy 4 hoạt động</t>
  </si>
  <si>
    <t>Chuyển giao cho DWR</t>
  </si>
  <si>
    <t>Ngân lưu tài trợ</t>
  </si>
  <si>
    <t>Bán thiết bị khử muối</t>
  </si>
  <si>
    <t>Mua nước từ AV</t>
  </si>
  <si>
    <t>Mua thiết bị lọc muối của AV</t>
  </si>
  <si>
    <t>BÁO CÁO NGÂN LƯU THEO QUAN ĐIỂM AV</t>
  </si>
  <si>
    <t>BÁO CÁO NGÂN LƯU THEO QUAN ĐIỂM DWR</t>
  </si>
  <si>
    <t>c344aa33-a1c8-496c-8060-abfebccf436d</t>
  </si>
  <si>
    <t>㜸〱敤㕣㕢㙣ㅣ㔷ㄹ摥㌳摥㕤敦慣敤搸㡤搳愶㘹㑢㙢㈸愵㔰〷㌷㑥ㅢ摡〲㈱昸搲㕣㡡ㄳ扢戱㤳㠲㑡戵ㄹ敦㥥㠹愷搹㤹㜱㘷㘶㥤戸㔴戴㠲㤶㠲愰㈰㜱ㄳ㠵㜲㔱㠵㤰㜸攰昶挲晤〵〹〹㠴㡡挴〳㍣㈰昱搰㔶〸ㅥ㐰㈸ㄲ㐲攲〱〹扥敦捣捣敥捣慥㜷散㙥㕢㜰㤱㑦扡扦捦㥣摢㥣㜳晥敢昹晦㌳捤㠹㕣㉥昷㙦㈴晥㘵捡㌳㜳摤攲扡ㅦ㐸㝢㘲挶慤搷㘵㌵戰㕣挷㥦㤸昲㍣㘳㝤捥昲㠳㍥㌴㈸㔶㉣搴晢㠵㡡㙦㍤㉣㑢㤵㌵改昹㘸㔴挸攵㑡㈵㕤㐳㍤〷攱㙦㈴㝥搰搹㙢㌰て戰㌴㌳㍤扦晣㈰㐶㕤っ㕣㑦敥ㅦ㍢ㅢ昶㍤㍣㌹㌹㌱㌹㜱晢ㅤ㤳㙦㥢㌸戰㝦㙣愶㔱てㅡ㥥㍣散挸㐶攰ㄹ昵晤㘳ぢ㡤攵扡㔵㝤㡦㕣㕦㜲㉦㐸攷戰㕣㍥㜰摢戲㜱晢㥤㤳户ㅦ㍡㘴摥㜵搷㥤㠳㜸㜵敥搴捣昴㠲㈷㑤晦ㄵㅡ戳挰㈹摦㍥㉢慢ㄶ搷㈶愵㘷㌹攷㈷㘶愶昱㕦㘲晥㜸扡㘳㘲㜱㐵捡㠰慦㤶㥥㜴慡搲搷搱㜱挰㥥昲晤㠶扤捡捤搳敤愳㔸㙡搵昰㠳㠲㍤㈳敢㜵摤㡥㐷㉤搹昳搸扢扡戱㍥㘸㉦㑡挷户〲㙢捤ち搶㡢昶ㄲ〶慡つ搹㘷㝣㜹摡㜰捥换㔳㠶㉤ぢ昶戱㠶㔵换㠷㈹搷㜷㜳㍣㐴㜲㘲㙡昹ㄳ㔳扥㍤戳㘲㜸㙡㐶㍥㌷㈶愳敤㔱慦㥡㙥㝢㘳昷㜱㌹㜵昵〶㡥㜹㔳昷㜶愸㌹㙢㜸捤㤶攳摤㕢㐶㡢㑦捦攰搶敥敤ㄳ㝢㤴敥昳㤶敥㝤搴㔶愶㕢㡢㠱㠸扥搵㡥㘲㌱㝡㤱愰㥦愰㐴㐰〴敡㘵㠲〱㠲㐱〰㤱晦㍢戸㈴搹㤱㔵㕡挵搰㉡换㕡愵慡㔵㙡㕡㐵㙡ㄵ㔳慢㥣搷㉡㉢㕡挵搲㉡て㙡㤵ぢ㘸ㄳ愷㔲㝦扦ㄶ愵扤ㅦ晣挱ぢ㝢晥㔱㥣晢㔶戹晥昵㜷㍣㌴ㅦっ敥㐲愳㝢愳㐹捤㝡挶㐵㤰㕡㡢㡡て㑥ㅣ攰扦捤戹〲㑣㘱ㅥ㌲敦㌰㈷㈷㙢㠷づㄸ户ㄹ〵㉥㉢〳昹㈹㐲ㄹ㐱摢㐱昳㍥换愹戹ㄷㄵ敥慥㥢㌶㝣搹摡戸昱愸㙥摡㙤㌸㌵晦摡㡤㉢ㄷ〳㈳㤰搷戴搷戵〶改攸戶〸戶㤲扥㝡摦昵敤摤捥ㅡ昵㠶㥣扡㘴㠵搵慦㙢慢戶ㄷ㍣㜷戹㝢敤㔱㑦㍥搴慣敤㤸搱ㄴ㠴摡㥡ㅡ扢㘳㤵㘱㔵㌸慦戱㤹ㄵ搷㤷㡥㥡摥戸扤㘰㔵㉦㐸㙦㔱㔲㈴捡㥡㕡敡㤵慣㡡戸㝥㝣摥挱㐲挱慤戵㌷㈴㑢捤扢㉦〵㘰㘶㔹挳㝣㔷愵ㄷ慣㉦ㄹ换㜵㜹㔵慡㐹昸㑥㔴散㑢ㄵㅦ㜵慢つ㝦挶㜵〲捦慤愷㙢愶㙡㙢〶㈴㑤敤愴㕢㤳昹㝣㑥〹〵〸摣扥㍥㈱㜲户㜴攷〵㠵㠸〴㡡挹挸㔷愷挹㙥攲㌴㔶㠷㔵搴㈵㘹㔲㝢攳㈶㠳㜱扥㑡挶㘴㜰㘰㘲㑤搴ㅦ㝣改㥢㌷ㄹ戶㠹戹㔷户戱愶㡤㐶慢扦㝢㑤㍡挱㜱挳愹搵愵㤷愹晤〴㘷愴て〳ㄴ㉥㐳㈰㜴摤㍤慡㍡㜱㐹慣ㄷ㉥㕡戵㘰愵戸㈲慤昳㉢〱捡愰㈱㑢㈵㙥㙤㐷搲慦㐰㤱扥㥢㘰ㄴ愰㕣捥ㄵ昷戰㔱戱㡣㤴㉢㔰㍡㘵昰㜲㑡㤰戳㕦㡡㤷〷捤愳㔶㍤㤰愱㔰ㅥ㌶㠱㤱㔰慢㈹昴つ㤱㐴㍤愳ㅡ㉡㡣㍤收っ愸搴戰㥣㘰扤挵户ㅤ㕣ㄲㄲ搱㡥㉣搸㜶戲㠰愲㈰㉤て㌲㜸つ㐴搳㈶つ戲ㅢ㈷㠸㠸㙣㤰愱搹㌱㜲㥡挸搸㍥㐳㐶愰㝤㤲〸搹晡㐰㜷ㄹ㐱㘲敦㈴㔲㜶敡捡㡦㍢搲㙣㈳㕢㍥㤴㘶㔷㘲攳昴慢〸昶ㄲ㕣㑤戰て㐰晣〹ㄲ㡥㔲づ昹㜴搲慦挵戳㝥ㅤ挱敢〰㈰㥦㜴捡㥣㐸㔴搱㠶摡㡡ㅤ挹㜶㐳戰㤳㤵㔱ㅣ㡡㈲㕡挶㑤㍢㜳挸㔶㠸㡥慣捥敤愱㙢昳㑡挷扥愹㍢㙤㈶㤷㐳㡡捣㘸㥡㕣敢㈶㑤㤳ㅢ挱愶㍤敡慤ㅢ搰㔵ㅦ㈳㜸㍤㐰㔹㝦〳㈱㤴ぢつ摥慤㔹昴㌴㈹㕦ㄳ㘶㔱㘸っ昵愸攰㈳㐲收ㄱ㈰㐳挸㜵ㅣ㕦㜶㙣㘸㥡㠳攳收㙢摥㠶摥摦㥤扦㈳愴户改捤ㅤ扤㐳㝦搱㑢戴愲㙦〴㝢㠹㍦㜴搵㌱㌷愱㕡㝦ㄳ挱捤〰㙤㍡㠶愷敦㤷敡㈹㔰㘶戱㥤挰摣㙥㝡㕤㤴㤵扢戴扥㉡㤵〶ㅡ㌴㤷っ敦扣っ攰挱㌸㌱ぢ㕢搸昵㍣㔹挷愱戶愶ち㜸㝥搹㥢㉥昴㡦㝡慥捤昲ㅤㅢ搹㝦㑤㈸㠶㝣㕥敢换戵搹挸ㄹ戶㘶挲攷㤴愰ㅣ敡攰摢扡ぢ㠹㐴愷㌴㜹戱㕦昶昹㜲㐷㤲昴㈰㐹摥㠲㙤搵㙦〱㠰㤴㄰扦敢㉡㔱昶戳搹㕢㔵戳戴挵㑡て㕦挶改愴捤㠷搸㈱㐷〶㐲㠷敤㌴晣〷晥㤰扤㘸搹㑤㘱㌱㘰㉦㐸慦ち摦㠲㔵㤷攵搰㉤㑢㔱戳㈳㉢㕥㈳戲愲慦慦攳㍣㥤攱㕦㔳㜴搲㈶㈵㌲戹㍤戳㌲攳㉣摥㈲㉡扡㈱㈹㔴㌲㕣㐳㑤〹㐴捡㘳摢ㅤㄱ搳㠳㠸戹ㄵㅢ愷ㅦ㈰㤸㈴㌸〸㔰昸㌵㈴捤㔶㌷㥥攱戰晥㌵扡戴㉢㤵㕣㠹㘸㔰㉥挲攷扡ち慢㐳㝣捤摢〸敥〰㘸㌳㝦攸㠰捣㈰㐴㠵昲〴㈱慡㌰㠶㜹搶㤲ㄷ㐹〳扢㑣〴㤶㘶ㅡ㝥攰摡㡣㉣つ㤹戳敥㈹㌷㤸戵晣㔵㐴愲㐶捤㈸㜳摦㡡㜴㐰㕤ㅥ㙣㥦戶㌲㜷㜵㔵搶㜴㜳搱㙤㐰戴㥤㤸摤づ〷㜳㙣〷㙣㐹㜵㌶搷〴㔲㙦攷㘳っ㈱戰搳捡摦㑡㙦散㤶扣摦㍣昴つ户㜶㜴挹ち敡㜲挰っ㤹㡥昹㤲㠹㕤㐴攴愰搶㙦㉥慤㜸㔲捥づ㤹挷㍣慢㔶户ㅣ㐹㘴挰挶㘴戰㙥㑥㥥㐷㤴㘰挱㘵っ搰㜵㠶捣㈵捦㜰晣㔵㠳〱挵昵摤愹㈷ㄵㄶ㈹㤸搳㤶攳攳㌵ち㡢捣て㥢㡢㉢敥㐵㐴㙣ㅢ戶㜳捣㔸昵户〵㔶㐸昴㘱㔲愸ㄱ㥡搰㌴㔱搲㑡扤攲㠷〷昲㕣㡥扣㤷㈷㔰戸捡ㄵ攸㌳捦搰摥戴敢愳ㄸつ敤㜴捥㘹㄰搱愳㘶㘱㕦愶ㄴ㈶愷敡㜷戱捦摢〱敥㌹㜶收㐴㉢㌲昷戲㘲搶〵㝡昹㌳㘴扣㈲㡢㘶㈰㠴㍥扡㕤㈱愹戰㡣㤴〳づ〴挶昹搴㑥㝥㘵㔳戵㈱昵敤㙡㘵㡦㈲㤲㌴㘸捥ㄹ换戲㡥㜸戴㙤〴扢挲〷㥡戱戶㔱昷愳扡ㄹ搷戶つ㤲ㄶ挹㜲戱㙡㤰㠲愷ㅡ㠱㝢搲㜲㜴ㄳ㐰搱㕦㔴㘴㕣㐲㤱㜱㐹ㄵつ㥡愷ㄹㅡ㔴㜹㡥攵㥥㌷㍣㉢㔸戱慤㙡㠹てっ摦㙤ぢ㥡〴㤳㔳昲挶㈹㤶ㄹ㘳㙤搶晣ㄹ㤸㙣晥〴搰㍤〱㌹捡慤㈳晡㐱戹㥡㈸攲㥦攸搱戱〴〱愳㍣愵晡㍢㌱㕡㐱摤㡥㠰挸㔱改㜲㝣〷攳昲愳㈸〹㠵㄰戱㥥㐱㈲昰ち㈶㠴㍣㕤摣㐵昳㡣㘳〵挰ㅥ㌱㜶搴ち㘶㝤愰ㅣ〰㔹㜵扣扤㐶㘱㌵搱㘹扣愹ㄵ㙥攸慣㑡愹㠹敢㍢敢㤳㝡攳㡤ㅢ㔴㠷ㅡ㈵愱㐸㌶㙢愴㌴换〶㜳摣㑥慡㐶㈸挵ㅤ㙢ㅢ㤱攵㌶㙤敤㍢愵挸换㔰㑣㡡㘶㜲晡扢ㄴ愱㈰搰ㅢ改㈸晡散戳挹㈳ㄱ戱愱つ㔰愶㥥ち换㠶愲㤰攰〹㕣㍢愹挹㜲昴〴晥摥ㄵ㘵攷ㅢ㐱慡挶戸㌴ㅡ搵㑣搵敢昳づ慣㠴慡攱搵戶〹㑢㘳㙤愱㠶㔱摣搹慢昶て户㌷挱㠸ㄱㅢ㌲㉣㤲攱〷〶ㅢ㠲戹ㄲㄱ㔵㕡㘷㐳摣敡㘶㜱㠹㑦㈷愵攱㈸っ㉣〶戵㔹戹愶捣戰㤶㈵㍦慡㍡㌴㑦㡢㑡㡥敡收搴戲て㤵ㅥ㔰㡥㐷㌹挵攰扡㜹㥡㙥㈹㕣㘲㠰搸㡤㜲ぢ搵〰愱摤收〰㍣ㄹ㙣ㅦ散㘰㐷挲搰〹慤㌳㑡搰㘲〶攱愶ㄷ㐱摥改ㄱ愳㄰愴愶㑡㝦㍢㈲扥昸㌴搳㌷㡦攴攲㑣挴㐴っ㜷㘵㔸て㐰㙥㌲㌲㐹㉥ㅡ㡤〳收愱㘴㔳㐲㙢㌰㉥愳㠹㌱㐴㤳捦ぢ㜰㡢㠷戱慣㘱戲㑤ㅤ昷摣〲ぢ摡戴扥扥换㍣攱㔴敢㡤㥡㔴慡㌸㤶搵㑡㈳㙦ぢ㝣愹㉢㠰㈱㌷㘵散㑢戴㈹㈷㜰㤴攲㤲㠹愴摥敤㙥晤〸扡㉢㈱㠷㌱㐲搵挷〰㘴㠶㕢㑥〵挴㍡敥㈹搰㍥摣摤扡挰愰㉥捦㐱愴㜵ㄴ㔱㤶捤攱㍥㕥㌳㡡慣戸㉤搱㙣捥㥤㜳㘹戳㈷㡡㡥㕢㘱搱戶挰ㄱ搶ㄹち扣㘲ㄱ挶㐸㡦摣挱㐱㜲㤷愳攸敥攵㐷搵㘳敥㌲㔰愱㌰㈰ㄸ攳攵㈹㈸㠷㕤〵㈳搱攰搶㕡㔶户㘰昴㤷㤶户㍥〵㈰ㄸ〶愶㐱㡢㤶愱㠱㌳㠳晣收〶捥つ㘸㤵ㄱ㈱㑤〶㔳ㄹ愳ㅣ㠵挳ㅥ㐸〳㌷昱㈰扤攴㐲〹〵㝢搴挵戰昸㙥攲戸㡤㈳㤰敢㕤搵㔶戸㘰〴戸晥攲散㙢㉢㥥慡搵㘸敥挲㍦户㉤戰㡡慢ㅢ愱㌹扡愷敤㔲㤶㕡ㄳ敤扢ㅢ摢㉡愲换㠲〷㘷㈷㡥ㅢ㐱㜵㘵㌱㔸て㉦㙥昵㑡ㄲ㠵㥦挲ㅦ戱攱摢㘹㌳攷ㅤ㕥㐴㕤攳摥㤷㉦㌸敥㐵㐷捤慢攰昳搶ㅦ㈸〴㔷㈸晢㌹挹㜲敥摦昸愷㤲㤶㉢晣〴㈳㙥㘵摡ㅣ愰攵㈰攱㌸㉡㠵搲㘰っ昹っ㍡㠱敤摥扣㌵㐰㍡搹搳㐶㈷㑡㄰散㄰㡡㜳晥ㄵ㈳ㄴ昱㘳愰㤵挴ㄲㅥ挹戱攷摦〰敢㡢ㅦ愱㠴〸挷㜳㈴㐶ち慦㐷㉥〳㜵㑡㤰㐷㔷㍣㜸㈱攴晦〷㑢㌱㌷㙦挸㑥晦〵㘶ㄶ㍦㙣㐷搱昵㐴搱て㍡㔰㈴㜸つ㐴昱敦㍤挸挴愹挰昰散㑢ち㠴㜳㑤㍢〷搰㔷晤挲敦晦昰〰㍡ㄷㄱ㠷戲搱㄰㙡扢〹捦㑤ㄳ愱慦挳㐴㘰昰㕥㤹〸㈷㤱ㄱ㡣攲㠷㈶㐲攴〳㤹㐷挱收㈶〲㘳㝢ㄹ㠶㘰㈲搴㥡㜰㙢昰〴㜶㤵㑤晦搸㜱㕣扣㤵㍥攲昹㔰㕡晥っ㍣㔲㝢㍢㡢ㄷっ捦戰昷愹昲㘳㥥㠴㌲昳㤶㜰㤳㕢㜵㘱㡦㙢㌶慣㔱㥤㌶昰㔵挴㕥昶ㅤ㝦捡搶敥慦〳㔳㘱ち摤昷愲㈴㡡㉦挳㔳㈲㜸㙥挸㝤㘰捦户㡦扤昰昰攳㐷㜸㕢㉤愲搵挲㉤挸昷ㄲ戲愷㍤㠱愰㙥攲愲挸㤵晣㌰攷㈴㍥㔱戲㔶敢㜲摡昰㤴ㄵ攴敢㜶㥣つ〹㉦㐱㤸㈱昱㙤〷ㄳㄳ昷ㅥ㐲ㄳ㜳愲捤摤愹㍥㙣㔲㉥挲㠹挴挴㤵㑦㉦づㅢ㡡慥㡡慣㐷㙢戳昰㕤愸愲㤷㌸㤱戴㤵挸㔳㈷㤳㄰摦㘹搷㜵㠷愸敢挲㠳っ挳晥戱㤴㐲晣㠱ㄴ㤲㍣挸昰㐲㠰㤲㔲愷㤱㈹摣ち㤰ㄱ㔹㙢て昱搲ㅦ戰㈳〴㘴昳搲㕦㡦ㅦ戱㘰ㄷ㠱挵搸ㄷ摦敢㠹㤶戶㘸慣㥡ㄸ慡㔵㌶捤㈲㌲敡昰挲㠲挹戸㌴㘵改ㅣ㐴改㤶摤㔱㝣挹㤰ㅤ〶摥㐲挶㉥搸昴戵㤵敤扢㥤〶㙥㝥㐰捦ㄴ㤵挲㜰㜶戳ㄸ〷㔲ㄵ愳ぢ㥢㤶挳㈲挲攱㌰摢散㌴㄰㔵㐱㘷㌹晢㜰㉡㐵昰㡦㕦ち戱㝥扣㌵昴㤵敤㌵搴㜱㑥㍦ㄶ挸ㅦ散慦敢㌳ㄸㅢ㙦㈵挷㐰挲㙥愹㔵㈹扣ㅥ㝥〶㕤戸攸㥣搰㕢㔹昵㉣づ攱㑦捣㔹㝤㕡㠷晥㘷昴㕡㜱搶㔹昶㘶ㄸ㍢愵晦摦㡢㠲㑤昵扦㘰散㑤㈱昲㝤㔱㠶て〵挶㑦㌶つ搹㜰㐷攰搹㐶昰㐶ㅤ㡣㜵㤵㘵挸㍢捣㉤攲攳搵戰㕡㐹㜰昸扤昲敤㔷㈳㥡㝤㘹摢づ㜴ㄵ㠰㡣つㄵ扥〱ㄱ搴戵㝦㕡㙥挵愷摢攲晤攸戸攷愴㔵昵㕣摦㌵㠳戱㐵〴㝤挷昸敤㤹〹㥢㘷㑡㝣扤㕤愸摤㠸㥤ㄸ㝣〰㝤㑥捤㐳㘰㥦㤲挱㉢ㄵ㡢㘴㘴㘱㙢㤱っ㝥㠷㌴㤲〸㉦㔱㍢昸㔷㤸昷㌶㡣㍡㍥㕤㥤㠷慦㌳㘰搱戶㔰㜶愱挷戹晤㠶〶户づ㜷戴摥〳㝦㤰慣㑦㈰㌸愶㤶㜰晦〳摣搷昶㍤㐸户㡤搶收戳㘵㙦㍥户㜲攱㔹攰㜴㙢㙦㐹㤳っ摦挹㉦㤲换㝡㠵㄰㤷昶㡦攰敦搶ㅤ戴ㅣ㙤ㄴ㜴ㅥ㝤搰㑤㐷搸㜸ㅤ敥戳㉤㐴扦捦愱慢㤸㈲挰㑦㌷愲っㅦ〴扤㝣㘴㐵昱ㄵ㉣㡢っ㠰㝣慥㔸〵攸㑥搵捦㙣㐴搵㈳戱㐰ㄶ㍣㘳㤰ㅣ换攲㑢㘸挸敤ち㤷つ㤶攰戲㠵㍡㑢㈰慦挷㍤㤰捦〹㥥㈵搴㐴扥㠰づ捤㠹㔸㈸敤㍥㤱捦㙦㌴ㄱ㐱㉢㐰㉤㌴㌹晥㐸慣㐵昴㍡慡㜵㥢挰㈱㜰〱㠶㈹ㄶ㈹㙢㡡㘱㘸攱㐷挴っ搲㙦愲扦捦ㅦ昹昵㜳㑣㝦㍤㈲㤴㈰㐴㔵㝡昲ㄴ㠴㙡昲㥦㑡㑥摥㐳㘹昷挹㍦戵搱攴㐷㈸㈳㌹ㄳ㍤〰ㄸ敡ㄳㄵ晣㔱㡢㘹㈰挳㝤攴㑦㥣㈳挰㉦㌵㡢ㄱ〳㈵慡敦㐵㘴搰㤷ㅢ慥㕡㕤㐲㈶敥㕢攰晡㌳㍥敥㔱昶ㄱ㉦㐲搲㤷㔳っ㥤戱挵㔰㉢㤶散挸ぢ扢㉤㘴〳㤶挴慦㘵扢㡡昴㘲㡦ㄱ㝥昱㘴㡣㤸攳挷攳㉦愷戴㈸收〴挲〸㉤㔲搲て㌷㔲㝣㈴㙥晣扤敦户㕣愶愸㐰〲昵㠴㡤㐹㘷慡昱ㄳ㜱攳㠳昸㉡㑢戵挹昱〶〱搳昳㜱㘳搲愳㙡晣㜸摣昸㉦〷昷㌵ㅢ挷㜴ㄸ㡥㕣㈰㤱㘴搸扡捡晡㑦㝣愱㍤㡣收〵㤳晡㜳挰っ㡢㈹㌹㔵攸戸慥㌴攸㈰㉥㠳㜸昸㐶㝡づ㜷㥢㜰〵〴㐲㌶晣㕦㈵㥣挰㥤愷㔹㈳㌰昰〹昴ㅡ㠲捤㥥慥㥥搸戹㘸捥㝢㈸攸㌷㑦昸㌸㔳搵戶ㄵ㠹挰ㅣ挸㠷晢扢㠹㔳㍥挳㜴㙣敤㐷ㅣ㈴搳㜸㠷愴㌷攵愱〲㉢㜹昱愱ㄸ戳戹挷㕡㌴愳㍦ち攴㐰㍡〲㌲愳㍦〶ㄸ〶㘲㜸㕢㌹㌷㐲晥㔷捣晤㈱㔶㝣㤸攰㜱㠰戲㈰戳㤳づ㡡㑦〰っ挷晦愳㡡戱㌵攵㉦搱挴挳昱换㤲㘴愴㍦挹づㅦ〵攸㠳晢㔶㐴㐴㔸搶㍦㠶㤲攴㑢㈹㌸搴㑢㍦捥㡡㑦㄰㍣〵㔰㉥㜰戲㕢摥㌵慥愹㐷捤昵㐹㜴ㄵ㡦ㄱ攰愷㝦㉡捡昰愱挰㝤㜸㐷㜷㕢㤹㐷攱昸挳㝥㠴㍡㔳㕦昰摦㡤㉦昲搷戹攸㍥晣て㐹ち捡戰捦㙢㙦敦㙤㉣㌲〱㙤㜲昵㕢挵㘶扦㡣㜱戸慥㔶〴㠵㈳㔲愹㤴戴愲㈰扥戹㘰攱攲つ㝣换㘱㔵㈱〴㘹㐰㔵㌸㔱挵ㄱㄴ攸㥦㘱㔳攲㤸㜸搲㍦换㈷愲㔶㙤攲攷愲っㅦ〴昱慡扡㍦ㄸ㜵㡦㕦㐸㕣慢ち慢敤㠵挴扦慡㔸㐹扥昰㘹づ愶㤰㠵㑣㕡㉢ㄱ㘹㡡㠶扥㠴捣㔰摦㌰攷㜶ㅦ㝥摡㈵㔱㍤㔷㍢㜷敥㥦挳昹戱㙢昲敦㝤昷攰搳捦晦敡挵㑦晦昶晤㠷晦晣慦㘷㥥昹敤ㅦ㍦晤摣扦㝥扡㝣昸ㄷ捦㍥晢昳㝢扥晡摣㡢扢捤慦㘹摦晦攷摣搷ㅥ㤹扣昰挸㐳收㤹㕢㡥㍤昲扥〷敦㥤㕣戸㘲扣慦慦扦晦收搱㕦㕥晤收㤱挷ㅥ晡愱昸搹敦昷㍡㐲㉤ㄷ㉦㐸㑦㠳换㔶搳昸㌲㌲㤸〶㘷晣慡㑥㠳换㔵ㅢ戵ㅣ㙤搴㌴ち㑡昰㘹㜰〲慡挲㐸㔷っ晣〷攰㈶戲〹</t>
  </si>
  <si>
    <t>e279ecc4-4e25-4a2c-9bdc-6b232e9deb8b</t>
  </si>
  <si>
    <t>a930a620-0c81-47cc-86a9-b89af5fd6c9c</t>
  </si>
  <si>
    <t>㜸〱敤㕣㕢㙣ㅣ㔷ㄹ摥㌳摥㕤敦慣敤搸㡤搳㑢摡搲扡㉤愵㔰〷㌷㑥ㅢ㑡㠱㄰㝣㘹㉥挵㠹摤搸㐹㐱㠰㌶攳摤㌳昱㌴㍢㌳敥捣慣ㄳ㤷㑡慤愰攵㈲㈸㤵ち㐵ㄴ捡㐵ㄵ㐲攲㠵换ぢ㜷〹㈱㈱㠱㔰㤰㄰〲㈱㈴ㅥ㑡㠵攰〱㠴㈲昱挲〳ㄲ㝣摦㤹㤹摤㤹㕤敦搸摤戶攰㈲㥦㜴㝦㥦㌹户㌹攷晣搷昳晦㘷㥡ㄳ戹㕣敥摦㐸晣换㤴㘷收晡挵㜵㍦㤰昶挴㡣㕢慦换㙡㘰戹㡥㍦㌱攵㜹挶晡㥣攵〷㝤㘸㔰慣㔸愸昷ぢㄵ摦㝡㔸㤶㉡㙢搲昳搱愸㤰换㤵㑡扡㠶㝡づ挲摦㐸晣愰戳搷㘰ㅥ㘰㘹㘶㝡㝥昹㐱㡣扡ㄸ戸㥥摣㌷㜶㈶散㝢㘸㜲㜲㘲㜲攲慥扢㈷摦㌲戱㝦摦搸㑣愳ㅥ㌴㍣㜹挸㤱㡤挰㌳敡晢挶ㄶㅡ换㜵慢晡㙥戹扥攴㥥㤷捥㈱戹扣晦捥㘵攳慥户㑥摥㜵昰愰㜹捦㍤㙦ㅤ挴慢㜳㈷㘷愶ㄷ㍣㘹晡慦搰㤸〵㑥昹慥㔹㔹戵戸㌶㈹㍤换㌹㌷㌱㌳㡤晦ㄲ昳挷搳摤ㄳ㡢㉢㔲〶㝣戵昴愴㔳㤵扥㡥㡥〳昶㤴敦㌷散㔵㙥㥥㙥ㅦ挱㔲慢㠶ㅦㄴ散ㄹ㔹慦敢㜶㍣㙡挹㥥挷摥搵㡤昵㐱㝢㔱㍡扥ㄵ㔸㙢㔶戰㕥戴㤷㌰㔰㙤挸㍥敤换㔳㠶㜳㑥㥥㌴㙣㔹戰㡦㌶慣㕡㍥㑣戹扥摢攲㈱㤲ㄳ㔳换㥦㤸昲敤㤹ㄵ挳㔳㌳昲戹㌱ㄹ㙤㡦㜸搵㜴摢㕢扡㡦换愹慢㌷㜰捣㕢扢户㐳捤ㄹ挳㙢戶ㅣ敦摥㌲㕡㝣㝡〶㜷㜴㙦㥦搸愳㜴㥦㌷㜵敦愳戶㌲摤㕡っ㐴昴慤㜶ㄴ㡢搱㡢〴晤〴㈵〲㈲㔰㉦ㄳっ㄰っ〲㠸晣㍦挰㈵挹㡥慣搲㉡㠶㔶㔹搶㉡㔵慤㔲搳㉡㔲慢㤸㕡攵㥣㔶㔹搱㉡㤶㔶㜹㔰慢㥣㐷㥢㌸㤵晡晢戵㈸㝤昳㤳搶敦㥥㌹㜵摤㠹ㅦ扦昸ㄷ晤搷摦晤敤愵挱㕤㘸㜴㝦㌴愹㔹捦戸〰㔲㙢㔱昱㠱㠹晤晣户㌹㔷㠰㈹捣㠳收摤收攴㘴敤攰㝥攳㑥愳挰㘵㘵㈰㍦㐵㈸㈳㘸㍢㘸㍥㘰㌹㌵昷㠲挲摤昵搳㠶㉦㕢ㅢ㌷ㅥ搵㑤扢つ愷收㕦户㜱攵㘲㘰〴昲摡昶扡搶㈰ㅤ摤ㄶ挱㔶搲㔷敦扢愱扤摢ㄹ愳摥㤰㔳ㄷ慤戰晡㜵㙤搵昶㠲攷㉥㜷慦㍤攲挹㠷㥡戵ㅤ㌳㥡㠲㔰㕢㔳㘳㜷慣㌲慣ち攷㌵㌶戳攲晡搲㔱搳ㅢ户ㄷ慣敡㜹改㉤㑡㡡㐴㔹㔳㑢扤㤲㔵ㄱ搷㡦捦㍢㔸㈸戸戵㜶㜳戲搴扣昷㘲〰㘶㤶㌵捣㜷㔵㝡挱晡㤲戱㕣㤷㔷愵㥡㠴敦㐴挵摥㔴昱ㄱ户摡昰㘷㕣㈷昰摣㝡扡㘶慡戶㘶㐰搲搴㑥戸㌵㤹捦攷㤴㔰㠰挰敤敢ㄳ㈲㜷㝢㜷㕥㔰㠸㐸愰㤸㡣㝣㑤㥡散㈶㑥㘱㜵㔸㐵㕤㤲㈶戵搷㙦㌲ㄸ攷慢㘴㑣〶〷㈶搶㐴晤挱㤷扥㜱㤳㘱㥢㤸㝢㜵ㅢ㙢摡㘸戴晡㝢搷愴ㄳㅣ㌳㥣㕡㕤㝡㤹摡㑦㜰㐶晡㌰㐰攱㌲〴㐲搷摤愳慡ㄳㄷ挵㝡攱㠲㔵ぢ㔶㡡㉢搲㍡户ㄲ愰っㅡ戲㔴攲搶㜶㈴晤ち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㡡攰㙡㠲㙢〸昶〲㠸㍦㐳挲㔱捡㈱㥦㑥晡㜵㜸搶慦㈷㜸ㅤ〰攴㤳㑥㤹ㄳ㠹㉡摡㔰㕢戱㈳搹㙥〸㜶戲㌲㡡㐳㔱㐴换戸㘹㘷づ搹ち搱㤱搵戹㍤㜴㙤㕥改搸㌷㜴愷捤攴㜲㐸㤱ㄹ㑤㤳㙢摤愴㘹㜲㈳搸戴㐷扤㜵㈳扡敡㘳〴㌷〱㤴昵㥢〹愱㕣㘸昰㙥捤愲愷㐹昹㥡㌰㡢㐲㘳愸㐷〵ㅦㄱ㌲㡦〰ㄹ㐲慥攳昸戲㘳㐳搳ㅣㅣ㌷㕦昳㌶昴扥敥晣ㅤ㈱扤㑤㙦敥攸ㅤ晡㡢㕥愲ㄵ㝤ぢ搸㑢晣愱慢㡥戹ㄵ搵晡ㅢ〸㙥〳㘸搳㌱㍣㝤扦㔴㑦㠱㌲㡢敤〴收㜶搳敢愲慣摣愵昵㔵愹㌴搰愰戹㘴㜸攷㘴〰て挶昱㔹搸挲慥攷挹㍡づ戵㌵㔵挰昳换搵改㐲晦㠸攷摡㉣摦戱㤱晤搷㠴㘲挸攷戵扥㕣㥢㡤㥣㘱㙢㈶㝣㑥〹捡愱づ扥戳扢㤰㐸㜴㑡㤳ㄷ晢㘵㥦㉦㜷㈴㐹て㤲攴㑤搸㔶晤㜶〰㐸〹昱摢慥ㄲ㘵ㅦ㥢扤㔹㌵㑢㕢慣昴昰㘵㥣㑥摡㝣㠸ㅤ㜲㘴㈰㜴搸㑥挳㝦攰て搹㡢㤶摤ㄴㄶ〳昶㠲昴慡昰㉤㔸㜵㔹づ摤戲ㄴ㌵㍢戲攲㌵㈲㉢晡晡㍡捥搳ㄹ晥㌵㐵㈷㙤㔲㈲㤳摢㌳㉢㌳捥攲㉤愲愲ㅢ㤲㐲㈵挳㌵搴㤴㐰愴㍣戶摤ㄱ㌱㍤㠸㤸㍢戰㜱晡㝥㠲㐹㠲〳〰㠵㕦㐲搲㙣㜵攳ㄹづ敢㕦愳㑢扢㔲挹㤵㠸〶攵㈲扣搴㔵㔸ㅤ攴㙢摥㐲㜰㌷㐰㥢昹㐳〷㘴〶㈱㉡㤴㈷〸㔱㠵㌱捣㌳㤶扣㐰ㅡ搸㘵㈲戰㌴搳昰〳搷㘶㘴㘹挸㥣㜵㑦扡挱慣攵慦㈲ㄲ㌵㙡㐶㤹〷㔶愴〳敡昲㘰晢戴㤵戹慢慢戲愶㥢㡢㙥〳愲敤昸散㜶㌸㤸㘳㍢㘰㑢慡戳戹㈶㤰㝡㍢ㅦ㘳〸㠱㥤㔶晥㔶㝡㘳户攴晤收愱㙦戸戵愳㑢㔶㔰㤷〳㘶挸㜴捣㤷㑣散㈲㈲〷戵㝥㜳㘹挵㤳㜲㜶挸㍣敡㔹戵扡攵㐸㈲〳㌶㈶㠳㜵㜳昲ㅣ愲〴ぢ㉥㘳㠰慥㌳㘴㉥㜹㠶攳慦ㅡっ㈸慥敦㑥㍤愹戰㐸挱㥣戶ㅣㅦ慦㔱㔸㘴㝥搸㕣㕣㜱㉦㈰㘲摢戰㥤愳挶慡扦㉤戰㐲愲て㤳㐲㡤搰㠴愶㠹㤲㔶敡ㄵ㍦㍣㤰攷㜲攴扤㍣㠱挲㔵慥㐰㥦㜹㠶昶愶㕤ㅦ挵㘸㘸愷㜳㑥㠳㠸ㅥ㌵ぢ晢㌲愵㌰㌹㔵扦㠷㝤摥〶㜰摦搱搳挷㕢㤱戹㤷ㄵ戳㉥搰换㥦㈱攳ㄵ㔹㌴〳㈱昴搱敤ち㐹㠵㘵愴ㅣ㜰㈰㌰捥愷㜶昲㉢㥢慡つ愹㙦㔷㉢㝢〴㤱愴㐱㜳捥㔸㤶㜵挴愳㙤㈳搸ㄵ㍥搰㡣戵㡤扡ㅦ搵捤戸戶㙤㤰戴㐸㤶㡢㔵㠳ㄴ㍣搵〸摣ㄳ㤶愳㥢〰㡡晥愲㈲攳㈲㡡㡣㡢慡㘸搰㍣挵搰愰捡㜳㉣昷㥣攱㔹挱㡡㙤㔵㑢㝣㘰昸㙥㕢搰㈴㤸㥣㤲㌷㑥戱捣ㄸ㙢戳收㑦挳㘴昳㈷㠰敥〹挸㔱㙥ㅤ搱て捡搵㐴ㄱ晦㐴㡦㡥㈵〸ㄸ攵㈹搵摦㠱搱ち敡㜶〴㐴㡥㑡㤷攳㍢ㄸ㤷ㅦ㐵㐹㈸㠴㠸昵っㄲ㠱㔷㌰㈱攴改攲㉥㥡愷ㅤ㉢〰昶㠸戱㈳㔶㌰敢〳攵〰挸慡攳敤戵ち慢㠹㑥攳㑤慤㜰㘳㘷㔵㑡㑤摣搰㔹㥦搴ㅢ慦摦愰㍡搴㈸〹㐵戲㔹㈳愵㔹㌶㤸攳㜶㔲㌵㐲㈹敥㔸摢㠸㉣户㘹㙢摦㈹㐵㕥㠶㘲㔲㌴㤳搳摦愹〸〵㠱摥㐸㐷搱㘷㥦㑤ㅥ㠹㠸つ㙤㠰㌲昵㔴㔸㌶ㄴ㠵〴㡦攳摡㐹㑤㤶愳㈷昰昷慥㈸㍢摦〸㔲㌵挶挵搱愸㘶慡㕥㥦㜷㘰㈵㔴つ慦戶㑤㔸ㅡ㙢ぢ㌵㡣攲捥㕥戵㝦戸扤〹㐶㡣搸㤰㘱㤱っ㍦㌰搸㄰捣㤵㠸愸搲㍡ㅢ攲㔶㌷㡢㑢㝣㍡㈱つ㐷㘱㘰㌱愸捤捡㌵㘵㠶戵㉣昹㔱搵愱㜹㕡㔴㜲㔴㌷愷㤶㝤愸昴㠰㜲㍣捡㈹〶搷捤㔳㜴㑢攱ㄲ〳挴㙥㤴㕢愸〶〸敤㌶〷攰挹㘰晢㘰〷㍢ㄲ㠶㑥㘸㥤㔱㠲ㄶ㌳〸㌷扤〸昲㑥㡦ㄸ㠵㈰㌵㔵晡晢㘱昱昹㘷㤹扥㝥㌸ㄷ㘷㈲㈶㘲戸㉢挳㝡〰㜲㤳㤱㐹㜲搱㘸ㅣ㌰て㈵㥢ㄲ㕡㠳㜱ㄹ㑤㡣㈱㥡㝣㕥㠰㕢㍣㡣㘵つ㤳㙤敡戸攷ㄶ㔸搰愶昵昵㕤收㜱愷㕡㙦搴愴㔲挵戱慣㔶ㅡ㜹㕢攰㑢㕤〱っ戹㈹㘳㕦愲㑤㌹㡥愳ㄴ㤷㑣㈴昵㙥㜷敢㠷搱㕤〹㌹㡣ㄱ慡㍥〶㈰㌳摣㜲㉡㈰搶㜱㑦㠱昶攱敥搶〵〶㜵㜹づ㈲慤愳㠸戲㙣づ昷昱㥡㔱㘴挵㙤㠹㘶㜳敥㥣㑢㥢㍤㔱㜴捣ち㡢戶〵㡥戰捥㔰攰ㄵ㡢㌰㐶㝡攴づづ㤲扢ㅣ㐵㜷㉦㍦慡ㅥ㜳㤷㠱ち㠵〱挱ㄸ㉦㑦㐱㌹散㉡ㄸ㠹〶户搶戲扡〵愳扦戴扣昵㈹〰挱㌰㌰つ㕡戴っつ㥣ㄹ攴㌷㌷㜰㙥㐴慢㡣〸㘹㌲㤸捡ㄸ攵㈸ㅣ昶㐰ㅡ戸㠹〷改㈵ㄷ㑡㈸搸愳㉥㠶挵㜷ㄳ挷㙤ㅣ㠱㕣敦慡戶挲〵㈳挰昵ㄷ㘷㙦㕢昱㔴慤㐶㜳ㄷ晥戹㙤㠱㔵㕣摤〸捤搱㍤㙤㤷戲搴㥡㘸摦摤搲㔶ㄱ㕤ㄶ㍣㌰㍢㜱捣〸慡㉢㡢挱㝡㜸㜱慢㔷㤲㈸晣〸晥㠸つ摦㑥㥢㌹敦昰㈲敡ㅡ昷扥㝣摥㜱㉦㌸㙡㕥〵㥦户晥㐰㈱戸㐲搹捦㐹㤶㜳晦挶㍦㤵戴㕣攱㠷ㄸ㜱㉢搳收〰㉤〷〹挷㔱㈹㤴〶㘳挸㘷搰〹㙣昷收慤〱搲挹㥥㌶㍡㔱㠲㘰㠷㔰㥣㜳慦ㄸ愱㠸ㅦ〰慤㈴㤶昰㐸㡥㍤晦ㅡ㔸㕦㝣ㅦ㈵㐴㌸㥥㈳㌱㔲戸〹戹っ搴㈹㐱ㅥ㕤昱攰㠵㤰晦ㅦ㉣挵摣扣㈱㍢晤ㄷ㤸㔹㝣慦ㅤ㐵㌷㄰㐵摦敤㐰㤱攰㌵㄰挵扦昷㈱ㄳ愷〲挳戳㉦㈹㄰捥㌵敤ㅣ㐰㕦昵ぢ扦晦挳〳攸㕣㐴ㅣ捡㐶㐳愸敤㔶㍣㌷㑤㠴扥づㄳ㠱挱㝢㘵㈲㥣㐰㐶㌰㡡ㅦ㥡〸㤱て㘴ㅥ〵㥢㥢〸㡣敤㘵ㄸ㠲㠹㔰㙢挲慤挱ㄳ搸㔵㌶晤㘳挷㜰昱㔶晡㠸攷㐳㘹昹㌳昰㐸㕤摤㔹扣㘰㜸㠶扤㔷㤵ㅦ昵㈴㤴㤹户㠴㥢摣慡ぢ㝢㕣扢㘱㡤敡戴㠱慦㈲昶戲敦昸㔳戶㜶㝦ㅤ㤸ち㔳攸扥ㄷ㈵㔱㝣ㄹ㥥ㄲ挱㜳㐳敥㠳㝢扥㜱昴㡦て㍦㝥㤸户搵㈲㕡㉤摣㡥㝣㉦㈱㝢摡ㄳ〸敡㈶㉥㡡㕣挹て㜳㑥攰ㄳ㈵㙢戵㉥愷つ㑦㔹㐱扥㙥挷搹㤰昰ㄲ㠴ㄹㄲ摦㜶㌰㌱㜱敦㈱㌴㌱㈷摡摣㥤敡挳㈶攵㈲㥣㐸㑣㕣昹昴攲戰愱攸慡挸㝡戴㌶ぢ摦㠲㉡㝡㠹ㄳ㐹㕢㠹㍣㜵㌲〹昱捤㜶㕤㜷㤰扡㉥㍣挸㌰散ㅦ㑢㈹挴ㅦ㐸㈱挹㠳っ㉦〴㈸㈹㜵ち㤹挲ㅤ〰ㄹ㤱戵昶㄰㉦晤〱㍢㐲㐰㌶㉦晤昵昸ㄱぢ㜶ㄱ㔸㡣㝤昱扤㥥㘸㘹㡢挶慡㠹愱㕡㘵搳㉣㈲愳づ㉦㉣㤸㡣㑢㔳㤶捥〱㤴㙥搹ㅤ挵㤷っ搹㘱攰㉤㘴散㠲㑤㕦㕢搹扥搷㘹攰收〷昴㑣㔱㈹っ㘷㌷㡢㜱㈰㔵㌱扡戰㘹㌹㉣㈲ㅣづ戳捤㑥〳㔱ㄵ㜴㤶戳ㄷ愷㔲〴晦昸愵㄰敢挷㕢㐳㕦搹㕥㐳ㅤ攷昴㘳㠱晣挱晥扡㈱㠳戱昱㔶㜲っ㈴散㤶㕡㤵挲敢攱愷搱㠵㡢捥〹扤㤵㔵捦攲㈰晥挴㥣搵愷㜵攸㝦㐶慦ㄵ㘷㥤㘱㙦㠶戱㔳晡晦㍤㈸搸㔴晦ぢ挶摥ㄴ㈲摦ㅢ㘵昸㔰㘰晣㘴搳㤰つ㜷〴㥥㙤〴㙦搴挱㔸㔷㔹㠶扣挳摣㈲㍥㕥つ慢㤵〴㠷摦㉢摦㝥㌵愲搹㤷戶敤㐰㔷〱挸搸㔰攱㙢㄰㐱㕤晢愷攵㔶㝣扡㉤扥てㅤ昷㥣戰慡㥥敢扢㘶㌰戶㠸愰敦ㄸ扦㍤㌳㘱昳㑣㠹慦戶ぢ戵㕢戰ㄳ㠳ㅦ㐰㥦㤳昳㄰搸㈷㘵昰㑡挵㈲ㄹ㔹搸㕡㈴㠳摦㈱㡤㈴挲㑢搴づ晥ㄵ收晤つ愳㡥㑦㔷攷攱敢っ㔸戴㉤㤴㕤攸㜱㙥扦愱挱慤挳ㅤ慤㜷挳ㅦ㈴敢ㄳ〸㡥愹㈵扣敦〳摣搷昶㍤㐸户㡤搶收戳㘵㙦㍥户㜲攱㜹攰㜴㙢㙦㐹㤳っ摦挹㉦㤲换㝡㠵㄰㤷昶て攳敦搶ㅤ戴ㅣ㙤ㄴ㜴ㅥ㝤搰㑤㐷搸㜸ㅤ敥戳㉤㐴扦捦愲慢㤸㈲挰㑦㌷愲っㅦ〴扤㝣㘴㐵昱㈵㉣㡢っ㠰㝣慥㔸〵攸㑥搵捦㙤㐴搵㈳戱㐰ㄶ㍣㘳㤰ㅣ换攲ぢ㘸挸敤ち㤷つ㤶攰戲㠵㍡㑢㈰慦挷㍤㤰捦〹㥥㈵搴㐴㍥㠷づ捤㠹㔸㈸敤㍥㤱捦㙥㌴ㄱ㐱㉢㐰㉤㌴㌹晥㐸慣㐵昴㍡慡㜵㥢挰㈱㜰〱㠶㈹ㄶ㈹㙢㡡㘱㘸攱晢挴っ搲慦愲扦㉦ㅣ晥攵㈵愶扦ㅤㄶ㑡㄰愲㉡㍤㜹ち㐲㌵昹愷㤲㤳昷㔰摡㝤昲㑦㙥㌴昹ㄱ捡㐸捥㐴て〰㠶晡㐴〵㝦搴㘲ㅡ挸㜰ㅦ昹ㄳ㘷〹昰㑢捤㘲挴㐰㠹敡㝢〱ㄹ昴攵㠶慢㔶ㄷ㤱㠹晢ㄶ戸晥㡣㡦㝢㤴㝤挴㡢㤰昴攵ㄴ㐳㘷㙣㌱搴㡡㈵㍢昲挲㙥ぢ搹㠰㈵昱㙢搹慥㈲扤搸㘳㠴㕦㝣㌴㐶捣戱㘳昱㤷㔳㕡ㄴ㜳〲㘱㠴ㄶ㈹改㠷ㅢ㈹㍥ㄲ㌷晥昶㜷㕡㉥㔳㔴㈰㠱㝡挲挶愴㌳搵昸㠹戸昱〱㝣㤵愵摡攴㜸㠳㠰改㠵戸㌱改㔱㌵㝥㍣㙥晣搷〳㝢㥢㡤㘳㍡っ㐷㉥㤰㐸㌲㙣㕤㘵晤㈷扥搰ㅥ㐶昳㠲㐹晤㌹㘰㠶挵㤴㥣㉡㜴㕣㔷ㅡ㜴㄰㤷㐱㍣㝣㈳㍤㠷扢㑤戸〲〲㈱ㅢ晥慦ㄲ㡥攳捥搳慣ㄱㄸ昸〴㝡つ挱㘶㑦㔷㑦散㕣㌴攷㍤ㄴ昴㥢挷㝤㥣愹㙡摢㡡㐴㘰づ攴挳晤摤挴㈹㥦㘱㍡戶昶㈳づ㤲㘹扣㐳搲㥢昲㔰㠱㤵扣昸㔰㡣搹摣㘳㉤㥡搱ㅦ〵㜲㈰ㅤ〱㤹搱ㅦ〳っ〳㌱扣慤㥣ㅢ㈱晦㉢收晥㄰㉢㍥㑣昰㌸㐰㔹㤰搹㐹〷挵㈷〰㠶攳晦㔱挵搸㥡昲㤷㘸攲攱昸㘵㐹㌲搲㍦捡づㅦ〳攸㠳晢㔶㐴㐴㔸搶㍦㡥㤲攴㑢㈹㌸搴㑢㍦挱㡡㑦ㄲ㍣〹㔰㉥㜰戲㕢摥㌵慥愹㐷捤昵㈹㜴ㄵ㡦ㄱ攰愷㍦ㄵ㘵昸㔰攰㍥扣扤扢慤捣愳㜰晣㘱㍦㐲㥤愹㉦昸敦挵ㄷ昹敢㕣㜴ㅦ晥㠷㈴〵㘵搸攷戵户昵㌶ㄶ㤹㠰㌶戹晡慤㘲戳㕦挶㌸㕣㔷㉢㠲挲ㄱ愹㔴㑡㕡㔱㄰摦㕣戰㜰昱〶扥攵㤰慡㄰㠲㌴愰㉡㥣愸攲㌰ち昴㑦戳㈹㜱㑣㍣改㥦攱ㄳ㔱慢㌶昱㤹㈸挳〷㐱扣慡敥て㐶摤攳ㄷㄲ搷慡挲㙡㝢㈱昱慦㉡㔶㤲㉦㝣㤶㠳㈹㘴㈱㤳搶㑡㐴㥡愲愱㉦㈰㌳搴㌷捣戹㍤㠰㥦㜶㔱㔴捦搶捥㥥晤攷㜰㝥散摡晣㝢摥㌵昸散ぢ扦㜸昱改摦扣晦搰㕦晥昵摣㜳扦昹搳搳㤷晥昵愳攵㐳㍦㝢晥昹㥦摥昷攵㑢㉦敥㌶扦愲㝤攷㥦㜳㕦㜹㘴昲晣㈳て㤹愷㙦㍦晡挸㝢ㅦ扣㝦㜲攱㡡昱扥扥晥晥摢㐶㝦㝥捤ㅢ㐷ㅥ㝢攸㝢攲㈷扦扦摡ㄱ㙡戹㜸㐱㝡ㅡ㕣戶㥡挶ㄷ㤱挱㌴㌸攳㔷㜵ㅡ㕣慥摡愸攵㘸愳愶㔱㔰㠲㑦㠳ㄳ㔰ㄵ㐶扡㘲攰㍦㥡〹戴搰</t>
  </si>
  <si>
    <t>㜸〱敤㕣㕢㙣ㅣ㔷ㄹ摥㌳摥㕤敦慣敤搸㡤搳㑢㑡㘹㑤㉦戴搴挱㡤搳㠶搲㐲〸扥㌴㤷攲挴㙥散愴㈰㐰㥢昱敥㤹㜸㥡㥤ㄹ㜷㘶搶㠹㑢㔱㉢㘸戹㠸㥢㔴㉥㙡愱㔰㔴㔰㈵㕥戸扣㐰ぢ扣㈰㈱㠱㔰㤱㜸㠰〷㈴ㅥち㐲昰〰㐲㤱㜸攱〱〴摦㜷㘶㘶㜷㘶搷㍢㜶户㉤戸挸㈷摤摦㘷捥㙤捥㌹晦昵晣晦㤹收㐴㉥㤷晢㌷ㄲ晦㌲攵㤹戹㘶㜱摤て愴㍤㌱攳搶敢戲ㅡ㔸慥攳㑦㑣㜹㥥戱㍥㘷昹㐱ㅦㅡㄴ㉢ㄶ敡晤㐲挵户ㅥ㤲愵捡㥡昴㝣㌴㉡攴㜲愵㤲慥愱㥥㠳昰㌷ㄲ㍦攸散㌵㤸〷㔸㥡㤹㥥㕦㝥〰愳㉥〶慥㈷昷㡤㥤〹晢ㅥ㥡㥣㥣㤸㥣戸攳捥挹户㑤散摦㌷㌶搳愸〷つ㑦ㅥ㜲㘴㈳昰㡣晡扥戱㠵挶㜲摤慡扥㐷慥㉦戹攷愵㜳㐸㉥敦扦㝤搹戸攳敤㤳㜷ㅣ㍣㘸摥㜵搷摢〷昱敡摣挹㤹改〵㑦㥡晥慢㌴㘶㠱㔳扥㘳㔶㔶㉤慥㑤㑡捦㜲捥㑤捣㑣攳扦挴晣昱㜴攷挴攲㡡㤴〱㕦㉤㍤改㔴愵慦愳攳㠰㍤攵晢つ㝢㤵㥢愷摢㐷戰搴慡攱〷〵㝢㐶搶敢扡ㅤ㡦㕡戲攷戱㜷㜵㘳㝤搰㕥㤴㡥㙦〵搶㥡ㄵ慣ㄷ敤㈵っ㔴ㅢ戲㑦晢昲㤴攱㥣㤳㈷つ㕢ㄶ散愳つ慢㤶て㔳慥敦收㜸㠸攴挴搴昲㈷愶㝣㝢㘶挵昰搴㡣㝣㙥㑣㐶摢㈳㕥㌵摤昶㠶敥攳㜲敡敡つㅣ昳愶敥敤㔰㜳挶昰㥡㉤挷扢户㡣ㄶ㥦㥥挱㙤摤摢㈷昶㈸摤攷㉤摤晢愸慤㑣户ㄶ〳ㄱ㝤慢ㅤ挵㘲昴㈲㐱㍦㐱㠹㠰〸搴换〴〳〴㠳〰㈲晦㜷㜰㐹戲㈳慢戴㡡愱㔵㤶戵㑡㔵慢搴戴㡡搴㉡愶㔶㌹愷㔵㔶戴㡡愵㔵ㅥ搰㉡攷搱㈶㑥愵晥㝥㉤㑡慢㑦㝤昵㝡昷㕦㜷捦㍦昳つ昳戹㈷㍦晣扢攷〷㜷愱搱㝤搱愴㘶㍤攳〲㐸慤㐵挵〷㈶昶昳摦收㕣〱愶㌰て㥡㜷㥡㤳㤳戵㠳晢㡤摢㡤〲㤷㤵㠱晣ㄴ愱㡣愰敤愰㜹扦攵搴摣ぢち㜷搷㑣ㅢ扥㙣㙤摣㜸㔴㌷敤㌶㥣㥡晦㠶㡤㉢ㄷ〳㈳㤰㔷户搷戵〶改攸戶〸戶㤲扥㝡摦戵敤摤捥ㄸ昵㠶㥣扡㘸㠵搵㙦㙣慢戶ㄷ㍣㜷戹㝢敤ㄱ㑦㍥搸慣敤㤸搱ㄴ㠴摡㥡ㅡ扢㘳㤵㘱㔵㌸慦戱㤹ㄵ搷㤷㡥㥡摥戸扤㘰㔵捦㑢㙦㔱㔲㈴捡㥡㕡敡攵慣㡡戸㝥㝣摥挱㐲挱慤戵敢㤳愵收㍤ㄷ〳㌰戳慣㘱扥慢搲ぢ搶㤷㡣攵扡扣㈲搵㈴㝣㈷㉡昶愶㡡㡦戸搵㠶㍦攳㍡㠱攷搶搳㌵㔳戵㌵〳㤲愶㜶挲慤挹㝣㍥愷㠴〲〴㙥㕦㥦㄰戹㕢扢昳㠲㐲㐴〲挵㘴攴慢搲㘴㌷㜱ち慢挳㉡敡㤲㌴愹摤戸挹㘰㥣慦㤲㌱ㄹㅣ㤸㔸ㄳ昵〷㕦㝡换㈶挳㌶㌱昷摡㌶搶戴搱㘸昵昷慣㐹㈷㌸㘶㌸戵扡昴㌲戵㥦攰㡣昴㘱㠰挲㈵〸㠴慥扢㐷㔵㈷㉥㡡昵挲〵慢ㄶ慣ㄴ㔷愴㜵㙥㈵㐰ㄹ㌴㘴愹挴慤敤㐸晡㘵㈸搲㜷ㄳ㡣〲㤴换戹攲ㅥ㌶㉡㤶㤱㜲〵㑡愷っ㕥㑥〹㜲昶㑢昱昲愰㜹挴慡〷㌲ㄴ捡挳㈶㌰ㄲ㙡㌵㠵扥㈱㤲愸㘷㔴㐳㠵戱挷㥣〱㤵ㅡ㤶ㄳ慣户昸戶㠳㑢㐲㈲摡㤱〵摢㑥ㄶ㔰ㄴ愴攵㐱〶慦㠱㘸摡愴㐱㜶攳〴ㄱ㤱つ㌲㌴㍢㐶㑥ㄳㄹ摢㘷挸〸戴㑦ㄲ㈱㕢敦敦㉥㈳㐸散㥤㐴捡㑥㕤昹㜱㐷㥡㙤㘴换㠷搲散㜲㙣㥣㝥〵挱㤵〴㔷ㄱ散〵㄰㝦㠲㠴愳㤴㐳㍥㥤昴㌷攰㔹扦㠶攰㡤〰㤰㑦㍡㘵㑥㈴慡㘸㐳㙤挵㡥㘴扢㈱搸挹捡㈸づ㐵ㄱ㉤攳愶㥤㌹㘴㉢㐴㐷㔶攷昶搰戵㜹愵㘳摦摣㥤㌶㤳换㈱㐵㘶㌴㑤慥㜵㤳愶挹㡤㘰搳ㅥ昵搶㜵攸慡㡦ㄱ扣〹愰慣㕦㑦〸攵㐲㠳㜷㙢ㄶ㍤㑤捡搷㠵㔹ㄴㅡ㐳㍤㉡昸㠸㤰㜹〴挸㄰㜲ㅤ挷㤷ㅤㅢ㥡收攰戸昹扡户愱昷㜵攷敦〸改㙤㝡㜳㐷敦搰㕦昴㌲慤攸ㅢ挰㕥攲㜷㕤㜵捣㑤愸搶摦㑣㜰㌳㐰㥢㡥攱改晢攵㝡ち㤴㔹㙣㈷㌰户㥢㕥ㄷ㘵攵㉥慤慦㑡愵㠱〶捤㈵挳㍢㈷〳㜸㌰㡥捦挲ㄶ㜶㍤㑦搶㜱愸慤愹〲㥥㕦慥㑣ㄷ晡㐷㍣搷㘶昹㡥㡤散扦㉥ㄴ㐳㍥慦昵攵摡㙣攴っ㕢㌳攱㜳㑡㔰づ㜵昰敤摤㠵㐴愲㔳㥡扣搸㉦晢㝣戹㈳㐹㝡㤰㈴㙦挱戶敡户〲㐰㑡㠸摦㜴㤵㈸晢搸散慤慡㔹摡㘲愵㠷㉦攳㜴搲收㐳散㤰㈳〳愱挳㜶ㅡ晥〳㝦挸㕥戴散愶戰ㄸ戰ㄷ愴㔷㠵㙦挱慡换㜲攸㤶愵愸搹㤱ㄵ慦ㄳ㔹搱搷搷㜱㥥捥昰慦㈹㍡㘹㤳ㄲ㤹摣㥥㔹㤹㜱ㄶ㙦ㄱㄵ摤㤰ㄴ㉡ㄹ慥愱愶〴㈲攵戱敤㡥㠸改㐱挴摣㠶㡤搳昷ㄳ㑣ㄲㅣ〰㈸晣ㄲ㤲㘶慢ㅢ捦㜰㔸晦ㅡ㕤摡㤵㑡慥㐴㌴㈸ㄷ攱㡢㕤㠵搵㐱扥收㙤〴㜷〲戴㤹㍦㜴㐰㘶㄰愲㐲㜹㠲㄰㔵ㄸ挳㍣㘳挹ぢ愴㠱㕤㈶〲㑢㌳つ㍦㜰㙤㐶㤶㠶捣㔹昷愴ㅢ捣㕡晥㉡㈲㔱愳㘶㤴戹㝦㐵㍡愰㉥て戶㑦㕢㤹扢扡㉡㙢扡戹攸㌶㈰摡㡥捦㙥㠷㠳㌹戶〳戶愴㍡㥢㙢〲愹户昳㌱㠶㄰搸㘹攵㙦愵㌷㜶㑢摥㙦ㅥ晡㠶㕢㍢扡㘴〵㜵㌹㘰㠶㑣挷㝣挹挴㉥㈲㜲㔰敢㌷㤷㔶㍣㈹㘷㠷捣愳㥥㔵慢㕢㡥㈴㌲㘰㘳㌲㔸㌷㈷捦㈱㑡戰攰㌲〶攸㍡㐳收㤲㘷㌸晥慡挱㠰攲晡敥搴㤳ち㡢ㄴ捣㘹换昱昱ㅡ㠵㐵收㠷捤挵ㄵ昷〲㈲戶つ摢㌹㙡慣晡摢〲㉢㈴晡㌰㈹搴〸㑤㘸㥡㈸㘹愵㕥昱挳〳㜹㉥㐷摥换ㄳ㈸㕣攵ち昴㤹㘷㘸㙦摡昵㔱㡣㠶㜶㍡攷㌴㠸攸㔱戳戰㉦㔳ち㤳㔳昵扢搸攷㙥㠰㝢㡦㥥㍥摥㡡捣扤愲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㑥㡣㔶㔰户㈳㈰㜲㔴扡ㄴ摦挱戸昴〸㑡㐲㈱㐴慣㘷㤰〸扣㠲〹㈱㑦ㄷ㜷搱㍣敤㔸〱戰㐷㡣ㅤ戱㠲㔹ㅦ㈸〷㐰㔶ㅤ㙦慦㔶㔸㑤㜴ㅡ㙦㙡㠵敢㍡慢㔲㙡攲摡捥晡愴摥戸㜱㠳敡㔰愳㈴ㄴ挹㘶㡤㤴㘶搹㘰㡥摢㐹搵〸愵戸㘳㙤㈳戲摣愶慤㝤愷ㄴ㜹〵㡡㐹搱㑣㑥㝦㤷㈲ㄴ〴㝡㈳ㅤ㐵㥦㝤㌶㜹㈴㈲㌶戴〱捡搴㔳㘱搹㔰ㄴㄲ㍣㡥㙢㈷㌵㔹㡥㥥挰摦扢愲散㝣㈳㐸搵ㄸㄷ㐷愳㥡愹㝡㝤摥㠱㤵㔰㌵扣摡㌶㘱㘹慣㉤搴㌰㡡㍢㝢搵晥攱昶㈶ㄸ㌱㘲㐳㠶㐵㌲晣挰㘰㐳㌰㔷㈲愲㑡敢㙣㠸㕢摤㉣㉥昱改㠴㌴ㅣ㠵㠱挵愰㌶㉢搷㤴ㄹ搶戲攴㐷㔵㠷收㘹㔱挹㔱摤㥣㕡昶愱搲〳捡昱㈸愷ㄸ㕣㌷㑦搱㉤㠵㑢っ㄰扢㔱㙥愱ㅡ㈰戴摢ㅣ㠰㈷㠳敤㠳ㅤ散㐸ㄸ㍡愱㜵㐶〹㕡捣㈰摣昴㈲挸㍢㍤㘲ㄴ㠲搴㔴改㙦㠷挵㤷㥦㘲晡搶攱㕣㥣㠹㤸㠸攱慥っ敢〱挸㑤㐶㈶挹㐵愳㜱挰㍣㤴㙣㑡㘸つ挶㘵㌴㌱㠶㘸昲㜹〱㙥昱㌰㤶㌵㑣戶愹攳㥥㕢㘰㐱㥢搶搷㜷㤹挷㥤㙡扤㔱㤳㑡ㄵ挷戲㕡㘹攴㙤㠱㉦㜵〵㌰攴愶㡣㝤㠹㌶攵㌸㡥㔲㕣㌲㤱搴扢摤慤ㅦ㐶㜷㈵攴㌰㐶愸晡ㄸ㠰捣㜰换愹㠰㔸挷㍤〵摡㠷扢㕢ㄷㄸ搴攵㌹㠸戴㡥㈲捡戲㌹摣挷㙢㐶㤱ㄵ户㈵㥡捤戹㜳㉥㙤昶㐴搱㌱㉢㉣摡ㄶ㌸挲㍡㐳㠱㔷㉣挲ㄸ改㤱㍢㌸㐸敥㔲ㄴ摤扤昴㠸㝡捣㕤〲㉡ㄴ〶〴㘳扣㍣〵攵戰慢㘰㈴ㅡ摣㕡换敡ㄶ㡣晥搲昲搶愷〰〴挳挰㌴㘸搱㌲㌴㜰㘶㤰摦摣挰戹づ慤㌲㈲愴挹㘰㉡㘳㤴愳㜰搸〳㘹攰㈶ㅥ愴㤷㕣㈸愱㘰㡦扡ㄸㄶ摦㑤ㅣ户㜱〴㜲扤㉢摡ちㄷ㡣〰搷㕦㥣扤㙤挵㔳戵ㅡ捤㕤昸攷戶〵㔶㜱㜵㈳㌴㐷昷戴㕤捡㔲㙢愲㝤㜷㐳㕢㐵㜴㔹昰挰散挴㌱㈳愸慥㉣〶敢攱挵慤㕥㐹愲昰㘳昸㈳㌶㝣㍢㙤收扣挳㡢愸㙢摣晢昲㜹挷扤攰愸㜹ㄵ㝣摥晡〳㠵攰ち㘵㍦㈷㔹捥晤ㅢ晦㔴搲㜲㠵ㅦ㘱挴慤㑣㥢〳戴ㅣ㈴ㅣ㐷愵㔰ㅡ㡣㈱㥦㐱㈷戰摤㥢户〶㐸㈷㝢摡攸㐴〹㠲ㅤ㐲㜱捥扤㙡㠴㈲㝥〸戴㤲㔸挲㈳㌹昶晣㌹戰扥㜸〱㈵㐴㌸㥥㈳㌱㔲㜸ㄳ㜲ㄹ愸㔳㠲㍣扡攲挱ぢ㈱晦㍦㔸㡡戹㜹㐳㜶晡㉦㌰戳㜸扥ㅤ㐵搷ㄲ㐵㍦攸㐰㤱攰㌵㄰挵扦昷㈲ㄳ愷〲挳戳㉦㉢㄰捥㌵敤ㅣ㐰㕦昳ぢ扦晦挳〳攸㕣㐴ㅣ捡㐶㐳愸敤㈶㍣㌷㑤㠴扥づㄳ㠱挱㝢㘵㈲㥣㐰㐶㌰㡡ㅦ㥡〸㤱て㘴ㅥ〵㥢㥢〸㡣敤㘵ㄸ㠲㠹㔰㙢挲慤挱ㄳ搸ㄵ㌶晤㘳挷㜰昱㔶晡㠸攷㐳㘹昹㌳昰㐸㕤搹㔹扣㘰㜸㠶扤㔷㤵ㅦ昵㈴㤴㤹户㠴㥢摣慡ぢ㝢㕣扤㘱㡤敡戴㠱慦㈲昶戲敦昸㔳戶㜶㝦ㅤ㤸ち㔳攸扥ㄷ㈵㔱㝣〵㥥ㄲ挱㜳㐳敥㐳㝢扥㝤昴昷て㍤㜶㤸户搵㈲㕡㉤摣㡡㝣㉦㈱㝢摡ㄳ〸敡㈶㉥㡡㕣捥て㜳㑥攰ㄳ㈵㙢戵㉥愷つ㑦㔹㐱扥㙥挷搹㤰昰ㄲ㠴ㄹㄲ摦㜶㌰㌱㜱敦㈱㌴㌱㈷摡摣㥤敡挳㈶攵㈲㥣㐸㑣㕣昹昴攲戰愱攸慡挸㝡戴㌶ぢ摦㠵㉡㝡㤹ㄳ㐹㕢㠹㍣㜵㌲〹昱㥤㜶㕤㜷㤰扡㉥㍣挸㌰散ㅦ㑢㈹挴ㅦ㐸㈱挹㠳っ㉦〴㈸㈹㜵ち㤹挲㙤〰ㄹ㤱戵昶㄰㉦晤〱㍢㐲㐰㌶㉦晤昵昸ㄱぢ㜶ㄱ㔸㡣㝤昱扤㥥㘸㘹㡢挶慡㠹愱㕡㘵搳㉣㈲愳づ㉦㉣㤸㡣㑢㔳㤶捥〱㤴㙥搹ㅤ挵㤷っ搹㘱攰㉤㘴散㠲㑤㕦㕢搹扥挷㘹攰收〷昴㑣㔱㈹っ㘷㌷㡢㜱㈰㔵㌱扡戰㘹㌹㉣㈲ㅣづ戳捤㑥〳㔱ㄵ㜴㤶戳ㄷ愷㔲〴晦昸愵㄰敢挷㕢㐳㕦摥㕥㐳ㅤ攷昴㘳㠱晣挱晥扡㌶㠳戱昱㔶㜲っ㈴散㤶㕡㤵挲敢攱愷搱㠵㡢捥〹扤㤵㔵捦攲㈰晥挴㥣搵愷㜵攸㝦㐶慦ㄵ㘷㥤㘱㙦㠶戱㔳晡晦扤㈸搸㔴晦ぢ挶摥ㄴ㈲摦ㄷ㘵昸㔰㘰晣㘴搳㤰つ㜷〴㥥㙤〴㙦搴挱㔸㔷㔹㠶扣挳摣㈲㍥㕥つ慢㤵〴㠷摦㉢摦㝥㌵愲搹㤷戶敤㐰㔷〱挸搸㔰攱㌹㠸愰慥晤搳㜲㉢㍥摤ㄶ摦㡦㡥㝢㑥㔸㔵捦昵㕤㌳ㄸ㕢㐴搰㜷㡣摦㥥㤹戰㜹愶挴㌷摢㠵摡つ搸㠹挱て愲捦挹㜹〸散㤳㌲㜸戵㘲㤱㡣㉣㙣㉤㤲挱敦㤰㐶ㄲ攱㈵㙡〷晦㌲昳扥㠶㔱挷愷慢昳昰㜵〶㉣摡ㄶ捡㉥昴㌸户摦搰攰搶攱㡥搶㝢攰て㤲昵〹〴挷搴ㄲ摥晦㐱敥㙢晢ㅥ愴摢㐶㙢昳搹戲㌷㥦㕢戹昰㉣㜰扡戵户愴㐹㠶敦攴ㄷ挹㘵扤㐲㠸㑢晢㠷昱㜷敢づ㕡㡥㌶ち㍡㡦㍥攸愶㈳㙣扣づ昷搹ㄶ愲摦㘷搱㔵㑣ㄱ攰愷ㅢ㔱㠶て㠲㕥㍥戲愲昸ㅡ㤶㐵〶㐰㍥㔷慣〲㜴愷敡愷㌷愲敡㤱㔸㈰ぢ㥥㌱㐸㡥㘵昱ㄵ㌴攴㜶㠵换〶㑢㜰搹㐲㥤㈵㤰搷攳ㅥ挸攷〴捦ㄲ㙡㈲㑦愲㐳㜳㈲ㄶ㑡扢㑦攴㑢ㅢ㑤㐴搰ち㔰ぢ㑤㡥㍦ㄲ㙢ㄱ扤㡥㙡摤㈶㜰〸㕣㠰㘱㡡㐵捡㥡㘲ㄸ㕡㜸㠱㤸㐱晡㔵昴昷愵挳扦㝣㤱改慦㠷㠵ㄲ㠴愸㑡㑦㥥㠲㔰㑤晥㜳挹挹㝢㈸敤㍥昹捦㙣㌴昹ㄱ捡㐸捥㐴て〰㠶晡㐴〵㝦搴㘲ㅡ挸㜰ㅦ昹ㄳ㘷〹昰㑢捤㘲挴㐰㠹敡㝢〱ㄹ昴攵㠶慢㔶ㄷ㤱㠹晢ㄶ戸晥㡣㡦㝢㤴㝤挴㡢㤰昴攵ㄴ㐳㘷㙣㌱搴㡡㈵㍢昲挲㙥ぢ搹㠰㈵昱㙢搹慥㈲扤搸㘳㠴㕦㝣㍣㐶捣戱㘳昱㤷㔳㕡ㄴ㜳〲㘱㠴ㄶ㈹改㠷ㅢ㈹㍥ㄶ㌷晥摥昷㕢㉥㔳㔴㈰㠱㝡挲挶愴㌳搵昸昱戸昱〱㝣㤵愵摡攴㜸㠳㠰改愵戸㌱改㔱㌵㝥㉣㙥晣㤷〳㝢㥢㡤㘳㍡っ㐷㉥㤰㐸㌲㙣㕤㘵晤㈷扥搰ㅥ㐶昳㠲㐹晤㌹㘰㠶挵㤴㥣㉡㜴㕣㔷ㅡ㜴㄰㤷㐱㍣㝣㈳㍤㠷扢㑤戸〲〲㈱ㅢ晥慦ㄲ㡥攳捥搳慣ㄱㄸ昸〴㝡つ挱㘶㑦㔷㑦散㕣㌴攷㍤ㄴ昴㥢挷㝤㥣愹㙡摢㡡㐴㘰づ攴挳晤摤挴㈹㥦㘱㍡戶昶㈳づ㤲㘹扣㐳搲㥢昲㔰㠱㤵扣昸㐸㡣搹摣愳㉤㥡搱ㅦ〱㜲㈰ㅤ〱㤹搱ㅦ〵っ〳㌱扣慤㥣ㅢ㈱晦㉢收晥〸㉢㍥㑡昰ㄸ㐰㔹㤰搹㐹〷挵挷〱㠶攳晦㔱挵搸㥡昲㤷㘸攲愱昸㘵㐹㌲搲㍦捥づ㥦〰攸㠳晢㔶㐴㐴㔸搶㍦㠹㤲攴㑢㈹㌸搴㑢㍦挵㡡㑦ㄳ㝣〶愰㕣攰㘴户扣㙢㕣㔳㡦㥡敢戳攸㉡ㅥ㈵挰㑦晦㕣㤴攱㐳㠱晢昰㡥敥戶㌲㡦挲昱㠷晤〸㜵愶扥攰扦〷㕦攴慦㜳搱㝤昸ㅦ㤲ㄴ㤴㘱㥦搷敥敥㙤㉣㌲〱㙤㜲昵㕢挵㘶扦㠲㜱戸慥㔶〴㠵㈳㔲愹㤴戴愲㈰扥戹㘰攱攲つ㝣换㈱㔵㈱〴㘹㐰㔵㌸㔱挵㘱ㄴ攸㥦㘷㔳攲㤸㜸搲扦挰㈷愲㔶㙤攲ㄷ愳っㅦ〴昱慡扡㍦㄰㜵㡦㕦㐸㕣慢ち慢敤㠵挴扦慡㔸㐹扥昰㈹づ愶㤰㠵㑣㕡㉢ㄱ㘹㡡㠶扥㠲捣㔰摦㌰攷㜶㍦㝥摡㐵㔱㍤㕢㍢㝢昶ㅦ挳昹戱慢昳敦㝤昷攰㔳㉦晤攲て㑦晣晡〳㠷晥晣捦愷㥦晥昵ㅦ㥦㜸昱㥦㍦㕥㍥昴戳㘷㥦晤改扤捦扣昸㠷摤收搷戵敦晦㘳敥敢て㑦㥥㝦昸㐱昳昴慤㐷ㅦ㝥摦〳昷㑤㉥㕣㌶摥搷搷摦㝦昳攸捦慦扡㘵攴搱〷㥦ㄷ㍦昹敤㤵㡥㔰换挵ぢ搲搳攰戲搵㌴扥㡡っ愶挱ㄹ扦愶搳攰㜲搵㐶㉤㐷ㅢ㌵㡤㠲ㄲ㝣ㅡ㥣㠰慡㌰搲ㄵ〳晦〱搲愴戳晦</t>
  </si>
  <si>
    <t>Giả sử không bán nhà máy cho DWR</t>
  </si>
  <si>
    <t>NPV_TIPV (2009-2034)</t>
  </si>
  <si>
    <t>NPV_AV (2035-2058)</t>
  </si>
  <si>
    <t>(ML/pa)</t>
  </si>
  <si>
    <t>&gt; 100 triệu nên AV không nên bán nhà máy cho DWR</t>
  </si>
  <si>
    <t>IRR</t>
  </si>
  <si>
    <t>PHÂN TÍCH HIỆU QUẢ KINH TẾ</t>
  </si>
  <si>
    <t>Ảnh hưởng đến môi trường</t>
  </si>
  <si>
    <t>Suất chiết khấu xã hội</t>
  </si>
  <si>
    <t>Giá sẵn lòng trả</t>
  </si>
  <si>
    <t>NCF (Chi phí kinh tế)</t>
  </si>
  <si>
    <t>DOANH THU (TỪ NĂM 2011) ($)</t>
  </si>
  <si>
    <t>PHÂN TÍCH CHI PHÍ KINH TẾ</t>
  </si>
  <si>
    <t>PHÂN TÍCH NHÓM MỤC TIÊU</t>
  </si>
  <si>
    <t>Phương pháp 1</t>
  </si>
  <si>
    <t>Ngân lưu kinh tế</t>
  </si>
  <si>
    <t>Ngân lưu nhóm ngoài mục tiêu</t>
  </si>
  <si>
    <t>Ngân lưu nhóm mục tiêu</t>
  </si>
  <si>
    <t>1) Ngân lưu DWR</t>
  </si>
  <si>
    <t>2) Chuyển giao thuế VAT</t>
  </si>
  <si>
    <t>3) Chính phủ</t>
  </si>
  <si>
    <t>4) Cộng đồng địa phương</t>
  </si>
  <si>
    <t>Kiểm tra phân tích kinh tế</t>
  </si>
  <si>
    <t>Cách 1</t>
  </si>
  <si>
    <t>Cách 2</t>
  </si>
  <si>
    <t xml:space="preserve">   2) VAT</t>
  </si>
  <si>
    <t xml:space="preserve">   4) Chính phủ</t>
  </si>
  <si>
    <t xml:space="preserve">   5) Cộng đồng địa phương</t>
  </si>
  <si>
    <t xml:space="preserve">   1) DWR</t>
  </si>
  <si>
    <t xml:space="preserve">   3) Chính phủ</t>
  </si>
  <si>
    <t xml:space="preserve">   4) Cộng đồng địa phương</t>
  </si>
  <si>
    <t>2) Ngân lưu AV</t>
  </si>
  <si>
    <t>VAT đầu vào</t>
  </si>
  <si>
    <t>VAT đầu ra</t>
  </si>
  <si>
    <t>4) Ngân hàng</t>
  </si>
  <si>
    <t xml:space="preserve">   2) AV</t>
  </si>
  <si>
    <t xml:space="preserve">   3) VAT</t>
  </si>
  <si>
    <t xml:space="preserve">   4) Ngân hàng</t>
  </si>
  <si>
    <t>Phương pháp 2</t>
  </si>
  <si>
    <t>CÁC CHỈ TIÊU ĐÁNH GIÁ DỰ ÁN</t>
  </si>
  <si>
    <t>NPV_Rgroup</t>
  </si>
  <si>
    <t>BÁO CÁO NGÂN LƯU QUAN ĐIỂM DWR</t>
  </si>
  <si>
    <t>NCF (DWR, sau thuế)</t>
  </si>
  <si>
    <t>NPV_Chi phí DWR</t>
  </si>
  <si>
    <t>NPV_AV (2009-2034)</t>
  </si>
  <si>
    <t>NPV_Chi phí Kinh tế (2009-2034)</t>
  </si>
  <si>
    <t>NPV_Chi phí Kinh tế (2035-2058)</t>
  </si>
  <si>
    <t>NPV_Chi phí Kinh tế (2034-2058)</t>
  </si>
  <si>
    <t>㜸〱敤㝤〹㜸㔴攵搵晦扣㤳捣㈴㌷〴ㄸㄱ㐴挰㙡㜰㈹㘸㈰散㠲㈸〲㐹〸㈰㑢㤰㐴戰㙥㘱㐸㘶挸㐸㘶〶㘶㈶〸㐲ㄵ㤷㍦戶晤ㄴ戵㉡㡡㔶㐵㕣ぢ攲㕡ㄷ挴慤愲㜵挳慡戵慤㔵慢㐵㕣搰扡㝣敥昶㜳愹摦敦㜷敥㝢㌳㜷敥扤㌳㈰搵敦昱晦㍣挶㝢て敦㝢捥㜹捦㌹敦㜹昷㘵慥㍥攵昳昹扥挱ㅦ晦攵㕦㌱〳㝢㌵㉣㐹㘷㈲昱慡㥡㘴㕢㕢愴㌹ㄳ㑢㈶搲㔵攳㔳愹昰㤲愹戱㜴愶〸っ挱愶ㄸ攸改㐰㔳㍡㜶㜲愴戴㘹㔱㈴㤵〶㔳挰攷㉢㉤㌵晣愰㜷搷㙦挸㡡ㄸ㑣㘵ㄴㄳ㠰换㘷〴〹㑡〸㑡〹っ㠲㌲㠲㑥〴攵〴㥤〹扡㄰㜴㈵〸ㄱ散㐶搰㡤㘰㜷〲慡㌱㝡㄰散〱㔰摥ㄳ愰戱愶扡㝥敥㠹㌰扡㈱㤳㑣㐵〶㔴捣㌲㑤ㅢ㌳㘴㐸搵㤰慡攱㈳㠷ㅣ㕣㌵㜸㐰㐵㑤㝢㕢愶㍤ㄵㄹ㤳㠸戴㘷㔲攱戶〱ㄵ㌳摡攷戶挵㥡愷㐴㤶㌴㈶攷㐷ㄲ㘳㈲㜳〷て㥢ㅢㅥ㍥㙡挸昰ㄱ㈳愲㠷ㅣ㌲慡㝣㑦㐸㥥㔱㔳㍤㈹搲戶〰昲扥㉢愹扤㈰㜵㝡㑤昵㡣㔴㈴晡㕤挹っ搰捦〳㙢㈳捤㌱ㄶ㐸㈴㤲㡡㈵收㔵搵㔴攳戱㜹〵戱㤱㔵昵つ昵㈸戶戶昰ㄲ㈹㡦㜸㝤昳摣㔹攱戶昶㐸㌰㉥收㤴挶㘷㠵㔳搳挳昱㐸攷昸㔱改挸捣㜰㘲㕥㠴戱㐰㝣㘲㝢慣愵ㄸ㤵愴攸㐰㉦㈵摡㐱㔵昵㌵搵㌵慤攱㔴㐶㐴搲㜹㤵㕥摣愲愹㑡㥢㈱晣㠲愱㕢㔴㈷㕤〵愹㡦攵㙡昴㈶攸〳㄰摣ぢ㈰愴㔳㔵㐸戲㡡㈱㠳㔵昱㙢愸挵昶㔴慣㐹晥愶戰扦㘹慥扦愹搹摦搴攲㙦㡡昸㥢愲晥愶㜹晥愶㔶㝦㔳捣摦㜴愲扦㘹㍥㜸慣扦搲㤲ㄲ扦晥晢晡敦て摦晡㤳愲换慡㌷ㅣ㄰扤扥捦㜳㉤戵㡡ㄵ㔷㙡昰摥〸ㄸ晢〰〴㉢〰扡收㕡㜱㠸㔲晦㠰ㄱ㌴㘴昴㕤晤㔷㍥㍦慢捦攴㜵㔳扡昷摣晥捣㈱㘳〲昴昲㄰㉦㈷戸换愵㈱㤲㐸挷㌲戱㐵戱捣晦㑤搹っ昲㌲换㉣ㅢ㥢㈹㍢㉡㥦㝤㤱㐱㘳㍦㠰攰晥〰扢摢㔲敡㌲ㅡ慥搴㑢摡㍢攱つ㡦㑦晦散搱㥢敡慦㝡晥扡㕢扥㜸㙡慦㥢ㄵ扢〳愹㠷㍦愵㤴㝥㤴搲ㅦ愰扢㕢ち㑡㕡㍤慦挵慣㉥ㅦ戴㙥愶㍦㔹扢晥㡣户〷摥㝥昱㐷㕦㉡㜶㈸㔲㑣〷㔱㑣㈵挵っ〰㜰ㄴ搳㌰愵㥥搳ㄲ捡㌶㍤㍢敡㠹〱㐷㑣㕢晦搰改昳戶㔵㜵㔹慤搸ㅢ㠹㈱㔵㤴㌰㠸ㄲ〶〳㜸㘴攷㘰愵㥥搶㔲ㅥ〸户㍥摢㌴昶㡢㜱慢㜶ㅦ晣捡挶扢㤳㑢〳散捥㍣㙢扣扢戰ㅢ㔳㤱㐴换晦㐹ㄳ昴㙣戰㘶㌱㡢ㄱ㍢㉡攰愱昴挸㌰㝡㘴㌸㐰㘷㐹㤳㉤摡㈷戵㉦ㄶㅦㄶ慦㝣戱改戳㈹㌷㑥㕢晦攴ㅢ户㍤晥戶㘲慦㉥昹㍢㤸改㐷㌲晤㈸〰て㡦愲㕣ㅥ搵㔲㕡㍥昶扦㜲晣扡㉦愶晥戲㉣昱换㐱昵て㍣慤搸㤸㐵捡㘸㑡㌹㤴㔲づ昳㤶㠲㐶戸㔹㑢〹慤扣㙦攴つ㘷晦戶㝥攳晦㥢户愵搷晤㑢捥㔱㌲慥㔰挰攱〴㘳㈹㘵ㅣ㐰㑥㕥㠶㈸昵㠰㑥㝦晢散㈷㥦㕣扢攱捤改㌷慦ㅡ昰挲攵户扦户㕣㜱㐸ㄲ㉢慡ㄱ㌰㙡〰㠲戵〰ㅥ㜹ㄹ愹搴㈶㉤㘵㐴敡挶㝥㡦散㝦挵昸摢㝥昷晣晣扤㈲㉢㍦㔱㌲愶㔱㐰ㅤ挱㐴㑡㤹〴㤰㘳挵〸愵敥搲改㐷摥㔶戴昸㤳慢㡥愹扦㝡摦捤ㅦ㝤昳敢捦㍦㔵ㅣづ愵㤶ㅦ挱昴㔳㤸㝥㉡㠰戳㑢ㅣ慡搴敤㕡挴〹搷づ愸慣ㅥ㝤捣戸搵㤳搷扣摦㜵昰攳昷㈹づ愶㤲㤱改ㄴ㔱㑦ㄱ㌳〰㍣㌲〲㐳㙥搶㔲㑥㝡攲愹敤㥦ㅦ㜱㔳昵慡㈹愷扦搷晥搲捣愱㡡愳戱㐸㤹㐹㈹つ㤴搲攸㉤〵㑥㕤慦愵散㝢昱攲昲晡搹㥦㔶㥦㔷㜶挱扡㌷摥㉦摡慡㌸㥣㡢㤴㔹㤴㌲㥢㔲㡥昶㤶㠲ㅣ㕤慦愵ㅣ晥挶㤴攱㜷慦晡㘴敡ㄵ㝤摦敤㝢昴敦㕥㑥㉢㤹て㔰挰㌱〴挷㔲捡㜱〰㌹㑥㐵晡慢㜵晡ㅢ昷摣攳愲愵攳㡥㥣扡㘲㘹慦扥㤳㐶㌶㙥㔳㥣㑡㠸㔳㑦㘰晡㈶愶㥦〳攰㜴㉡㌲㜲愵ㄶ㔱㝡捤㐵㈷晣㙥㥦挰愴㑢晦㔵㜹㔷摦㙦㥥摤㐷挹㐴㠴愹攷ㄲ㌴〳〴㕢〰㜲㑣㐰ㅤ扦㑣愷㌷ㅡ慦晤攳㍢〳㌷搴㥣戵㘵搳㘷㐷㑥㜹攵㔴挵㌹㡣㌸㈲捡昴昳㤸扥ㄵ挰愳㔰㐶㈹㜵戱㤶㜲攷㥦㠶〶㝤搱ぢ㡦戸㘱昴ㅢ昷㍥扣㘲挵捦换㑦㐴㤲改ㄸ㝦慢愶㐷㌲摦搱㐴㈵挰戱搷戳晢昰ㅣ敦搹捡〲㜱㜳扡㔰ㅢ㐹㌷ㅢ㥣㑢㑣㑥戴㐴ㄶ〷ㄱ挲ㅣ愳㍣㕥㤳㑣㘴㈲㡢㌳戵攱㑣戸㈴㍥㈳㡣㍥㌰㘳㠰愹㔲㔲㤹㈱愶散㉣㌸㉢㜵㤹㡥㐱㐲㐸㠲㌶㈹㥤〴㘱㑡㔲㤸挲ㄶㄵ㥢戰㌴攸㌵㤷㥤ㄴ㑥户㘶挲㜳摢㈲晢㍢㠶㍥晡つ㌳愱愳㌲戱戶㜴ㄵ㐴㑥㑣㈵摢ㄷ搰愳摦㤵ㅣ捥㠵っ㑥㘰㠲㙤〰㌲昳收扦㍥摦〷㘳㡤㌸晥㈹ㄳ愲㐱㈲ち昸ㅢ㔲戲戴昲㠵㠸ㅣ愹㈷㐶戵愹昰㐹㤸摣㘵㡢㜸㘸搵㘰晥户攳搹㉤㈶户搱ㄱ搱㤱搱㈱㐳㕡㐶っづてぢ〷㌸慢昲ㅣ慥昲㑣搰搸㝢㤴㐷㘷挷ㄲ㉤挹㤳㠴㘵慦敡㜰㍡㤲ㅤ㍦㉡㌵慤㍡搹㥥㘸㐹昷昱㈶㌶㘴挲㤹㐸㙦㈷㉤㉢挴㤵慣〱㤳搹㐸㕡昴敤敤㑣㈶搵㙡晣攲㤸㐹晥㠹㠳㡣㈹㙤㜲㙥㝥㙡㕤㉡戲戰㠳敡戲㘸㍣搶㍦㡢㈲愴扢㜲㘹㤲㑣扢㌰ㄲ㈶搳㤱㠴㤸㔷ㄹ㥦ㄱ㙢㥥ㅦ㐹㌵㐴戸㝡㡡戴㐸㔶㝢㤰ㄴ㐱㑤㙦㡥愴㉢敢ㄳ挸㈸收搴㉤晢摡戱搱〹㡢㌳㤸つ㐴㕡㘰㉦搶ㄹ㤹㈵㡤慣愳㝢攴戰㤸㍡㐱攸㤵㠳慥㑢㌶户愷搹ㅥ㔲挹戶㕣捡昸㤶㐵㘱攸㙣㤹㤶㙣㠹ㄴㄷ晢㡡昹攷挳晣扤〸つ㘴㠰愳晡换㐲㠱㜲搳搶慣摣㔶挸㥣㤶敦㤹㕢昹慡㘶㈲㝦挸㐷㕢㠴㌵搳敦㙣㑤㌶㜱搹㜲愵ㄸ捦扥挴搴㙢换ㄵㄷ㥢攴敥㥦摦㑡ㄱ摢㔱㜶摦㉦戳摦扦扢捥晤㠴㐵攸慦㈶㠵ㄳ㉤㙤㤱㤴㔷昷搲戱㔴㔶戴挸㐸〱〴捥㐱㙢捥敢扤㘲㜰愸挵㙡㐹攰愴㔸㑢愶㌵搸ㅡ㠹捤㙢捤〰㠷攵㜴㘹㈹㕤扢㕣扦摤挰搹捥㌵戵㐱戲搱㑥戰〸愰慣捣㈷㝤㐶戰捣㔸㡣㘸㜰〹㐰挹挴㐸㈲㠲搵㙤㤹㔲㕣戵挸晡愹〲〱㜷攷戲っ搸㌲愳〰㑤㜱挵挳㕥挲㔸づ愰㑥㐵㕥㤸㥦ち㐴昸㘶慤㍡ㅤ㌱攳っ㠲㌳〱㙣㔶慤㈰㡥㔶挱㥡㝤昱㡦㔸戳㍦㤱戹㕤㕤改㌸攳㔷攴㌲ち搰捡㔷㠲〳㍤㜵㙤㌲ㅥ㡥㈵戲ㅤ攰㝦戴挴て散〷愱摦㜶㈵挴㐹㐳㜹摣搶㐶扡挵戱㘲㤱㑡搹戸㘴㐱㐴㙡㜴㜹戴㌱㥣㥡ㄷ挱㔲㌸㌵戹戶㝢戴㈶㤹㑡㐵摡搰昵戵〸㠲㜵扣㘷㉥㌲㕤㤷㑡挶㠹㜷昵㌷愶愲ㅦ㝢搵ㅦ㕣慦敡㉦昲㌹㝡搶挱昹晢㉣摢㥡搶㔶㜳搸㔳っ摢愹㐴戹搵㡢改ち昷㐱㜹㝢㥤ㅦ晢㙣慦敤㑤戳捦㍥ㄷ㙥㌵捥㈳㌸ㅦ愰捣愷ㄲ扡捦㥢㠳㈸摦㌵攸㠵㤷㐹㑦㝣〱㘲挶㠵〰㘵戶晥㙥㤵挴㝤㡡晢ㄹ搲搷昵㈷㤷慢慦㕢㑤㌶愳〰㑤㜱㉦㠴㕤㤳㜱㌹挱ㄵ〴㔷〲挰愲㌹摡愲〷ㄱ攵㥢戵攸㉡挴㡣戵〰㜶㡢慥㤱戸㑦ㅤ㠴㝦挵愲〱攴捡戵〸㤳搰敢挹㘶ㄴ愰㈹㙥慢挸㔸戰ㅥ〱搵愸慤㔸㡥〸摦散㔸戰〱㌱攳㈶㠲㥢〱㙣扥戹㤵㌸㍤ㄶ㔴㈱㉣搶っ㈶㌲搷ㅡ㡣〵㜷㌰愵㔱㠰愶〶㠱㐳晣戳㤱〲敥㈱搸挴㐴㍥㔵慢㉤ㅢ㠷㈸摦慣㝦敥㐳捣戸ㅦ挰敥㥦〷㈵敥㔳摣收㄰㡢㠶㈳攰戰㈸㌴捥搸㑣㌶愳〰㉤挰㉤㤲〲ㄳㅣ挷㕥㡢㙢〸改ㄴㄷ㡥㙡㑣㉦搲㥤攳つ㌱㔹㍣搵㜲㍣攸ㄴ㥦ㄱ㐹㌵㘳敡ㄱ㙢㡢㤴挵㍢扡㠱ㅦ㠷㠹昴晦ㅦ㤳敦愲㈲㑥扤㜳㈶攰〷攵敦昱愵ㄶ㌸〶㠸㠲ㅤ㝤㐱㘲㠱㌹㜴戶㔲㜱㥤挲昱愴㕦㝥慢㍡㙡ㅤ攷㌷攴晤㜱㜴攱㐱搹户㕣ㄱ㍣ち挷ㄹ㡦ㄱ㍣㑥昰〴㐰㘰〴扡慢㥤㜵㍣捦攸㑡ㄶ㜱㉢愵愹挹㔷捡㘲㈸挶慢㠶㍢㐶〴慢㉦㔶挶㔳㈰ㅢ㝦㈴㜸ㅡ挰搶ㄷ㍦㡢㘸昰㑦挴㐹挹㔶戰㔸㌱㐵㍦ㄸㄸ改〴戹㔵敢攸〴搱㉤晦㠵〹㡣〲㌴挵㝤㕥改㤶㕦愰㠰ㄷ〹㕥㘲㈲㥦摡㕦ㅢ㔹㠱㈸摦㙣户晣㌲㘲挶㉢〰昶㙥㜹慢挴㝤㙡㌴晥ㄵ㡢戸敤敢戶攸㌵戲ㄹ〵㘸敡㔰㜰㠸㐵摢㈹攰㉤㠲户㤹挸愷昶搰ㄶ捤㐱㤴㙦搶愲㜷㄰㌳摥〵戰㕢昴扥挴㝤敡㜰晣㉢ㄶ㡤㐳挰㘱ㄱ〶㡡て挹㘶ㄴ愰愹戱攰攰㘰㘱㝣㑡昰ㄹ挱攷〴慣づ慡〴㐶戱㑡㐸挱〶戵㠵㙢㐰攱㙢ㄵ慣捦昸ㄲ㌱攳㉢㠲慦〱㙣〵换慤㈳㐴㔵㌵晥ㄵ㉢㙢挹攴ㅡ㘰晤愸㑡㘵㐶〱㥡慡㐱㍡昱㕢㄰慣㐶〹㐱㈹ㄳ昹搴攷晦㌶㤷㠱㙢挰㈱㉦愶㐳收㤴愸㡣㕣㥤挸㘵戳愸戳挴㝤慡づ散㘲搱㈴〴ㅣㄶ挱㙦㈱戲ㄹ〵㘸㙡㈲搲㠹摦扡㔳㑤て㠲㍤〸挴㙦㙦挱愸づ扦㙤㜷㔸㤸昵㕢㙦㈶攸㐳戰ㄷ㠰捤捡扤捤愸㍡挲戲㜲慡摢㑡㑣㤳晡㤲捤㈸㐰㔳㔳㤰慥て搳ㅥ〰㔶昵愲戶㘴㉢㌰㝣戳㤶昴〳搹攸㑦㜰㈰㘵㘶ㄷ昲㤵挴㉤〱㉦摡攳㜴晣㈳㍥㥢㠱㠰挳㘷㘸㡦㠳㤸搲㈸㐰㔳昵㐸㈷愵㌸㡣㔲㠷ㄳ㡣㘰㈲㥦㝡㐲㕢昶㈰㌸昸㘶㙢晦㐸㜲㡤㈲㤷捤慡搱ㄲ昷愹㤹㘰ㄵ㡢ㅡㄱ㜰㕢㌴㠶㙣㐶〱㥡㙡㐰㍡戱㘸㍣搵㔴ㄳ搴㌰㤱㑦摤慢㉤ㅡ〷づ扥㔹㡢㈶㤰慢㡥㕣㌶㡢㈶㐹摣愷㘶㠱㔵㉣㍡ㅡ〱户㐵㔳挸㘶ㄴ愰㈹ㅥ㍤㠸㐵昵㔴㌳㠳攰㐸㈶昲愹㥢ㅣ昵㈸㙢㔱〳戹ㅡ挹㘵戳㘸㤶挴㝤敡ㄸ换愲攳摣ㄶ愱愶晦㡣㙣㐶〱㥡㍡ㄶ改愴愶ㅦ㑦㌵㈷㄰㌴ㄱ㐸㑤扦ㄲ㐶㜵搴昴㉢戴㠵ㄵ㐸挱㌷㕢扦㥡㤹愰㠵㈰〲㘰戳㜲㥥ㄹ㔵㈷㠰㕤晣㌶〷〱㠷摦㔰搳㑦㈴㥢㔱㠰愶㥡㤰㑥㙡㝡〲慣敡㝣㙤〹㔳昰捤㕡戲〰㘴㘳㈱㐱㡡㌲戳㌵㍤㐳㥣慥改㜳㤱㐴慣㘹㐱挰㘱つ㝣戶㤸㈹㡤〲㌴搵㡣㜴攲戳㘵㤴晡㜳㠲㔳〸挴㘷换敤㍥㍢㌵慦愵愷㌳挱ㄹ〴㘷〲搸㉣㕤㘱㐶㔵搴戲戲搵㙤㈵摡攳㉦挹㘶ㄴ愰愹㜹㐸㈷㜵敤ㅣ㙡㔹㐹㜰㉥ㄳ昹搴〲㐷㐹㘶敢摡昹攴晡㌵戹㙣ㄶ㕤㈸㜱㕦㌱てて扣㘶㠰ㅤ㐷ㅤ㈵㘰㈸㥢㥡っ户搴㠵㥢㜱㌵愶㐴㕦㡣㈹慤㐹挶ㄷ攰〰㈶ㄵ㈲㘷つ㌶㠹戱昹扣㈸搶ㄲ㐹㤵ㄲ搱㠰晢㍤挵戸ㄷ㤳づ捡ㄶ㝢ㅡ㈷㉢㐵扥㐰愰㔳愹㤷慥挹㤶慣晤昵㐶愹晤晥搰㘴㤷晣㜷㡦ㅣ㌵ㄶ㐳〶戲㔳〴㘸㕣挴散慤〲〸㜰挳昴㕢㙤㑤㜷㐱㠲㘰昴愸㐴㉣㤳敥ㄴㅤ摦㥥㐹搶挵㌲戵改㑣㜹ㄴ〰㐱搹㠷敢㉤ㄳㅣ摢㠴扡㌲㍡㉢ㄶ㌹㠹ㄳ㥥㝤摣㈴㕣㝡愹㘹㑦㘷㤲㜲㈰戵户㥢㕥㥢㥣㥥捣搴挶搲ぢ㜰㠱㘶㝦て戲㐹㤹摤ㅡ㐹㘰㔲㥤挲㙥摦㡥㤸㤲ぢㄶ㐴㕡㍣㙣㙣㐸戶㘳捤㌷戹昶㠷㜰㝣愰㘴㥡㠹㌶㉥㠷〷敡㠰晣换〴㥢摦㌹㍢昵㉢晣敤攲敥㌹愷㉣㍥攳ㄲ搴ぢ㍣㍥㔵㔶㘶慣㐶〰㉤㈰㤰㐱㝣愷㡥ㅣ㐲㘰散ㅡ敤㈸搲挶㔸愶㉤搲㈹㉡愵㈶攱搲㈸ち〹〷㌶㉤㈵搱挶搶㔴㈴㔲摢㌹㍡㌱ㄵ㙢㘹㡢㈵㈲慣ㅥ搸戴攵㕤愶愹㤱㜹㌸㥣㤹㤱攴摤㥣㘴愲㜳戴㌱ㄵ㑥愴搹㜴ㄲ捤㑢扡攵挴愴愹〴愲搵戱〴慡愳㔹㡤ㄸ敥ㅡ㙤㘸㑤㥥㠴㌶搱ㅥ㑦㑣っ㉦㐸晦㄰㡡㔴㥣ち昷攰捦㉣㔴扦昲晢㔵愹扦㜴ㄷ㡢㑢〵㉦㐵改㌸㑥捤〷愳㍦㔶㐵㍥敥慣昸〹搸㠱愱晣㜸㝡㔱㘰愳挴㜱ㄲ挴搲㉦㤷换㘹晡㄰慤挸慢ぢ敡㌸㝡㘱戵㌳㉥㐳愲昲摦〰ㅣ㌱昱愸挹摦搵㐱挱㈲㐸㉥戰㥣㤶扡搲㜱㈴搵〳捣㕤捣晡㐳ㅣ慢㤳㈱搵㠰㌱㘷㥤㉣㡢ちて慢㘷㤷㙣戰づ愷㝡攵搱愹攱戹㤱戶扡㘴㉡ㅥ捥㜴㌱㈳㙣㝤昱㜰㕢㕡搳搰昷挶挳慣㙦慣慢つ捤攱戶㐸愹㜴㠵搳㘲〹㈳ち㈰㤵㔲愳挲㡢㠱ち㉦ㄶ㔴㜹㜴㈶㡦㘹捤敥ㅤ戲㤲昳挲愹㔸愶㌵ㅥ㙢㉥㘵㠴㐷愹㍦㠸㡡㡡㉡㔴っ㘷㕡㝦㔲㕢搱慦㔴㌸㍡㈱昳攸ㅥ挵㕤㠵慥㥥慥㘳昱愳㍡晢㔵㄰晦愹㕤㍣挳昳㈹㈵㜳ㄱ攳ち㐸ぢ㜰搰㐲㠷㘶㥡昲㠱㜵㜵昶㠳㔳㠱㤱㥡慤ㄶ㤳〱慦㜱㈵㈰〳昲㉥㐳㠰挳戴㘳摣㕢〳愲㜱ㄵㄹ㤷㠳挸戱㑦㔴昹㡣慢㠹㐳㤴㝤摥㌵〸愰捤愸搳ㄱ㘷扦愷㠲搷〲攳㙣㘷㘸㕣敥㜶愶捥〰㍦摢㥡㜱ㅤ〵㥥㠹㄰慢㜰㐷㤶㙥〰㜶挷㔹㕡挱ㄴ㜸㡤摦㔲㠸㡥愸㕦㈱攰㤱愵㜵㘰㌰搶〳〴捥〵挳户㍥ぢ改㡡㐴㝢挴搹㔹㑥挲㐱㘸㈴㙤㕥㈳㑤搷愰㕥昶㜴愳㜱改㈳ㅣ敦㈵昸㠹愹〸㑥搶㔲㡤㌸㕢㤷晡捣ㄴ扤㍤㈹㤲挸㘳戸晤㜱㑡愰㙦㈸㐴㜷敥㐶〱㑡捡晣搳㜳㠲㔲ㄵ晣て〶㝢㌹㝢昱㉤敤㝥搳挴㔷㑦㍥㜳㙣㄰㤲㔹昷㙦㐴㐵攲㜸㜱ㅥ攲扢㜲㐴挶摢㤸搸㐹户ㅤ捣昶攰愵收㘹戸〴ㅥ㕢搰ㄶ愹づ愷㌰㈶㈷㔳㘹㈳㙥〵捤捡㘷㍢愸㌳㝢挷ㅦ㐲㍦㠸つ㘴㜳愴慥㜲㜴㝣戶换ㄶ㌶挳捤㐹づ㐶ㅤ㡥㠷慡扢攳晡㠶攴㝢㈱㈹扢㌶㌹ぢ㌴㘰戱昲㉤つ㘱摦㤱扢㜷〹㠴㑦〵㘶㐲㤴愷㝤散昵㡢ㄳ扣㝣扥㠸㍢㥥㘵昳ㄳ挹㤳ㄲ㘲㜹㈰捤㍢㐴ㄴ㘸㤴㤴㌰ㅢ㘵㜸攵㙦〴扡㈸㔴ㅤ搶㥡昳㠱昰扣摣㘴㕥ㅦ攸戸ㄹ㍦戹㠵㈷㉢收㤵敢㜲㕥㠷挷〶扣摣㜹㉦㤵〸㕣搸㌹㍥㍢㤹㥡㍦㌷㤹㥣捦扢㙤㕤㈴㤶㙥㡤㐴㌲扣愳摥㈹㙥摥敤㘵ㄸ㘳㐳㔱㔱捥㔵㜴敤㜷ㄲ㔷挲ㅥ改攰㠳户挰昲愲扡㔴戳挴搴㜴攴㥦㌷挷ㅦ㝥㜷挹戶〳愶て㌸攲戲扦捦摦慦敡昲㜷晥㑢㑤搳㠴㡦㔶づ㌹㝥㑣晤㉤搳捥㌸㈷㔱㌷昵㝦慡昷㔶ㄷ㐰ㄲ挷〲㕦昰㜷㤰㌴搲㔶敡愳㉢愶捦㤸搵㌴扤㜵昳敤昱㡡昸慢㥢慥㙤慥挸挴㌶慦㙢慦攸㝦昴收戵㑢㉡㕡㕥摤㜴㙢㘲㕥挵挳攷扦㝡捦㠶〵〷㘲㜴昴㑢扢戳㑤捤搴㠵㤰㉡㐳挶ㅤ㤰慣㔶㈱㈶㕥扥㤳㌱ㅤ㔱慢ㄱ昰攸晢敦〲㠳㜱㌷ㄹ㜹㘲挹晥摦扢㔵㙦〴ぢ㐷戴㉢挰挱㤶慤敡㤰㑦搶㈷㠴㌱㌶㑤㐰㠸㔵挲愳㐸搵㤵攰㘰戱㥡㐳㌲摤㘸扡㜰㍣昸改挲摤捦っ㍣戶㘴昳㝥㜵敢晡摦㜰敤〷㕢扥摥㔳㡤搳㠴慡挴慤〷㝣ㄲ㌸扦敥晥㘱愷㌶昷㉢扦㘷㤲扡ち㔲㑣ㄷ晥ㅥ㔲㝡戸㕣搸㌸㜹〶戶㤵㍣ㅣ戴ㄶ〹挵㐱て㈱㥤扡〶㌱晣敢㌳㌶㌳愶㈳敡㝡〴㍣ㅣ昴㌰ㄸ㡣㐷挸挸〳㔴摢㜸晦愸㤵ㄸ㝤摥㘳〸搳㍢ㅢ挰㘲㡥昷㡦〳攳ㅣ敦㠷㐰㠸㙢㕥慤㙥㐲ㅡ戱敤〹ち扣ㄹ戱㥣昱㝥ぢ戰㍢ㅥ敦㙦㐵㌲㌰晡㡣愷㈸㐴㐷搴ㅤ〸㜸㘴改㡦㘰㌰㥥㈶攳㐶㌰攴㉦昳㘷挰挲㕣摤〳㉥㈹昳㐱㈸㤸㙣㤹㔷㈱㤶慦捣㌷㈱㠹㔷㤹ㅦ㤴慦捣て搴㠴捦㥦ㅤ晡㐵敤㘹㥤挷㕦戸搷摡㜵て扤扦慡㔶昱昴搷㉣昳扦挱㥣挳㕤㘵㕥搳ㅡ慢㔸搰扡㜹㐳挵㤴㔸愲戵㈲昳敡㍤て㔴㐸戳㐹戴㙥㕥㔳ㄱ摦㝣搵㤲㡡晥㐳〷て㍥㘴攰搰挱挳㠶㝢户㥥晢愱㐱ち攰〵扡攴㐱挴昰㉦㑥㐱ㄸ搳ㄱ戵ㄹ〱て㑦扥〴〶攳敦〰㠱㐷挱昰㉤㡥〷㍢㠱晤挷昹っ慥㔶㐶晦愳ㅢ㤲昰㈲ち挹㕡㕣散敡愶〵㍢㉤捥㕣㕥㐶㐱戲扥㍦挶㌸㕥攳ㄵ㐰㡥㘷摣㤱㔰㡦㕢搸㝦〰换㌵〵摦挰ㄳ〰〵㤶㤷戹愷戵㔴搴㌹㙥㙥㌱㤸㜳㤴㐰㥣愷戸㘵昱〹㠹㜶昳戲㜵㔰收扦㠹㙥㐴㔷收戰㤶㤹㈸挲慥㘶戰㈳㔱㈷㑤挲ㄴ㍣搱换摣搵攳㔵㔴搲㉢戳愲㝢㌸㈹㥣戲㈷㑡㤰㐱扥ㄸ㤷昶㉥㌰㐷㠱㔶捥㐹㌰㘱摣㈹慥㔲昳㕥捥㔶㝡㤴戲㤵㤱つ㑡㕣㍤㠵㝦愴㕤换敤っっ慤㝥攷㡥㠳晡㈳㔸愴㘱㙥㠳ㄸ昵㌴㘲㌹㍤攳敢挰收敤ㄹ挱㙣㉥敥㥥㐵〸㡣㍥攳つち搱ㄱ昵ㄷ〴㍣摡昳㥢㘰㌰戶㤳昱〵㌰攴敦ㄹ摦〲ぢ㙢捡㡢攰㤲㥥戱㘷㑥捦戸㐷㠱㥥昱㈵㈴昱敡ㄹ扢改づ搰㌵愱搸㑤ㄳ㥥㉣㥤扡戵扤㍡㌹攱摥晦㜹㙥慦敥㉦㥥㌹㐳昱〰搶散ㄹ㍦㠰㌹㠷敥㜴捦㘸捥㈴搸㉤づㅢ㡥㙥㜱挴㈸敦㙥昱ㄵ㠸ㄷ敦㝦㐸㝦㙣㐵っ晦晡㡣㡦ㄸ搳ㄱ昵ㅡ〲ㅥ㙥晣ㄸっ挶㈷㘴摣づ㠶晣㙥晣ㄴ㉣㜴攳㕢攰ㄲ㌷㤶攵戸搱㈸攰挶户㤱挴换㡤〱敤㉤搷愴愲㔸ㄳ晥㜰㕢捦愱㕦晥晤㠴㠹㤷摤摡敤捦㤱慢扡㠴搴㍢㤰㘴扡昱㙢㤸㘳晦つ㥢㌹㉦㥢㤰㘷㑥昱㉥搲㠹㝦晥捤㡣扥㡦ㄸ晥昵ㄹ摣㕦㘰㐰摥てㄱ昰昰て扢づ㐳〱愸㑦挱挰愱挳敡㠲晣㐰搲㈳㥦㘹〹〶㥡㠵㜴㐱晣愵㠹攲㜹戳㈸㈹〶ㄶ㡦扣敡㑢〴捣㤶㌴づ㈱捦㤶挴㈳㘷戱㌵㠸㔴㡡㘷捦㌹㉤愹ㄴ搸扣㉤〹ち捤㤶挴愹㥥㘸攷㙦㠶㈵㝢㐴昸ㄱ昲挸㘲ㄹ㜸㡣㑥㘴っ㠲㈱㝦ㄵ㈸〷ぢ㌳㕣〲㉥愹〲ㅦ㝦㙤㥦㘳㝣㠴㔸扥㌹㐶㈹㤲㜸㔵㠱昷㤱挶㜳㕥昹㥥㈶㝣㄰㕣㌳㝡晥摢ㄳ慢搷扤扥㈲扥㈵㥡扥㐴昱〰摣慣〲摤㘱捥㉥捥㌱㠶㡤㈸搰㤸㜸扡㉥〵搰㠳㉥攱搹㍡ㅥㅣ㠴㌳愶摤慡㐲〸㜹㜸戲㈷㜸㡣㍤挹搸ㅤっ昶捡搲ぢ㐸晡慥〷昰㤴㘲昴〶㠲㕤戹㔴ㄶㅥ戲ぢ戶て戰㍣戲攱慢㜸㤲㙥㔶㤶㐹㠸㝡㔶ㄶ㥥戳㡢慤㍦愱搲扤㄰换愹㉣晢〰扢攳捡戲㌷㤲攱昱ㄹㄵㄴ㠲㠰扣㝤〱㍤戲搸ㄷ㍣挶扥㘴㍣〰っ戶㌹昶晥㔶㘲㡣捥〷㈰捣摣昶〳ぢ㜳愰㠲㍦〵挶㌹挷ㅥ〱㠲㝢㡥摤ㅦ㘹㈴㑢晤㈸㤰㈷昷㌹㔹㍡㄰搸ㅤ㘷㠹㈷晣㜸㝣挶㐱ㄴ㘲㘵㠹㠷昹ㅥ㔹慡〴㡦㌱㠰㡣㍣挲捦㕦晦〷㠲㠵戹ㅡづ㉥愹晦㝦捡愹晦捦ㄶ愸晦㈳㤰挴慢晥㍦㤵慦晥㙦搱㠴搳㔷㍤㜲挵慤ㅢ搷㑣扦㘷昷ぢ㉡㉦㕤㍥㘶㠵攲搵〱戳晥㡦㠰㌹搵捥㤱〴昷昵捣㌹㜶㔳敤散㤹戹慢搲散㉣㝢㝥敢慢㥢㌶㔴挴摢㕦摤㜴㝥捣㝢㐰ㄹ〵㉤㔲〸〷搳㉤扣㤹㠰〷扦㌱㘵捣昲收ㄸ㠴㍣扣㌹ち㍣挶㈱㘴ㅣて㠶晣摥ㅣつㄶ㝡戳ㅡ㕣攲捤㐷㜲扣昹㜰〱㙦搶㈰㠹㤷㌷ㅦ搴㑥㜳㡤换て㘸挲戲攸挶㜷㔶挵〶搷㙤ㅣ晥㤶敦㙦昵搳㙥㔱ㄳ㈰挹昴㘶㌵捣ㄹ晡㉤扣㔹㘸㡤㕦〷愹攲扤ㅡ扡㘱ㄲ㘲㜸㝣㐶㉤㘳㤶昷㜸㘹挲挳㝢ㄳ挰㘳搴㤱㤱㔷㈵昲㝢㙦㈲㔸攸扤ㄹ攰ㄲ敦摤㥤攳扤扢ち㜸㡦㌷㉦扣扣㜷㝢㍥敦摤愶〹户㕥㍡昶攳㘱捦㍤㔸晢㐰㜵扦㤹㔷㍤昳搵㠷㡡㔷㌴㑣敦搵挳㥣㕤㤹搵ㄴ㕣散㌵㐲扣戸㜱〶晤挱慢ㅦ㜸㜰㜳㠴㌱换㡤扣改攱攱挶㤹攰㌱ㅡ挸㜸㍣ㄸ散ㅤ㜱㈳㤰㜴摣〹挰㔳㡡㜱ㄴ㄰ㅤㅤ㜱㤳㠵㥤〵㉣ㅥ㜳搴㙥〶㔶昲㈹㔷㑡㍣㍢攲ㄶ戰㠸慤㐷㈳㤵㡡㈰㤶搳㙢ㅤ〳散㡥㝢慤㜹㤶昶㘳㈹挴捡㈲慦㠹㜸㘴昱㌸昰ㄸ挷㤳㤱㤷㐳㙣ㅤ㜱㤳㤵ㄸㅤ昱ㅣ㠴㤹摢〵㘰㘱づ㔴㌰っ㡣戳㈳ㅥづ㠲扢㈳收㝤ㄲ挹搲㕣ち攴挵㤲㥣㉣戵〰扢攳㉣㘵㤰って慥挸㔰㠸㤵愵挵〸㜹㘴㈹ちㅥ㘳ㅥㄹ㤷㠱挱㕥㙡慤㐰㌲ㅦ㍦〷㥥㔲㡣ㄸ㄰ㅤ愵㜶㡡㠵㍤ㄱ㔸㍣㘶愹㥤づ慣㔹㙡㉤㐰㜹㤶摡ㄹ㘰㤱㉣戶㈱㤵㍡ㄳ戱㥣㉣㈶㠰摤㜱ㄶ㔷㔸摡㤳ㄴ〲㐵昲昲愲㡡㐷ㄶㄷ㠰挷㔸㐸㐶㕥㑦挹摦扥㔳㘰㘱㠶㜹㝦㐵摡昷㌹㌹敤晢散〲敤㥢户㕤扣摡昷㉦㜴㌳㜶㑤户捦搲㠴晦㍡慡攲昵〱㘷㕤㔴㝢晥㌱㔷㝤㜰㙤昸愰愸攲戵ㄸ昱㘰昰㘴㤸㌳搱搹㍢敥㘸ㅢ昴摢っ㌸扣㝣㈳㈵戱㤴扥戹㄰㌱㍣㍥㠳㤷ㅥㄹ攰ㅢ扡〸㄰㜱㕦昰攷㠰㕤㙡慡㥢㙣攷搸挱㔳㠰摢つ㌸㜳慦搸摡㜲づ昱搶ぢ搳挸昷㑤㡣攵〸〶㉥〱㙡攷㉥㔸㤴㔰慢敤搶ぢ捦㤸搳扢㐵㡦㙣て户㘱㍢扢㍥㡡ぢ㌰㐴晤㈰づ㉦㡡㘵㘷挵㜹捤㤹扦扡挶てㅤ愶㐴㔲㠹㐸㕢ㄵ敥㡥㐸ㄶ㡥㍤晥㐴攴捣改㠳㕣㕥㥤户㌴㌹㜷敤〸愳㉣㜰㉡㉡搶捥㘹㘱昹㘶㡦㉥愸㤳㌳攰㌲攳㜴ㄴㄸ㥢〱㉦愶㤰挷㌸〳〸〶攴攵㈵〴挱㥥〹㉣ㅥ㕦㌹摥挰ㄵ㐰敤昰散㥡㝤㐷ㄹ㑥攲ㄲ昸㥡搱㤲㌶摣ㅣ㘰㤰㠷て㘶㠸㤷戳㑣戲ㅣ㠷ㄴ攳㝥㡥昳㍡㝥㐷摡㠵㄰搵挹昳㝣㠵ㄴㅥ㤲〷㤶挲ㄱ㜹搳㌳〷搹扣㌳つ晦㠲㉢㤰愱敥搳㘲捤愹㘴㍡ㄹ捤㔴㌴攰㑡㑣〵㝦㄰㡤ぢ㜲㠳挷慢㈵㤰㤸戳搸摡て㥥〸昱㔰㥣㌹㌳㝥㠱挴㥤㡢㐲㙢㄰愷㕦っ戶ㄸ㠳㑤㈴挴攳㜰㐱敤㐳晣搹〸慡慢㠱㘲愳㈸㔳㘹㐸㘵愱㤹捥㕦〹㈲㥤㝦つ㘸㜸㜰㡦㡥摣〸挸㝢㥤㠵㍤て㔸㍣收扡昸〶㘰㔹〰㉡〹㌱捣㌶〸㍥㠳㜹ㄱ戳攳挰戸捤收挱户㤸㝤㈱昸㘰㌶て戹㤹挲㘶㌶㡦扣〵戵ㅦ昱㤷㈰愸㜸㜸㠹挷㘷慣㘶っ〱㜹敦戰戰㤷㤲㕤晦㠵㜸扣㈲ㅡ㉥〳ㄶㅡ㜸㤴㐲扡㑤挳摤ㄶ慡ㅦ昱㔷㔲㈶て㔲昰昸㡣㌵㡣㈱㈰敦㐳ㄶ㌶㐷挳㘶㘰㐵挳㕡㔳挳挳㠸㍢㌴㍣㘲愱㉡㈹昳㍡捡㝣ㄴ㈸搳昵㍦㠳㘷戲慥扦〱㐴扡晥㌱搰昱攰㙥〰戹㉤ぢ攴昴㠱搸㜵挰攲昱㜵㈱㠵愷て攲晡愳㍣㕤摦攰改㝡㥥㐱㠸搹㌷㐱づㅣ挳昳〶㑡戴㌹㠶愷て㠲ㅡ㐴晣㙤〸慡㘷㠰挲攳㌳㙥㘷㡣捡昹捡㥥㍣戱㌹㡥攱摥扣㘸戸〳扣搰挰㝤㜸ㄱ㤷慤㤳摣㤵ㄷ㤴摣㉥摤㐸㤹㉦〳㠵〷扦㍢㘳㑣㙢〸扤㠲㤰挸摡〴慣㜱㉦挱㝤〴昷〳㠴戸搷㉢挴〷㠸㝡㄰愰戳扦敢㔶㡤っ㕥扡㥡㝦ㅢ挷㐲ㄴ晥㥥搱晦㙥ㅤ晢搴ㄶ晥扤㍢㔶㙤〳㈷㥥㕣敢搵敢㐰㠹㔳て户㌹㌵戸ㄹ挲昳户捤挳㍣㍤晤㠶戶挴㜸㠴㤶ㄵ㠵摥㐴ㅣ㈱扢愷户㕢㈸晥挶挳㜸ㅣ㔴昵ㄶ㔰㜸㜰挹㤶㌱〴攴㤵㙤㍥㘲㜳㍣捤敤㍥㜱挰ㄶ㔳〳户昶ㅣㅡ㍥戱㔰㠷㌲昵㌳㤴昹㈹㔰㜸㝣挶戳㜶つ晦戶戰㌹ㅡ戸㘱㈶ㅡ㥥㌳㌵㔰㍣ㅥ㝢ㅥ戸㔵㈶㈸㝡搸㜸ㅥ㐱㕣㝢搳ㅡ晥愶〳㔴ㄷ戲㜶换っ慦戲㉣〶愷㈸㝡ㄹ〱攳ㄵ㠰捥戸㘶愴㤳攷攴ㅡ㌷敡㜴〹㔵搸㑡挸㘰〹㐹㡦戳户㘷㘱ㄸ㈰㡢晣搷㄰㐰㘱㤴攱ㅦ愶戰㔵㝢㙥㠸〹慡㠶昸敤〸慡㜲〲挶摥搲〱㐶㤴㙣ㄳㄱ㥢攳㉡㙥ㄷ㠹㠶㝦㈲〰つ摣ㅡ挲㘳搷戰愷㠵㥡㐸晣晢㠸㈹㙥ㄳ㠹㠶晦搶〱㜱㔵㙦㐴㐴㤶㤷慢晡㔸挴㑦㄰㌰㍥㈵昸っ愰㑣晤〴㔰㘴搹敤㔲摣ㄲ㤲ち㕤敡改慥愰愷扢㉡㤰㐸っ昸ㄲ〱㘴㠶㥢㐰㜸散㤹搹搷㐲㑤㈱晥ㅢ挴搴晥〰㘶攷收㠳搴㙣攷㠶戵㠶㜴㙥〷㤰㠹摣昸㤱户〴ㄸ㔱戲敤㐳㉣慥㐳换㉣㠰㠳扡㍡㄰扣㘲昶㔷㕦㜹㡤㉢㕦〰敢ㅥ㔷づ㐲㈲㌱扢〴愲㘰㌶㌷㝡昰搸捤ㅥ㘰愱敡㠹敦㐴㐳戸捤㈳㘶㤵摢捤㤲㡤㄰昲搸扤ㄹ攲㠶㠸㘸攸㘲㙡ㄸ㘵㠹换㜶㙥摣ち挱㘳㝥挵挹攸㐶㤹愳ㄱㄷつ扢摢㌵搴㔸搸ㅣつ戵挰㡡㠶ㅥ愶㠶〹㠸攳戱攷愱捥㐲昱㘷ㄶ㐶㉦捡攴昶㠰㘸攸㙤搷㈰敢㘸㔷ㅥ戸㥥ㄶつ㝢㤹ㅡ戸㜶挶㘳搷挰㤵戴愰㡥㈵扥㠲㌲戹㡥ㄶつ㝤㙤ㅡ㐲搶㘲摡戳㔱㜳㑤㉤㡡㝥㡡㈴㐶㍦㙡昳慢愳㉤㌹昶㕣慢㘳㠰㤵攲㝥摥㕥摣ㅤ㡤晡㉦㥥挵㝤慣㈵㝦〰㐵ㄷ㠵戸㐲挶㘳捦挸昱ㄶ慡㠹昸挱㌴扤〹㈸戳㤶㍥つ愹搹㕡㍡ㄴ㐴づ挱㜳㐰㤷㡣づ㈳㌷㤲挹㍢搷挲づ〷ㄶ㘱㜳昶搳㠲㤰㤸晤愴摤散㡥搹捦攳㥥㘶㐷㤰㐸摣㌲ち愲㘰㜶ㄴ㜱㑡戴昵㐵㕣ㄳぢ慡㤹昸挳㘸㐸㉢攲㘲搶ㄸ挶戴㔹愱ㄸ戰㈲换慢愷㌸搱㈲㔶㈳㠹㔱〳〰晦户㔹㜲㜲晣捦㤵慦㘴㘴㤳㍤㈳ㅤ晥摦攸㤹ㄱ慥㝦㐵昹㈴㡡㉥ち㜱慤㡢挷㥥ㄱ慥㝣〵㌵㡦昸愹㌴㥤㉢㕤挹挸㌴挶㜴㐶搴㔲ぢ㙢㌷㉢挴攵愰㘸愸ㄷつ㙡㌹攲㕣敡〶㘷㌰㍥扥慤慤挲扡㐷㤴づㅥ㐹ㄴ搶㌴㜲㑦㑢㑥㜰㠳㌳㠱ㅡ㕣ㄷ㑢㠴摢〶㌶㘰〷㌴㍣㜰攸挰ㄹ慤㥢搷㈶〶㘶㌶㙦㘸㙥ㅤ㈸户㝡〶捡慤㥥㠱㜲慢愷㙡㜱㕢㝡戱摡㠰捣昲㡣攲扣て㉦改㌳昶搰㝦㑥㕢晦搷㤳㤴㕡㔱扥㔸摤愸〹慥㙦㕡㥥㙥ㄹ㝦ㄴㄴ攲㤱㌷㜴㠶㘵晣㉣㕡㔶ㄴ㍡搳㡡捦㐶摣㌸㥡㐸㝦攰ㄷ㐰ㅥ㥡晦㙣搷戶攲慤㜴㝥搲㘸〲㍥㔱戴〴挹㝤㐵昸㔵㐹㐰㜲㕣散ㅦ扤㙢戲戸㑣攴ㄹ㌲摦挰昵挸攷㝦㈰㠷㘵㥡㕤摦㔰攲㍥㜸㡤㘳㤰㘱㜵㌶散㘵〱ㅡ㉣㐰㠳㐵㘶戰㤰搴摡㝣㍥扦㑡ㄳ㥣㕦〱㔵㕣慣㐸㌵㥡㠳昴㜸㑣㥦㜳挵㈲ㄵ㈶っㄴ㝣捥戵㡡挴攷㈲㙥㌴ㄳ改㔷㕣㜵搰敦敡㌷㄰捥捣㡡㝤ㄱ㄰搵㈵㐰㝢搹㜷㜱㍥晢㔶㘹㠲昳㍢㥣愱搵㤶收昹愶㈵㔶扤㔶㤷㔹摡㉦戴㙢㡦㔳晢㤵㜹戴㥦㥢㑦晢㑡㑤㜰㝥扥㌳戴挶搲㥥ㄶ敤㙡慤愵昴㙣扢搲㜶㉡扤㉥㡦搲戳昲㈹㕤愱〹慥㉦㝥摥〰㐹㔲㈴㑢㈱ㄷ㡦㔹㈴扦戵㑣㔹㈶愶㠴搶㔹昱㥦㈳㙥㥣㐲愴㕦㜱㌵㈲㐵㜲㥡摤扥攵㈰㉡㉥㐰扣㡡㘴㔹㍥晢㤶㙡㠲昳㕢愲㈱㉥㕥愴㌲慣㄰㑢ㄴㄷ㈸愲㜴㠹㕤改㉦愸㜴㘳ㅥ愵㤹㝣㑡搳㥡攰晣㘸㘷攸ㅥ㑢改㑡㔱ㅡ㘰㐷扤㕦晥㐶摡昱挵㡡㔲昸㉦㠸慦晢攱㍡慤晥搶㕦㈹㍥敦㤷挱㥤散挴て㘲晦〹愵换敦㥥攵摤〷〹敥攲敦〳搴㐲㜸㔲愶㜶㤳㈶㔹㕦敤昳晢㍡㔶㜳收㜱㌷㔷㠲㜴愴㕡㘰㌱摦㝡愷敦ㅢ㜸っ㝦㐰换ㅦ㤶㝣㈶昳㝤ㄶ㜳搲㘲ㅥ晡捤〷づ收慤ㄶ㌳㔷㤶㈲㌹㘱㌱扦㌳戴㔷〷戳戵㜸搴㤲ㅦ〰戳㔴㑤晥戲捡戸〵㜵摦扣㍤㜹㈲搲㝡㕥㐰㡤㘹㠲敢〲敡㠳㜹㈴㐵㜵〲搷ㅥ㙥㐴ㄳ㕣㝢戸㕣㙤㑡愵㙥〱㐷㐷攷㜶㌹㉢昵攳㤶ㄲ㐷攷摢愴㘵戹〶扣ㄳ㌴挱昹つ搹搰ㄳ㤰㈴㉤改㙡戳㈵㙤戱㤴ㅥ㘷㔷㝡㉤㤵㜲捤改搵㝣㘷攷㔳㍡㑢ㄳ㥣㥦㥣つ㜱扤㉡㑡搷㥢㑡戹㈶㤵㥣㌶摡㤵㙥愰㔲㉥㐳扤㤴搶攷㔳㍡㕤ㄳ㥣摦愹つ晤捤㔲㝡扢愹昴㘵㑢戲愳挸㈷㙢〱慥愳挸㐹㥡攰㍡㡡攴㈲搷慢昲㑣搰〹㕣㐵㕥慢〹慥㈳攲搷㈰㐹ㅣ㔱〳㡥㡥㈲扦㥦㡥攰㌲搶换ㄱ㠷㙢㔹慥㈲ㅦ愳〹捥㑦敤㠶摥㠲㈴昱晥挳愶㈳晥㘹㈹㍤搴慥昴て㔴捡㤵慤㤷搲㠳昳㈹ㅤ愱〹捥敦昳㠶戸㉡ㄶ愵㕢㑣愵㕣昲㝡昹㙣戰ㄶ攰昲搹㈰㑤㜰摤㉣攲扡搹㑢搲㠰㝣㤲㉡㌵挱搵攰戸昸昶㤲搴㍦㥦愴㝥㥡攰扡㐲晤㈵㈴㐹㌹晥ㄴㅣㅤ攵昸ㄲ㕤捡昵戵㤷㑢晢㙡㔹慥㜲慣搰〴搷昷㡡戹ㄸ㤷㐱晡㔵〴昰㤸㠳㌴㔷攴攲攸㙤〸㘰摥挴戵戸挴㕦㐳挰㜸㥤攰つ㠰㌲挵㤵戵搸搸摢㙥攳㜶㘰ㄵㄷ搳㕥㌶昶挸㘷㘳㜷㑤㜰㝥つ㌹挴㠵戸㘸㝦て㠱捥㐵㡡㡢㙤㔱摡捤慥昴扦㠱㔵㕣㕦㝢㈹敤㥣㑦㘹戹㈶㌸㍦㥥ㅣ攲摡㕣㤴㝥㡡〰㤴㜲晤㉤㑡换散㑡㍦〷㔶㜱挹敤愵㌴㤰㑦㘹戱㈶㌸扦戵ㅣ攲㜲㕤㤴㝥㡤〰㤴㜲㐹㉥㑡晤㜶愵摣㥦㔷ㄵ〰㕥㑡扦晥㌲捦㜲攵㉢㑤㜰㝥愰㌹挴ㄵ扣㈸つ〰㐲㈹㤷攷㈲搹搱愷㝤慥〵戸晡戴捦㌴挱㜵㐱㠰㙢㝣㉦㐹ㅦ敢〴慥昶昹㤱㈶戸慥㤶㜳㐹㉦㡥昸㄰ㅣㅤ㙤㈱〴㠳ㄵ㔷昱㕥㡥㜸㔷换㜲戵㠵㜷㌴挱昵㤹㘹㉥昹愵㉤散〱戹〸㥢㙤㠱敢㝥㜱㑦㑦㜱㑦㠸㉢㝥㠹敦〹㘸昴㈲搲慦戸㜶ㄷ晢摥戴摢搷〷㐴挵攵扡㤷㝤慦收戳㙦慢㈶㌸㍦㘳ㅤ攲㔲㕦㌴昷愵搲㈲挵㜵扣㤷㝢㕦搲〲㕣〵昵愲㈶戸敥愷搶攴㤱昴扣㑥攰㉡愸扦㙡挲〷捥晢㜹㕣晢㡢㈳晥〲㡥㡥㠲ㅡ㐰㐷㜰戹敦攵㠸㘷戴㉣㔷㐱㍤慤〹捥㉦㜱㠷戸㔵㈰㡥ㄸ㙡㍡㠲摢〱愲昴㈹扢搲攱㈰㠶戸〴ㄷ搶ㄱ㠰挶挱〴㈳〱捡ㄴ㔷攱㤲收㌱㥤㠶ㅦ㌰㈹昵慢〰㤷攳〵㝥ㅥ㘰晥ち㌸晢挵攴慥㐸ㄶ㠸昲攸戰㔳搴晣㘰㌱ㄷ捦㌸㍣㡣戵戵挹㜴扤ㅣ㍦〸㑥攱㥢挵㔳昱愳㜷晣愴ㄸ挷戱晡㡣ㅡ㍦㠶攷㘷扡慤慦㐲ㄸㄲ㘳攲㘰戴㍥㠵捦㐴㤴㐴㈷愷昱㙢扡㤶ㅦ搴㐴ㅦ㈷愱挵ㄸ㝣昰㘷㕥攵捦㍢攱㉦㜰搳㍥敢て敢㐳挴㝥晥㡥㜸搷㡥㤹㠳㠷愰㌸慢昸慢㉣敢敡㥢昳攷㈵敥㑢搴㑡晤〱㠵㉥慢ち晢㜴摥㌸㤴搵攳㌰〰㥥㘲戰㉦㈸㌳挶㄰㈵ㅤ㈱㠱㑦㜱㥦㠶㌵㈴㌸ㄶ㠴㈱㠵搴㘶慦㍦昰晡戶扥㜱慡搴㠳㤶㘶晢㝡挶ㄸ㑦㌵搵愲㤹㍤㄰㌵搷攴㙡づ㜰挳挴改㙤㥥㔳㜳晢搷攷昸扥㜱愷㑥ぢ㠱晣敤搸户挷㥤㌲敥㔷攳㐳㜳㤰ㄴ搲㝣挶〴捡慣㈳㤸〸㔰愶戸㉤㈲㡤攰敥摣㐶愰戸㍦㈲搹㥣っ扥㥤昴慥㜵㤹㑢愹㍢慤㍣收㜸㜷ち昵㑥〵挸㝡㜷ㅡ㔱㌶敦㌶㕢㙡敢㐱搸㜹敦㘶㌵摦㘲㘹捥昱敥㤱㔴㌳㔳㌴㕢摥㙤㜰㘸收㜶て㍤㙣昹㑣㜱㥦㐶㕣戳摥攱ㅡ㙥捤攴㜰㜲㑦㐵㌸搷㌹㌸戹㥦㘲攷っ㜱㈳〴㝡昱晦㘲愰昶愳〹㝥〶㔰愶戸ㄷ㈲㈲慥㜳㠸攰愶㠸㤴挳戱攰㍢〰搵慤挰〵㑦㝤㈵㔱愹㙢㉣㈷攴戸晦㜸慡㍢〱㈰敢晥㈶愲㙣敥攷敥㡢㘸ぢ㠳㌰愲戰戶㙣昵捥戹㑥慡搴ㄵ㤶昶㥣㈲㘸愶慡ㄶ搱㙥ㄵ㐱挴愱㝤㌹戴摢摤愵戸㉦㈳㕥㔹敤昰ち昷㘴㜲㌸戹㤹㈲㥣㤷㌸㌸戹搰捤攱扣摡攲扣搸挱挹搵㘹づ㈷㤷㤵㈲㜳㤵㠳㤳㑢捡ㅣ㑥慥〵㠵昳㈲〷㈷搷㕣㌹㥣㕣㉣〹攷㠵づ㑥㉥㤴㜲㌸戹挲ㄱ捥ぢㅣ㥣㥣晦摢㌹㐳㥣戸挳㤳㍥㈳㐱㝦㈶〹ㄶ〰㤴㈹捥摤㐵挴戹づㄱ㥣挴㑢㌱愷挰㌷㥡㝤㤸㙣㝤攷晦㐱㙢摥戲㍥〷㤲㕤㥢㌳㐶㠶㌶戴〳㘴㙢摡㈲愲㙣㌵㡤㑢〸㌱㘱㌱〸愵㌴㠱㍦〸㔵敡㉣㑢愰㝤〳挷㌸㤹愹㤷㡡㐰慢昲㉣㜳〸攴㜲㐴〴㥥〲㐲〹〵攲挷㈰㑡㥤㘶挹换㘹ち换㤹昸㌴㤱挷捥㤳扤敤改づ㜹㕣挲搸摤慣戸昶㄰㙦㉥㜳㜸㤳敢㡥ㅣ㑥㉥ㄸ㠴㜳愹㠳昳㜳㈷㈷㘷昹挲㜹戲㠳㤳㌳晣ㅣ㤹㥣㥡ぢ攷ㄲ〷㈷愷挰㜶捥㄰攷慥㜸㜰〷〸搰昸㈵挱慦〰捡ㄴ愷慦㈲愲摤㈱㠲昳㔸㜱摤搹〸ㅣ戴ㄳ搵愱愳愳㐹㐳㤲㝢ㄴ㕤〹㌱挶戹〰搹攲㍦㡦㈸㕢昱㜳搶㑣㤵〶㙢愰㔲㜱㑢㑥㑥㤷㜱㈱ㄳ㕤㐴〶扦㔵敡慢㠸戲挹攱〴摢㥥㝢挵㤹戱㘴戲搵㤱㐹捥㐰㜳㌸㌹㜵ㄴ捥㜹づ㑥㑥ㅢ㜳㌸㌹㜳ㄴ捥愸收㍣っ敥㉤昵〷ㄵ㘷㤳㐲㠸㘸挲ㄸ㈱㈸挵ㄹ愶㄰㕡㌴㘱㉣ぢ攴㜲㘰〳㥣㘲散昴搴㠸搹摥ㅤ㤳㐸晤扦ち攴ㄷ㘳㉡摢昰扤攲㥤昸㐰捦ㄵ搰愳㌸㤵昱㕡㈰㥣〰戳㍣㌷㈴㡦搷〴搷〲㠱搳㈰㕡㘳㕣㠳〰摢㡣戴ㅢ捥㕡㤸㈱攳㕡㤲㌹㝤昱搲㌶㕢ぢ㜵㉤㈲㘶㘹㠲㙢ㄱ挱愹㡦㘸㕢慦〳㔲晥㥣扣㠸㔷ㅢ㤱㡥㑢ぢ慢ㅣ㌸愱ㄱ㐲㠳㈶㔸攵挰㐹㡥㄰㘶㙡㠲㤴挳捤ㄴ捡挹㠸㤸㝥ぢ㘳㥣㤵㜸㤹㍥㔵㕢攸㕡㐹㑤搱〴搷㤲㤷㌳ㅡ㌱晤㑥〴㍡ㅣ挵〹㠸㘸扢㡢㘴捥㐴扣戴㑤搰㐲㕤㡥慡搵〴搷戲㤸戳ㄸ搱㜶㥦づ㠸愳㌸扢㤰㙣㔷㈳㥤摤㔱㥣㜱〸㘱扣㈶㔸㡥攲㉣㐴〸攳㌴㐱ㅣ昵㝢ち攵戴㐱㑣㝦㠸㌱捥ㅦ扣㑣ㅦ慤㉤㜴㌹敡㄰㑤㜰敤㜷㜲敥㈱愶㍦㠶㐰㠷愳㌸㑤㄰㙤㡦㤳捣昹㠲㤷戶㘱㕡愸换㔱㐳㌵挱戵㈷捡戹㠶㘸㝢㕡〷挴㔱ㅣ㌱㈵摢㠳㤱捥敥㈸㡥愲㐲ㄸ愴〹㤶愳㌸戲ち愱㑡ㄳ挴㔱捦㔱㈸㐷㍤㌱晤捦㡣㜱昸昳㌲扤扦戶搰㘵㝡㍦㑤㜰㙤㈸㉥愲㌸㌶扤ㄷㄱ攸㜰ㄴ㠷㐴搱昶ㄲ挹㑢〱扣戴昵捤愷慤㐲ㄳ㕣㥢㡥ㅣ㔷㐵摢慢㍡㈰㡥攲㠰㈹摡戶ㄱ㝢ㅡ㠰㤷戶摥昹戴昵搲〴搷戶㉢㐷㕤搱昶㤶づ㠸㌶㡥㕣攲攴㥥㐸㘷㉦ㄶ㡥㘶㐲搸㐳ㄳ慣㘲攱〸㈷㠴ㅥ㥡㈰挵昲㉥㠵㜲㌴ㄲ搳摦㘳㡣挳㤲㤷改㕤戵㠵慥晡摢㐵ㄳ㕣㐷㌴ㅣ搲挴昴㡦ㄱ攸㈸ㄶ㡥㔹愲敤ㄳ㤲㌹㜸㜹㘹㉢搵㐲㕤㤵愰㐴ㄳ㕣㤵㠰〳㥦㘸晢㐲〷ㄸ改捡ㄱ㠵㤷㝥晣㡢㔵昳㥣㤶㌹㜳晥搵戵戸愲㜷昱搱攳捡㔷㙦㝤㘲摢慦晦㝣摣㤸敤㕦晤收㌷㝦㝥晤搷㕢扥扡㜷敥㤸㐷搷慥㝤昸㠸㉢户㙣敢ㄶ㕤攳扦昳㕦㔳搷㉣ㅢ㌲㝦搹挲攸㔱〷㑤㕣昶戳ㄳ㡦ㅣ㌲㘳户捡愲愲㤲㤲㝥扢㍦戶㘷晦搰昲㠵㜷慢摦扦搰㌳愱㘴ㄴ㘱摤敢㌸慥㐶㈴挴㌱〰て㍥㡦っ㘸㝣つ㠰ㅤ㌰ㄹ〲散慣〸晢㐲散挰㠵㤵㥦㕢敥㕣搴㤵㝤敦昷㙡戱㜴攷㜶㌳攸愸㄰㍢㘳㌱㐳攱昷㤶㠶ㅦ〰ㄶ㑢㕦㙣㘷㐵搸ㄷ㘲㑦㉡慣挵攴㉡敡捡㑥昰㝢戵㔸晡㔵扢ㄹ㘲㌱㝢㐵㌱㈳㐸㡢㑢㑣㡢愵㔳戴戳㡡挵散搲㠴㤵晦〳㘰㔸捣摥攸㝢戵㔸㍡㌸扢ㄹ㘲㌱扢㈷㌱愳ㄳ㉤㉥㌷㉤㝥〹ㄸ㔲㍢㉡㤰㔸捣扥㐵㔸扢㠸挵㑡㝡ㄵㄷㄷ晢〴攱ち㤹昹㘲㜳晥㕥昳㈵㍤㠴摤っ挹ㄷ摢户㤸搱㡤昹摡摤捣㤷㌴㙦㍢慢攴㡢㡤㔳㔸㝢㤸昹㘲晢㤰㙥改㥦㕦㤸ㅤ㔹㠸㐹㝡㠲愸搸㙡㠴昴㤶㈶㔵㠳㔴㡡㙦㉢戱愱〸㘱扢㠳挰慡㉢㠴㌷敤挲晡㔰ㄸ㉢戴㤰㕥㜷愴㘱ㅤㄶ挲㙢づ〲㙢㤵㄰戶搹㠵敤㐳㘱慣㙢㐲摡敡㐸挳敡㈵㠴㝦㌸〸㉣㜰㈱扣攲㈰戰ㄲ〸攱㘵扢㤶晤㠱㔵㉣㜹㈱扤攴㐸挳挲ㄶ挲㡢づ〲摤㉦㠴ㄷ散挲晡㔳ㄸぢ㐵㐸捦㍢搲戰ㅣ㠴昰㔷〷㠱㘵㈰晤㜴㈵搳搳㠹ㄲㅢ挰ㄸ扤㈰戱㠱㡣搱㕡㠹㔵㌱㐶㜵ㄲㅢ挴㤸㈴戶搷〲㡥〳㑡㠴搸戱慣㐶㑡㠴戹戰㈲搴㠵ㄵ攱㑥㙣愷晦〵㤰㜶愵㐹</t>
  </si>
  <si>
    <t>㜸〱捤㕢つ㜴㕣挵㜵摥㔹㘹㔷㍢㉢挹㕡㙣昳㙦攳〵㘴晣㉦㕢戲㘵っ挶戱晥晣〷㤶晦㈴㑣㐲〰㘵戵晢㔶扢㜸㝦㤴摤㈷㕢㠲ㄲㅣ〲㘹〲㈷つ㠴愶㈷㐰〸㌶〹㍤つ挴づ愵晣攴㘰㕡攷㈰〲愴つ㠷愴㑤㑥捥㘹摡㠰挸㝦〲〱摡㐲㕡㝥晢㝤昷扤㈷扦摤㝤㤲㘵挷㥣挳搸敦敥㥤㤹㍢㜷收摥㍢㙦收摥㤹㈷㥦昲昹㝣敦㈳昱㤷愹㥡挸慣㥥㤱愲㘹㘴㥢㍡昳㤹㡣ㄱ㌷搳昹㕣戱愹扤㔰㠸㡤㙣㑥ㄷ捤㉡㄰〴晢搲愸㉦〶晡㡡改㙢㡣㔰摦㙥愳㔰〴㔱挰攷ぢ㠵戴ㅦ昵㌵昶ㄳ㜱㌲㥡慤㜴㌵〱愸㝣㍡㐸㐰㉡ㅤ㈲搰〰㜵㘱㠰摥捥㡥慤晤㔷愳捦ㅥ㌳㕦㌰ㄶ㐷㜷㕡㥣搷㌴㌷㌷㌵㌷慤㌸扦㜹㘵搳戲挵搱捥愱㡣㌹㔴㌰搶攴㡣㈱戳㄰换㉣㡥㙥ㅢ敡捦愴攳㤷ㄸ㈳扤昹㕤㐶㙥㡤搱扦㙣㜹㝦㙣挵慡收ㄵ慤慤挹ぢ㉥㔸㔵㔷ぢ捥㕢㍡㍢戶ㄵ㡣㘴昱㐴昱慣㈳捦慤㥤ㅤ㑤㕢っ昳㐴昱慣〷㑦戰散捡㘷㘳改摣〹㘲ㅡ愰收㕢扢㡣㜸㥡㈶㌲㡣㐲㍡㌷搰㠴㘱㤷㈸ㅡ戹昳㥢摡㡢挵愱散㈰慤摤㘹㘴㌲㍢㡣愴㤸㈶摢㔵㌴户挵ち搹㘲㕤㤶晡㌳ち㐶㉥㙥ㄴ愷㘵搷つ挷㡤㡣㑤㔸っ㘵㜷挶ち㕢㘲㔹愳㥡㐸㐳搶戲攱愶㠴㤱㌳搳收㐸㝤昶搲愲戱㈳㤶ㅢ㌰㐸ㄲ挸㙥ㄸ㑡㈷㔴㜵㌵晥晢慡收㜹㡤㑣っ㠵昱㘴㍢㔳戱㠲㈹㌹㥡戰搹㡢搶㌵㕤㐴㡡㤲㜱㜱㑡㐵换㕡搱㘶㍤改散㈵㐶㈱㘷㘴搸〹㉤戹愸㡣㐸ㄴ㘴搹㘱㕣㔳攳攲㠰㕥搵摡慦〸㘵㘱㉦挱㘹〰愷㙦挹ㄷ戲㤸㤰摤㐶㉣户㘶㔵敢戲挵㍤㘶愲换搸つ㔴㌷愰㕡㐷㐸㜸ㄲ挰㡥㡤㘳㠷晥㌲㙡愶挶づ摤㤶ㅢ㠸敥ㅡ㝢晣戰ㄹ捤㈱㤳㡥㍥㜵摢搸攳〷〶愳㑦㍥ㄶ摤㤰ㅥ摤ㅦ㌵ぢ㘳㠷㙥㠹㥡愳晢搲搱㜸㙡昴㐰㉥ㄵ㥤㕦㡣つ㐵㜷戶昷㉥㌵㔳㐳㘸ㄷ捤㍣晤攰搳晢㜳〳ぢ昴㜴昶㌰〳㐰㔵扦㡣ㄷ摡㍤㐰㉡捦摦ㄷ昳昷昵晢晢攲晥扥㠴扦捦昰昷㈵晤㝤〳晥扥㤴扦㉦敤敦扢摡摦户ぢ㌴㑥ち搵搴昸敤㌴敤㉢㙦つ扣晤散慦㌷ㅤ㝣敦挵㔳晦戶㜷敢㥢㡡敦戰㉣〱㈷〳㌹搵㉤昰㡡㜱㜹㔷攸㔳㔰愹㑦〵〸㥥〶㌰愷㝢昴攱㌴㘴㜹晡挱戱㐳㜷㐳㘰㐸㌷摦㉣愴愱㠳愱㘸攳搲搸〲㝤㍡挹捦〰㔰敡㔷ㄸ㍢挷敦扦户攵晢摢㜷晣摤㤶㙦㈶敥㕣㕡晦昲挲〱挵㜵㐳㍡㥥〵愴㐴搳捤慢ㅣ㐵㌷㌷慤搲戳挹敢㉣㠰攰ㅣ㠰㉤㥤㔰㉢戵㝡攸ㄶ㉡慦㌱㥡㑤㘷㌲㤸攲㑢〷㘳ぢ㡥㐷换㔱㜲㍦ㅢ㐰愹㥦摢㈳㌵㙥㑤㍤㜹敥㠵㡤㕢敥扦收戵㝤愹ㅦ㕦昵㠶攲攲㈶㈳㍤ㄷ㐸挹㐸挷㌵戴慣㘹㔹戳㙥㈴慦戹〰挱昳〰㙡㌷㡦㍤扥㍦ㅢㅤ㑣㡤敥㌷昵㍣㔶捤〷㔰敡愷㜶㌷㘳ㅦ㜹㘵攱㍤挹㤷扡㍥昳ㄷ〳㝦晣攸ㅤ㜷散㔵㕣㍥愵㥢㠵㐰捥㜴㕢㘲㜹㙢慢愳㤱攵慤㑤慤㝡ㄱ戹㉤〶〸㉥〱搸昱搴慤㡥㈱慣昹户㝢㜴ㅦ㈷ㅡ㝢敦㝦ㅡ攰㌸㈶㕦ㄳ㝢㔸ち愰搴て敤昱摥昷捡扣㘷㍥㤶㕡戳敥攰㥢敦扣昸晢㠶㠳敦㉢㉥㈷㌲摥㘶㈰戳摤攳㠵㌶㔶㍡〳〶扥㙣愵㙥㈱扦攵〰挱ㄵ〰㈷昷㘰慡摦㘷攲ㄵ㐸换慢戲㉢㠵散㤰㙥㈵搱㑡〰愵扥㙦㜷㍡摡戹攰㝢㜷㍤ㅣ搹㝣戰昱搱昸㉦敦㥦㍥㐷㜱㘷㤱㑥㔷〱㈹㔱㔲㑢换戸㤲㕡㕡愰愴ぢ挸敤㐲㠰攰㙡㠰つㅤ散㉡㈷㌳攷换㘹㑣㥣愵摤㥢㡦㙢挲㕣㐴戶㙢〰㤴㝡搲ㅥ㘴㙥攵㥡扢搶晦慣攱攲㍢扥昵挴ㄵ㔷昴搶㔵搵慤㐵昵㜶㝢㐱改㉡挴昶㘰㠹㍥戲晡户㌴㐱㈵㔳搹昶戰敢㈵㕢㤳攷㈷㥢㥢ㄳ慤换㘲换㘳〱慥㌹㔳㕤㕦戹㌴搵㈵㉦㑢攷ㄲ昹㍤戲攰捥敡㠸ㄵ㡤㈳敢敦㈲扢慥㈳㍦㤴㑢ㄴ捦昴慥散㌱㘳愶㜱㐶㜹摤ㄱ㈶ㄵ捤㝡戰ㅤㄹ㐵改敦慣昲㘶㍢㘳㤹㈱愳㝤㌸㙤㔵捦㉥慢挶㘶㤴敦㥦戸㜶㝤挱昸攴㜸㙤挵㠸摡攱搳散ㄶ摥ㄵ㔲㕡㔵搶戸愲㥤愹㝣搱挸挹昰ㄶ㘵户愵攳扢㡣㐲㡦㐱㡦挸㐸㠸愸㈷戳捡摥ㄱㄷ㙤捤㐱㔰散㜱㠹㜳摣愵挹㜵挳愶㤱㑢ㄸ〹㡣㜷搰㈸㤸㈳扤戱晥㡣㜱㑡〹㠹搵㈷㉡㑥㉦㈹㕥㥦㡦てㄵ㍢昳㌹戳㤰捦㤴搶戴㈷㜶挷戰ぢ㈷扡昳〹〳㥢㘸㌵㤳㑦昹慡慡㤴昲㉤昴摡挹挸户搸㈴㠶㜰㤹㤸摢挲㘹愵搳慥㘹〷愴㠳ㄴㄹ㠳㜳搲摦㜸ㄴ㘶挲㤷㙣ㄶ㑣㑣攸㤲㠹敥㈳愹攷㑦㑣㉤㘳ㅣ户摣〷㑢散昷捦戰愵㕦户ㅢ㥥捡挶㔸㉥㤱㌱ち㤳㍡扦㡡㈳搲㙤〰㠱挳㜸㥢㈷搴ㅥ㜷㐹㌵慣㐶〲㝢搲〹㌳ㄵ㑣ㄹ改㠱㤴㠹㌲㌸挸愱㄰㔵㕢㤱㜴〷㡡㜴㈷㐱ㄷ㐰㌸散ぢ慥㈳㔱㌰慣搷㕢昹〰摦搱㘳昷㠱攸㠲㙢昱戹攰㈰ㄷ〳搹昵昹㐲戱慡捡㑢捡㡤戱㘲捡攴昴㥣戴㤲摥㡥摥㐰戰ㄱ㈰㐰户攳愸㉥ㄶ㔷愲㙡㝡㤲昵搹㉥㈳ㄹ㠳晦㉥㙦户㡡〵戲㤶㑢搸㘵ㄴ攳㥡扥攳㈶扣㉢挳㐱㘰㜸昹敢戲㥣晤挶戰搹ㄵ㌳㘳㌵㔹㜸愱戰㤲〶搱㈲㘹㘵㘱㙣㔹㉦㘵㑥敢戰㥤〳㠷㠸愰㉥㉥戵㔲㘰㜱挲㡢㠳昷挵㔷㘵挳挹㠵挰搸改㈷〶换㈷㝡愹㌷〹㈷㌷戱挱挸昵㡥っㅡ㐵㤲㠷㠲㤳慡戲晣昵㈲戳慤昱晥㑢捤㜴愶搸㠴㤱㙥㈸攴㠷〶㑦㈴ㅦ昲搲㥢〰㥣ㄴ㜸ㄴ戳㜸敡㌲㌱㌸慣搹㑤摢昴昵昹㐲攴挶ㄲ㑤㤷㔶换㙣〵攲㈴摤つ㉣㍣㔹㕤㠰摥敡戱㜸摥㜴〱敢戲搰㔰㙦挱㤰㔸㈲㈴ㄹ㘸扢㍥㝢㔹扥戰慢㍦㥦摦挵昹㌴㑤㜲挵㤴㘱㤸昴捦㙢敤㜸㐴攲づ愵慡慡㑡㝣㘳㤷㈳捦昸㉢戸ㅤ愰扥㍤㤳㠹㍡ㅣ㡢挱ㅤ㈸慡㐲愴㄰散〱戲㙣㝤㍡ㄷ换㉣改ㄹ㍢㜴㈰戶愴㘵挹戶搴攸扤戹㈵收攸㠱㜸㙡挹㤶搴攸㍦㘴㤷㘴挷づ摤ㄷ㕦㘲愶㐷敦ㅦ㙡ㅡ捥ㄴ㠷搵户散㝤㝦昹晤㕤愳捦敥捦㙣摡晢㠹〷摥㝢攲昹捥慣㝡挰慥愸㜰戲改㍥㑢挴戰ㄳ㠸晡㈶挸づ攳〱㕥㥡昴㐷㤱搷ㅦ㈳戸ㅣ〰㙢㠶㔸〱㑢挶ㄵ㔶㔶搱〵攷戲愱慦㈴戸ち㐰搱搷㤶㔸愱て㠸㤳搴㍥昰攷㕣㄰㝢搲㘷ㄷ㑥昴㥣㥣愴攳挰挲㝡㤲㍡㐵て㥥㌶搵搴愱愶搶㌴㌵愶晥〶㡣改搳㔷㈸攰换㜶㐵㠵戳㑦㈷㕥ㄴ㤰㘱晢摢㐱㜶ㄸて昰搲愴㜳挸敢㍣挱㈰㠰㑢〱〵㉢慢ㄸ〸㠸〲㡡㈴攲ㄲ慣愲〰愲㠰㈱㈰㑥㔲㌷㠳晦戸〲收愰㔸ㄴ挰挵搳㐹㝡〴㔸㔸㑦㔲愷捥〶㠵㤷〲昶㠲戹愷〲慥户㉢㉡㘲〸挶〶愲㠰ㅢ㠰愸敢㐰㜶ㄸて昰搲愴㙦㐴㕥摦㐴昰㔹〰㤷〲㍥㘷㘵搵㕣晣㡡〲㍥㑦愲㥢〱ㄴ㠳ぢ㔱挰㉤㐰㥣愴㑣昰ㅦ㔷〰〳ㄲ㔱〰㌷㌲㈷改㉦〲ぢ敢㐹敡ㄴ㐳ㄶ㉦〵㕣つ收㥥ち㐸摢ㄵㄵ搱捤㈲㜰ㄲ〵㝣〵㠸ㅡ〰搹㘱㍣挰㑢㤳扥ㄳ㜹㝤ㄷ挱㔷〱㕣ち昸㥡㤵㔵㡢昱㉢ち戸㠷㐴晢〰ㄴ愳ㄵ㔱挰㝥㈰㑥㔲㔷㠱晦戸〲ㄸ㈸㠹〲戸收㌸㐹摦〷㉣慣㈷愹㔳㑢㐱攱愵㠰㕥㌰昷㔴㐰㡦㕤㔱ㄱ㉥戵㠰㤳㈸攰㈰㄰戵ㅤ㘴㠷昱〰㉦㑤晡㐱攴昵摦ㄳ㍣〴攰㔲挰挳㔶㔶㉤挷慦㈸攰ㄱㄲ㍤ち愰ㄸ㌹㠹〲ㅥ〳攲㈴戵ㄱ晣挷ㄵ挰戸㑢ㄴ㄰㜴敡㔹㜰〸㈰慣㈷愹㔳㡣挷扣ㄴ昰ㄱ㌰昷㔴挰ㅡ扢愲㈲㜴㘳㐰㈶ち㜸ち㠸㕡つ戲挳㜸㠰㤷㈶晤㌴昲晡ㄹ㠲㘷〱㕣ち昸㘷㉢慢ㄸ搴㠹〲晥㠵㐴㍦〰㔰㡣捡㐴〱捦〱㜱㤲㙡〱晦㜱〵㌰ちㄴ〵㜰㐹㜴㤲晥ㄱ戰戰㥥愴㑥㌱搶昳㔲挰㝣㌰昷㔴挰㍣扢愲㍣㉣っ戴㠱搳㌱扡昳㍡戹㌳㙤散愱晦㌱㉤㠹㐳户捥愱愲㤹ㄷ㘷愹㍥搹㤵摦㤲㌷扢搲挵挱㑣㙣㘴㐶搲㐶㉥㑢ㄹ㌹㠴㌲〵㐴㌴㘵㘵昹挱㐱㈳愱㤳㍤昹愱㐲摣搸搴昵㘱〸㜵愰づ㤸㑥愲ㅣ扦㐲㍡㍥敦ㅤ㠱戸挲㉣㐱昲〵攸㜳㤷㍢㘱㜲昴攷ち㤸〴攵昴㘹㌸愲搱摥戴㤹㌱㙡㤳ㄲ慣〸ㅥ㑡㐲㡢㠸てㄳ㌵挹摥ㄴ㥣㤳慥晡攴㠶㐲㍡㤱㐹攷っㅡ㘳愶㐵扡搹ㄸ㐰㉣戸㉤㕦㑣昳㤴戵㍥搹㕢㠸攵㡡㠳㜴㙢攳㈳搳㑢㜲攲晦〶㤲ㅤ改㕣ㄱ摤㠸ㄵ㠹㌷㈴㝢㔲昹㍤㌸㤶ㅦ捡收㌶挴〶㡢ㅦち慢ㅣ㜹㍦挴㌴捡慦晣㝥ㄵ昲㠷㡥搷㍥挱㝦㠷戲㘷㔸攷㐳㔱捣㔳㥣ㄴ昶て㔱㘱㈸昶昹戸㉣㔶ㄳ㠸つ㝤〱㐶㑣攵づ慣换㠴㘵搱㈷挷㕡㜲㤰敤ㄹ〸㡤摦㜵搴㠲㕣晦㡣㙤晥〳攰攲つ㤷㙥㍡㜲㉥昳㘷㕤㐹〴扡挰㙦捡㘱昰挹㈰㥥㘶㑤㈱㠶挶㥣㔱㜸㌳㌱ㄳ㤸㉢㥦㤶攱愴搰㜰㠶㑥㍢㠲慥㐷㈴㔵㤷摣ㅣ敢㌷㌲〸〰戳㌱㜳㥡㤵㘱㈴㡥㈳敢愲㕤搷㤹捦㘶㘳㥣㜲㍣㜸敦㠹挷㌲㐶㈸搹㍥㘴收扢搳㌹㥤〴㤰㜹㘹ㄷ挵㠶㔱ㄴㅢ戶㐲戵攴づㅥっ〹㑥㕥昹㠱㔸㈱㙤愶戲改㜸㠸ㄹㅥ摥㝣㈸收㉡搶て户㐷攳慣㈵攵戱㥦ㄵ㠱挱摣㑤㌸㉥愱敡㘸㝥捣㘸扦ち攲㥦㍡捥㜳〳慣㍣戲愱攸㥦㠳㕢㠰慥㈵㤷㈲㐹慦㌹ㄷ㜰慦㕤㡦ㄲ㔹㥣搴㝡ㄲ攰搱㉦搸〸㌳搵㡣扣㈷つ㉡㙢㐰㄰摥㥣㡦㈵搶挷攲戸㐴慢戱慦搰㐲㌰㉤㤷㥡㐲㠴㘱㝥㈷㑥㡥㜰㈲戵㍢㥤㌰ち㈱ㄶ昴攰㈲慦㥡〷〴㐱换㠶〸㜸慡㝣㠱㐰㙤挸慢慦㑤づ慦㐶㍢㜸㜲㕦ㄴ㙥慡攰晦昲昶㔵㙢㌱㈸㠸挵㜸㐲扦㐸㌰〶愰㜸㠰㐰㜹捡〸㕥㈲挱㉦〰〲っ㔵换㙤㔳ㅡ㜱㈳㉥攷ㄱ㙦戵㕣㍥昱㉣㈰㠴戸㔹づㄱ〲㈲㐸慤㉢昸て㕡㜱㝦挸戹搱ち昶㘰㤶ㅢ㠹戰戵扥昲㤰㠱收昰晢慢㘱敡㘰昹挱㘹㐵户㘰㤶敤㌱攴㔴㐰搵㘱〸挱㕦〲㕣捥㤷〵晣晢㍥㠰ぢ㥥㜵攰て㔷㘱摣〳ち㠷昵慦㔱攴ぢ慢㙥㐰㐷㡦昴㙡挲㘱㑥〲晤ㅢ㠲摦〲㈸㠶㤱㙤㜸㕣㝢㥦㘲散挸晤捦ㄷ晣ㅤ挰㔴搷㕢挵㘸㤳㙢慥晥㍤㠰扡ㅣ㠰㑢搹昸搴㝥ㄹ昸搱愷昶ㄵ㙣㠱㐷扦㘲㈳捣㈸挶愸㡥ㄸ㐰㥤昹昲㐷愰晡㔵〰挵昸搵㠳攰㌵ㄲ扣㑥㠲㍥〰捥㤹攰㝦〱捣㜳㙣㜱戴摢㈷て挵晥て摡㐳戱㜱㐰愷㐳扡愲戶㘲摦〰慡摦〴㔰ㄹ㠰㌶㍣㙥挵㜲㥦戲ㄴ晢㈷㘰㔳㔶㙣ㅥ挴愲搸晦㈵扢㐱㠰ㄲ挵扥㠵㠲愳㉢戶挰戶㜸昴摢㌶㈲㡡㉤㈲攳㠸〱搴㔱散㍢㐰昵扢〰捡〴昰㈰㜸㡦〴㥣㙦㙡〸㐰ㄴ㑢敥㍢ㅤ挵㥥攰扢㌵て㍢昸㌹晥戰㘲攴敤㡣捦㘵㠷㉡搴㙡㝥戱愰㙥〰㐱ㅢㅥ户ㅤ㙥㐴搶戲㐳〰㈴㔳戶挳㑤㘸㈶㜶〸㤲昱㘷㤱㉢戱㐳〸愵㐷户挳攷㌸ㄴ㍣㕡㤳㠹㥤㔱㥦〷攲㠸〱搴戱㐳ㄸ〴扡㤶㠴っ捦㍤〸敡㐸㔰㑦〲㐶散㘲㠷㘹挸捤㜰散攰扥㌹昴㔰㘲〴戴㔰攲ㄷ㕤捣㕤㑡㍣㠹捣愷㤳㌹㈳敤㌶㍣㙥㈵摥㠹慣愵挴ㄹ散㜱㡡㕥㤹扡ぢ捤㐴㠹㌳挹昸慢挸㤵㈸昱ㄴ㤴ㅥ㕤㠹㡣攰㐱㠸㡢㘴㌲戱㌳敡ㅥ㈰ㅥ㍡㍡つ〴晡㜴ㄲ敥昳㈶㌸㠳〴㘷㤲㘰㍦〸㐴㠹戳㤰ㅢ㕦戱㍦㠰㕢㔱て㕢㥣㠵㉥㘱㡢晢㕣㘳㜴搹㘲づ㙡㜵ㄴ㐰ㅤ〴㐱ㅢㅥ户㉤ㅥ㐴搶戲挵搹㈰㤹戲㉤㜸㌶㈰戶㌸㠷㡣ㅦ㐲慥挴ㄶ㡤㈸㍤扡㉤ㅥ收㔰昰攸戹㘴㘲㘷搴㈳㐰㍣㙣㜱ㅥ〸昴㍣ㄲ昲戴挱㠳㘰㍥〹ㄶ㤰㠰〷㄰㘲㡢㠵挸捤㜶㈶戴昷㝤慦㠷㍡ㄷ愳ㄵ搴㜹挸搵㡤㑢㥤㑢搸㑤ㄳ扢㜹ち〴㙤㜸摣敡攴戹㠱愵捥愵㈰㤹戲㍡㥦㐱㌳㔱攷㌲㌲收㤱㐳㠹㍡㕢㔰㝡㜴㜵昲㘸〲㠴戸攳㈶ㄳ㍢愳㜸㍥攱愱慤ㄵ㈰搰慤㈴攴搹㠵〷挱㑡ㄲ㥣㑦〲ㅥ㘷㠸㍡㔷㈱户搵㔱攷㠹扡换昶㌰挰㠵攸〷〶攰戱㠸㌳㌰㤷〱㔶㜳㘰ㄷ㜱㘰っ愲㐸慡搷㌰〷愴ち㑦㠰㡥㜰戹㝦㔷攱㝢㔷㠳㈸㥣愴ㄷ摥㘳㡥㘴㄰昹㄰愵扦㘷㘱昴㕣慤㙡㜸愱昹〲戶㠳敡昲㙢戹昱戶㙢挱慡㜶㘶搹㤵愷㌴㘳つ㥤晣挰㤳敦㔵㕥敢㡤户攷挰㡦摣㝦戰つ㔳㜰㉤捡㘷㜶愷攳㠵㝣㌱㥦㌴愳㍤㠸敡愳扣㐲㑥攲戶愰㍤昰㕤㜰昴散㤳㠲㔵攷昸㐹搴㙥㕥愹㠴㜷攵昲㝢㜲㌲㥡㐰㤱㌷改散㑤搷搴戰㥢㌰ㅥ㐹攷㐲㜹㤱ㄷ㠰戲戱㙥〷㐹㝤㔵攴㐵愹挲㈱搷㤸㠳扣攴㈰扦戰㤱〰㕤挵愹晡戴攴慤晡㔵㕣㈵㤴㔱㕤㔳愳收㤶摤搷㔶昸挲攳ㄷ㕥挱㈰㕤攱挰㍦㐱攴愹㌵愲㡣㐷㌴捡挶㥣ㄸ扡ㄳ攵扡ぢ㈰ㅣ昹つ昲ㅣ㔰㜰ㅤ戲搳㍡㍢晡㕣㈱㝤㜰㍤捡敡㔰㈶扥㍥㍥㔹㉢〶㌷愰攴㈴㤴㤴㝥㠲ㄶ摣㠸攲改㈸挶㉤㡥㜳慦挳㈹ㄴ愱㝢㉣慡攴慣㤵て戴昴㈵㈰戵敥㉤挴挵㘵㜹㌷㡡昰㕦挶愶㕥〶挲㠹慢ㅥ㠲㤴㥣㉥挰㝤㥡㜳㠰收㔶て愲㠴㈶㉦㌵ㄹㅤ㕤改㘷㍢攸㘰㌲㍡戵㑣㤱㔷慤㕦㕦㠴㕥㉣㔳㠴㥥㉣㤳愲ㄳ㑡戳愹㠳㘰㐷㤵㡡㙡㝡挰㐰昷〲㠴㈳昴㐳㠵㈹㔵愳愹ぢ㑤昱㌵㠵㡤搰㍦㤵捡㔳㠰挸户㔸晡攳慣散㈱㐷昱㌱㔹㝥㈵㡡昰摦㤲㡣㍥愶㐸㜶㉦㍡慢㤴㙣ㅦ㑡㉢㈵愳愷㈹晤挴挰〷㤲搱慢㘴㡡搰戳㘴㡡扣㘷晤晡㈲愲㈹㘴㄰㐷摢㤲㝤捤㉤㔹ㅣ愵㍡〱㄰㡥搰戳㥢㔰㌲扣攲㔶攵㙣昰㤲㑦扤昴㉥㌶ㄵ挹挴㙢㘳㜹ㄶ㐵昸㙦㐹㐶慦㑤㈴晢㤲愷㘴户㝡㑡㐶摦㑤〶昱㐹㈰㤰㡣㝥ㅡ㔳㠴扥㥡㈰㜴捣〴愱㜳挶愴攸㙢㠹捤晥捡㉤㔹ㄱ愵摡〴〸㐷攸㙥㑤㈸ㄹ摤㌰愹㙣〴㉦昹㌴㑣㕦换愶㈲㤹戸㔲㉣扦づ㐵昸㙦㐹㐶㔷㑡㈴扢挱㔳戲扤㥥㤲搱愱㤲㝥㍥つ〴㤲搱㜹㘲㡡搰㠱ㄲ㠴摥㤲㈰昴㤸㤸ㄴ㍤ㄷ㤱散㔳㙥挹㍥㠳㔲㝤㈳㐰㌸㐲攷㘵㐲挹愲㑥攵㈲昰㤲㙦搱昴㉤㙣㉡㤲㠹㘳挲昲㉦愰〸晦慤愷ㄱ㤸㐸㔶昰㤴㙣搰㔳㌲扡㈷㌲㠸摢㠰㐰㌲扡㈲㑣ㄱ扡㈳㠲搰昷㄰㠴晥〷㤳愲ㄳ㈱㤲攵摣㤲摤㡥㔲晤搷〰攱挸ㄲ挰〹㈵愳㝦㈱㤵㉤攰㈵摦慣改扢搸㔴㈴ㄳㅦ㠱攵㜷愳〸晦㉤㥢搱㐷㄰挹晡㍤㈵晢㠴愷㘴昴ㄴ愴㥦晤㐰㈰搹ち戲㐳㡡搰㌳㄰㠴㙥㠰㈰㜴〵㤸ㄴ㜷㘷㤱散㉡户㘴㕦㐷愹晥〶㐰㌸戲ㅡ㜰㐲挹戸㜱㑢㈵㙦㘲攴搳㌸晤〰㥢㔲戲〸昷㜱愹㍣〰愴扥㉡挰慤㘸㜵搹㍥攱㝤づ扢愸晣㤳愸㜵昸挴㘹挴て愶㔵㌸㠰戲㡥㙤慡晤ㄷㅥㅦ㉦敥㐴㍣戵攵ㄳ搸〱愹晦っ㍥㤰挸戵㌷㤱攳ㅣ㍣晡摢㈸㙦攸〴〸㈰ㄷ挴攳㑡慦慤戵㌳㙤搶㙦挸晥㡤戴㌵㜴㌹㉤慥㔴㘷㝦愹㍤昰攲昵昷扣㝥晦敡戹㜷㝦晢㝤晢昷㝡㘹㜱敢捤㔶㡢戶㑢摢搴㈵㘸㌱〳愵攵搷改摤㄰换昳㈶㘹戳㕤㔱晥㍤㐱愴ㅢ㥣挴㔸㡦〰愹慦㔲摣㠴㘸㌰㜵㌱㕡㔰㑢㈲搸㘳㈸㘹攰昶㜲㙣㠲昵㍡㉤㈶ㄵ捣搷㌵慥ち昵㜱戴昰ㄲ㙣摤㐴㠲㜵搹ㄵ攵摦〹㐴戸㝤㠹㘰晦〸〴㠲挵昰㈳㠲㜵戸〵㍢㡣搲㠶㌸挰戱〹㤶㜰㕡㑣㉥㔸㑢摢㜳㍦㘰㝡㘷慤摡㠵ㄶ㕥㠲慤㤹㐸戰㡢散㡡昲晢晦㐸ㄶ㥣㐴戰敦〱㠱㘰摣㠲㐴戰ぢ摤㠲㍤㠳搲〶㙥㉥挷㈶㤸改戴㤸㕣㌰㥦敦摡㤹〷㌷㡣㕤㜳攳㕡㜵㉤㕡㜸〹搶㍡㤱㘰㉢散㡡昲㝢晤挸㜵攰㈴㠲㍤〷〴㠲㝤ㅡ㍦㈲㔸㡢㕢戰攷㔱摡挰扤攵搸〴扢搱㘹㌱愹㘰换㜶㕢㔳昱扢敤㙤㡡㥢㤰㤷㘰㑢㈶ㄲ㙣戱㕤㔱㝥㕦ㅦ昹〲㌸㠹㘰㍦〱〲挱戸〱㠹㘰ぢ摤㠲晤ㄴ愵つ摣㕡㡥㑤㌰敥㐳搲㘲㈲挱扥㜳搶㑤㝦搸晥㥤㠳㙢摦晡搴搵㑦㤸户て慦㔵摣㠳扣〴㥢㍢㤱㘰㡤㜶㐵昹㍤㝣攴㙥㜰ㄲ挱晥ㄳ〸〴摢㡦ㅦㄱ散ㅣ户㘰㉦愰戴㠱㍢换戱〹挶㙤㘸㔲挱戰晥昹㝣搱㡣㘵戱扤㉢摢ㄴ户㈰㉦挱㘶㑦㈴搸㉣扢愲攲㝥晤〰㌸ㅤ敤㝥摤昵㠵㌲㈳㠴㐰㤲㔱㐳㙤搲㉡收㘶㠳搰ㄳ㝦㔱㈰㔱㕢ㅤ慥挳ち昸㐶㜸㌳㙥㝤㜱〹㠶㍦㌲戱㠳㄰摣〶昳㜶挱戹㜰搱㤲㘳攳㘰㜲㙢〱㌷㌰㌵挹㑤㐵摣搶㈷㐲昸挶搱㌴昱㠷㈹ㅦ㠶扢㌲挴搱搵摣㤴戱㉤昳扢㘲扦㘷〸换敤㙥㤲㙢捣㈳晡㜰㍥晤昵昳ㄶ敤昸㉥敥㠳扦愲攵敤ㄳ挸㠴敢㕥戸㕡㥤〱ㄳ㕢㤱挹㕥摦晢㌲㘶㥦ㅦ昷ㅦ愰て晥ㄶ㠰摦敥㠹昷〵㄰搶扦㐳㠹㜵て户㡥愴〱敥攷攵挲昱㔰㘱㍤愵㉦晢㠰户戶㤶ㄲ㍢㐹㜱㍢攵㉣ち晥〱挰㝢㘸㌳㍤㠷昶ち攸㌵㠷㜶㘴㔸慦戲㠸㈳ㄲ㠰㤳㌱攴㌹㌴㈷㈹㙥㜱搲搹敢㐰扣㍢㥢收搹搹㝦㠳扥慣戳㌷㔸攴敡㡣㍢㘴㐹㘷摣㜶愴戳㍦〱昱敥㉣攴搹搹晦㤱㜳愹㘴㙦戳挸搵ㄹ㜷慤㤲捥㥥㐳㠱㜴昶㉥㄰敦捥晣㥥㥤扤㑦捥愵㥤㈹㔸捤摤搹昳攵㥤㜱㜹㤶捥慡㐰改摤搹㍢敦㝡㑤㈷㥥敡㤵㜵㔶㔳搶ㄹ㔷昷ㄲ挹戸㘴㑡㘷晣戳㐸敦捥摥昴散慣戶戲戳晡戲捥戸攲扡㍢ぢ㜰扥㑦昹㘵〴慤㙦〶㤶㉤晢て㍣㜹㐳扦㈸挳㍦敦昴扡昰㉤晤㈰愲〱〳㔱㝣㡢挸㐳昳㙦㍣㠹挸昳ち㈰㠷愱㑦㘲改慢挰㔸慣愷扢㘹㌸ㅤ㠵㘶〶㑢㌹ㄳ㠵㘶愶㥢㠶戳㐸㘸㑥㘶㈹㈷㤰搰㥣攲愶愱昱㠵收㔴㤶搲敥㐲㜳㥡㥢㠶㌶ㄳ㥡搳㔹㑡㜳〹捤ㄹ㙥ㅡ慡㕡㘸捥㘴㈹戵㉣㌴戳摣㌴㈲㌲㈵㤹㡤㔲㈷㐵㈸扡散㡣㘷〱挱捥㈸㐲㔷㔰㔱㜸愱㡡㕡㔴㈲㜶〵ㄵ挵ㄷ慡㜳㉣㉡ㄱ扣㠲㡡ち㄰慡㐶㡢㑡㐴慦愰愲ち㠴敡㍣㡢㑡㠴㈷搵㍣攴㥤ㄴ愱ㄲ㠴㙡扥㐵㈵攲㤳慡㐴㐶慡㐱愸ㄶち㔵挴愹㔴㤴㔹摣㠰㥦㘰〲㌳㠶攸㐰摢㤰昲㈹㡡㈹ㄵ㍦㉥慢愰㘴㔲昱㙦㘵ㄵㄴ㐶㉡晥戵慣㠲攳㤷㡡ㅦ㤵㔶㐴ㅣ㐱ㄴ挷㉥ㄴ㍦㉣愵㔰ㅣ慥㔴㍣㕦㕡㔱晢晦㌵愵㘹㤰</t>
  </si>
  <si>
    <t>㜸〱捤㕣ぢ㜸㕢㐷㤵搶挸㤶愲㤱敤㔸㌴改晢愵愶㘹㥢㌴㠹ㄳ㍢㜱㤲愶愴㝥㈶㑥㡡昳㘸散㈴愵㔰㡣㉣㕤㐵㑡昴㌰㤲㥣搸愵㙤搲㈷戰㠵㉤㝤㔱搲戴㕢〲つ㤰扥㥦搰搶〱㑡㤳ㄶ㔸ち摦㝥搰㉥㕢㘸㜷敢て搸㡦㐷攱ぢ昴〳ㄶㄶ戶晢晦攷摥㙢㕦㐹㔷㡥㔳挲昷㜵㈲ㅦ㥤㌹㜳收捣㥣㜳收摥㝢捥摣㔱㍣捡攳昱扣㡤挲㙦㤶㙡㈲愷昵っ攷ぢ㐶扡愱㈳㥢㑡ㄹ搱㐲㌲㥢挹㌷戴攵㜲㤱攱敥㘴扥㔰〵〶㝦㕦ㄲ敤㜹㕦㕦㍥㜹㠵ㄱ攸摢㙥攴昲㘰昲㜹㍣㠱㠰昶愲㕤㕢㝦愱戱ち㝢改㙡〲㜰㜹戴㥦㘰ち㐱㠰㐰昸㠳挴㙡〰㙡㙢〱㝡㍢摡搷昵㙦挵攸㍤㠵㙣捥㤸ㅢ摥㘴㡥戱扣戱戱愱戱㘱搱㤲挶挵つぢ收㠶㍢〶㔳㠵挱㥣戱㍣㘳っㄶ㜲㤱搴摣昰晡挱晥㔴㌲晡㍥㘳戸㌷扢捤挸㉣㌷晡ㄷ㉣散㡦㉣㕡摡戸愸戹㌹㝥挱〵㑢㙢敢㈰㜹㙤㐷晢晡㥣ㄱ捦ㅦ㉢㤹㔳㈹㜳㕤㐷㝢挳㕡愳㜰慣㘴搶㐳㈶㐴㜶㘶搳㤱㘴收ㄸ〹昵搱〷捤㥤㐶㌴㐹㘷ㄹ㐶㉥㤹搹搲㠰㘹ㄷㄹㅡ戵㈵つ㙤昹晣㘰㝡㠰㝥敦㌰㔲愹つ㐶㕣㥣㤴敥捣ㄷ搶㐷㜲改㝣㙤㥡昶㌳㜲㐶㈶㙡攴愷愶㔷っ㐵㡤㤴挵㤸て愴㌷㐵㜲㙢㈳㘹愳㥡㐸㝤摡昴攱敡㤸㤱㈹㈴ぢ挳㜵改㡤㜹㘳㐳㈴戳挵㈰㡢㉦摤㌵㤸㡣愹敡㙡㝣㍣㔵攷戹捤㑣ㅣ㠵昹愴㍢ㄲ㤱㕣㐱㙡㜴㘱愳ㅢ慦㘳戹㠸ㄶ㐵昳攲㤲ち㤷昴愲捦㝡㤲改昷ㄹ戹㡣㤱攲㈰昴攴㥣ㄲ㈶㌱㤰改㠷㌱㑢搹敡搰㑢慡挶扡㔸愸ぢ㐷昱㠷〰㑥㕦㥢捤愵戱㈰搷ㄸ㤱捣昲〵つぢ㤶捥敤㈹挴㍡㡤敤挴ㄷ㉣搵敦〱㡢㍥㡥捣搳〰愶㜷ㅦ晣㐲㌲㥣ㅦㅣ㝤㜶㕦㈱㍣慢㤰ㄸㅤ㜹㉣㍡㕢㑦㈷捦昱〰慡晡㔷戸㐰㥤挳昰㈲昱昶㐵扣㝤晤摥扥愸户㉦收敤㌳扣㝤㜱㙦摦ㄶ㙦㕦挲摢㤷昴昶㙤昵昶㙤〳㡦㕤〲㔳愶㜸慤昲扤昶㘵戹捦敥㝦戵攳捥㉦ㄵ㥥㔹㝣摥捦㕥㔶扣㈶攵㤲㍥ㄱ挸挹捥㘹㉦㙣㕥㘰捦㝡㘱戳㍥〹捤晡㘴〰晦㈹〰㕤敤挹搱㘷扦㤱〹ㅦ扡㘵㜴攴㡥㘴㜸搶捣昹㙢扡㘷㠷㥦晦㙡戸㉢㜹㜰㙦戸㤰ㅢㅤ戹㈹㕣㌸昸戹㘴㌸㥡㌸昸㔰㈶ㄱ㥥㤵㡦っ㠶㌷戵昵捥㉦㈴㐷㐷慥挹㠴㔳㉦㍥晡攲摥捣㤶搹晡㔴㡡㍤つ㐰愹㥦㐲㑢㙡㝡摡㤵搹㙦搷㕦㌴戲收㤶挰㠵ㅦ昶㝤晣换㍦㔶扣㘳挸ㄴ捦〰㌲挱ㄴ捦愴慣㌰㠰晦㉣㠰㡢㡦搱ㄴ㤷㌵㉤搳㌳㈸昹㙣〰愵㕥戳㘶戹改昵㐵戳㑥晦㘳㐳攷捤㘷て晦昲㘷㕦㤹昱㥣攲㉤㑤㘶㜹づ㤰㌹扤戹㈴㤶昹㘰㉡㤲㥢扢㈶㤹㔹扥㘸㐹㔳昳摣敥攴㌶㈳㤵㌴昲㠵攵捤㑤戰敤㥡挸搰昲收㈵㑢㥡昵戹㤴㝥ㅥ㠰㝦ㄶ挰㝢摡て敥捤㠴㌳㉦㍥㍡㍡戲㈷㑡㤳㌶敡搹㘴㌸ㅦ㐰愹㔷慣攱捦摡扤散捦扤〷㥡㔷摦昸搹㔷㠷㥦ㅣ捣扦慣㜸㌳㤵攱攷〲㌹搱改挷挶㌱㌷㌶敡㜹㤴搴〰攰㥦て㜰㐹挷攸挸㉤攲挳㥢攸愳㤹攱㜴㌲㤵挲㔵㍦㝦㈰昲㑥㥣㐹㑢㉤攰〰㡤〰㑡㝤摦㥡慡昷㠴摦敥昸㔶敦㌷㔶㝣慤改愲敦㉦晦挳〵慦㉢摥㑤㘴慡ぢ㠱ㄴ昹戳㜱昱昸㕣ㄷ敢㐵㤴搵っ攰㕦っ搰㜲攸搳戴挹㍤㤹㉤攱挴攸戳㕦㑡㠷户ㅦ晣㕣㌸晡攲摥㜰㝥㜴攴㕥㤲戰敥㐰㐷㜳㍦搶搸㜵ㄹ㥡㉥扣㌶〱愶昴挱扤挳戰攲ㄲ㡡㕢ち愰搴户慣愹㑤㍦戴昰晥㐷昷晤㕢搷㠳㥦戹昴〷㙦摣昹愱㉡挵〷㤱㑣㙤ㄹ㤰搲㡢㜸戱㝤㌹昰㈲㕥慣㉦愴扣昷〲昸㤷〳ㅣ摦㘳㕥扦搱〴慦㡣㐲㜸ㅢ㘶戴㙦㔰㕦㐴愶ㄶ〰愵㥥戳〶ㅤ㍤㝣搵攵㜵搱慦㜶㡥摣户㙢挳慢㍦㍦㉢慥昸攰㤳㐱摢㠰ㄴ搹㘳捣ㅡㄸ戱㔱户㔳㔶〷㠰扦ㄳ愰愶ㅢ㉡愷挳〳㠹㠳㝢ぢ㝡〵㥢㔶〲㈸昵㡣㌵㑣㑢捦㐳慢慥摥晢㡢搶〳㝢ㅡ愲㌳㑥㥥戵㐸昱慥㈱挳慣〲㔲㌴㑣㔳㤳慤㔹㔳㐳㤳㕥㑤㔹ㄷ〳昸摦〷戰昶搸慥ㄱ摤㑤改㙢〰㤴㝡摣㥡㘹㜴攳户ㅦ㝦攵㌷捦㜴摦㔷慦搶㝣慡㘹晥㍤戵敢搰㝣㠹㜵㕢敤捣㐵㜶攰㐱㌵晥っ㙣㙡㠰㌱㈶昳昰挷戳㍦摥ㅣ㕦ㄲ㙦㙣㡣㌵㉦㠸㉣㡣昸㜸搷㥤散㔳㠶㌷昱摡昸收㘴㈶㤶摤㈱㡦㥤搳摡㈳㜹㘳晣㈹㌴挷㙡㙢捦づ㘶㘲昹㔳摤ㅢ㝢ち㤱㠲㜱㑡㘹摢戸㤰戲㙥㍤㜸㈸ㅢ㜹ㄹ敦㡣搲㙥㥢㈲愹㐱愳㙤㈸㘹㌶㥦㕥搲㡣㐷㜲戶扦㜲敢捡㥣昱㤱戱搶戲ㄹ戵㈱挶摢㉥戲换戴㌴㥢捣㜹㠵㍢ㄲ搹扣㤱㤱改捤㐹慦㑦㐶户ㄹ戹ㅥ㠳ㄱ愲ㄱㄳ㔵㡦㘷㤳ㄵㄷ捣㔹㤷㠱愲㜸搲挷㘶㌸愹昱ㄵ㐳〵㈳ㄳ㌳㘲㤸敦㠰㤱㉢っ昷㐶晡㔳挶〹㐵㉣收㤸㘸㌸戹㠸扣㌲ㅢㅤ捣㜷㘴㌳㠵㕣㌶㔵摣搲ㄶ摢ㅥ㐱㉣ㄲ㕢㤳㡤ㄹ〸㈵慡㔹㍣捡㔳㔵愵㤴攷㝣户攷㌹攵收ㅢ挴ㄱづㄷ㌳戲㌸愹㜸搹㌵㙣㠰㜶搰㈲㘵㜰㑤㝡㘷ㅥ㐱㤸挸愵㤸搹㤵ㄹㅤ㍡㌱㥣㈶昷慣捡摣㌲挷㌱捦晤㘳㤹扤摥㘹㤶昶㉢戶㈳㕥㕢ㄵ挹挴㔲㐶㙥挲㘴㐰㜱㐶㝡㍤㠰敦ㄱ㕣捤ㄵ慤挷㈸㐳つ愹㘱摦㡥㘴慣㤰昰㈷㡣攴㤶㐴〱㌴㈴っ㠱〰㑤㕢㔶昴〶㤰㜴て㐱㉦㐰㌰攸昱㙦㈴㤳㍦愸㌷㤹㜵ㅦ〳愸愳㡦〴㈵㈵㤱挸ㄳ㘹㐲摥㤷㕥㤹捤攵慢慡摣戴㕣ㄵ挹㈷ち㕣㥥ㄳ㌶㌲收搳㥢〹㉥〵昰㌱㙣㍢㘲愰㔹て愶㙡挶搳㜵改㑥㈳ㅥ㐱ㄶ㈳㔷户㡡昸搲㘶㘰摣㘹攴愳㥡ㄱ昴㙡㕣㉢㐳㝥㘰戸昸㙢搳㕣晤挶㔰愱㌳㔲㠸㑣㐹㈳ㄶ㠷㤷㌴㤸收㐸㉦ㄳ㘳捦㍡愱搹扤㠳㔶つㄲ㐲㠲㍡愴搴〸挱㤴㠴ぢ〷搷㡢愷捡㠲ㄳ㉢㠱戹㌳㕡昶㤷㉥昴攲㤸ㅡ愱㝥慣换挸昴づて㈰㔱〰㝢挰㍦愱㈹㑢㉦㉦ち㕢ㄷ敤摦㔸㐸愶昲つ㤸㘹㔷㉥㍢㌸㜰㉣攵㔰㤶㝥㍦㠰㕤㝣㕦挴㉡㥥扣㑥㑣㤶愷㙣愷㙦晡晡㍣〱㑡㈳㐵㌳愸搷㕣慤㡣㕣敤愲㉦〷ㄶ㥣愸捤挷㘸晦㘸昲て㡡慦㑤挳㐲扤㌹㐳㌲慡㠰㔴㘰敤扡昴收㙣㙥㕢㝦㌶扢㡤敢㘹慡搴昲〹挳㈸㌰㑢愹戱戲㌲挹扥㤴慡慡㉡捡㉤ㅣ改っ㤷愹㍦〲㔰搷㤶㑡㠵㙤㠹㜹㝦㍦㐸㔵挸㤷晣㔱㈰ぢ㔶㈶㌳㤱搴扣㥥搱㤱㠷㈲昳㥡收慤㑦ㅣ晣㝣㘶㕥攱攰㐳搱挴㍣㐴㕦㑦愴攷愵㐷㐷昶㐵攷ㄵ㤲〷敦ㅦ㙣ㄸ㑡攵㠷搴摤搶㜳㍦晣挵〵晢慦愹㝤愹敢挶晤㑦摦昵㠷扦愵敥㔶㝢慣㠶戲㈴㠵挹㠷攴㑣㜱㈰㙡㌷搸㜸户〱㕥㕣㜴〲㜵㥤㈴搸ち㠰㝢㠶㜸〱户㡣㤴㔹㔵㑣㘰㜸摢搰㘹㠲っ㠰㘲〶挲㡢㔶㘷〱散愲㍥つ昹㕣ぢ攲㑦㘶㍣㈲挹㙥收户捥〳〴昵〴㙤㡡㜹つ㝤慡㘹㐳㑤慢㘹㕡㑣摤〸挱捣㜴捡っ㜰㠳搵㔰㤶〲㌱戵ㄱ〳㕣挹晥搷㠱捤摤〰㔷㜳㡣㥤〴扢〰ㅣ〶戸搶慣慡㌰扥挵〰搷〱搱搷〳愸ㄹ〰㘲㠰ㅢ㠰搸㐵㕤㠱㌱挶っ㜰ㄶ挸㘲〰㥡挳㉥晡ㄳ挰㠲㝡㠲㌶㜵㌶㌸摣っ㌰㘰改㔹㘶㠰慣搵㔰㤶㕤㌱㐷ㄲ〳摣ち㐴愵㉢ㅡ攰㜶㌴敢㍢〸㍥〳攰㌰挰㘷捤慡㘲㥥㈵〶搸㑤愶扢〰搴㙣〰㌱挰ㅥ㈰㜶㔱㌱愷〱㤸㤸㠹〱㤸扢搸㐵摦ぢ㉣愸㈷㘸㔳㑣摡摣っ㜰㔹㈵〳扣摦㙡㈸换敦收㐱㤲ㄸ攰换㐰搴收㡡〶戸ㅦ捤晡〱㠲〷〱ㅣ〶㜸搸慣慡〶㝣㡢〱ㅥ㈱搳愳〰㡡㐹㥢ㄸ攰㌱㈰㜶㔱㙢㥤〶㤸て戲㜹㌱搹敤㈴㍣〵㄰搴ㄳ戴愹㐶㜰戸ㄹ愰戳㤲〱㍡慣㠶戲慣㜱ㄱ㈴㠹〱扥づ㐴戵㔵㌴挰㜳㘸搶摦㈴㜸ㅥ挰㘱㠰㐳㘶㔵㌵攳㕢っ昰〲㤹㕥〴㔰㑣つ挵〰摦〲㘲ㄷ戵搴㘹〰愶愰㘲〰慦摤㑥挲㜷〱㠲㝡㠲㌶挵㠴搳捤〰つ㤵っ㌰捦㙡㈸换㑤㤹㙦㡡〱㕥〶愲收㔴㌴挰扦愳㔹晦㠸攰㍦〰ㅣ〶昸戱㔹㔵捣㔹挵〰㍦㈱搳㙢〰㡡㘹慡ㄸ攰㜵㈰㜶㔱㌳㥣〶㘰㤲㉢〶愸戲摢㐹ㄸ〵〸敡〹摡㔴ぢ㌸摣っ㜰㔲㈵〳㥣㘸㌵㤴攵挹敤㤰㈴〶昸ㄵ㄰㜵㝣㐵〳扣㠹㘶晤ㅢ㠲摦〲㌸っ㜰搸慣慡づ㝣㡢〱㝥㐷愶摦〳愸ㄵ〰㘲㠰户㠰搸㐵搵㍡つ挰愴㕢っ挰㘰搶㉥晡㑦挰㠲㝡㠲㌶挵戴摣捤〰摥㑡〶㔰㔶㐳㔹〶捦捣㕣っ挰㌰㐳扤晤㝦㤵㥥〲㕥㌴敢㉡〲㙥攷㍢っ攰㌷慢敡㘲〸ㄲ〳㑣㈱㔳〰㐰㜵㠳㈴〶搰愸搹㐵晤ㄱ㘳㡣㍤〵戸ㅤ㈰〶攰㕥㤳㕤㜴ㅤ㘵敡〹摡搴ㅡ昰扡ㄹ攰㑤〸㜷㝤っ晥摡㙡㈸摤ㄸ昰㌱搱㌸㡡㠴慥〶散㍡扥㈹㘹散㘰〴㍡㌵㡥捤攷㡥挱㝣㈱㉢攱㜲㕤扣㌳扢㌶㕢攸㑣收〷㔲㤱攱㘹㜱ぢ搹㥣㌰㌲㐸㘶㜳挸㘹㑢㘸搹㠱〱㈳愶攳㍤搹挱㕣搴㔸摤昹㙥㐸㜶挵〹〸攰㄰户㝢ㄵ捡㍢换摦戰ㄵ愳戰㑡㔰㍣扥つ㄰㔹ㅡ㠶换ㄶ戸㈳㘵ㄶ㌴〴挶晡㜱㡢昶㈶ぢ㈹愳㈶㉥改慡攰㠱㌸慣㠸ㅤ㠲搸㤴㜸㙦〲攱㘹㘷㕤扣㉢㤷㡣愵㤲ㄹ㠳捥㤸㙥戲㜶ㅢ㕢戰ㅢ戰㍥㥢㑦昲㙤㐳㕤扣㌷ㄷ挹攴〷㤸搸㐴㠷㡦㉢慡㐹〶攴㡢户㈷㌳㜹っ㈳㕥㈴㕥ㅦ敦㐹㘴㜷攰㐵搵㘰㍡搳ㄵㄹ挸扦㉢扣㌲㝥〵㠹㙢㤴㔷㜹扤㉡攰つ扣㔳晦昸㑦㠰挴㘹收㥥㙥ㄸ敢戴㤰㑢昶て搲㘰攲晦㈶挰㙡〲昱愱挷挷㥣戹㌴㠵㜱戸戰㘴晦㠱㜳㉤㝡愱攳㥡ち㡦扤晤慢〳扢㍥ㄱ㥤㙡㑦〲戸戸㙢攳敡昱㥤戹扦敢搵㥣慦ㄷ㤲㈷扤ㄱ挲摢挹㔴㜳〹㜱㜳㠴㉢ち㔷㈶㔶〲㙢愵换㌲ㄸㄷㅥ慥搰愹攳攸㑡攴搲戵昱敥㐸扦㤱挲ㄶ㐰㍡㔲㤸㙡㔶戸ㄷ㠳㔷㌷㜹慢慤㈳㥢㑥㐷戸攴昸〲慡㈷ㅡ㐹ㄹ㠱㜸摢㘰㈱㡢㕤㝤ㅤ〷㤰㜵㘹㤱㈲㐳㈰㐵㠶捣㘴㍤扥㠱㕢㠳㠲㔳㔶㜶㑢㈴㤷㉣㈴搲挹㘸㠰ㄵ㙥摦扤㉢搶㉡㙥晤捥攷㤹㝤㉦㈹捤晥捤ㅣㅣ敥㙥挰㠶ㄹ㑤㐷昷㘳㐵㝢㤵ㅦ晦搴㍢摣㌹挲㥤㐷ㅥ㈸晡ㄴ㐸昳㌱戲攲慤㐸捡㘱晢㤵昴攱㥤愰挸捤㐹㙤㈲〳晥昴愹㠰㐴昸㔷捤扤㤷〹户ㄵ昸戸ち㜶㘷㈳戱㤵㤱㈸㕥㈶㑦戱㕥㈵〷攰㕡摥㙡㜲㈱㙥昴㜴㘰敦㄰㝢㤲摢㤳㌱㈳ㄷ㈰愱〷慦戶慢戹㐵攴㌷㝤㠸㤴户捡攳昳搵〴摣挶㕡㙤换㥡㘹愵捦捥㔷攷慢换攴扦㜹挹㔲㠶㐵㔰㡢挱㤴㍥つ㝡攸搳愹搳愵愸㔲㥦ㄲ㠶㌳挸㜰㈶㠰㡦㥢ㄵ愵扥㈹摥㜳挱捥㡣〶㔳戵扣㠴攵㙥㔰〰㍢㈷戲㡤攴ㄳ㐵㙡ㅣ摢㍦㝥㜳攷㈷㘰扦搹昵昷㘰㤵ㅢ戱愰㜹㝦攵㌶ㄳ摤攱昵㔶挳搵晥搲慤昳戲㘱㈱㉣摤㘳挸扥㤰㥡㡡㈹昸挳攸㝣ㄶ㉦ㄶ挸敦ぢ戳戸扥改摣〸㕥㠴㍣㙦攳㑢㑡㌰愸㘷愰愷㈷愸戸㘵㘲㥢愳㥥㤴㈰㝤愹捦㐶慢㥥〹愰戸ㅦ挰愰挰昱〸㔳〹㔴昹ㄸ昳昸捦〱换㘴㙦㥢㉡㠹ㅥ扣㜵敡㜳㈹㜸㉢㌰摥㤱挶㔶攸㉣㔰㡦扣㐲戹捦〰㐶㡦㥥㑤㈱㔶㐵愵㠱搸㙡〰戵摤㝥㍥ㄸ昴ㅣ㌲昲㐶敥挲㌰㤷っ昳挸㤰〵〳㕤敦㙦㐰㙤㥤㙤搲㘳昴㠶㔳㉥挱ㄲ〷㉣挰㌸㜰〰昷㌸散㠹㌱昲戴ㅣ搰挸㠹㌵㜱㘲摣㡦㈸㜵〰㌷㈱㑣〷㉣〴换愴ㅤ戰ㄳ摤挴〱㡢㈸㜸ㄷ㙡㐵づ㔸っ敡㤱ㅤ㜰㉤扡㠱搱愳㤷㔰㠸㔵㔱搷〱戱搵〰㙡㍢㘰㈹ㄸ昴〵㘴扣摥㥤㘱ㄹㄹ㉥㈴〳昷㐶挴〱敦㐵㙤挳㌱㜶〰㕦㥣扡㕣〴ㄷ㘱㈸昸攰ㄳ㡥戹㌹㉥㠲ㄶ捥慤㤵㜳扢ㄵっ愵㍥戸ㅤ㌴搳〷㙤㘰㌹㜱晣㜵昴ㄱ攳〷㜵〷扡㡡ㅦ摡㈹晣㌳愸ㄵ昹愱ㄳ搴㈳晢㠱摢㉤㘰昴攸ㄵㄴ㘲㔵ㄴ昷㕣㕣晣戰ㄲっ扡㡢㡣摣㡦㜱㘱㔸㐵㠶搵㘴攰ㄶ㡤昸攱㘲搴㑥ㅥ昳㐳搹㉢㜳ㄷ㜳㜶愳〷捣㜹慦㘳〸㠷㌹搷㜰㠸戵ㅣ㠲ㅢ㉣愵收攴慥㡡㘹捥㜵㘰㤹昴㤲㝥〰摤挴㤴敢㈹㤸ㅢ㌲㐵愶摣〰敡㤱㑤昹㌰扡㠱ㄱ㉦㐳㈸挴慡愸㐷㠰戸㔸慡ㄷっ㝡㈳ㄹㅦ㜵㘷搸㐴㠶捤㘴㜸っっ㘲捡㑢㔱㝢扦㙤捡㘳晢扡户挲捡扥っ㈳挲ㄵ㑦㌹愶挸㘷㤶㜵㜷昹〰愷昸㐱㑥㤱㕢㍤愵慥㜸づ㌴搳ㄵ㤷㠳㘵搲慥昸㈶扡㠹㉢㍥㐴挱捦愳㔶攴㡡て㠳㝡㘴㔷ㅣ㐲㌷㌰㝡㜴㠴㐲慣㡡攲㍥㤲㡢㉢晡挱愰愳㘴攴ㅥ㤳ぢ㐳㡣っ〶ㄹ戸敤㈴慥㠸愳搶㘵扢攲敦㍤昰攰㜲つ㈴㈰ㅦ㠶晦慥㘳㐲㈱㔲捣攷㙡㤲ㄳ摡捡〹扤っ㘲愹攱戹慦㘴ㅡ㝥ㅢ㔸㈶㙤昸ㅦ愱㥢ㄸ㍥㐵挱摣㤲㉡㌲㝣〶搴㈳ㅢ㥥㕢㔷㘰挴㈶㍤㠵㔸ㄵ挵晤㉢ㄷ扢づ㠰㐱㝦㠴㡣摣摢㜲㘱挸㤱㈱㑦〶㙥㜷㠹攱ぢ愸㥤㙥ㅢ摥晤㈸㠷㡢㌹户愳ㄷ捣㌹敡ㄸ挶戱㡥㜷愰㔵て〱㈸㙥㔸㤵㥡㤳扢㔴愶㌹㠷挱㌲㘹㜳㜲㕦㑢捣㜹〵〵晦ㄶ戵㈲㜳㕥〹敡㤱捤㜹ㄸ摤挰攸搱㔷㔱㠸㔵㔱摣つ㜳戱搶搵㘰搰っ挲搵敦摤ㄹ㜶㤱攱ㅡ㌲扣〵〶㌱攷戵愸㑤戳捤改㍣愸攲㘲挴敢挱ぢ㈳晥挹㈱摣㘱挴ㅢ㈸晣㐶ち攷㐴㑢㡤攸〵捤㌴攲挷㠰㑤摡㠸摣ㅢㄳ㈳㝥ㅣ㠸慡〶㈸㌲攲㍦㠱㜰㘴㈳晡搹ㄷ㤳搶㌷㔹〸㉢㡡㍢㙡㉥㐶晣㈴挸晡㔳㘴っ戸㌳晣㌳ㄹ㙥㈶〳㌷攰挴㠸㥦〶戲挹㌶攲戱扤㉦扢㠵ㅢ户㘲㌸昸㠱晢㜹戶〲㡥攷攳㙤㈰敢摢〱ㄴ戳㝦㝣昰㥡挵㐲㤸挳昸㤸挱㤵㈶㈶㘵㐹㈳㌳捤㘰㥣改㘳㑦㘱㌸㠵㤴㥤㈸ㄳㄵㄳ㘳捡㘵㌶㈳㝤捡收攰㤷敡搲ㄳ〵㘳㝤搷㐱㔴捤昴㤲搳ㅡ搲㡤㉤捣㑥㝤㕢戱㡤㔸戱㍦㌵ㄸ㝦㜵换㍥㉣晥㍢㐱㥦扥㈶ㄹ捤㘵昳搹㜸㈱摣㠳敤愸㌰㑦扦㈰搱㔸搰收㑢㐰愲敢㤸㔴慣㍡挳㌳慤摢昹㌶㌸戸㉤㤳摤㤱㤱搹昸昲㍣〴挴搱昴㤴㈹ㅣ㈶㠸㍦㈹㘷挳㡡㈱㘶戲散慣㜷〳愹慢ち㌱ㄵ㘴〹㌱ㅤㄴ攴っㅢ㘱晥挷攲㥢〱㘴戲挹ㄸ㘵慢㝥ㄵ㔵㌱㘵㔴㑦㤹愲捥㈹㌹㙡㔲㤶挴㡤扤慢昷晢㤹挳昹攲㔰㜹㜲㥤㌸扤㜱㡢戲戳㈴户㝢㐰搷㜷〳〴㐳捣摢㌸㈱晦㍤㐰愶㜶戴昷㌹昶愲晣晦〲㕡㉤㘸㤲愴攲捣㜱摥㝦㉦㈸敦〱愵昸っ戱晦㜳㈰ㅦ〷㌲㕥㐰摢慦愴戹㠴㐲㌳㐱ㄷ㔳捡ㄶ昹㜱ㄸ㐷㝦〱㈴昳㤵敢戹挰昰昱攸㝤ㄶ挲戹愹㔹愸㜰攱慡换愰㈵㤷ぢ㠸ㅥ捤㌵㐰㜷慢㑢㐱愱换㡢㕤挶搴㑥挶搹て〴㉥㘳ㅡ挷ㄲ㘲㉡㈷〸昳㌶㐱㤸扢戱㈸愶㔳㜴㥢摡〴㜱㌴愹㤸收〱㔰昴㠳〰挱㄰㌳㉡ㄱ㑡搳㘸摡㐲㔳㝤㑤㘵㐳捣戴愴昱㈴挸㤲㐳戸晡〹㌶㐶㈹㕡戲㈵搲㥦〲〹ㅦ戱扡㘲戶㈴㥡㕤㡣挱捡㌵㕢〵㙡戹㘶㑢搰㐹挶㜹〶〸㌴㘳㝥挴ㄲ㘲㡥㈴挸㌲ㅢ㘱㔲挴愲㉥〲㈲㥡慤㜴㙡㌶〲慡㍥〰㄰っ戵〰㔶搴慣搵㙥㍣ㄳ戲㜴㤸攰㈰扢㡡㘶敤挰昰昱攸ㄷ㉣㐴㝣搶㠹㡡㘸戶捣㔵戳愵慥㥡慤㐰㈷㤹挴㜷㠰㐰戳㤵昸㘲〹㌱敢㄰㘴㤵㡤慣戶㄰搵つ㐴㌴㕢㙣㘹挶晤㈹晤㕤㔰昵㑢〰挱㄰㔳㠶㡡㥡㌱㤵㤰挶㜳搹敢㍣㠲ㅦ戲慢㘸㈶改〰㐹慦㠰㠴㡦改㌳愶〳愲搹昹づ捤晣㍦〲戵攲ㅤ㐹捤㜲㔵户〷㝤㘴昰㔷㠱㐰㕤㘶〵㉣㈱㘶〶㠲㌰つ㄰㘴戳㠵愸换㠰㠸扡攷㕡敡搲摡晡㈷愰敡搷〰㠲愱て〰㔲愸晦㜵㈰愵㔷敦㝦㠲㔶㝣昵晥ㄷ㈸㉥㔷敦ㅢ㈰扢㕤扤ㅦ〴㕤愶㍣㡦挳㌶㄰晣ㄴ㈴搳㕥ㅦ〲㠶㡦㐷晦摣㐲㘴㈵㝣ㄸㄵ戱搷㈹づ㝢㡤㕦扤㈷戹㥡㠶㤱扢㡣昳㑢㈰㌰㑤㍦扥㔸㐲㔱ㅢ㠹搹㠸㘱㈱㉡〱㐴㑣㜳㠲搳㌴扦〶㔵扦〹㄰っ㈵〱㐵愸摢搵换㠰㕡ㅡㄷ㘱ㄸ㌹捦慣摦㘲㔷㔹〹㈹㘰昸㜸昴ㅦ㉣㐴㌴㘳㔰㉣㥡〵㥤㥡㜱㈵挸㝤㈹攰慡ㄹ㐳㘳ㄹ攷捦㐰愰ㄹ挳㘰㤶㄰㐳㘱㐱ㄸ昷ち㤲户㄰挵〰㔶㌴昳㍢㌵晢㕦㔰昵㕦〱㠲愱ㅤ㠰㈲㤴㑥搷昴戲愶㘳㌵摤ㄸ㘲㙣㉢㡤㝣㌵㉤㐷愱㜵ㄵ㉥ㄲ㔳戳㉢搰㠸て㝥昰〳ㄲㄱ搱散㑡㘰愲搹㕦晥收戸㉦㡤㘹昶㍦愰㤶摦㤷慥㐲㈷ㄹ㠷㍦㉥㠲㘶㔷㔳ㅣ㑡㘸愷㡤散戲ㄱ㠶愱㉣敡㝡㈰愲搹ㅦ㈱㜲散㡥㕢挳改搵〲〴㐳㌷㠰愱愲㘶っ㌸愵戱ㅤ戲攴捣戵㥥挶慥攲戳㡦愳ㄱㅦ晣㍡〳㈴㈲愲ㄹ㠳㐶搱散㔷㑥捤敥㘴㍢㥦㈵扦㜰搵散㈶㌴换㌸㈷㐳ㄴ㌴晢愴戰㐳㌳㠶㡡㉣㈱挶㠵㠲㌰㌶㘴㔱㡣搳㐴戳晦㜶㙡㜶㉡愷㜷ㅡ㐰㌰㜴ㅢㄸ㐴愸摢㙡㘴〸㈷㡤慢㈱㑢㡥㜹敢戳搹㤵㥡㠵敥戰ㅢ捦㤱改昸㜶愳㝥㘱㐹挴攰晥㉡㘹㑥改戹摥ㄵ㌸愷㍢っ㈹㥥㉡散愱㥢㍢捦搵摥㘵敦㑣ㄶ㘳ㄲ扥㜸攲㥦敦挷搰晡敦㤰〳㡤ㅣ㔱ち㈵捡愳攷㍣㑣戵㝥てㅡ㝤愰昸昱攷㈸㠷㕢慣㑡慢昹ㅤ戰扥㐳慤昵㜷摢㍤㉥㔷㘷摤摡收㝢㘳攷扤扦扢晦挲㜳敥㜹攴㙤敢㝢攷㐷愷㍦摣㌵㝡挵㤳㉤㝦摤晦扢ㅦ慣改摦搵愲ㄸ㤲ㅣて㌹㍡㐲搰㑦㈰㡢敡ㄵ愸攵晡㌲晣㘵慢愱昴㔰㕣㘸ㅦ㈴㠹㈷攷㠹戳搴㝥搴改㌰昵〳昴愰㤵㐴戱昹㔴㡣㠱挶搱㈹昶愰摤愳㤲㘲㤸戸挷昳挶㘰慢㝣敦㙡㙢㔵㑦愰㠷㥢㘲摦慢愴搸㑢㔶㐳改㘱户搰㔳㤰㈴㡡㌵㥢㡡㍤㠳扡㈸昶慦㑥挵㤶㔰戱ㄱ㝢㥡㌲㡤㌱㌰㠱挷づ搸㍤㈶慤ㄸ〳ㄲ㌷挵㕥愸愴搸㈱慢愱昴㄰㕢攸〵㐸ㄲ挵㤶㥢㡡㝤〷㜵㔱散㜹愷㘲㉤㔴㡣㘱〶㤷攱愴㤷愲愹晢昴搶晡㤷散㥥ㄳ㉡㌸昸㜸慢昴戸昶㐹昳晢收慦戴慡ㅦ愲愷㥢愲㕦慢愴攸〱慢愱昴戰㕡攸ㄵ㐸ㄲ㐵㔷㤸㡡扥㡡扡㈸晡慣㔳搱㉥㉡晡ㄳ㌴ㅤ摤搲㝣捤敥㌱愱㠲㥥㤹愶㘲㥥挳㉤㡡㠱㠴㥢㘲㑦㔵㔲散㐹慢愱昴㄰㕡攸攷㤰㈴㡡慤㌱ㄵ㘳㄰㈱㡡㍤敥㔴㙣ㅤㄵ㘳㜸㜰㜴㡡扤㘹昷㤸㔸戱㤸愵搸㠲㔶昵ㄶ㝡戸㈹昶㔰㈵挵ㅥ戴ㅡ㑡て㤷㠵ㄸ㝥㠸㘲ㅢ㑤挵晥㡣扡㈸㜶扦㔳戱捤㔴㡣搱挱搱㈹昶㔷扢㐷㈵挵㥥㍥攳㠶㕦㕦昲昴挳㉤㝦戹㝡敢㠱挲㙤㐳㉤㡡㘱㠴㥢㘲晢㉡㈹㜶㥦搵㔰㝡㘸㉣挴攸㐳ㄴ扢摣㔴㡣㈱㠴㈸昶㜹愷㘲㝤愰搶㌳㌸㌸㍡挵ㄸ㐹㐸㡦㑡㡡挹㌵〶㘰㍥〶慥㙦㔱㡣㈲摣ㄴ扢愷㤲㘲㜷㕢つ愵㠷挱㐲っ㍥㐴㌱〳㐸㕤㤵㘲〴㈱㡡摤攵㔴㙣ぢ愸昵㡣つ㡥㑥㌱〶ㄲ㤳㔰㙣㜱敢㕤扢㔹㔴慢㘲㄰攱愶搸ㅤ㤵ㄴ扢摤㙡㈸㍢攴挵搸攳㐸㠷扣ㅣ㍦㤴慡㠷㜹㝤㜱敥〰搴挴㑤㌲挳〵㙣㈳攱户㡣戲〳㔳㡢㌳ㄹ㌹晣㔴愹ㅢ㐷㡦㜰ㄲ〳扦昸戵㌶ㄴ㜰㈴㠹慦戸敤户晥㕡㙡散散㡦慦换攱ㄸ挰㤴昸敡㍣㡥㡣挵〲昸愹㐵愱㠰㕦〹扦ㅢづ㙣㘰㑦慣ㅡ〶㐲㌱㡦㙡戸㙥㐷㜱㥦㘹㠲戳㌴攳昶戰㝦㠱攴攵㔱㡥㜷㜶㝡捣㥦挶㜴散㥤搷㤸攳㜰㔲戵扡ㄵ㉥㌶愳昹㕤㥥户㘵捥ㅥ㉦戶昰挱敦ㅦ〰攰㑦〸㈴㝥〶〸敡㡦㠰㘲ㅥ〶搹㐸㔶ㅦ㈳戲㔲攵戸㐱戸ㄲ㜴㑦挹敦㠸㙡㙡散つ㍣㜶㔵っ㠸戸㡡晣㜹〰昷愹㝤搲㜵㙡㠳攰搷㥣摡昸戴㜶㤰挴ㄹ〹昰㈸挶㔳㥣㥡㕤ㄴ㠳ㄴㄹ㡣搱慥晢㘰㌷扡づ昶㔱昰晢慦〴㈸戶挳㔵愰㌸〷㘴㥣㔳㌴㈰㠳〷ㄹ㜰㈷㄰攷㥢摤㘲攳敦㜲ㅤ昴ㅡ㑡㉦搶昰㍡㤲ㅣㅡ㌲晥㈸ㅡ㜰〵〸㌲攰つ㐰摣㌵扣挲㜵戰㡦㔱㌲㌵ㅣ㌷攷㈷㐸㜲っ搶㠵㝡搱㘰㝣戰捡㘰㌷〱㜱ㅦ慣攰㍡搸愷㈸戹㔸戳㥢㐹㜲っ挶攷㜲搱㘰㝣搸挹㘰户〰㜱ㅦ㉣攳㍡搸㙤㤴㕣慣搹ㅤ㈴㌹〶攳戳戲㘸㌰㍥㠰㘴戰㍢㠱戸て㤶㜰ㅤ㙣㌷㈵ㄷて戶㠷㈴挷㘰㝣㝥ㄵつ㘶㠰㈰㠳摤〳挴㝤戰㝥搷挱敥愵攴㘲㌳敥㈵挹㌱搸ㄶ搴㥤㠳昹㜸㐵㑦晡㜶㠳㔸挰㌳つ㌷㘶敢㝦ㄶ㘹挷㐱戸㌹㈹晥扦㈲㙥攷慡㡡捦ㅤ㝥〱攳㈸摥㈷㈸㐳摦㘷㈱慣㈸㕥戹㥣㠶摥㐷㉡㉦㕡攱昹愲㠵〸て㉦㌸攱昹ㄲ愹扣捥㠴攷换㑥ㅥ㕥ㅦ挲戳㥦㔴㕥ㅡ挲㜳扦㤳攷㘳㌶捦〳愴㜲㐵ぢ捦㠳㑥ㅥ慥㐶㤱昳㄰愹㌷摢㍣て㍢㜹戸㠸㠴攷ㄱ㔲戹㝥㐴捥愳㑥ㅥ晡㕥㜸ㅥ㈳㤵㙥ㄷ㥥挷㥤㍣㜴㤹昰㍣㐱㉡扤㈵㍣㑦㍡㜹挴㜴戴摡㔳愰摡㈵㐴ㄳ㑡っ昱ㄵ㈰㠸㈱挴㜸㘵㕣㌴愲㜰㍤㙤㜲㠹昹捡戸㘸㐶攱㝡搶攴ㄲ〳㤶㜱搱㤰挲㜵挰攴ㄲㄳ㤲敢㙢愸摢㈵㐴㔳ち搷搷㑤㉥㌱㈲戹㡡㘶㑦㘳ち搷㜳㈶㤷㤸㤱㕣㐵戲㘸㑥攱㝡摥攴ㄲ㐳㤶㜱搱愰挲㜵挸攴ㄲ㔳㤶㡤㐸㤳ち搷㡢挲ㄵ戲愷愳㘸㍦〹扥㉥挰㐵挵摣扢ㅤ㝤〳㜸㘵㐹㤳㐹挳搲㤲〶㕡㐹ㅡ㤶㤴㌴搰㌰搲戰戸戸㈱㘴㙢愵㘸ㄴ攱㘸㉥收㔰戴㠳㌴㉣㉡㘹愰敡搲戰戰愴㠱摡㑡㐳㔳㐹〳ㄵ㤴㠶挶攲㠶㥡晦〷㠳㌵挷㠳</t>
  </si>
  <si>
    <t>㜸〱敤㝤〹㝣ㄴ㐵昶晦㔴㡥㐹㝡〸㌲ㅥ敢戱〲㐶挵ㄳ〸㐱挴㥢捤㤰㈰㠷㜲㐹㄰㔴挴㌰㈴㌳㘴㘰㡥㌸㌳〱愲戸攲敤敡㝡ぢ攲㡤㈰㈲愰㠲㌷ち㉢㈸㕥㜸攲慤敢㠹昷慡敢昹㕢㘵㍤搶晦昷㕢搳搵愹敥改㠴㠱㑤ㄴ㍥晦㙤㤸搷搵㔵慦慢摥㔱晤摥慢愳㍢ㅥ攱昱㜸㝥挵挱㌳㡦〲㈶㍡㔷㌷愵搲愱㔸㔹㔵㈲ㅡつ搵愶㈳㠹㜸慡慣㝦㌲ㄹ㙣ㅡㅡ㐹愵昳㠱攰慤㠹愰㍣㔵㔸㤳㡡㥣ㄲ㉡慥㤹ㅡ㑡愶㠰㔴攸昱ㄴㄷㅢ㜹慣挵晣昹搵㠵挱扢っ㘶ㅢ挰昲ㄸ㕥㠰㤲㈲㠰搱㔵㤵㈳㈶㑥㐶㈳搵改㐴㌲搴愳㜴㑣愶慡㝥扤㝢㤷昵㉥㍢昰攰摥〷㤵㤵昷㈸慤㙡㡣愶ㅢ㤳愱㝥昱㔰㘳㍡ㄹ㡣昶㈸ㅤ搹㌸㌱ㅡ愹㍤㍡搴㌴㍡㌱㈵ㄴ敦ㄷ㥡㔸摥㘷㘲昰挰㐳㝡ㅦ搸户㙦昸搰㐳て㈹㈹㐶捤挳慢㉡㐷㈶㐳攱㔴㕢搵㘹戰捥ㄱ㔵㤵㘵挳㐳改戶慡搳㠷㍡㔱攵㠰㐴㉣ㄸ㠹户㔱愵㠵ㄴ㜵㥦〱愱摡〸㜵ㄲち㈵㈳昱㐹㘵㈰摢㈶㘸㕣ㅤ㕣㌶㄰ㄲ慦つ愶搲㔵愱㘸㜴㔴㈸㑣㜵㤴挴㈸戳㔰㌲ㄴ慦つ愵戶㠹ㅤ㌹扤㌶ㄴ㌵㡢㔳挵戱㌱挱攴昰㘰㉣㔴挰㐴愷㔸㐶㙦㐳敡㐲昱㜴㈴摤搴㌱㜶㙣㉡㌴㉡ㄸ㥦ㄴ㈲㑡㘱㙣㔰㘳愴慥愰㐰ㄴㄴ㜸昲昷㜱㈳㐶敡愶㙣㘰戲戶慡㍥㤸㑣换㉢㙡慤户ㅢ慥搶㐳㈴攱㌶戲㐸㜶愹攳㉥慡愹㍡ㄲ㍢㍡㤴㡣㠷愲㙣㠴捡敢敥㐰㤲㌲挹㠸摥ㄲ㡥攲㠶㡡ㄱㅤ捣挷㠰慣戰ㄵ愳〳㐱〹㠰户㈳挰㕥挳㐷㡥㈹慤慡㡦㤴㌶搴慦戹扤㘶挰搸㔱愵晢ㅥ户㘶㕥㔳㘹摤晡ㄵ㜷挶㈷㤵㍥㝡搹晡〷㙦㙦搸捦搸㠶㌷㜵〲㄰〵㕦攳㐱搳㉢㘵㝤㜹㌵挱扣㥡㠹㜹㌵戵㜹㌵㜵㜹㌵愱扣㥡㜰㕥捤愴扣㥡晡扣㥡㐸㕥捤攴扣㥡㈹挰㔱㐷㜱㔱㔱㥥㜹捣〸㍦昰昹散㐸昹挰〷づ晣搴昳晡㠸㘱换〴㥦㉤昹㤰㙤㡢㠴戱ㅤ㠰㜷㝢㠰晤㐱㘴捤昰晡㌵㜷挷㑡㘳敢㔷㉣愸㉤㑤㐷搶㉣㙥㜴愷㜴〷摥昹〷〰㈱㍥〳愵愴昶摢㡢㝢㡦敦㌷㘲搹戰戳㉥㡡てㅣ晡敦捡慥㠲㑦慦㙣㘶㈷㈲敦っ攰摤〵愰㡣捤㈸㔹㤴ㅥㅤ㠹搷㤷愶搷㍦戸慡㔴ち㈴㈳㠹搲㝤て㈸㉦㍦戴攷〱攵㝤づ摣捦昸㈳敦摥ㄵ㐰㠸て捤愶敥扣愶攲扢㍥㉦慤ㅥ戰慡㜲㥦㔱㌷慤晢昹ㅢ㐱ㅢ㈱㥢敡㐲攴慥〰摥摤〰㜲㙣慡捦㠱㘸慡敦㈱晢ㄹ愵扣㝢㜷〰㈱摥㌱㥢㝡扡㜸攸㝢㡤㤵㠹㈳㔷晥晢愵捥㍢晣晤散㤱㈵㝢愲昸ㄸ㔳摢〳㤲挱㘹㜸㘴㥡㥦挶〳捡捡昹㙦攳㘶〸㔶㈸摣㌷㝣㜰戸㜷敦扡扥攵挱㍥挱㐲敡㌷搷捥㑦攱㤷㠴挷㐶攲㜵㠹㘹昲㘹㈸〹て㡣㐴搳愱愴扣攸ㄴ挶㈹昳㐴换敢㡥攱㈳愷挳ㄴ搶㘶ㅥ㥣ㅤ挲㔵愱㘴ㅡ㈶㈴摤搴晣㌴㜵慥っ愶㐲捤㤷摤捤扡㉢ㄳ㡤昱扡搴慥敥㠵搵改㘰㍡昴㐷㘷㔹㜳㈵㔹户㔵挳扣㠴㔲㤲愴慥捥摢挶〴愳㡤愱晥搳㈳㤹攲㉥㡥㘲ㄸ㥡挴挴㤶㑢〷㈶㐳㈷㕢愵㔹ㄴ昵㠷㔳㥡㉡敢捥攲㌲㔳㤴愱ぢ㑦㘷㈲ㄵ㡡㑢昲扡挷㐶㐶㙡愷㠴㤲搵㈱扡戴㔰㥤㘴昵て㉣㌲慤㕤昷ㄱ㜱㌰ち晢㔵户㠷㥥㑢㐱㠷攲㜵愱㍡搰摢〰㈹㌷㡤づ㑥㡣㠶㜶戴愱㘴摡㐴挱㉥戶散㠱㠹摡挶㔴㔵㈲㥥㑥㈶愲昶㤲晥㜵㔳㠳戰戰㜵挳ㄲ㜵愱〲㜹㜸㌲㔰㜸昲昳㠵昰散敢㘶慡㔸㜷㡡挶㑣敢㈴㌴㤹慤㈳㙢㥤㠸挸慥㐶搰慡ㄹ〹慤㤳ㄱ㝦扦㔶㈹搱㍢㈱戱换㕢挵㜶改愴扣㘹㘷晢㠳㔷㌶ち晡㠱ㅥ愲㈱㍥㤵㜹摤㕡慥戲戹㕦㙥㠴㔲㑤㉢㡣㘰㠸摤㡡搰㘴戵㔶摦㙢㕦攴扣扣敤㑤敥㡦㥣ち㍦㍡㌸ㄸ慦㡢㠶㤲慤挶㕦㠲ㄴㄹ摤〸昶㈲搸㥢㘰ㅦ㠲㝤〱ち㕦㠳㡤㙢㔱愲㜴ㄲ㘲扡㘸㉡㥣ㄶ愹㑢搷㝢敢㐳㤱㐹昵㘹攴㈱㙥㉢㉥愶戸㘷㥡扦挷ㄱ戸㝤挳㔰搰搸㥦愰㍢㐱て〰㥦捦攳敤㠹戳挷敢㌳捡㜸敡〵㔰㌴㈸ㄴて㈱㉥昳㠹㐲㍡挷㑤㜷攱㡣ㄲつㄹ㌱㈰愴㑢ㄵ挶㄰㤸愴昲昳摤愴㌰㌸㤸慡㑦昳〱㙣戵㔰㍡敢㜲㔶摡ㅢ愰攴〰㠰攱㠳㐳㔱㍣扥㙤ㄵつㄶ搲慢㙦㌴敡愰ㄷ摥㌱㔶摤ㄴ慦慤㑦㈶攲〸㤵〷〴搳挱晥戵〸慤㔲㈲攸㡤つ㑤㔴㌵愶扤戱挱ㄱ㥣㑡㘲愳㐲つ愱㘰扡ち收㌹摤㌱㌶ㄴ㘱㤹戴㥦㐳敡愶ㄷ挶㌲ㄱ搵㠰㔰慡搶㘰攸㌵〴收㘸扡ㄷ㈹搸搷㤲ㄸつ㑣㘸㝡㥡㔵ㄷ挵㐶〶ㄱ扡愵つ㈰㜵㤷㜷㘵㔲扣戳愳捣㔳㜷晢捣㉢搴攰㤷㐹慤㤶づ㌲㈳㔳㤳㡣攴攱㌹攱㠹ぢ㑣攸㝣㜲㡥㑤㐷愲愹㌲㔳扣㘵〳ㄲ〸捤㐳㜲戰㐰戱㝢扤攸㔸摥㔶㤵攵㝣挰ㄹ扢㡤愸㥤㤸愹ㄶ愴っ㑡㈶ㅡㅢㄸ扦戵㔵㍤慣换㘳昴〱戸昱㥢挵㠷敦㜵晤搲㕦捤昳改㜸㜴攴㘱㌰扣㌳搸捦搹㌳搵㘱ㅣ㠴㤴慦戵戲㐲㠶㜹慥ㄶ戶㠵㌰㤳搱㔴㐹っ摣㡥㑥㠶㘴摣㕣㉣㉦㥡ㅡ㐲ㅤ㘳㘳ㄳ挹㈹ㄳㄳ㠹㈹㔴晥㌶昲㉡㔵ㅦち愵ㄹ㡣㜶㌰㘳㙦愶㠵㄰昹昹戶愰㔲㡢㕡ㄹ挶㝡て〳攸搸㍦ㅡ㉤㔵㌵愶扣㠷㈳㉢ㅦ㥥挴㝢〴ㄲ攵〳㈳昱㘰戴㘷昵晡ㄵ户〷㝢ㅥ搰㜳㘴晤㥡㜹昱㥥改㌵户搷搶昷㤴㠱㘳㑦ㄹ㌸昶㤴㠱㘳搹昴㘸㙡扡㔸〳㈹㌱㍡㝣昴㡢愶昷昷ㅡ摥攳愸㙢摦㥡戲㘷搹昵㥦㕦㈸ㅥ㌱ぢ戲愲㔳〶愵㡣㠶㡣ち㠲〰㐱㝦㠲㑡㠲㉡〰戱ㄲ户搲㜶㤵攲㠲扦敤㘰慢ㅡ愵㘱㌸ㄲ㔷挶㐰㠲㐱〰戰㐰㔲㌳㌰㐰㐳㜰改㍤ち愰㤳ㅡ挹㤴㘶㕣愳捦㈳昸攸搱ㄸㄹ㐷ㄳっ〵㄰㡣戰昸搸㝡㡣㘱〰㉤敡㥥㔱戳㙣㠱愸敡㌰㐶㈲攵㌳㕡㈹ㄳっ㥣愹㝦㠳昲㌶㈸㘱㠳搲ㄵ㡢㑣㤹㘴〹敢㔶戳㈰㉢挶㘶㘸㉤㠵㜵㍣㉢㌹㠱㘰ㅣ挱㠹〴攳〱挴㍣㔳㔸敦攱㠲扦㘶㘱搵攰捡㤸㐰㄰〴搰㠴㔵㡢㑢㙦ㅤ㠰㡢戰ㄸ挶㑢㘱㠵㤰㌰挲〰㠲〱㝡㐶㔸㤳㤰㙡㔱㔸㡣晤愵戰㘰㈱慣挳㤸㡣愴捦㘸愵㑣㌰昴㜷ㄳ搶㈵㉤〹敢㘲戳㈰㙢㤴挰挱㠱ㄴ㔶ち〹㠳捥捣㘸㈴㤸㑡㌰つ㐰㥣㙦ち㙢㌵㉥昸㙢ㄶ㔶ㄳ慥㡣㔳〸㑥〵搰㠴㜵ㅡ昳㈸㉣昴㈴づ㍣愴㜰㑥㘷收㑣〰㔱ち㤰ㄱ捥ㄹ㐸戵㈸ㅣ㡥㔶愴㜰昲㤱㔰㠷㜱㌶㔲㍥愳㤵㌲戱㍢㌰摣㠴搳搸㤲㜰搲㘶㠱㜳㕣㔳搸つ㌵㌹敤戵ㅣ昶㕡ㄱ㥦ㄶ㑢㤲㈳㙦昸搸㜸㈴㥤敡㄰敥摦㤸㑥っ㡣愴〷愴搲㈵㘱〰㈴攵㉤㝦㤴挱㤱㜶㔳昷昰㤸㐸㘸摡㘸㔸慣摤戲㡢㌰㈳㔰搵㤸㑡㈷愴㉢敡㥡㕤㍥㈰㌱㍣㤱ㅥ㄰㐹㌵㐴㠳㑤摤㕣㡡㌳㈵㘳敢㐳㜱㐴敢㐹〴敤ㅢ㐳㑡㌴㌴㠴敡㕣㘸慣㑥㌴㈶㙢㐳㐳〶㙣〹昱扥挸昸㔴て捣㌶㍣慡搸慢攵昸㔶㤳㍢㘳扥㍣㤸㝡戱㤹攱㈲㝤㤹挷戸㤸㄰㙤愲慢ㅢ㤷㈰㠹ㅥ㕦挸ㄸ戲昵㉥愲㡤㈰昸愰昹挲㔰㙢㈶慦愳㌹㐴ㅤㄲ㑦㐵敡㐲㍥昳㙡㔸㈴扥㡤㤹ㅣ搱㤸戶㤵〴愷㙦㙦㤶挰ㅦ㡤㠸㐳昵戵挱㘴摤㤶愰ㄵ㌰㠶㈳愳ㄲ攱挵扦捤ㄳ㜴愶ㅡ㡦攷㙢㌵愱晡昵改㜸搸㉦㐵㌶㘵捤㔰摤㌵㍣戰ㅥ㐷㈴戴〱ㄸ㡤㐰㐷㡡摢捡㉥收搵戰㔰㌰㉥戵㔰㥤慥ㅢ㄰㥡扡㡤挴〸愱㠳㘳㈲㉥ㅡ摡摥㝥㈹愳㐴㈳摣㝦㘲㉡ㄱ㙤㑣㠷戶戱㔲昲㐱㌷挲愳㐲搱㈰〷搳㈵㔶㙡㘴㙤ㅡ搳つ㔶㝤ㅣ㈸㙦㌹ㅡ㠲㐴ち㑣㉤〹愹㈷㙦㉢㥤搷捥〴㥦愱捤搴㉡扣㕢㔸ㅥ㕦㔶㠸㙢慥收戱愸挲愳ㄲ㍥ㅥ㥥挲㝤㔰㝤敥愳㘵㍥㐹摢慢㐹㥣㡣㠵㤳挶慢㐴攵㜱愰摡㌱㉣敤ㅥ㘶愳㌸〷摢㠹㡦㑥ㄴㄳ攴改㐸㙤㌰ㅡ㙤摡㈶㍣㈴㕥ㅢ㙤慣ぢつつ㑥っ㐵㤵捤㑥㈴㘳㕢㠸扥攴㔲㐲㐶㔷慤挸挵㥣㐲ㄸ㠲昵〴㌵㌶摦㙣㌳攷㌱㉥㠳㔸㌳昱㠸㄰㍥攳ち㕣㔱㌵ㅣㄸ㙦昲搴〴㘳攷敤㥡㈷搶攴搴㌶㑣㕢㔶ㄶ㙤ㅡ㠷㙢搶散㠶㝣攲㌴戴愱㠹愱〹捣㍣搵㘹㔹㠳㈳㤹慣㉤收戹㤲㙡昲㝡扤㥢敢㘰㈰㉢敤㠰搱㤳挷搷ㄵ㜴㌵搴挰晥戸㜶づ昴戴㐰㐴晡㝥㘹〴晤㐰散㐴ぢ㤶〹ㅣ㐶㐷搲搱㔰㠷戰㉣㤷改㘲㍥ㄲ㤴㘶㔱㜸㜴㍤〶㑤〳㍡㠶〷㈵㈳㜵搱㐸㍣挴㈰〴㌳愱㕣㑥ㄸㅡ㥡㠴㌹扢㤱㠹㔴㠴㡢㔷ㅤ挳愳㤳挱㜸慡㠱㘳攳摡愶敤㙣㔷㔲㔹㠵攱捡㐸ㅣて㔰愶㑤愶㍢㠵慢敢ㄳ搳戰晥搵ㄸ㡢てち㌶愴戶〸㐵㌵挷搸㤹愷㉡㑦攴攵㠹攲扣攲捤昵㔵㜲㈸换㠰挰挳愱㝡ㅥ㠱愹慥敥㐸戵昲捣㔲㔳收慣㈹㥦㔹搲㘵㕢㌸㜲㥤扡戱ㄶ㄰㘹㠷㡤㔹扣㘷㌶挰㔱㠳㡥ㅤ搲㍣搷晥㕦㉤晢ㄵ昶㐰㝤慤戸〳搹㌵慣㠹㍤㡥搷戶挹㜴ㄷ收戱昷ㄸ㔲敢扣㜲㜶㐱㕦㔸攲戰㌷挲㠳ㄲ㥤挹㠱㤸㝡㈹挱挳て昳㡢ㄱ㈸散敥㌶㤹ぢ㠶㜴戱㘰㌴㘵㤶㔵㈵㘲戱㈰扢ㄷ扢㘶㌵㙣㜷愸㔸挶搷戰㈶㐶ㄸ㐰昶㐱㌳㉢㌸ㅤ㔹挱改㌲ぢ㉥㤹㤳昵㌲捤扡ㄲ㤳㠲挹㐸扡㍥ㄶ愹㉤收〵㈷搴户㠸㝥㠹㉥㔴〰㘱慡㐳㜶㑥〴慢捥改戱捣㡣づ搴㕤㠶昱〳㐵㐷昵愳昷收㐹㍦㉥㌶㜳㈶ㄴ摤㔷ㅡ㝣㘳づ㙡㉢攴㠴〱摣㐷㠶ㄴ㉤〸㐳㡥㌴㐴愲㡣〸昸ㄹ㔷㥢〹㕥ㄴ㜰慥戰搵㐹慡㈲㈰昸㠶㈶㠲㜵〳戱收㤲㐸ㄶ㤹换搴挵㔰㉤捤㑡搲捦㠹挹㉡捣收㘳㤵㘰㉡㘲攱㘴㌱㌳慡㌱攵㔷挰㈹㑤㙦㐶㠷っ㌰㍤㠵㠵ㅤ㡡摤摡ㅡ愲敡敡㘶㑥攰攸慢敦㐳戲敡晦攲㤸㐳㉡㐰ㄴ搸攲攸搲戸㠶攰㕡〰挱㈹㑦昲攳㐰戸㡥〸搷〳ㄴ昶〱㜰㍥㈵㉤㑥攲戱昲挲ㄸ㈷ㄷ㡢㘳㘴〷㈱㠷ㄷ㔳㡥㤸愴㠴㐸扣ㅤ㡡㘹㌴㡣ㅢ〰㥥㝤收㤹㝥㌸㜹〴㘷挹㔴晢㝣挶㝣㍥ち捦戸㤱㘰㉥㠰㈰搹ㅣ㤸㑡戵㜹㡣㜹㐸㐲㈵㜲㔰㌲ㅦ㐹戸ぢㄱ挰㤹〳ㄳ㜵㘸㥡㐴㌸㝤㌳戲㠹搵ㅦ㘷㠶搴㔴攸挶挲㌳挱㤹㈶㠶㘸ㅥ㘳〱〱〷㐴攸㈸㍥㘳㈱ㄲ慣慣ち㘷挶〹昶㈳换㤳㠹㈳㠱㐰㙦收㤱㤳㐱戲㙤㠷昵ㄴ〳㔱㑡ぢ㙡㉣〲㄰㠳〰㘸㤸㐰㘵愶愳㉥㐱㝡攳ㅤ㤵㤳㕢戲愳摥㘶㈶㜸㈱㡥〶㔰挲㐵ㄲ㤴㔳㐱挶敤〴㜷〰㠸愱〰㉥〸㑢㠹戰㡣〸挳〰搸〳㡣㍢〱㉣愵㡤挴㠵扡慤〴㘹㔳㘹㜷ㄱ昱㙥〰㜱㍣㠰愶戴㝢㜱〹昲愴搲敥㐳㤲ㄲ攴㐴㔵换㑡扢摦挴攲㑣㔶捥㑡攳㡣㔷㐶㘹换㤱㙡㔶摡㠳㘶㘵攳㜱捥㐵㘹㌵挰换㈸㡤㤳㔲愴摣改昲挴〴㘴㑢愵慤㘴㜹㄰挰愶戴㠷㤰戱㜱愵搵昲㕥晣㡣㔵㘶㐲㉡㉤㠴ぢ㈵㕣㈴㤵搲㔶㈳㘹㍣っ㈰挲〰㉥〸㡦㄰㘱つㄱ㈶〱㐸愵㍤㡡㠴愵戴挹戸㔰户㘹㑡㝢っ搹挶攳〰㈲〵愰㈹敤㐹㕣㉡愵慤㐵㤲㑡攳㠴㔹换㑡㝢捡挴㙡挴㌹㘷愵㑤〵㜲㐶㘹㑦㈳搵慣戴㘷捤捡㌸㈹㤷㡢搲㌸㍢㤷㔱摡㙥㐸㤱昲㉣愵㜱敥㑥㉡敤㜹㤶㜳ㄲ捦愶戴ㄷ㤰戱㜱愵㜱戲㑦㉡敤㐵㌳㈱㤵㜶㍡㉥㤴㜰㤱㔴㑡㝢〹㐹攳㘵〰㌱ㄳ挰〵攱ㄵ㈲扣㑡㠴㌳〰愴搲㕥㐳挲㔲摡搹戸㔰户ㄹ㐸㥢㑦摡敢㐸ㅡ㙦〰ㄴ㜲㤲㈶户㐹愱㈲㘰晡戵㤹㍡㠶㌰愹㙤挳挷㌴〶愳搸㤰㌳〲挳挵㌴戳戶㠴ㄸ愱㈰㌳㘸㜷㙥㠶戰敦搳挱㝣㤷㘴㘱摣㜸ち挶㈹〳㍢慥挹㕢㡡㤸㥢㌷愸昷ㄵ敥㡤㘹搳摣㕡㘱㡦㈸㥡捡昵戶㥡ㅡ㑦㌱摢愴搹昵ㄹ㙦ㄲ攲㈹攲㘴㥡散㐲㙦㤹〹ㄶ㡢㑢㔵敥摢㐸愸愳㤰㐳搴㔶㘲㙢挷㜸㤸戵㙥摦ㅣ〹㌰收敢ㅥ攵㉥㍣户㄰挲ㅥ㘲扦㠳㕢挵ㄵ〴昸ㄹ㍡つ㘲㤶捡㝤捦㑣㤰摥㐲㐶㔰ㅢつ摡ち㠰㠴㤹㍥㠴㙦搵改愶㈸㐲㘶㈶戹㐶㤵㐹㌱㐶挸ㄴ㠳攸㐴ㄲ㜳〰〵捥搵㘸敢摥㍤㔱㔵㠷ㅤㅣ慢晦昲㌶㤶捣挶慦㜰㌷愸愸挵晢敤㕡攱㍤㍣扣敦〳散㌰㉣㔲㥢㑣愴ㄲ攱㜴㘹㌵㠶㝥愵摣て〲㉢㕢摥扦戰ぢ㙡㜴㙤㤳㡣ㄵ挴戹㜷㑤㉡摡㌷㈵㥥㤸ㄶ㤷搴ㄴ愶戸㉤㐶㑡戱愸㠸捤昸昰㤳挷㥥㤰慤晦㙡㈴㜹戳昱㈱㐰挷㝣㍦㐳㌱ㅥ㝥㠶㘳㍣晣㡣扤㜸昸慦捦㥣㍤㥤ㄸ㌱戱ㄶ慦㤹搱㘶㈷晦㡤愸㡡搴㜸㍦〲搸愶慡戲㐶ㅢ慣㜹㍦㐶摥づ㌵愳ㄳ挹㜸戰㉥㔱㌳㉡㤴挲挶捡㔴㑤㜵㈸敤晤〴㈵㈵挰㤶㠱敡㈸㙣㌴昱㝥㡡㥣㙤㤱㘳摦收攷㥦㡢㙣挹㙤〷㈴㡣捦〸攸㝢㡣㉦〰挴㍣〰摡㉦㥦搸ㅥ㘲收昳㤵捦㉢攳㑢㐲㍣㈷昳㜱㤶㜲晣捡㑣戰㔸摣慣㜲扦㐶㐲ㅤ㘲〱㔲㝣㔶㡣㙦〰挴㐲〲㕥搹㜰ㄶ愹摣敦捣㠴慣㙦〹㉥搸㤷㐵〹〸搸つ㍦愴㍤摥㝦〱戴搸㉤㠴て㘸散ㅡ㜶搵摥㠶㝢㈴戳㍦㈰〱搵㌲捥攲攱㘷慣挵挳捦挰㡡㠷㝦㔹收散改㜴㈷ㄲ敤愳㕡㐶㘳㔲戵ㅢ㤰㜰慡昶摦挸㜳㔷敤㡦㈸戱慢昶㈷攴戸愸昶㙥㘴㑢㙥户㐵挲昸㠵㘰㍢〲捡㑦摣ぢ㤰㔱㉤昷ぢ㌷慢㤶㠳㉤慡㤶㔱愰㔴㔰ㅥ㈰ㄳ㔲ㄵ㡣晡㘴慥㑤㙤换㤱㉢㔵换㈹㐲挱㘰㉥ㅢ㐷㠶㘱㈸㌱扣挴㐱㐲搶挷㌰㑣慡昶摦晦㘹㔶慤㐱搵昲攱ㄶ㍦㈰㌷㕢㡢慢㔰㈸昹昲愱ㅥ㘸㜱㌵戱㜱昸ㅦ捥㥣㍤㝥㐶㕡㍣晣㙢㌲㘷㑦愷㐷㤱㘸ㅦ㉤㍥㠶㥡㈵㌵搴愲㐱戵ㄹ搴㤰㐱愵昸ㅦ〷㤰㠵㍢㌱换て㝡攵ㅥ㑢㘳㍢愴〴攳户㡣ち晥〹㍥㥢㔵戰〳ち愹㠲戵㈸㐷ㄲ㝢㌸〹捤㐳㍣㠵㐴㜶㉥㐳㌳愹㠲ㅤ㔱㈶ㄸ㥡㘵攳挸愰ち㈵挶捥挴㐱㐲慡攰〵㈴愴ち㍥搱㔴攰晤㈳捡㕢㝥扡㍥㜲搵ぢ攳㉤挹㙣㘷摣っ扤扣㠴㙢ㅥ㝥挶㔷㍣晣慦㘴捥ㅥ㍦〳㉡ㅥ㥤ㄸ㑢戵㡦㕥㕥㐷捤愴挶摢〵搴㌸㥥㉥愹㈶敦㙥㈸戰㍦㐸愵挸㜱㜹㤰ㄸ挷㐹挶扡㈰㘱散〱㈴戹㝤搵攸㠶㤴㘰捣㠰㌳㜶㙦〱㔲愲晣昹ㄹ㌸挸㕢昶㐶㉥㘴愱摣戵㤰㕥㥣攸㉡㈷㡦攸敦㈹昴㝤㈵㝡攱㠷戸㍥扣攵㤵㐴捤〷㜴㐷㠰㘱摢捦㜸㈴昶㈷㌶戱搲㝣捣㔴ㄴ㑡晢㕦㤰㜷搸收搵挵昰慤ㄸ㔵昱㔷昸ㅡ㤴晥㕦搴㐳ㄹ㌵挷㕣慣㜱㌷晣㡣晤㤱㕦昸ㄹ㔲㍤ㅣ㈴㥡晢㠶㠶〵攳挱㐹愱㘴㤹改攴㑣ㅦ挷㉥㈳㈶㠹㤰〸㡢㝡ㄱㄱ㤳挵ㄴㄱㄵ㌱摢收㈹㙣㔵挷散っ㔷㤷㝡攵㔶㌳昷㡡捡㜸㤵昱愰㜳㔹捦㐱つ㜶挸㐹挹㕡昸㙥攱㕢㙥㥢摢㡡㡢昷捦㠹㍥㙣攰㡡挹昰㜸㜶㥥换㠴㤲摣戲ㄷ愹㉤ㅢ㄰㤱敦㜷〴㤳㑤ㄳづㄸ㌷捥㐴慣㑥昳愵㠱ㅥ愵戱㔴㙤㈲ㄹ㡤㑣㙣㥥㥦捤㝤㉦昴挱〷〷晢搶昶㍤愸昷愱㝤づっ㤵ㅦ㜲攸昸ㅥ攳㜲愲摡搴㔷昷㈱昱㠶㐶散㠰㑢㘶慥ㄱ愱昴㈸愵㐸摢敥摤㡢昱攳㕢㔵〱㜵㉡㠷慥㠵㉦愳ㅢ㙦㙡㡦戰昷㕤搶挵㥣挲㤷㔰搵愶㜴ㄴ昷㙡㡣㌲攴ㅢ扤〰攰㠸攵㘱㤴㌳愷㌷㠰㑦㌰づ敢㐴攲て㈳㌸㥣攰〸〰昱㌴摡㜶摤戳昵㤴㔹㤰戵㘷㡢㐱ㅢ慡昴ㄸ〷〳㕡㠶㡡㤱㥢㌴㔴㠷㈰ㄷ㠶㑡㌹㜶昱㡤㐲㔷㌹搲㔰㌱㌰㤳攸㠷㐹㜴昱〳慥㘹慣挴㘳㘸㤶ㄶ㐲㍥搴㐷愰㔰㌰攰攰㠳㥤㤹㌱㜸〴㘵ㄴ㍤㑡㍣攲㘱㈴㈸㍣㕥ㄸ〱㐰愳㍦㠰挵㝥㈵㜳慡〰㝣㠲戱㡡ㅢ晢て攰㙥㔷昶㤷㥢〵㔹扢戰ㄸ搸攰扦挷ㄸ〲㘸戱捦攸㐶昲㜳ㄴㄲㅤ昳㠵㡣㘰㠸㘵攳㥡㌱㡢挴ㅡ㥡挱㘲攰㈱戹扥ㅢ慤㔹㕣て㐷慥愰㡦㙦收㝡ㄹ捡㉤慥㤷攲挲攲㝡ㄴ昰㡣㙡〰㡢敢搱捣㌹ㄶ挰㈷ㄸㅥ戸㜱扤搰㘴㉥㙢敦搹㉤㘶㐱搶㜶㉡挶ㄲ昸㡦ㅤ㘷㠰ㄶ搷㉡愰㄰㌲㕡㘰戱㤵㠳ぢ㍦攳〳挹敥㜸㈴㈰ㄴ晡㜳挹敥㍣㌴㘳戱㕢㠳㕣㐱㘷搸捣敥㡤㈸户搸扤〱ㄷㄶ扢戵挰㌳敡〰㉣㜶㌹〰㌳挲〰㍥㐱㍦敡挶敥㙣㤳慢㉣㜶㘷㤹〵㑦㍢㕥晣昰搳〷㑢捡愳慣㍤㐶㄰〷昰〹扡㘱挹挲㘵戸㤵㉣散ぢ㐶㡢〵搶㤲㔱攰㌴挰捥㤵㑣敤慤〸㤲㔹ㄸ收昸戸㐳㌸㤳㑤ㄷ㈰户捡㐴攵攰戲〴换㍤㐹扣㤷㌰ㄴ㉢㤸㔸攴挱㕢㑢收㠰ぢ㉢㥢㥣㜶㔷ぢち㠶扣攲捤摥昰㠸㈴㔶ㄸ㡡挲㐳㔲㔸㈷慤㉢挶愶摦㌴摥ㄳ㠹㙦〹昳㍣ㄸ敥ㄷ昰戹㐷摦攱敥愶㍣搷㤱昶㥥㈸㜶㉥㐰㘸㈲㙣㤶㠷摡㄰㤰挷㔵愲捤㥢攵昱㌶㐰㕦捤㕢ㅥ攵搰㍥㤵㈷㉥㠱㐶攵㐰攱昳〳㜶愱挹挰㤱攷㌱㤲挰昵愶〰戸㌷㔶㐸㍥㌰挳㙤㜰㠱㔳ㅡ㈵〹戰㤸㡤㙢㈷㘳㥣昷ㄸ挸㍢ㅣ㕢敢㍢㜴㈰户㡢㉡晥ㄱ昸㜳攰㠲晥㠲愶扢ㅣㄹ㡥挵㤹愹㙣㘱ㅡ㠰愰㔹㜷㐱㤸㑥㠴㈶㠰㐲㥡㝡㘷晦㜳〴ㅢ㘶攸㈳〳〰㡥搲㐵㔰〶㍤㜵㌲晣㤹㠴攰愷㔶㑣戴㠷㍥昹昹㝣〸ㄸ晢戸㌹㐵㙢㕡愹搵挲㑤㜱㙣昴㠸挵搸㙥戰愹㝥㤵昷㉤ㄵ慤㠴㌳散㌱ㄳ㝡㡦换㉤搶㤰〲敡㙥㑡㑢〵ㅣ扦㐳㥣攱㍤〵㍡㍤㐳捣ㄸ㤵㐸愴㘷愸慤捣愹ㄹ㥢扡㉤㝢㠶摣戹㕤㉡㜷㙥攳㥤挴挷㤷㍤㝥ㄳ㕥㐳㕣㜳㔳扣戴昷㡣摣㕥㔵㍣㤵扤㙣〶㠰㌸ぢ捦㠷戲挵㠵㄰㝡㘶慦搳摡㔵收戹〲㔹昲㄰㘷〲㔱㔹㜰攳㜴摣敡㉢㘰ㅣ昲扦㤸搳敤扤攴昱攳昹㤸㘵㉤ㅥ㕢㙢挵ㅤ㌱〲㤳挳㠴㤱挱㐸㌲〵昷㥢㕦㝣㜹㙢扤摤っ攲㡦㍣㌹㌳攳慦ㄶ㤰昹〰戴㘳㈴㍦扥昸㥡搶㐶ㄴ㍡て晦摦㡤㈹挶㡤攷愲㡣㌱ㄳ㡦㠰㑣㥣㠱㠴㥦昱戳っ㌲捥㐴挲㌸㡢攰㙣〰㥦㘰〸㉤㠳㡣㔳昱ㄴ㘹㐱㠶㘰戰捣㐰挳愰昷捡ㄳ㑤慥摥敡㝣㈲搰㕢㌵㝢慡ぢ㤸搵㤳ㄴ㄰㜸〴攳㙡㝡㉢换晦㌰㜶㜶㜱㉦㝦攵㝤ㄷ〱〸挶搵㉥〸ㄷㄳ攱ㄲ㈲㌰搶愶て昲㕥ち㜰㙥㝢ㅢ慤㕣㕦㕤㙥戶㕣戱㕣㉤㔷㔴户㕣戳挰㡣㑦㜰〸㐱敢㘵搷攱㔵挸昱㜳㄰㈰㜵㌸〷〹攳㙡㠲㙢〰㝣攲㈸㐰愹挳㤰㐳㠷っ晤㌵ㅤ搶扡敡昰〶㔶㘴搷攱㕣㘶㘹㍡攴㈸挱愶㐳㡥〴㕣㔴㌴㡦昷捤〷㄰ㅣ㈵戸㈰摣㑣㠴〵㐴攰挸㐱敡昰ㄶ㈴㉥㘸㜷ㅤ㙥挲㝢攱捤㝡ㅣ㥢慢ㅥ挷攸㝡㕣〲㠶㝣㠲㠳愲㙣㍤摥㡥㕣㍦㠷㌵㔲㡦㜷㈰㘱㉣㈵㔸〶攰ㄳㅣ扡㘸敡ㅡ敥慡慥扢㠹㙦㔷搷扤捣搲搴挵㔱㡥㑤㕤ㅣ挹戸㘸攳㝥摥户ㅣ㐰㜰㤴攳㠲昰〰ㄱㅥ㈴〲㐷㍥㔲㕤㉢㤰搸ㄲ搴㘵扤㕢摦慣慥捡㕣搵搵㕦㔷搷㙡㌰攴挳㥣㥣㥢扡ㅥ㐱㉥㈶改捣愷慢ㅦ㙥愳㠵攴㕣㐶㜱㥥㔷㜰愸㈶ㅦ扢㈳捣㠲㝥戲㐰㠸戸㉡㌸摣㉣㘰慣㘲㍣㡥摣㐲㠶昷㌹㡦㍢㠰扢戹ぢ慦㑦攰㕥挱㐱〳敢㌰㥥〴攴挰㠰㍦㍦〳㝤ㅥ㝥〶晢㌲挱挸㕥㈶ㄸ摤昳㄰ㄴ㉡搳挶㕡㌳㐷收捡戰捣㤹㕢挰㠸㙢慢ぢ㠸㌹慤攰晥〵ㄹ㍣㤹㐷攴㌴㑤攸ㅡ扡㘷昶つ攰ㄳ㌴㑦㐱㉡戴攱晣ㄵ捣挴挵㤶ㄸ㐵㠱㌶㑦ㄱ攳〳愹㙣㤲㥡㍦攷㝦㜱㤵敢昷㝣㄰㌷昷挵搳晣㍦昱戸㝦敥㘸晣㜸摡㤶晣㈹㔸扥㤱昳ㅢ愲攰㑦㌹㍤㐴㉤捥戵㜳㤸敤㝤〶㕤昳㜶㌱挳昶攲昰㡣晥愹㔴㘳慣㐱㝥ㄱ㙡㜳挶愷戶㌱改攰昵㉢捥㉢㑤搷慦㕦㜱ㄹ㠶愹㔳昰戵㤸㜴㘹ㅣㄷㄱ昳换㌹愵㡦摣㕦㍡㈸戲收愶搲㜴㜲晤㡡ぢ㌱慣㥤ㅢ㈹慤挵㤷㜶昰㘹㤹㝤㔳挱挶搲㌱晤㐷昷㑡搷㌷昲㉢㌳搱㑣扤晢ㄹ捦㠲㘶㜱〰扡ち扢㡢昷昹昶收攰搱㑢ㅦ㕦戶㝥挵昵㈰㍦挳挴搴㌵㜳㐹敤㠳㌷挵㑡㈷㍥づ戰ㄹㅣ慣㈳〷扤ㄴ〷㉦攲㙡㔱㝢敡愰ち㠴㔳摥㉢㉥愴㔸扢㤵挶昰㠶ㄱ摥㤸攸搵㄰摣㙦㜳愸㝦㠹搴昷㔰搴扦㠲慢㜹敤㐹㝤㘵〴摡㡦㑢晡㘷㐵㐰㝥慦㘱㐳㌷㡢散㔷㐹昶㝥㡡散搷㜱㜵㑡㍢昶晢㘱㙢敥㠹愰㥢愸慥㠳㑥戲㉦搶摢昰㌰㌴㤶㜶敢ㄵ摣捦㜸㠳搴散慤愸㜹ㄳ㔷攱㜶愴㘶愸散慥昸㠴搵㑤㘹攳㉤戶扣愷㙡昹ㅤ㕣㌵戴㘳换搵㜸㜶ㄷ愴昱㑣㔳㡢改搲㈹昵戸㙣㌴摥㈵つㅣ㈸换攸慥ㄴ挴攸㘱ㅦ〷捦戲㘰㌷戳㐰㠵㝤ㅣ㔰换㠲慥㘶㠱っ晢㍥㘰㘵ㅣ㈷㌳昴㌳㍥攴搵〵〴戰㙦挶㐷㠰㔶㕣挶〱㌰て㍦〷挱㌲挱ㄱ慦㑣㜰搴换㐳㜰㡣挸㜸换昸ㄸ㐰㠵ㄷ㐵ㅣㅤ晥捦㠳㙦散㡢㝣攳挷㡢㕤㔴扦晡ㄴㄲ摢摡ㅣ换㍦㐰戳搸㔱㜱昰㜹㝢㜳搰づ㡥攵ぢ㜲戰扤攲攰㑢㕣㙤㑤㡥攵㉢㔲敦㔷搴㝦㠳慢慤挲戱㝣㑢戲㍢㉡戲晦て㔷扦愷㘳昹ㄷ愹昱㈹㙡㝥挰搵㙦攵㔸㌶戰攵㈲搵昲㡦戸晡敤ㅤ换㑦愴㘱づ㠰㜴ㄳ〵㈰㐶㜷㉣㥣搱㤳〵昹㘶㠱㜲㉣㥣攵㤳〵㜹㘶㠱㜴㉣扦戲㌲㑥摥㐹挷㐲㍦㈲收㌲ぢ扥挰攰㜴慣攵㔸㌸㉢挷挳捦㤹㌹㤹攰㌴㥣㑣㜰㉡㡥㠷攰愴㤵㜴㉣㜹戸捤㜲㉣㥣慥晡㥦㘳挹挱戱晣昲㡢ㄹ敦㜳攵㜹㙢㜳㉣㝣㍤㐵晣愸㌸㈸㙡㙦づ摡挱戱ㄴ㤳㠳ㅦㄴ〷㍥㕣㙤㑤㡥愵〳愹晦㍦㐵㝤㐷㕣㙤ㄵ㡥㘵ㅢ㤲晤㡤㈲㥢㥦㔹晥㍤ㅤ换戶愴收㑢㐵捤昶戸晡慤ㅣ换づ㙣昹㜳搵昲㡥戸晡敤ㅤ换㑥愴㠱换〹搲㑤㝣ち㘲㜴挷挲㈵〶㔹昰㠹㔹愰ㅣぢ㤷ㅤ㘴挱挷㘶㠱㜴㉣扢戲㌲㉥㌳㐸挷搲㤹㔷㕣㘱挰㝦㡦搱〵㔷昸㉦㝦㝥慥ㅦ昰昰㉦㔷〹㉥ㄸ挸ㅣ㉥ㅡ昰㄰慢㤱㤰㡥愵㉢㙥戳ㅣぢ㈷搶晦攷㔸㜲㜰㉣敢捤㝥㘵㜰挴㘲散㑥㕤扣愳戲㌸〴㌰扡㌱敢㑤㤵挵㤸摡搸㠷㔹慦慢㉣〶慡挶晥捣㝡㐵㘵㌱〸㌴㝡㌲敢㐵㤵挵㐸捣㈸㘷搶昳㉡㡢㈱㤲搱〷㔹㥤戸㜲㌱ㄶち换㥢㉥㙡㈷搴㑤㤸戰愱㔳㐱改ㅦぢ㡥ぢ㤴㕣晤摥㔳敦㕦晥昲㠹晤㍥昹昹扡敢㕥晥昰昲㘷㝥㕥㌹戱摦ㄳ昳收㍤㝡搴㡤捦扣扦㕤㜸㙥摥㝤ㅢ㠶捥㥤搱㝢捡㡣㤳挳挷敥㍦㘸挶昱㤳㡦改㍤㜲摢敥昹昹㐵㐵晢㙣晦攴捥晢晡㘷㥥扣㕣㍣晣挶㑥㜱㈱㔷㉢搰㠰㜱㈰㥡攳搱ㄹ㍦㍦㔷㉤ち㤰㌰晡㈲搷㌸〸愰㘳㥥㕦㉤㐸ㄴ㜱㠲㕤㜶㈱㙥换㉥㜰㙥昲㙥㘵㍢㤲㜳户つ㘷ㅡ㡤㠳搹挴㈱〴㠷ㄲㅣ㐶㜰㌸挱ㄱ〴晤〰㝣㠵㥣搹晢㉦㘷㌵昹㉥ぢ戶㐲搵㘲㍤慤㑥敥〳㥦挴㍤攰㔸㌰㑡㠸㠹收㥥昰㠶づ戱㈳愳昸㤶㑢愴ㄶ㉦㔰摡戶㐸攱㑢收戸㥤㠷摣㉡㠵慤ㄹ㥢戴晦㥣㝣收戶搹㐹敥㐳戲戶㠹ぢ㙣㤲挲搱敡挶慢㐳㜲㥡散戵慤㤸昴㑦昱㍢愲㜲㥡搷敢㕤搶摡ㄶ㤳㑤摡㔰愵㈶㤴㐷㠷㔲改㤱〹㝣㡥㕡㙥㘶㘹晢ㅤ㔵慥昲戰㜶捦换㍥㘵敤㌱㉤㕣㡤㘷㙡㔳㐵捦敥摤晣敥〱㉢㤴ㅤ晥挳〷搷㝣晢搵㙥㌷〷㐶㥤晥攷㑦捥敦戵㈸戰㝣摢捦㕦慣晤搳搹〱㤴㝢㍣㠱㜳㌲攷昷㉥挹㥣㤱㘵昴㘷〷慥〴㤰㠷ㄳ㈳搰ㄸ㌰慡㔰攸㍤攲搶搵敢搶慤慦昰〹捥晥戲愷㘷摥慢攳慡戲㜸㄰攴㤳〵㐹挰㝢晤㜶ㅤ搱敢敡〵㠱㌱㍦敦㝤攱㤰晢ㄶ〶㤶㝤㌷晥扤ㄷ㍥㙤〸挸敡㔷㥦㥣㌹捦㍤㈵㜳㐶愶㌱㠸〴っ㔶〴㌸㌱㔶〷〳挶㄰ㄴ㕥㌷戹㜲搸ㅢ㙢㥦〵〱㥣挰㜵㄰㜰㡦㑥挰㡦㜷捥ㄹ㔳㜱散㉤㠱挰昹㡢捥㍡昴挷㕢〲慢㥦晣攳扣㈳㙦ㅣㅤ挰敢捤㌸㝡〴㌲晢挳晡㌶ㄳ㌰㡣〴っ〷㜰㘲㍣㈷敦攸ㅣ㌰㐶愰昰愴㝦㉥扤㙢㘹昹㕤㈰㠰㔳戱づ〲敥搰〹昸攲㠱㌹㥦ㅣ㝦挴㉤㠱攱㌳ㄷ㝤摢㜵晢㠵㠱挰㌳㍢㑦扣改昵ㄳ㌲つ捥っ㘷捥敦㤹ㄲ愱〴慡㐹挰㘸〰㜹㌸㌱㘶㡥〹ㄸ挷愲㜰㜱搹戶㍢㍦㜱摢晤㈰㠰戳慦づ〲㙥搵〹攸摣㘵昷搸捡㠵户〴搴搹慣搸㍣〵〲㤹㠴㍡愳敤攳㔱扤㜱〲㠰扤㘴㜰㈰㜳㕤ㅥ㌰挶㔹㠵㕣つ攷㈴慣㠳㠰㜹戹ㄳ㘰戶愲㥤㡣ㅡㄲ㌰㐱㙢㐳㉢㤴㐹㈳㘸ㄵ㙥昸搵㈷摥捤㈶攰㍡㥤㠰昷㘷捤摥㝢挱慥户〴㡥㍡挳㌳昲㍦㐷㉦っ捣扣敦㠶搹㤷ㄷ搶〶づ㝦㜷挴㐵㔷挵敦慡昸昱捦㤳㔷愶慦戸㤵攱㑣愶晡㄰〹〸〳愸ㄲ㠵戹㐱㘲捥愹㌰㈶愱㜰摡㝢㐳扢ㅥ㜲攳敡㔵扥㑥㥣戵㙤㔷㤷㈷㈷㠲㐱㥢㔱㙦㌲捥㌷㔸晤㥣㄰㤶㉥㉦㐲㝡㈷〳㜴捣㉢攲㕣㙦摢㜹扡㈹慣㌹㑡㄰㈳㠸ㄳ㈴〸ㅡ〸㑥〶昰〹㑥㌵㑡晤晦㐲ち愵つ昸慢㉥晥捦㜶㜸㝤昰㔱㉢ㄷ〶㡥㝢攳昲㝥ㅦ㍣㝤摢挶㡤㄰扦愲㙢㑣〵㤰㠷㥢ㄱ㥡㠶挲ㄳ晥㝤挹㥢搱ㄵ敦攰〹攰㑣愱㠳㠰㜳㜵〲㍥扥慡搷㠲扦昴㕤ㄴ㌸㜱捣攱敢攷㡦㕡戲㜱㈳㜴㉡〹㤸愱〸㜰㌳㐲愷愱戰愹㘱挶㍥挵㜷慦〵〱㥣散㜳㄰㌰㔳㈷攰戶搹攱戲搹摦㉤ち捣ㄹ㕢㜰摣㔵㔷㉥づ捣散戲扣捦㕥愵慤ㄸ愱㌳㐸挰㤹〰㉤ㅡ愱戳㔰㌸㜷㙤攵づ㜳收摥〱〲㌸㙤攷㈰攰ㄴ㥤㠰昸搳㡦㡣ㅤ昲收愲挰慢㝢摣㕡昶攱㙤㡢〳㥥㝦㉥㝥敢㠴㍥慤ㄸ愱昳㐸挰昹〰昲㜰㌳㐲㝦㐱㘱挱〷㈷㥣扦攴换扢㐱〰㘷敡ㅣ〴愴㜵〲㝥搸㘳攲㤰㕢捥㕤ㄴ㌸敡改攲㝥攷㠹㈵㠱昲㜳㈶ㅦ搶改㡥㐹㠱㑣晤〱昳慣㑣っ摡扥㠸〴㕣慣〸昰㌸㌱㘰㠴㉥㐱攱敤㝤户晢散㌳捦㈳㈰㠰ㄳ㜶づ〲攲㍡〱㝢㑣敢扢㘶挷〱㡢〳敡㥣㘹戸㘵㘸㕣㐱〲慥戴〸挸挶㌴㘶㔹㠵㌴㐲㥣慤㜳㄰㔰慦ㄳ㜰敥㘴晦㡡敢㐷㉥ち㥣㍤㝦愷㔷㐴摤㤲挰搷㑦ㅣ扡慥昴摡㠶㤶㡤搰搵㈴攰ㅡ㠰ㄶ㡤搰戵㈸㝣㘸散㡣慢晥㔰戰ㄶ㐶㠸づ户㕤㡤㄰㠷㜱㘸挳㘳㕣㠷〴て㘹㠴〴㉥愴ㄱ扡ㅥ〹攳〶〰ㄸ㈱捥ぢ戶㥤ㄱ扡㤱㌵捦㈵戸㠹㘰ㅥ挱㝣㠲㥢〹ㄶ〰攰㐳晥㠰㔲晣㝥㤰㤸㌱㐲挷改攲摦㘴㈳戴㠸㜵㉦〶㤰㠷㥢ㄱ㕡㠲挲㘶㈳挴㔹㈵〷〱愳㜴〲㌶搹〸㉤㈵〱换ㄴ〱㙥㐶攸㑥ㄴ㌶ㅢ㈱㑥っ㌹〸ㄸ慡ㄳ戰挹㐶攸㕥ㄲ㜰ㅦ㙢㜵挴㑡㔶㈴㜴㍦ち㥢㡤㄰愷㜸ㅣ〴っ搴〹搸㘴㈳戴㠲〴慣〴㤰㠷㥢ㄱ晡ㅢち㥢㡤㄰㘷㜵ㅣ〴〴㜴〲㌶搹〸㍤㑣〲ㅥ㔱〴戸ㄹ愱㌵㈸㙣㌶㐲㥣摣㜱㄰㜰㤸㑥㠰㌲㍥敡㙣㜲搶攲挹㜸㠲〴㍣㘹ㄱ㤰㡤㘸慣戵ち㘹㠴㌸戳攳㈰攰㐰㥤㠰㑤㌶㐲捦㤲㠰攷〰㕡㌴㐲捦愳戰搹〸敤㡡慢㜶㌵㐲㥤搱㠰㌴㐲敢㤰攰㈱㡤㔰ㄷ㕣㐸㈳昴〲ㄲ挶㡢〰㌰㐲㥣㐳㙡㍢㈳昴ㄲ㙢㝥㤹攰ㄵ㠲㔷〹㕥㈳㜸㥤攰つ〰㥦搸ㅤ㔰㡡㝦て换〸㜵搳挵晦㐲昰敤㌳㑥敡㌱㍢愰捥㤲〱〵㤴㠹㔱㘷攴ㅢ㙦戳敥㜷〰攴愱㑡搴㠰㡤挳戱㜷㔵㈱㌰昰㥥㘱㌶〱㕤㜳㈶㐰㤹ㄸ㜵㐶㡤挶〷㈴攰㐳搵㠶㉡㔱〳㌶づ挷㍥㔲㠵㤲㠰㝤戲〹搸㔹㈷㘰挳㕢㡦づ㍥戵㘹㔶攰收㡦晦昵㘰晦㜷㘷〷㔶㕦攳摦㜳搲㠹㘳㕡ㅥ㡥晤㠳〴㝣挶㕡㕢㌲㐲㥦愳昰捣摡换㝦㔹扤挷愳㠸〳㌸㜷攵㔰挱㜶㍡〱晦㔸戰搳慥㌵㥦㕤ㄹ戸扦换晣㑦挷挷慦ち㌴㍣㌴㉥晡晤㙥㜵〱㔰敦昱㌸㑤っ戲㡣慦㐸挰搷〰昲㜰㘲㜰㌸昶つち昷扣昸慤ㄷ扢敦晡㈲〸攸㤹㑤㐰㠹㑥挰改昹挵㠷㉤㍡昳捡㐰改敡扢搶㙥晦敡㔵㠱攲㡦㡥㍤㙤昴戵㤳〳㤹晡〳收㔹㡢㠴晥㠵ち㡤敦〱摣㌱㄰〹晤㠰挲ぢ扥㝣晢㥥挵晦㝣つ〴㤴攳捡㈱〱慦㑥㠰敡㝣敡慣㉡㙥改㙣晣㐴〲㝥戶〸挸挶㌳㝥戱ち㘹㠴㌸ぢ攸㈰挰愳ㄳ戰换㕦㍦昹戰㝡捦㉢〳ㅦ敦昹晤㌱㝢㕦㌹㈷㜰㘰捤㘱昷っ㔹㜳㜲换㤱㤰挰晥㕢㈳て愰㐵㈳挴敦㈰っ散㌲晦㠰㝤ㅦ㝡㜷㤵捦㝦㈰〸愰㌵攸㔸㈰晡㈲昹㈱㤲攲攷㥦㌳戳摣㤵戸㈸挶㜷〰て㔲〵㍦㤹〵㝥ㄴㄸ㕥搴㔳㜸㌰㡡㌶㝢㡡㡡收挸㌶て户慤攳㜵扤敥挱慣㥣扡慣㥣㔰㔶㑥㙤㔶㑥㝤㔶㑥㈴㉢㘷㜲㔶捥㤴慣㥣㜰㔶捥愴捥㑥㥡昵扦搹㠳扦慢㐳攱㐲挴〵慥㉦㕦㕡搳㕡㥢昰搲攷收捥㌶捡戹挶摣收捡攴攷戰慤㘹捡晦㜲㘶㤶昴扡㑤㜱㕡扣ㄳ挱㘷ㄴ愱㍢㜹㡢〱㙥㌶㕦㔹搹戲㜷愳㡡ㅦ昰㉣愸愹㍢㙡搸㜳改〵收〴㤹昳㐵捡つ扦捡㜲捦㠶㕦挵昷戸㐹扤㔰改挳㉢㘲㜸㝡昸〴㤹摣㤷戴ㄳ昷㙤扦㉥㉣扥㜳㜲㕦㍥㜵攳摣㝦㙢攷㥥敢〱ㅡ昷㝥㜰㍦户ㅤ㜴摦戶扢㘰挵㔷㑥捥㍤〷㙣㥣昳㉦敤㥣㜳ㄱ㐴攳㝣〷㜰㝥㜵㍢㜰摥㐶㍢㘸挵攷㑥㤶㑢愳ㅢ㘷昹㌳㍢换㠷摢㔹摥ㄹ㉣㥦㥣㜹㈷扡㉤㥦昳㡤散扥ㄵ㥦㌸㌹昱っ搸㌸㈷ㅦ摢㌹㌹挲捥㐹㘷㜰㌲扥敤㌹搱㜶敥㡡て戲愸㙥改㥤㙤捤搴扣㙦愷扡㥦㥤敡㔲㔰㍤愹敤愹㜶摤昵㉢摥搵攸㕦摥昵㥣捦㡦㔹㝥㐷㠵晢㍢攷ㅡ晤敦搸改敦て晡攵㔸㐶㉤㔳搲愶㡡㑡㍢㔷㝢㠱慢慤挴㝤晣㕤㤳㠹㜴て戹戸㡦㌷㌴㤹挸搷㈱㝣〵㔵㤰挰搶户挶〷㍤戵晣㤲㔸扦㥣㤶㍣摤㤷㈳慤户挴昶㐳ㄳ晣戶〱㝦㘲㤰㙢攷ㄹ㙣敦㍣㍤摡愹昳戴㠳昷㝤挹搹㜹㜲昱扥㉦敡㥤㠷㙢㤱㍥㌱〴ㄲ㘰〷㌲捡㜵㘹つ㜳㤵搶㜰扢戴晡攰㡥慤挰㕢㍦攳㤴㔴㉥摥晡㘹㕤㔲㕣㌴昵㠹ㄱ㑡㔲〷敢㤲攲昲㘳戶㔱ㅡ㙤㤷搴㘱戸㘳㑢昶敥㡦㌹㐵㤴㡢㜷㝦㔴ㄷㄱ㤷㜵昱㕥戶ㄲ搱㥦㜴ㄱ㜱㠱㌴㕢㐴㕣㌱搵〲愰晥戸攳㜷㠸〶ㅥ㜲㜲㥥㑢㌴昰㌷㥤㜳慥㈷晢挴㌸挵昹㤱㍡攷㕣㤹捤收㥣㑢戵ㅡ攷㠳㜱㐷㍢㐷て昷㘷㜱㤹㐳昴㜰㥦捥㈵ㄷ慤㝤㈲愸戸ㅣ慡㜳挹攵摦㙣㉥戹ㅥ慣㜱㌹〲㜷晣㘶搱挶㌲㡤摦㥣愳㡤愵㍡扦㕣㈳昷㠹㐹㡡摦㙡㡤㕦㝦㍤㜲捤昹㤲〸㤲㜲扥攴㌶摣捣㕤㠱㤵昰㌵㥣㉦攱敡戲㉣㔸㘲ㄶ挸昹㤲㌱愸㐶㜰㡤㔸ㄳ捣㜱挸摢㑡〲㤶㠵㥡㔸挱㘷㙥攳摤㕢㌴戱㘲扣换挵㜱㡤晢ㄳ摢㠹晢㜶昰戸昳㥤摣攷攲㜱攷搹戹㡦搹戹㥦〰敥户〲て㝡愳㤳昳㕣㍣攸つ㜶捥攳㜶捥敢挰昹㤶散ㄱ慦㜵戲㥣㡢㐷扣挶捥㜲挲捥㜲㍤㔸晥ㅤ㍣摣㔵㑥㑥㜲昱㜰戳敤㥣㌴搸㌹㠹㠲㤳㜶昶㔸㔷㘴㔱㥤㠳挷扡摣㑥昵挹㜶慡ㅢ㐰昵㙦收㠱㉥搱攸捦搹〳㕤㙣愷扦ㄱ昴㘷晢搵愹㜶慥ㅡ挱搵㔶攲㍥㉥搰㘴㤲戳晢昸㡢㈶ㄳ㠳㕢愷㝣㘲ㅡ㈴㈰㠷㉣㑤攰摤ㅡ攰㥤敡㉡慤ㄹ㜶㘹捤㘸㈷㘹戵㠳扢㌹换㈹慤㕣摣捤㤹扡戴戸捦换㈷㑥㔳搲㥡愹㑢敢っ㔷㘹㥤㘹㤷搶㔹戸㘳㉢㜰㑦㌳㥣㤲捡挵㍤㥤慡㑢㡡ㅢ搲㝣攲㉣㈵愹昳㜴㐹㥤攷㉡愹昳敤㤲扡〰㜷㙣挹敥慣搱㈹愲㕣摣㔹㕡ㄷㄱ户捣昹挴㕦㤴㠸㉥搶㐵㜴㤱慢㠸㉥戶㡢攸㌲摣昱㍢戸扦戸㤳昳㕣摣㕦㑣攷㥣㝢昵㝣攲ㄲ挵昹㉣㥤㜳敥㝡㐳戱攳㔳㑥㔷摡㌹㥦㠳㍢摡搹㕤㑥捡攲㌲〷㜷ㄹ搶戹攴㠶㐰㥦㤸愵戸扣㑥攷㤲㕢敢戲戹攴㕥㍢㉤㤲扦ㄱ㜷晣㘶敥㜵㠲挶㙦捥敥戵㐶攷㤷晢て㝤攲㕡挵敦㝣㡤㕦晦㜵挸㌵〷㜸搷㈳㈹挷㜱㈷攲㘶㝤㠰挷㥤㝢戲㘰㥣㔹㈰〷㜸户愰ㅡ挱晤㜷㥡㘰㙥㐵摥㔶攲愱挷㙡㘲捤搹㐳㡦搱挴㡡〱ㅥ㌷ㅥ㙡摣摦搶㑥摣户㠳挷慤㜶㜲㥦㡢挷ㅤ㘵攷晥㈶㍢昷换挰晤㔶攰㐱㐷㌸㌹捦挵㠳づ户㜳㍥捦捥昹㍤攰㝣㑢昶㠸㐷㍢㔹捥挵㈳ㅥ㘵㘷㜹扥㥤攵攵㘰昹㜷昰㜰㠳㥣㥣攴攲攱〶摡㌹攱捥㘰敤愱㕤〹㑥摡搹㘳㔵㘵㔱㥤㠳挷慡戴㔳捤慤捣ㅡ搵慢㐱昵㙦收㠱㉡㌴晡㜳昶㐰㝦戲搳扦〸昴㘷晢㔵㙥愲搶戸㝡っ㕣㙤㈵敥攳㌰㑤㈶㌹扢㡦㐳㌵㤹ㄸ摣㤶敥ㄳ摣㈹㉥〷㜸㙢挱扢㌵挰㕢敡㉡慤㘵㜶㘹㍤搳㑥搲㙡〷㜷搳挷㈹慤㕣摣捤〱扡戴㡡愵戴敥㔴搲㕡愷㑢敢㕥㔷㘹摤㘷㤷搶㑢戸㘳㉢㜰㑦㍤㥣㤲捡挵㍤㜵搷㈵挵捤晥㍥㜱扦㤲搴㙢扡愴㔶戸㑡㙡愵㕤㔲㝦挷ㅤ㕢戲㍢摢换㈹愲㕣摣㔹㌷㕤㐴摢㐸ㄱ晤㑤㠹攸ㅤ㕤㐴て扢㡡攸ㄱ扢㠸搶攳㡥摦挱晤㜵㜵㜲㥥㡢晢敢愲㜳扥慤攴㝣㡤攲晣㈳㥤昳㈷㕣㌹㝦搲捥昹愷戸愳㥤摤攵㑥㔹㕣收攰㉥㜷搴戹摣㐱㜲戹㔶㜱昹㠵捥攵戳慥㕣㍥㘷攷昲㉢摣昱㥢戹㔷扦挶㙦捥敥戵㤳捥敦㑥㤲摦攷ㄵ扦摦㘹晣晡搷㈱搷ㅣ攰扤㠰愴ㅣ挷㤵攰㘶㝤㠰挷户㈲㘴㐱〷戳㐰づ昰扥㐷㌵㠲敦㌶㘸ㅥ㝡〳昲戶ㄲて㕤愴㠹㌵㘷て敤搵挴㡡〱摥换㜶敥㝦㙥㈷敥摢挱攳收㍢戹捦挵攳收搹戹㝦挵捥㍤扢搱㔶攰㐱㝦晤挹戱㔳㌹ㄷて晡ㅦ摣愴敤㔴㝥搵捥㜹〱㌸摦㤲㍤攲㑦㑥㤶㜳昱㠸㍦摡㔹㝥捤捥㜲㌱㔸晥ㅤ㍣摣て㑥㑥㜲昱㜰摦摢㌹攱㕢㔷㥡挹㉡〱㈷敤散戱扥换愲㍡〷㡦昵慤㥤㙡扥㈶愶㔱敤〷搵扦㤹〷晡㑡愳㍦㘷て昴愵㥤晥户㐱㝦昶〰㡦㉦愸㘹㕣晤〱㕣㙤㈵敥攳㌳㑤㈶㌹扢㡦㝦㘸㌲㤱ㅦ㔹挲ㄷ㈸㈰〱㌹挰摢〵扣㕢〳扣て㕣愵挵户改㌴㘹㜵㙥㈷㘹戵㠳扢昹挰㈹慤㕣摣捤晢扡戴昸㝥愲㑦昰㤵㐱㈹慤㔲㕤㕡晦㜰㤵ㄶ㕦晤搳愴戵㈷敥搸ち摣搳㕢㑥㐹攵攲㥥摥搴㈵戵㡦㤴ㄴ摦㙤㤴㤲摡㐷㤷搴㔷慥㤲晡摡㉥愹晤㜱挷㤶散捥㕥㜱㡡㈸ㄷ㜷昶戲㉥㈲扥敡改ㄳ摦㈸ㄱ㤵改㈲晡㤷慢㠸扥户㡢愸㌷敥昸ㅤ摣摦㜳㑥捥㜳㜱㝦捦敡㥣昷㤴㥣晦愰㌸敦慢㜳晥㤳㉢攷㍦摢㌹㍦〴㜷戴戳扢㝣㈲㡢换ㅣ摣攵攳㍡㤷攵㤲换㕦ㄴ㤷㐷攸㕣昲㤵搰㙣㐷挴㜷㐴㌵㘳㔱㠱㍢㝥㌳昷扡㕡攳㌷㘷昷扡㑡攷㤷敦捤晡〴㕦㘵㤵㡦㝣㤵捥㉦㕦㑣㤵ㅦ㔸ㅣ㠰㕣挱昷ち换挱扥㜱ち挱愹〴昲慦敤㉣㐷㜵㌹晤ㄱ挴晢昵㜶㡦㐲㤵扥㈲扥㕣㈰㐵㉡扦㤰攷晣搳散敥㕦挸㜳㝦㕦㠱敦㍥ㅡ㐷愳㔲㘳㈸挱㌰㠲攱〴㈳〰㍡收ㄷ㜱㘳㝥ㅢ戶㌴㤲㔵ㅦ㐳㌰㡡愰㥡㘰㌴〰㕡攲挶昶㌶㙣改㔸㔶㍤㠶㘰㉣挱㜱〴挷〳愰㈵敥て㙦挳㤶㑥㘰搵攳〸㑥㈴攰㕦㘱㌴㑥〲㐰㑢摣㡦摤㠶㉤搵戰敡〹〴㐱㠲㠹〴戵〰㘸㘹㘸摢戶㔴挷慡㐳〴㘱㠲㐹〴昵〰㘸㠹扢㤱摢㤰愷〸慢㥥㑣㌰㠵㈰㑡㄰〳挰ㅦ㝡收㠶㘵昹ㅣ挵㜱㕤挴晤㔶㙤搸㙥㠲つ㌵㄰㥣㑣㤰㈴㐸〱㠰㐳敥㔵㙡挳㤶搲慣扡㤱㘰㉡挱㌴㠲改〰㘸㠹㝢㝤摡戰愵㈶㔶㝤ち挱愹〴㌳〸㑥〳㐰㑢摣㌲搳㠶㉤晤㤹㔵㥦㑥㌰㤳攰っ㠲㌳〱搰ㄲ户愸戴㘱㑢㘷戱敡戳〹捥㈱㌸㤷攰㍣〰戴挴㙤㈲㙤搸搲昹慣晡㉦〴ㄷ㄰㕣㐸昰㔷〰戴挴つㅡ㙤搸搲㐵慣晡㘲㠲㑢〸㉥㈵戸っ〰㝤㥥㝢㌸㘴㥦扦ㅣ搷㐵㕣㠲㙡挳㜶慦㘰㐳㔷ㄲ捣㈲㤸㑤㜰ㄵ〰㌸攴昲㑤ㅢ戶㌴㠷㔵㕦㑤㜰つ挱戵〴搷〱愰㈵㉥㝦戴㘱㑢搷戳敡ㅢ〸㙥㈴㤸㑢㜰ㄳ〰㕡攲㉡㐲ㅢ戶㌴㡦㔵捦㈷戸㤹㘰〱挱㉤〰㘸㠹戳昶㙤搸搲㐲㔶㝤㉢挱㈲㠲挵〴㑢〰搰ㄲ㘷捥摢戰愵摢㔸昵敤〴㜷㄰㉣㈵㔸〶㠰㤶㌸㘷摤㠶㉤摤挹慡敦㈲戸㥢攰ㅥ㠲㝢〱搰攷㌹慤㉤晢晣㝤戸㉥攲愸扣つ摢扤㥦つ㉤㈷㜸㠰攰㐱㠲ㄵ〰攰㤰㈳摡㌶㙣㘹㈵慢晥ㅢ挱㐳〴慢〸㔶〳愰㈵㡥〸摢戰愵㠷㔹昵㈳〴㙢〸ㅥ㈵㜸っ〰㉤㤵攱搴㠶㉤㍤捥慡㥦㈰㜸㤲㘰㉤挱㔳〰㘸愹㉦㑥㙤搸搲搳慣晡ㄹ㠲㘷〹㥥㈳㜸ㅥ〰㉤ㅤ㠱㔳ㅢ戶戴㡥㔵扦㐰昰㈲挱㑢〴㉦〳愰愵㉡㥣摡戰愵㔷㔸昵慢〴慦ㄱ扣㑥昰〶〰晡晣〰㥣攴㤸攸㙤戴愸づ㜱ㄴ㜲㑦攷〸攱㑤㈴昸㐹昵㠵戸㈸㍣ㅡㄷ晦㑤㡣捦〷戹㐳捣晣ㄳ昴搱挶㔰㐹㙣㜴㌰㌹㈹㤴昹㝥㜲㠷㤸晣搸㡡晣㤶㌲昰昰㤱ㄶづ〹攴㠱㑦㔸愹㙦ㄲ慢户攵挵㔰搰㐲㝡攴昱改㜹〱㑦昴摢㕥慦搶㉥㌰㍦㘲昰挰㉡㌱㑣㐷挰㍢攵捥㉦搹㡡攱㍡挲㈱ㄷ〵づ㝡㙥挴攲㜹㥦㉦㔴㌵㔴㠸ㄱ㍡〲㍥㥦愵扥㠷慣晥㍡扣ㄸ愹㈳攰㌳㔷敡扢挵ㄶ㤱挷攸〸ㅢ㔲㠱㍦昷散晡㑥㘳改㉤慡㠹㔵㘲㤴㡥㠰㠹戱㉣㈲慢㜵㠴晡改㠱〷㑡扡晤㥣搷㑢㈳㜲戴㡥㠰㑦㙣愹㙦㈶㕢㐴ㅥ㙢㈲愸㑦㘱愹㙦ㅢ㕢㐴㡥㌱ㄱ晡挸愳㍣昰搷㑦摥㕡㝦摡㥦㌵㈲挷敡㑤㘰㑥㉡㡢挸攳㙣㑤昴〹摣㍥㉡戴攱挷㜵㔶つㄵ攲㜸ㄳ㈱搳㘶㕦敢扢捡ㄶ㤱ㅣ扡㔸摡㥣ㄹづ愸敦ㅦ㕢㐴㡥搳ㄱ㐶㐶〲㘷㝥㝥攲晥ㅤ㤲㔶ㄳ慢挴㠹㍡〲㘶㠵戲㠸攴㜰挸㙡攲敢㜸攰扥攱ㅦ㉤㡤扤㙤搵㔰㈱㌸㔴戲㄰昰㙤㘵昵敤㘵㡢㐸㡥㝡㉣〴㑦挰㙡挲㈲㜲㠲つ愱搲㠱㠰㍥挹搱㔲㜳つ〳㉣〴戳ㅢ㝢〴㐷㔲捤〸〳㉤㠴㑣ㄳて㔴㠸㕡ㅢ挲㘰〷挲摡ち㔱㘷㐳挰〷㠷捣て㌹㕢㐴㠶㕡㐵〰㤱ㅣ㘸㌵搳搰㕣㠳㐵攴愴ㄶ㄰㉣㈲㌹㐰㜳慢挱愴愱㐲㜰慣㐵〴昵㘹㉥昵㡤㘵㡢挸挹㈶挲ㅢ捦晤㔰晤挱㠲㈵ㄵ㘷㔷㉣㕦㜵晡昷㤶戲㔶㠹㈹㈶㠲㥡㌴㔱㙣㕡㐴㐶㑤㠴愱〷晦愵晦㠴㡦㤶㔵慣搸挳㜳晣㝦㑥戲㙡愸㄰㌱ㄳ㐱㝤愵㔹㝤敦搹㈲㌲づ〴㘹ㄹ晦㐰㘸ㅥ㈲㘱摥㈶慦㘱㤸搴㈷㐲㉤搲ㅢ㜴〴ㄸ愶挲挷扤攷㤶㝢ㄶ㌵㍦昳㈷敢〸㌰㑣捥敦㍡㡡愴㡥〰挳搴㙦摦㍡捦㉦攷㉤㔱㌵㔴㠸㤴㡥〰挳愴扥㤱㙣㤱㥥搶ㄱ㘰㤸搴㘷㐴㉤㈲ㅢ㜵〴ㄸ愶㌳捦㍢攰挰㜵㉢㌵㈲愷敡〸㌰㑣㔹㐴㑥搳ㄱ㘰㤸ㅥちㅦ㌲㙡晣搳㡢㥢㠹㥣慥㈳挰㌰愹敦㈸㕢㐴㌶㤹〸捡㌰愹㑦㡤㕡㐴㜲〰挹㕥愲っ搳挷摥攷愶扦扡慢搵挴㉡㜱慡摥〴っ㔳ㄶ㤱㌳㙣㑤昴〹㥣昸挹㜵ㅤ挷㐶慤ㅡ㉡〴〷愵㙣㈲搳㘶㕦敢㕢换ㄶ㤱ㅣ㕦ㄲ㐱ㅥ㌰㑣敡㜳愴ㄶ㤱ㅣ㝢㕡〸㌰㑣〳㜷㥦搱㜱㔹㈷慢㠹㔵㘲愶㡥〰挳㤴㐵㈴挷慣㔶つ㌰㑣㍦㍥昳攵昴搳愶㕢㌵㔴〸㡥㘷㉤〴ㄸ㈶昵㍤㘶㡢挸戳㜴〴ㄸ㈶昵挹㔲㡢挸戳㙤〸㤵㠱㤲㘷㡦㍥昷愴㡦㌴㜵㥦㘳㐳ㄸ㤰㑤㈴㠷扢ㄶつ㥥㠱㠱㠳㜶摦捤昳晣㍣㡤挸昳㙣〸㠳慤㙦㌶㕢㐴㜲㔴摢㕣㠳挷愳攴㘰ㄱ挹ㄱ㙦换〸㌰㑣ㄷ戴㠰㘰㙡挷㈳㉥㙣〱㈱搳〴慣攷㕦㕢㐵㠰昵扣挸㐴㔰㠶㐹㝤㜷搹㈲昲㘲ㄳ㐱ㄹ愶㥦晢ㅦ㝦晡㕢捦㕡㜲㔸㈵㉥㌱ㄱ㤴㘱㔲㙣㕡㐴㕥㙡㈲㈸挳㌴昹晢㑢敦慦㝤捣搲㐵㠵戸捣㐴㔰㠶㐹㝤㝥搵㤲攴攵㐰挸㌶㑣㔷㤸户挹㠶摣っ搳㤵㍡㠲㥢㘱㥡愵㈳戸ㄹ愶搹㍡㠲㥢㘱扡㑡㐷㜰㌳㑣㜳㜴〴㌷挳㜴戵㡥攰㘶㤸㌸㡣户㝡㠹㥢㘱扡㔶㐷㜰㌳㑣搷改〸㙥㠶㠹㈳㜹㌶搱愲㘱攲㈸㥦〸㉤ㅡ㈶捥〰㔸㐴扡ㄹ愶戹㈶㐲愶〹ㄷ挳挴㤹〳搶㤰㔱扡㡢㘱㥡愷㌷攱㘶㤸收敢〸㙥㠶改㘶ㅤ挱捤㌰㉤搰ㄱ摣っㄳ㈷ㅤ㉣㌶摤っ搳㐲ㅤ挱捤㌰㜱㙥挱慡挱攳㘲㤸㌸敦搰㡣攰㘲㤸ㄶ摢㄰㕣っ搳ㄲㅢ㠲㡢㘱扡捤㠶攰㘲㤸㙥㙦ㄵ〱㠶改㡥ㄶ㄰慣㘷㝥㘹ぢ〸㤶㘱㕡搶㉡〲っ搳㥤㈶㐲㡢㠶改㉥ㄳ愱㐵挳㜴户㠹搰愲㘱扡挷㐴㘸搱㌰摤㙢㈲戴㘸㤸敥〳㐲戶㘱扡摦扣㑤ㄹ㈶昵〹㔹换愶㉥搷ㄱ㘰㤸散〸㤰敦〳㍡〲っ㤳㐲戰攴换挹ㄴ慢㤷挰㌰㈹〴㑢扥㉢㜴〴ㄸ㈶㍢〲攴扢㔲㐷㠰㘱㜲㈰慣ㄲ㥣㑦戱㥡㠰㘱戲㈳㠰㐸捥戵㔸〸㌰㑣ち挱㈲㤲昳㌰ㄶ〲っ㤳㐲戰㠸攴ㅣ㡤㠵〰挳㘴㐷〰㤱㥣㙥㈱㠲㌲㑣敡扢挸㤶㈴ㅦ㌱ㄱ㤴㘱ち敤㜶捣㐷㕦扣㌸㑢〵㘵慢挴ㅡ扤〹ㄸ㈶搵㠴㐵攴愳戶㈶晡〴づ扢㌹搲㜵摤㌹戳㔵つㄵ攲㌱ㄳ㈱搳㘶㕦敢㥢捣㈶つㄵ㠲㌳㌵ㄶㄷ㌰㑣敡摢挹ㄶ㤱㥣挵戱㄰㘰㤸摥㍡敢㤴攷㑥扡㔰㈳㤲㌳㍣ㄶ〲っ㔳ㄶ㤱㥣晤戱㄰㘰㤸ㅥ慤〸昴㍤改㔹㡤挸愷㜴〴ㄸ㈶昵摤㘶㡢挸愷㜵〴ㄸ㈶昵㝤㘵㡢挸㘷㙣〸㤵㠱㠵㜷㝤晢昶㔹㘳㌵㈲㥦戵㈱っ挸㈶昲㌹ㅢ挲挰挰〶晦㤳㝢ㅤ㉡慥㙡㤶攴昳㌶㠴挱搶户㥤㉤㈲搷搹㄰㍣ㅥ㈵〷㡢挸ㄷ㕡㐵㐰㥦㝣戱〵〴㑢摤㉦戵㠰㤰㘹〲ㄱ搳换慤㈲愰㑦扥㘲㈲㈸挳愴扥捦㙣ㄱ昹慡㠹愰っ搳戱㕤敦敤摣扤摡㤲挳㉡昱㥡㠹愰っ㤳㘲搳㈲昲㜵ㄳ㐱ㄹ愶昳㕦㍣戳㕢慦㉥㤶㉥㉡挴ㅢ㈶㠲㌲㑣敡㕢搱㑡㤲㐵㙦〲㐱㕡愶㔲㥣晦敢㍦攴㔶㠹㈵㜷昹搷愶攴㕦㝣㤲㝦㜵㐹晥攵㈳昹搷㠷攴㕦〰敡戸㑢㠷晦〷㤳晤㤶昴</t>
  </si>
  <si>
    <t>㜸〱敤㝤〷㝣ㄴ㐵晢㝦㈶㤰戲㐷㠰㈰搸摢愹愸㜴〸ㅤㄴ戳ㄱ愴㈸㑤㐰慣〸㤷攴㐲〲㈹㤰扢搰㐴㥡つㄵ㝢㐷㔴㡡㈰愰〸〸愲㠲ㅡㄴ攵戵㘰敦捡慢㘰㜹慤㈸㡡㕤㤴晦昷㍢户戳㌷扢户㠱搳昷㤲㕦昸晣摦㠵㍣㍢㍢昳散捣昷㜹㘶昶㤹㘷㘶㘷攷㤲㐴㔲㔲搲ㅥㅣ㍣昳愸换挰ㄱ㐳㈷㠷挲挱㤲㌶㍤换㡡㡢㠳㜹攱愲戲搲㔰㥢㥣昲昲挰攴晥㐵愱㜰ㅤ㌰愴㡥㉣㐲㝡㈸㘵㘴愸㘸㑡㌰㝤攴㠴㘰㜹〸㑣㈹㐹㐹改改㐶㌲搳慤扦㑣㜵㘱昰㉥愳㉥〹戸㤲っ㌲ㄸ㘹㈴改㈰ㄹ〶挸戰㥥愷づ捡ㅤ㠳攲㠶㠶换捡㠳慤晣挳㈳㤹昶挸捡㙡㤳搵愶㘳㤷慣捥㙤摡戵昲昷慣㈸づ㔷㤴〷㝢㤴〶㉢挲攵㠱攲㔶晥挱ㄵ戹挵㐵㜹㘷〴㈷て㉢ㅢㅢ㉣敤ㄱ捣㙤搷㈱㌷搰戱㙢㔶挷㑥㥤ち扡㜵敢㥡攱㐳捥〳㝢㥥㍡戸㍣㔸㄰㑡㔴㥥昵㤸攷愰㥥愷戶ㄹㄸっ㈷㉡捦っ攴㠹㉣㝢㤵㤵〴㡡㑡ㄳ㤴㘹ち㤵摥愱㔷㌰慦㠸戵ㄳっ㤶ㄷ㤵㡥㙥〳搸づ㐵攳慡㑢㥢摥搰㜸㕥㈰ㄴ敥ㄹ㉣㉥ㅥㄲ㉣㘰挵㘴㤴㔰㘷挱昲㘰㘹㕥㌰搴愰攴戴㐹㜹挱㘲㉢㌹㤴㕥㌲㍣㔰㍥㌰㔰ㄲ慣换㐰挳㤲㐸扤昵换て㤶㠶㡢挲㤳敢㤷㥣ㄵちづ〹㤴㡥づ㤲㈵愵愴㑦㐵㔱㝥摤扡愲㙥摤愴㍡㈷㝡㠱㤱㜵搳愶㜷㜹㕥捦挲㐰㜹㔸㕥戱搶戲扣㜸戵ㄶ㈲㠱㍢㘰戱ㄵ昹㕤㜷戱㥡㠶ㄶ㤵㥣ㄱ㉣㉦つㄶ戳㄰㔶㕥㑢ㄷ㤳搴㐹㐴昵戶㜲㤴㌴慣ㄸ㔱捦㝡㈰㈸ち㑢㌱敡㤳㌴〰㐹㙤〸㤲㍥㜰昰昰㤱挳晡つㅥ㙥㘴㌲扥ㄱ㠸愸晢㉤㥥㉡晤㍥ㄶ㥣㍣㌲㤰㍣㌲㌷㜹㘴㕥昲挸晣攴㤱挱攴㤱〵挹㈳㐷㈷㡦㉣㑣ㅥ㔹㤴㍣㜲㑣昲挸戱攰㔱㐷㝡㕡㕡戲㜵戴㈹㕤㝤晣㡦㈹㌷昴㝥戲挳昴扣ㄳ㌳搶昷ㄵ㝣㤰攴ㄳ搵ㄸ〱愳〹㐸敡㠱㈰㔹挴搱戳戰挸㍦慥㜰搳ち晦ㄹ㐵愵㠵晥昰昶昵㤵晥㜳㌶㉤㥣散㉦㉤摣㌴摦㕦戲㘹挱㘴㝦戳昶敤㍡㜴㙡摤扥㕤愷慥捤㡤㠳㤸挱挱㈰㐲㝣〱挰〴扤㌳㜵㝥昷戱㕦昶㌹㜵昹愷㤷㤷㙣㈹〸摤㉥昸挴捡搲づ㈵昳㘱㈰愹㠷㠳㜴㘷㘹〳ぢ㌷慤㈹昱㤷㙣摦戰㌸捦ㅦ㉥摡戴扣挲摦㑣㤶㤶扦㝤挳敡搲搱㕡愱㘳ぢ户㙦㔸攱㉦愹搸扥攱㠶愲收挶ㄱ捣改㐸㄰㈱㍥戶㡡扤晡㉣晦愷慤慥戸愵搷つ攷㉤搸戹㌸搰愲㐰搰㐶挸㘲㡦㈶戳ㅦ㈴昵ㄸ㤰㌴ㄶ㝢ㅡ㜴㝤㉣愳㡦〳ㄱ㘲慢㤵挷收㠷づ㙥晦挷搶ぢ晢摣戹晡㠰㌷㠳ぢㅡ㘴ち戶㘴㤹挷昱㘴㍥〱㈴昵㐴㤰昸ㄵ搵慥ㅢㄴ搵愱㘳㜳愳ㄹ㌳㘸づ㈲挴摢㔶㘹扦扣搶晥昷㕥㌳敢攷摣㝣挴挲攵㑦㝦㝢㙢㉦㐱㕢㈶㑢㙢㐹收㔶㈰愹慤㐱㍡〱戱㕦㔵换挸㕥㘷て㠹㑦㐷㙤㤸㐹㕢㄰㈱㕥戵㑡㥣㜵敢戳㜷慦㝥㙣晥挰昵㡤㙦㙡㌹㜷㐶㡦换㌳戲㤰㝣愶搵㌸㝢㤵〷㈶攲〹㡦ㅡ㡦昶㙤摡昱摦扥慤㈶㡣㘶㐱愷㠲㉥〵㔹㔹昹㥤摡〵㍡〴㔲搸扣攳㝤㔶搹晡㌲ち捥㉥㉡捤㉦㥢㈸ㅦ摥㡣㠲摥㐵挵攱㘰戹扣㘸㔸㠰㔳挴〰挹敢晡〵愷㑤㠲攵捥㡢㍣攷㑤ち㝡〶换挳戰㜸攱挹搱㠷晦㠸㔳〳愱㘰昴戲愵㤵昷愹㘵ㄵ愵昹愱挳扤ㄳ㠷㠶〳攱攰㘱敥戴㘸㈶㌱户つ㠵㌵っ㠶㈴愴愳摣户つてㄴ㔷〴㜳㈶ㄵ㐵㤲㡦㜴㈵挳㉥㤶攵㔶㥤摡扢㍣㌸摥㑥㡤㐱㤴㠳摥㜴㠲捣㍢㐶捡㐸㔲〴ㄷ㕡㑢㔹㈸㔸㉡攱戵㉣ㄹ㕣㤴㌷㌶㔸㍥㌴挸扥㌸㤸㉦㐵㍤㤰㐹㤶㜱㙥㌹愸ㄴ㠲挲摣收ㅦ慢挷㔲搱挱搲晣㘰㍥昰㡥㠳㤶㈷てぢ攴ㄶ〷て㜲戰㐴捡㐴挲愱㡥攸摥㘵㜹ㄵ愱㥥㘵愵攱昲戲㘲㘷㑡㑥晥㠴〰㍡㠴晣〱㘵昹挱扡昲㐸㡡㔰㤱㔴愷㡥㄰㐹捤扣㉣㉢昳づ搱昶㙡㡤㠴ㄶ㝥敦捣㕡㈳㈲戳愷捤戶㜳㐶㐰㙢㘴攴㙦扥㔷㈴㝡㈳㈴㜷扢扤㜲㝢㌴㔲摥㜴㠸昳挱㙢㌳〴昵㠳㝡㈸づ昲愹㑣㙥㕡㜵㤶搱㜶戹て愴㕡慤搰昵㈲昷㕥㤴㈶戳戵摢㕥昵㌲㈷㈷㌷戶愴㍦㙤〲扡晤扥㠱搲晣攲㘰昹㕥ㅤ㐷㐱㐴㐶㝢㤲づ㈴ㅤ㐹㍡㤱㜴〶㐹㜹ㅥ㌶慥㑡㡤戲挳ㄳ㤳挴攴㤴㠹㐵昹攱挲搴挲㘰搱攸挲㌰攲攰㜰愶愷㔳摤㠳攱㘹㥥っ摦戵㄰㥣㈳㄰㑥㌶扡㈲搶攸㐶搲ㅤ挴攷㑢㑡㍤〹攷っ㌴㐳㍥愲ㄵ昰㙢㈶愷晡㡣㤳ㄱ㤷摡㠳っ㔲㝢晥㘱㤳挷〵㝤㈲㠵㕤晢摦㜷㐰攸敤ㅡ搲摦㠱㐳ㅡ㑡㈹㠱㕢ㄵ慡㔳挷㑢㈹㝤〳愱挲㌰㥦挷扤㈶㑡㔷攳ㄴ㘶㥡つ㤲㘱㠲っ散ㅢ㉣挶搳㥣㈸㕦㌶㠵づ换㍥㝤愶〳挰㜴㔰挹搰挹愵㜹㠵攵㘵愵㜰昹㝢〵挲㠱㥣㍣㌸㠶㈱ㄱ㐸㉤改㕦搶戳㈲㥣㕡搲户〸愷㡣㤲㈱挱㜱挱㐰戸㈷慣㜵戸㝥㐹㝦㌸㤵搲㥣昶换㥦㤴㔲ㄲ昱〷㝢〵㐳㜹〶ㅤ挷㝥戰㑥㤳㔲ㄱ㠲戹捤㈸愱扤〹㑥ち㌳敢戴㤲挱〱㌸㥥㘱〳㑣㉤攵㕤㤱㄰敦慣㉦攳搴摤㍥敢ち㌹㘴捡愰㤶㑢㍤ㄹㄱ挹㈹㠹つ〸ㅤ㈹晡攷扡ㄶ㜵㍦㐸㘷㠵㡢㡡㐳㙤㉣昵戶改㔵㠶㠱㐵㔰づ㝡㑣摣㤹㥡㡡㜶㤶扡搷捡㜲㍦敦昴㍣〷攵攵㐶戲〵㤴㍥攵㘵ㄵ攳攸〴㈶㉡ㅦ收㤵㘴攴㠰摣昳晤昲㤳㡥扦㙢攵ㅥ敢㍣ㅤ㑦㤲㍣っ㍡愷愹㍤挹愷ㅦ㐶㉦㕣昹㘴愲攱㑥㡣愴愵搰㠵昵戴戸㔵㜸挹㜴ㄱ㌳㑡㈰敥戰昲愰㜴晢搳攵〵ㅥ愶晡㈵㘷㤷㤵㡦捤㉤㉢ㅢ换摡㙦㈰慦㐲㠵挱㘰㤸扥㜴㍤㙢攸挰戰㄰愲㑥ㅤ㠷挳慣㌹摤昴挲㔳晢㠲搴捦㈹㉥昶慢ㅣ㐳愹晤㄰㔵〷㡦㜴敡改〸戴敢㕤㔴ㅡ㈸㙥㍤ㄴ㡥㘶愰㜵晢搶㠳ぢ㌷㉤㉣㙤ㅤ摥戴㈲慦戰戵㜴㔳㕢㑢㌷戵戵㜴㔳摢㑣㉡づ㑤ㄲて㐳㑤㜴㜹ㅢ㕦㥡昲摣攴㑤挷昵㕥摥㙣改攲㥤㕢晥㍣㐴慣戵ㄲ㘲㍣㙦㍡摣搲昹ㅦ㠰㠰㌱㤰㘴㄰挹㘰㤲㌳㐱挴㠳戸㤵戶㙣㍥㉥昸㜷〰㥡㕥㠵戴っ㐳㜱㘵っ㈳㌹ぢ〴ㄶ㐹㙡ㅦ㐶攸㙣㕣愶㥥〳搲㔰つ挴晣㤱慥搲㤷㈴攸㕥搱ㅡㄹ攷㤲㥣〷㈲攸戳昳戹㑤㌲捥〷愹戲昲㌹㈲㤰㈵戰㜰㜵ㄸㄷ㈲攴㌳昶㤲㈶㌸ㅡ㘰晤ㅢ搴户㐱つㅢ搴慥戸搳搲㐹㡣戲收㕡〹㌱〳〷㡥ㄷ愴戲㐶㌳㤳㐲㤲㈲㤲㌱㈴ㅣ敢㠸㥢㉤㘵㙤挴〵晦愲捡㉡挱㤵㔱㑡㔲〶愲㈹㙢㍣㉥㔳换㐱㍣㤴挵戱㠹㔴㔶〸〱㠳ㅤ㠴攰㐸㈳愲慣ち㠴慡㔴ㄶ〷㌴㔲㔹㌰ㄱ昶㘱㑣㐲搰㘷散㈵㑤㜰っ攳愵慣㤹㔵㈹㙢㠶㤵㄰㌳摣攱㈸㐷㉡㙢㈶〲挶㉣㤲㑢㐸㉥㈵戹っ㐴㑣戱㤴㌵〷ㄷ㜷攳慦〲㘳つ昶㜵㐹挶ㄵ㈴戳㐹慥〴搱㤴㜵㌵攳愸㉣戴㈴㍦㑥㔲㌹搷㈰㘰㕣ぢ㈲㡥〵㠹㈸攷㍡㠴慡㔴捥㌱扣㠱㤶㐲㕡㔱㥣㜹ㄸ㌷㠲昸㡣扤愴㠹攳挰攱愵㥣搱㔵㈹愷挰㑡㠸ㄹ挷㜱昸㈶㤵㜳㈷㑢㥥㐷㜲ㄷ〹搵㘰摣〳㈲㐶㔹捡㤹㡦ぢ晥㐵㕢搲〲㕣ㄹぢ㐹ㄶ㠱㘸捡㔹捣㌸㍥㜶㔰づ㠷㠶㔲㌹昷㌱㜲㈹㠸㘸〶ㄲ㔱捥㌲㠴慡㔴づ挷㤳㔲㌹愸つ晢㌰ㅥ㐰搰㘷散㈵㑤㌴〷㠷㤷㜲〶㔴愵㥣晥㔶㐲捣戰戳㈵㜲㤲捡㜹ㄸ〱㘳ㅤ挹㈳㈴㡦㤲㍣〶㈲㝡㕢捡㜹㑦㈴㈵捤挱摦㘶戴㥡敦㜱㑥㌲㌶㤰㍣㑥昲〴㠸愶㥣㑡挶㔹㉤㠷㈳㔹愹㥣愷ㄸ昹㌴㠸㘸〳ㄲ㔱捥㈶㠴慡㔴㑥㙢摥搰ㄳ㈴〵㝦敡㌰㌶㈳攴㌳昶㤲㈶摡㠲挳㑢㌹ㅤ慡㔲㑥㝢㉢挱㍤㐲㑥㘹㡦㥣摣㕤扤㥣敦戱挷づ摡愸㠴㐲愶ㄶ㥣㔵㕡ㄴづ搵㉢挸愹〸㤷昵㉥ち昷ち㠵㌳ち㐰㄰㤴户ㅣ㈶ㅤ㐵敤愶㤶〵挳㡢㠲ㄳ改㌸ㅥㅤ㥢㠴愹戰㥥ㄵ愱㜰㤹昴㘲㡥㡡㑤敦㔵㌶戰㉣摣慢㈸㌴慥㌸㌰戹愹㐷㜲㈴攵散挲㘰㈹挶㝤攵ㄸ晥敤㡢愹㙣摣戸㘰扥〷挶愱㘵ㄵ攵㜹挱㝥扤㙡挳挸㔱㔸㠶〴ㅤ㍥㥣㌱㜱㝣搵㈳㈵㑤敦ㅣ㍤㈴挳㐹㄰晦㙣攰㤱晡ち敥捦ㄸ㔶㕥戴㝤挳ㄵㄵ晥攱〳㥦戹㍥挹㜸ㄵ㔱㐹〰㠰㜶㙦扣㠶㈰㥡㝦ち㠷㈶㝢㙦㉦摡挰㤴㉥㤸慦〰㜵ㅣ㠹慢㙦捤㝣昴㉢つㄵ攵〷㝤搶搵㠰愲搲〶㔶㜰㔰㐵搸㤱ㄲ㤸搴搸㑡㠱㕢㌳愸ㄴ敤㈰㉦㔰㥥㕦ㅢ慡〸㠲攱㠸搴㡦㐸挵扦㝦愶昵㐸㌶㐹㐹㍢搵ぢ㠶㥤搳昱攴扦㡥㘸敡扡㈳捥㥥㕥愶晤㙣㈲愰㡤敢ㅢ㠲扦㍥搵㙤㐷愷昳㙡㐰㌰㔰㉡㙢㘱㘸㌸扦㔷㜰㐲〳挹ㄱ㐴㙢挷㜴㜴㜱戰戱昳㔲㡥㌶㡣㠲㥣摣㔰㔹㜱㐵㌸搸挰づ挹愷摥㈸ㄸㄲ㉣づ㜰㡥㈶挳づつ捥ぢ㘳ㄶ换捥㡦昳㉦戵愷㠶愰㤱扡㔶㉤〹㔹㑦愹㝢㘹扣㑥㈱昸㐰晤挳㕡㐵搷㔱㈰㡦㙦戳挵摣㍢㜸㉣换㑥㔲〱ㅦ㡦愴㤴㑥挸㍥晥㐹ㄸ㍥㐹㡤搵摣㘰挴摣㐹㑢㤶愱攲㌸晦㔱扦㐰ㅡ㐱㑣㜲昲㑤㐴㐳㍥㍡挵㜸㑤ㄴ㉥捡ぢㄴㄷ㑦㙥㔰搰慦㌴慦戸㈲㍦搸㍦㤰ㅢ㉣㔶〶扣慣扣愴㤶搴㤷㝣戵ㄶ愹慢扤攸挵㥡㤹敡㠷昷㙢㙡捡攷ㅦ摢扣㈴攳つ愸㌵攲搶ち攱㌳摥挲ㄵ慢㠶昳㉤晦㘸挶敢㠰攸㝣慤㝣挱〳搳ㄶㄳ㐵㥢挶㘱扦㍤㘹㈶㥦㌸㡤慤㝦㔹晦㌲㑣㘸收㙢㔱㝤㡢㈲㔱戵收戹㤲搵㤴㥡㥡晡㑦㝢㥢昹ㄳ㙦ㅦ㌲㙡挹愹ㅢㄷ捤㥥㍢戹改昷㌷㥢愷㝣㜹㘵㡢㌹㑦㝣㠷㘹㥣挸挳搱ㄵ㌵攰㥥㌰搰扣ㄲ改〸㐸㈳㐸ㅦ慢㈱㉤㔸挴㡢ㄸ㔶ㄴ㉥づ搶㉢㤰改㌲㥣捥㐷㠲摡㑣㉢ㄸ㔶㠸戱㜷慦晡〵㝤捡㡢昲㡢㡢㑡㠳昴㐸㌰挱捥㤷㙡晤㠳愳㌱ㄵ㍣戸㉣㔴挴㤷戹昵ぢ㠶㤵〷㑡㐳攳㌸挷㤲㌷昹〰挷㤵慣慣㤴㠲㔳㡢㑡昱〰㐵捡㘴戸㘱挱搰挲戲㠹㜸ㅦ㕣㔱㔲摡㈷㌰㉥㔴㉢㉡㡡づ㙣攴㠸㍣㔵挹㈲㌹㔹愴㈷愷晦搳扥㑡捥㠸搰㈱㐸愲搳㤸㑣㘲㔵ㄷ愷ㄱ昷昲捣戲愶慣挹㜸㍥戳挴攵㜸㝤敡㌹〵㘸扦㔰愷ㅤ㌶摥攱㍤敦㠲㥣摥攷慣㝥搱㔷㌸晦搵换敦ㄴ㑥㝣敥愵㍢㤰㑤挳㥥㉦㍥㄰捣つ㈲捤㠵㜱㙣㍤㠶慣㜵㕥戹㥢愰慦㐰昲戰㌵愲〷㈵㍢㠳扤㌱㠵㤷㠱㠷ㅦ收ㄷㄳㄹ戰扢つ㈲ㄷ昴敦㑡〲挵㈱㉢慤㘷㔹㐹㐹㠰捤㡢㑤㜳㈸㙣㜷㌰㕤㍡摢戰㈶㐶〱㠸㙣㠳㔶㔴㘰ㄲ愲〲㤳㘴ㄴ扡㘴扥〳㤲㘱收㔵㌶㍡㔰㕥ㄴ㉥㉣㈹捡㑢攷〵摦搳搴㡡㜶㠹㈶愴て㤴㘵攳㠴攷敡㥥㘶㡤捣っ愲扡摢㘰㌰㐱搵戱晡搱㝡㤳㘵㍦㉥晥攱〴㍢㥡慦㐱㔷搷㜸ㅦ㈴〵攳㍣捣㝡㕡て㡡收㠴㈱㐶ㅡ㈲挱昹㙦㈶ㅢㅦ㔸〱㕥搴攵㥣昳㕥㈷㍢搳挰攰敢㕦ㄶ挸敦㡤㔷㜹㘵攵㘹搶㘲㡤㜴㔴㉤捤㑡㜹㈶㈷戸㝢攲㈵ㄱ㕥㍥㑤㠰㉦㕣㥥捥㠸愱㤸㍡慥换愹昱搴㐸ㅤ搲挱㑣㑡㐹愹㤷敥㔵㔶㍦㤵㔷㔳㙢ㅥ㔰㕦㡤搲㉦㈶晦㙦捥散ち敢㑡戱㌸づ㌷戶㤲晣ㅢ㐴㌰㤶昲戸ㄸ㍥㈴挳㐷㈰㈹㌹㈰敥愷愴捡挹㘰㘶㥥㔲挲㐹敡昴ㄲ㡡〳㤷㈳ㄵ㔳搷㤸散㠶㑡㔲敢愵㥢㐸㌷戶㠱扣戴㘵㑢て㥣㤲㐴㉦㄰㔵晥㜱〸晢㝣㔴㥥戱㥤攴㘳㄰㌱〰㠴戶㐶昶搳㐹挶愷〸愲㑡攴愰攴㌳〴搱㘱㡢㠱㌸㜳㘰愲づ慤㈶攱㑥晦〷搱攴ㅡ㠴㌳㕤㙡㔶攸扥摣㌳㌱ㄸ㝣㜴搱㤲㡣捦㐹㌸㐶㐷㐳昱ㄹ㕦㈲挰捣捥挴㤹㝥㐲攴搸戹挷㍡㑦户捥搰㙡愴〱つ㐵〴㝢戳㈴㌹愷㈸换㜶㔹㑦㌱っ愹戴愰挶搷㈰攲㉣㄰ㅡ㈶愰㤴愵ㅡ㍢㄰摥㜷㐳攵ㅣ㈹摢愶昱慤ㄵ攰㠵㌸ㄷ㐴㈹ㄷ㐱㘰㤲戵晦ㅤ㠲挶㑥㄰㜱ㅥ㠸〷挳昷㘴昸㠱っ攷㠳攴昰㙡ㄷ㠸㕤㘹ㄷ攲㐲摤㤶㡥戰㔵㘹㍦㤲昱㈷㄰㌱ㅡ㐴慢戴㕦㜰〹㜸戲搲㝥㐵㤰ㅡ㉣挴戹敡㑡晢捤攲㉡挲㌹敥㑡ㅢ〳收㐸愵晤㡥㔰戴搲㜶㕢㤹㡤挵㌹㕡㘹戸㤰〷挶㕣㤱㜳㌶昱ㄱ㕡〹慥㈳㤵㜶戸㑣㠱㉥摤㤵㔶㡡〴㔹㘹㝦㈱㈰捡㐰ㅣ㤵挶扡搸㜷愵㡤攷扤昸㌳㘸㠲ㄸ㤰㝦㈱〴㤴㜲ㄱ㔴㤵㤶㡣㐴愳づㄹ挳摥っ㜴愰㡤ㄴ㌲㔴㠰㈱〷㝦㐶㉡慥散㑡㥢愴摤挶㑥搵慡戴㌴摥㤶捥摢㘶㈲㤲㜲愶ㅡ戸㜲捤〵昸㄰〵㜸戲〶敢㈱㑣㌵捤㐲㔴搵㌵㤸㘱㜱㕤〲慥戸㙢昰㔲㌰㐷㙡戰㍥㙥㡦搶㘰㐳㉢戳换㤰敥㔵㠳㠳㑦扥㘰昸扢㕦㝣㘷搷攰ㄵ攰㡢搴攰㌱〸ㄱ㜹㑣つ捥㐶戴慣挱㐶㐸ㄴ㔷攲㑡搵㈰挵㌷ㅡ㠳散扢〶慦㡥攴㡤㐵㐶捣挴扡㄰搷㈰攰㔱㠳〷㌲摦㠳挸㜸慤㌷挳挱㘴㌸㠴っ搷㠱㈱〷㝦挶愱戸戲㙢昰㐶敤戶愶〸㕢㌵㜸ㄸ㙦㍢㥣户摤㠹㐸敤戱㍢ㄲ㜱慡搲㡥㐲㤸㤵㌶て㔱㔵㔷摡搱ㄶㄷ㘷㡦攳慥戴扢挱ㅣ愹㌴㍦㙥㡦㔶摡戱㔶㘶昷㈰摤慢搲㄰㡤㘳愷㕤㘹ぢ㜰ㄵ愹戴ㄳ㘵ち㙥㜷㍦㜶ぢ㤱㈰㉢慤㈹ㄲ挵㈲㕣愹㑡愳㠵㌶㑥㐰散扥㉢㡤ㄳ摢㘰㑣㌲㑥㘴㈶搶㠵戸て〱㡦㑡㙢〶〶愳㌹ㄹ㤷㝡㌳戴㈰㐳㑢㌲㉣〳㐳づ晥㡣㔶戸戲㉢㡤㔳摤㉡㕦敤戱㙢捤摢摡昰戶㠷挱愰㔵㕡㍢挴愹㑡换㐲㤸㤵戶づ㔱㔵㔷㕡㝢㡢㡢戳摡㜱㔷摡愳㘰㡥㔴㕡〷摣ㅥ慤戴㑥㔶㘶㡦㈱㍤㥥㑡摢〰扥㐸愵戵㐶㠸挸㘳㉡敤㜱㐴换㑡敢㠲㐴挱㠹㜴㐷愵㜵㐳散扥㉢慤㌲㤲㌷㤶㉢㌰ㄳ敢㐲㍣㠵㠰㔲㉥㠲㔰㤶散攰㑥〲㠳挱昵づ攲㘹㙦㠶ㅥ㘴㌸㠵っ㥢挰㤰㠳㍦〳捤㌰㕡㘹㥣㠲㔷昹㌶㐰搸㝡搲㑣摥㤶〳㤲挲戹搱昸㈶㘶搳挰㤹愹捤㤶㜳攴㄰㙡㔴㜰㘶㐵愰ㄸ慢㐱〷㘱㤶㈶捣愸摡攰㥡搷㡤捣㤵戹㤷戶㌹ㄷ㠹㘲捥㔹㡡㜰晥〸㑥㑡戹㜵攰攴戵㘴ぢ㤱昳㥦捤愵昹㔲㥥晣㙢捦㥥昸㑡㐱扤㈴愵㑤攰㜲㠹㤱㈳㤳搲㔹㈶ㅢ㠳捦攸㠹〴㍥㐵㥣挳㈶㡦搱ぢ㌴ㄹ㠱扡㡣㜸㕤挵㥥挶㌴敢㐸㜹〳㠱扤っ㘹㕤搳㔰扣戳㜱搴〱攷㔰慢㘵㌱ㄷ㠳㝢㜹敥捥㤱㙤㙦摣㉢摥挲晤捣挳搰㌱〸づ㝡㘵㙣㕦昲攰㠲攲愴扣て戲捦戱ㄲ㈵挳〴㍢㐶㑤㐳挳㤳㡢㌱㔲㘵㤰㉢っ㈲㈱扡收㤱㘴㠰㉥㉢㠷攷㔰搷扤戶挸扥㌷ぢ㔹搵㙢攲㕡换㈵㙦㘳捡扢昸㑢㜹〴㔵㔴攵晤〴ㅥ慤ㄵ摥挳㈳昵㜴挴㌷ㄹ㔰㤴㔷㕥ㄶ㉡㉢〸晢㠷㘲挶挵捦搵㝤〵㤸㝢换㐹㜹ㄸ㌹㝡㤶㐹挱敡㤶㜲攱戴慣㘸摦搸搲戲㠹愵ㄲ㑤㑡㠸㡢ㅣ㔹㥡㤱㤶挶㘲㘸㙣攵㜱ㅣ㤴㤷昹〱㠲扣搹攸て㤶晡㜵㌲㌹〲攲㤱挹㔱㄰㡦捣て㈳攷愴捣㡦慣㐰挳㙤〸㌰㤷㔴㉢㈲㘱愷捣敤挸㡡㘸㔲〷〰㑤㠳㥥愷㡥搴收㐸㔲〷㈲慥挹挸㘱㘵攵愵㠱晣戲㤱㐳㠲㈱慣敡て㡤ㅣㅡっ愷づ㐲㑡〶戸攵昸㜰〸㤶つ愶づ㐶㑣㈳挴㌸搷㤸㘷㝥㙣攵ㅦ㔹㠹㍤〴㑣㜲㌹戶㌱っ㈱昱㈹ㄲ㘹扦㝣攲㝥愸㤹捦㔷攴㌹ㄹ㡥㐴㍥㈷ㅣ㔶㈱㤸㘴㥣㑤㙡ㅤ㠲挳愸搸搸捦ㄱ换㘷挵㌸〷㘹㠲愳愳㔸㥥慦㔵散㜹攴挱〵㡢ㄳㅣ搷戰㉤㡢挵〰挰ㄶ㠴㜰㔲敡〵㐸慦戲㔹㠸㐵㘰㘳搳㜰㔶㉤㠷㍣戲㙡㉦挴捤愸㕡づ㙦㜸㘴㜲㠸挳㈳昳晢挸㌹㈹昳〷㉢搰㜰ㄷ〲搵㔳戵㍦㈲㘷㔹戵㈳㠱挶㕤戵愳㈸㥥㘷搵〶㤰攲慣摡㕣挴㜸㔴敤㑦㔶晥㐶㘳〴㡣㝣㌰挹ㄵ敥㐶〱㐲㠲〳慤㐸搵摥〱㌵㐵慢戶㄰㠹慣摡㕦㤱㡥㘰㤲㔱㐴㙥〴㘴㔵晣愶㘲挷㌰捡㍡挴敦〸挸慡ㅤ㑢㕥㡥愱㤸㙡㌸㜸晥㔲戱㈵攴挱㠵捣㡦㈱㔹戵㌷〲㠴㕤戵㘵㠸慤扡㙡慦昷慣㕡づ㡣㘴搵㡥㐷〰㔵㥢㡣ㄳ㡦㑣づ㠴㘴〰戶㉢ㄲ㐸戱〲つ㌹攸愹㥥慡攵㔰㐹㔶㙤㌹〲慥慡㌵㐶㈱㉥㤵㤳㥢捥㕡慣㐰㡣㐷㉤㜲挰㈵〵㍢ㄴ攸㡤㠹戸㤲㕦づㄸ㤳ㄱㄲ㍥㤰㐸㉤㕥敥愸挵㡢㄰捦㕡攴〰っ晦㤳㡣愹㔶㐰㙡㥤〳㉥ㄹ敢攸㐴㌸㡥㤲戵㌸㡤挹ㅣ㐷挵昲挸ㄱ㄰昳㥢㘱㈵换晣㌸〲㤲戵㌸㕤慢㐵㠳㜶㥢㈶㕡㕣散㔹㘱ㅣ〷㐹戹㉥㐵〰ㄵ挶㌱て㡦㑣㡥㝢㘴攰㘰ㄵ攰㐰㠷㐷㐳㡥㜱慡愷挲㌸㌲㤲㘸㘸㘶㔳㉦〷昱㝣昸っ摡㔵㠳愶㌴㤳挳㈸㜹挷搱㐰㘶㕣挵㜸㍦㐳㜳㄰ㄲㅣ㑦㐵敡㈵攴愸㤷㙢ㄱ捦㝡攱ㄸぢ晦㤳㡣敢㐰改㘰戰攳㄰ㅣ㔳挹㔸挷㤳攳㐷㤴慣㤷ㅢ㤸㝣慣㈷㑦㔳ㄵ㝢㤳ㄵ㤰昵㜲〲㉥㘴扤ㄴ敢昵挲愷㑢搶换ㄸ捦㝡攱㔰㐷捡㜵ㅢ〲愸ㄷづ㙢㜸㘴㜲㘸㈳〳㉤㔴㠰㘳ㄹㅥつ㌹㡣愹㥥㝡㘹㡤㥣㈵ㅡ㍥㐸昲挹㌱昸攴ㄸ㝣㔸㌲㌹㈸㤲㠹挷〳㠴㜱ㄷ攳㑦㘰攸ㅥ㠴〴㐷㐷㤱㉡ㄸ攵愸㠲〵㠸㘷ㄵ㜰挴㠴晦㔸搱㘴〵愴捡㌸㐲㤲戱㡢㐸慤㐳㜰攰㈳慢攰㕥㈶㜳攰挳㔴挳挱搳㐵挵㉥戱〲㌲㍦づ㔹㘴ㄵ㥣慢㔵㐱敡㔲挴㔶㙤攰捥昶慣ㄷ㡥㘶愴戰换ㄱ㐰扤㜰攴挲㈳㤳愳ㄷㄹ攰㔰㐵〶㌸㕣攱搱㤰㈳㤵敡愹ㄷㄳ㌹ㄳ㑤敡晤〸㜸ㅡ戸ㄵ㐸㜰ㅡ戸〷ㄱ攳㘱攰㌸㑡㤲㠲戵㐴㝥挶㉡㕣挹㉦㝥㡣㠷㄰ㄲ昴挸昱㍦挹㔸〳㑡㡤昲㉦戳ㄷ㉥攴㉤㙢ㄱ㌰ㅥ〶愹㥦㥣愹㡣㤹攸㡤㙢晣㡦晡挸昲㥥扥㠸㤲昷㍣㐲昶㍡㈹昴敥㑥慡㝡挱㡣收㘶戵㠴て敦昸〰攴㌴㝣搰㌱㤹㑦㙤ㅤ捣挱愷㐸ㄷ慢㙥㜲昷㝦㤶ㄷ㐷㐸慣㈲晥愵昴㐵捤晦ㄷ昹㔰攸愸〳捤ㅣ愵㙤㝡っ昱㈹㐳㐰㕡戹㈰㕡㉢慢〷〴㑡〳愳㠳攵㙤㉣㍦搲㜲㈳㜹扢ㄸ㉤㠲愲㐰ㄴ㡡㈲㌱㐶㡣ㄵ挵愲挴戱扣ㅣ㥦㈲攲扤〳搷㑤戴㡤㉦㘷㝥㕣㈳㠷㠴ㅣ㜲戹ㄷ慣戸搰昴〹㐶摥㕦搹晣㕥㈳愴昸㤶晦愷愷户㠸ぢㅦ㤶戸㤷挸ㄱ攸慤挹ㅥ慦㑡〰〸愳㡥扣㌶扤㡡攴㤷扣㠱昲挹愳摡㥦㝦扥挵㌸㌴捣㡦㐲㕢昹㑢㐲㜹㘵攵挵㐵戹搱㌷㡦昱㝦㍣搶愵㑢愰㔳㕥愷捥㔹摤㍡㜴っ戶敢摡㙤㐴慢昳攳㐲㙤搵㔷换㝥愵攳㉡昰㡤㐰㜹攴ㅡ㠳㠰㔶㝥慡㌴㜱摦搶㡥ㄸ戱搷㉡㘰㥤捡搹愱㤴搳搰㡣晦㙥㡢㜰戶㕤收挵㤸㤴㕥挸敡敦㌴ㄴ敦㙣㡣㈷㄰㙦㍣〹㠲搵㡤昲㌰㉡ㄹ戳ㄱ挴㈷㠶㠱㌶㈲昸扥㈴晤㐸㑥〷ㄱ㈷愳㙣捦㐵敤㈷㔹〹㌱㡢摡㌹㉥挲晦㈴㘳㌳愸㙤慤捥㘶ㄴづ㈱㐷㍥〸搸挳㈵㈶㘴㜲慣㈳つ搳㜳〸搴慦㈳㉥挴㠹挶㐹㜴㐱㌱戴〸昲㈱㝥㠱㌱昹㈰㝣㤰㈳㤳㜰ㅤ㤱㐶㔵㈳㈲㐹㜴㐰㠰捡攲㠵昱㌲㜹㕥〱戱挵㝤㤵㌱慦㠱昸昰㍣㝢㡢摢ㄲ㜷㝢㡡摢挲㑡㠸㔹㤶㕥㠸㥣昰ㅦ㉦摤㐱㙤㜱㌹㘰㤰昲扣㡢〰㍡㉡攵捣挰㠰㔸散㜶っ挵㉦㔱散敦㑢㜶㌱ㅥ㈷㈹晥昱㈸搶ㄶ㝦㉢敦㥤〸ㄲㄵ晦㔸愴摢攲ㅦ㠳ぢ㕢晣㙤攰㌳戶㠳搸攲㝦捣㤸㑦㐰㝣㠲㝥戳㔷㙤ㅦ㙡㐹ㄹ戳㉡晦㄰㉢㈱㘶愱㌹㥤㙣晣㑦㌲扥〴戵挵愷愷㉤挵晦ち〱㔴攷㌴㥣昰㍦摡ㅢ愵㔰敡ㄹ㡡敢㥢〸搷愵㌸㐹愹ㅢ愳㌴㕢敡㙦ㄱ㉢慥〲㠹㑡㥤㠹㜴㕢敡㠶戸戰愵晥〱㝣挶㉥㄰㕢敡ㅦㄹ昳ㄳ㠸㑦捣〱昵㤲㍡捤ㄲ㉥㐶敡㔴㉢㈱㘶〵昹戵挸〹晦㤳㡣㍦㐰㙤愹改挷㑡愹㜷㈳㘰晣〹㔲㍦㔹㐸㠷㤵慣慡挲搹㘷㘶搲㐵㤵慣㙣慢㔰搰㙤㌸㐹搱㤳㔰愴㉤扡〰慦愰㑢ㄷㄵ晤捦㍦㌵搱㜷攳挲ㄶ㥤㤳挲㐶㉡㠸㉤㝡ㅡ㘳搲㐱㝣攲ㅥ㘴攲㈵晡㡦挸挱戳扤敦戲ㄲ㘲搶㠷搳㜵挴㝦捣㤰㈰㘳㕢㜴晡㡦㔲㥥㠶㠸㐵㝢㔷㕥愱㤰捥㈲搹㔵っ㙦挹愴㝢㈸搹ㅢ㐹㜶戱ㅣ搷㔲晣㙦㔱慣㉤㝥㘳㈴ち晡㐲㔱昱扦㐶扡㕤昳㕦攱挲ㄶ晦㘰㌰ㅢ㠷㠰搸攲ㅦ捡㤸挳㐰㝣攲㈱㘴攲㈵晥挷㤶㤴㌱㌵扦摤㑡㜰慦〰捦愴ぢ㈶㤱晢㤹晢㌱㈴挷捡㈲攸㠵㐹ㄱ晥㡤㕢㈹〲换㑢㑦慥㈳攸㤹挹㠴慤㔶㐲㌳㈶〸捣〳㈲挱摤㈷扢㤷㙤㘹㕦ㄶ㌷挴㙤㈹〵㥣㤵慣㔷㄰㠹㤶㙥㤳㕣户㈸愷昴㌲戰戶愵ㅣ摦昶昶挷㜲㉤慣㘸挱㐶〵搶㌴ㄷ㤶㜱㜱㡤㠱㕡㍤㘱挸㉢摥㥣㕡㌰愸ㅣ换㈹搲ち晡㠵戰㈸㉣㍦ㅤ㕦捡㠵昱慤㜵㘹㙤㤸㕤挷㈴㙢㕤㈸ㄶ㐷㘴挹㡢攷晣㘶ㄶ㤲摤慢㉤㌴ㄵ㐶昵愱㔶㍦㈶㜳㐹捣㍦㥢㕢㑦㍤ㅥ㜰愲㥦〹挹〹搵㔰戲㜸ㅦ戵㉡㈷搹扥㙥㝦愸㥣㤴攳㔸搶㌸ㄱ扣愹捤㐰昸㍤ㄹㅦ㘳㍥㌴㍥愳㌹㐲戲摦㤲㈴㈹㠵㕥愹㕢㌰捥㌶昷收ㅤ慥捦㔳敢搵愳戴换戲扦㌴愷㤹㔷攵〸昶收敡㥤ぢ戳户摥攵戴㘴〹慤㐰〴㝢㝡て㠶搶㘴㘸〳㤲㔲改搱晥㕣晥愷攵つ摢㍥愱〸㐸㍦㌸㕦㝡挴愳攱て攷㠹㕣愷㌷㕣愷づ㥦づ扡挳㕥㝥㤲㍤㤹扦搷挴扦攳敢搰㐹㑡挷摡捡扦敢㙡昱扥㤵㘲㉦ㅥ㉥㕢捣愸慣昳攳㜳㍦愵㠲㕡㕡摡㔲㍥攸晦㠱敢㤹摡ㄶㄵ㥢㍦㜵㐸㔹㔹㜸慡晡晡㉦㌴昵敦㝥挹㌸㔵㝥散攸㤷ㅦ㍢㘲昷㡦捤慢㌶㉦挰敥ㅢ㥢ㄶ㤴晡摢㑦攵㝥ㄹ㜲㜳㤲㜶㙣㐷㔹㈰攲㘵㍣〱捡っ戳㕦㡦㉣摤㝥扥搲㍡㘷㈳㑡ㅥ攲㈵㌰㉡攳㙤㜴挴慤扥扡ㅢ搱〶晦㌷搰昰摡㙣㘸挴〸㍥㐸㌱㙢攱散愵㙦昵㌱散㤶愳敥挱㠱愲昲㄰㝡攲㍡改㌷敥慤㍤㕢㈳户搳挶㐷摥愴慡昵㜰㙣攲搵㌸㝣ㅢ㤱㍥㜷㙦挳㐸㕤㠶晦敦〶㤲攷㡦㌰㔰挳㐶㈷㍣〸搲㌷改㡣㐰㈶〷㑤搲扦攸㠲㉢愳㉢㐹㌷㄰㥦攰挰㠸ㅥ㠳挱㙥㈸㔹㍣敢搹敤㥣㑣㝥㜶㍢搱㉥攷ㄴ㐶昵㘴㐱㈴㐹攲〵攴挱㙥挷敥㐸㌸㑥昲攸㈷㑣摥㤷挳慣㌸㠶昲㘰㌸㔵㘶㑣〶㡥慢搸㤹愴昶挲搵㌵愲扡捤㡦摡晣㈶扥㍤㠹愲㜶敡戱㜸敤搴愳扡㥤敡〷㤹㝣㠲愳㐶摡㉡㘷㡤㥤㠱戴捣㜷㄰㉤㙢慣㍦慥㡣〱㈴〳攵㍤ㅣ晡㐹挷㙦㌵昲愳㐷㘸㌹㝥㠲㠳㍣慤㉡㔷㝡㔶攵㄰㘶攴慣捡㘱㡣搲慡㤲攳㐱㐷㔵㙥㐳㠴㐷㑤つ攷㝤㘷㠳〸㡥〷㍤ㄸ捥㈱挳戹㘴攰ㄸ㔱㔶攵㜹戸扡戵摡慢昲ㅦ㙥昸ㄴ慤搳㐵昱搶改㐲扤㑥㐷㐲㌸㥦攰㔰㌸戶㑥〳㐸换攴㘰㔶搶㘹㉥慥㡣㍣㤲㝣㜹捦㔷㐸㤰㜵㝡愷慢㑥扦㐱㠲㔶愷㜷㜸搶㘹㈱㌳㜲搶改ㄸ㐶㘹㜵捡搱慥愳㑥㌹愲昵愸戲㘲摥㔷〲㈲㌸摡昵㘰㈸㈵㐳ㄹㄹ㌸〲㤶㜵㍡づ㔷㜹搵晤㜴㜲㌳慤㘸晤㕣ㄳ㙦晤捣搱敢㠷㍢ㅣ昸〴〷敤戱昵㌳ㄱ㘹㤹ㅣ㜶换晡㤹㠴㉢㠳搳搰挶ㄴ㜹て㐷摥戲㝥㉥戳敡㐷㡤挲㌸ㅡ㤷〹㤷㕡〹敡㘱摣㠳〴慤攲㘶㈱㌹搶㥤㥦捥ㄲ㥣ㄵ㌷㤳㔱㕡挵搱攲㍡㉡㡥攳㜱㡦㝡戹㠴昷㕤ち㈲㌸㔶昷㘰戸㡣っ㤷㤳㠱攳㜷㔹㜱㔷㈰㔰㑢散慡扤㠵㔹戴㡥㈷㐰㘵㜱昹㝦ㄵ㘰戴晤扦㌹㤰挹㠷て㙣扣敡昸㕡挴㘶㌶〰㤱㜵㝣ㅤ〲挶昵㈴㌷㠰昸〴愷ㄸ㘴㔵㤶扡慡㤲㤳〹㕡㔵ㄶ㝢㔶攵㉤捣挸㔹㤵户㌱㑡慢㑡捥㍢㌸慡昲㘰㐴㜸搴搴ㅤ扣㙦㉥㠸攰扣㠳〷挳㥤㘴㤸㐷㠶㐳㐱㘴㔵摥㠵挰つ搵㙤㔷晦挱晥㜰搱敡ㅣㄵ㙦㜵㡥搴慢㜳㈱攴昲〹捥戶挴㍥戲昷㈲㔶㜰扥㐴搶摡昹㔶慤㥤っ㙦㈴㍤㌹㔵ㅣ愳ㄲ捥戳ㄲ昸愵㐳㍡㍥㜱攱扣㡡扣攳㕣㉢㠱㈳〹㘳㈹㘲㔳㌸扣㡥㝢摣㡦〷晣㥦㉥㌷㕢㠶㜲〴〷敤捣挳㔸㡥〰晥换扦㑣づ戴㜹㘴㜲戰㉤〳ㅣ㔹换㐰ㅢ㉢㈰愸㔴㜹攷晤㔶っ㤳㠵ㅣ㌴㈱㘰攸戱㜵㌹ㅥ摡敦〶愴㜵㈰㠶昷昶慤㜸㜲㑦㡥敢捤㡤攷搰㌹戲㕡ㄲ晢扦㍥〰慤㐸㥦ぢ〵搵愵愷㕣ㅢ挷㌸挰㤶㤴㐶敦㍤㔲搹㌸搷戹晤㝦愳ㅥ捦㉤㜴㌱慡ㅤ㡡愷昹㝦敡昱摥㘱㜸㠴摣㠱愷捥㔸扣㔱㤷昳㡢愲敥㈹㜱㍤㐴㔵扥晥攴㌴㔷敡㠳㘸㥡〵㔳ㅤ㝢㕤㑤捤〹㠵㉡㑡挶挹摤㤸晦挹晣㤰㘳㑥愸晦昶昵ぢ㑡戸㑤散㠲戰戱ㄲ㘵㠹挱愸㘲㔶㜳敡㙡㕣㡤慢挶㤲㠷㔶㙣㕦扦㌸散捦㉢㉣挲捥戴㘱㍦戶㠵㕤扦戸挲㜸㠸ㄸ〶㈸っ㙢㜱㔵㔶㡤ㄸ晡㙦㕡㔴攴て㐵㠰㌴ぢ㘳㘳摡搵㜹捤㡤㠷〹攱㜴〵攱ㄱ㕣ㄵ㔷㈳㠴㔳㌹㌷㔷扡㜹搵昶つ㜷收昹㥦㝥挴㥦㘵㍣捡昲晢愸昲搷攳㙡慥愸㐶〰捦㕣捦挲敦挲㉣㈱㙡攰扥ㄲ晦㠴㑤昳晤㜹㥢ㄷ昸㐳摢㌷摣挳愸〵摣㍡昸㍥㈴攷㘲挷㤴㑢㑡㠹搱㡦戱㥦戵㠵㜰㤶戱㠱㜰㝢㈹戸㑦攰㙡㔹㜵挲敤㠹㝤㠳晤捦摣戰㝤挳搵搸搴戸㔹㔳㝦〹戶㝥挰愷散㙤挷〵㥡ㄳ㕡㥦愲㑤〰㕣㡥㘴捣㠱捥㉦㐲昳摡戴㠲㡣愱〰昶㝡挹ㄹ搶㌶っ㈱㘶㤶晡㡢㈳て㐱㜳攳㐹愲捦㔱攸㌷攲㙡㘱㜵愲㍦㤵㡤扤㔴攲扦愵〸昰摢づ攸晦㡦㘰㍦㐵搸愷㈸搸㥢㜰昵㐰㜵挲㑥慣搲扢户敦㙥㍣㐳〱㑥㔲〲㙣挶搵攲敡ㄴ㈰㐱㝡㈷昲㝦ㄱ㜹ㄷ㄰改摦㜶㠵〸㥣ㅦ㔲ㅥ㜱㔷㤵搰挵㑡㔰ㅥ㜱㌷㤵搰搹㑡㤰ㅥ昱㡢捣㡣㌳㝦昴㡡㡤㉤扣攲愴㥦㜴㍣㕦㐲〰晦㈳㉥慢挹㄰㡥捣ㅣㄵ攰ㅣ㥥㡣改㘹〵〴愷扢攸㡡ㅡ㉦㤳㈰㡤㝦㘹㘷㌰㔹㘶㠸昳晦㥣㥢㉡㝥ㅦ㘰挴〸㤱愵㕡攳慢搰㔸㑤昵戹慦愱㉣搱㐶㤵晣〶慥㙡扥捦㝤㤳ㄸ㕡㉡っ㙦攳慡挶晢摣㜷〸愱㤹㠲昰ㅥ慥㙡戶捦㝤㥦攵ㅦ慦捡摦㡡慢㕡摤攷晥㥢㜰㡦㔵㜰㍦挲搵晥搴攷㙥㈳晡愳ㄵ晡㡦㜱戵㕦昴戹㥦㄰昶ㄱち昶㘷戸摡捦晡摣晦㔰㠰㐳㤵〰㕦攰㙡㝦改㜳扦㈴昲晥㈰戲捦㍤〸㈲攸㝤㉥摦摢挸㠴〳慤〴搵攷づ㔴〹㑤慣〴搹攷敥㘰㘶㝣㐵㈳晢摣㙦㜹㌵㡣㠴ㅤ收㜷〸攰㝦愴捦攵扢ㄷㅥ㤹㘷慢挰㌹㉡㜰慥ㄵ㄰㝣ㅤ㈱晢摣㥤〸搸㝤㙥㠰挹晦敢㜳昷昱㥢㍣攸㜳ㅢ㕡慤搱㘰㥦㙢散〲ㄱㄹ㉡㡡㥤愱昱㌳愳っㄵ挵扥挹昸㡤㔱愹㉡㡡㝤㠵戱㥢㔱㜵㔴ㄴ捤户戱㠷㔱㐹㉡㡡㈶搲㐸挶㤴㤷昸㜳㜷㘴㝣㙢搰敥ㄸ晣㘵ㅣ昱扢㡡攲㌳㙤愴㌳敡ㄷㄵ挵愷挴愸挷愸㕣㠴㘴㉢晢ㄱ㘹㝡昳换㔳〹扢慣〴搵晣昸摡㐹摥昱㠳㤵㈰㥢㕦㐳㘶㔶㠸㈴搹晣㌲㜹挵ㄷ㐹戲戵㌴挲ㄵ挲㤱收㔷捣㄰㡥捣ㄲㄵ㈸㔵㠱㌲㉢㈰昸戶㐵㌶扦〳㜰愷摤晣㈶㌲昹㝦捤㙦摦捤㙦㠷㔵捤愹㑤愰扥㥡㜲昹づ㘴㤵㝦愵㑡㍥ㄸ㔷㌵敦昲ㅤ㐲っ㥦㉢っ㠷攱慡挶㕤扥挳〹攱㔳〵攱㐸㕣搵慣换㜷ㄴ换摦慥捡昷攳慡㔶扢㝣挷㄰敥㠷ち敥㜱戸摡㥦㕣扥愶㐴晦㠱㐲㝦〲慥昶ぢ㤷敦㐴挲㝥㔷挱㙥㡥慢晤捣攵㙢㐱〱摥㔲〲戴挲搵晥攲昲戵㈶昲㐹攸挸㘴て晡㍡㐴搰晢摣挹㉡攱㌵㉢㐱昵戹㔳㔴挲慢㔶㠲散㜳戳㤸搹㜴㈴挹㍥户㍤慦㘶攲㑡㜶㤱ㅤ㜰㠵㜰愴捦扤㠴㈱ㅣ㤹㝣换㉦〳㝣愵㉦〳㝣慤捦㐳捣㐱㐰昶戹ㅤ㜱愷摤攷㕥换攴晦昵戹晢敥㜳㕦㔴慤戱㌳搴㔷㔳㝤㙥ㄷ㔶昹㜳慡攴㙥戸慡昹㍥户㍢㌱㍣慢㌰㥣㡣慢ㅡ敦㜳㝢㄰挲搳ち㐲㌶慥㙡戶捦㌵㔹㝥愵㉡晦㔴㕣搵敡㍥户㈷攱㍥慥攰㥥㠶慢晤愹捦敤㑤昴㡦㈹昴㝤㜱戵㕦昴戹晤〸㝢㥤㠲㝤〶慥昶戳㍥户㍦〵㔸愳〴ㄸ㠸慢晤愵捦ㅤ㐴攴搷愱㈳㤳㝤敥㉡㠸愰昷戹搷慢㠴㤵㔶㠲敡㜳㙦㔰〹て㕡〹戲捦ㅤ捡捣戸㘲㑢昶戹挳㜸㜵ㅢ慥㘴ㄷ㜹ㄶ慥㄰㡥昴戹㜷㌰㠴㈳㜳慥ち㜰敤㤵㡣㤹㘷〵挴㐲〴㘴㥦㍢ㅣ㜷摡㝤㉥ㄷ㈷晤慦捦摤搷㑦ㅦ㘳㥡㘵㤹㙡㡤攷㐰㝤㌵搵攷㥥换㉡㕦愲㑡㍥ㅦ㔷㌵摦攷㕥㐰っ㡢ㄴ㠶ぢ㜱㔵攳㝤敥㐸㐲㤸慦㈰〴㜰㔵戳㝤㙥㉥换扦㑢㤵㥦㡦慢㕡摤攷〶〹㜷慥㠲㍢ㅡ㔷晢㔳㥦㕢㐸昴户㈹昴㘳㜰戵㕦昴戹㘳〹晢㘶〵扢〴㔷晢㔹㥦㕢㑡〱㙥㔰〲㡣挳搵晥搲攷㡥〷搶㠶㕣ㄸ㝢㌶晡戲攴㐹㈲㙦㔴晥愸㔱扦㌶慣敢㍦慣敥㌹㘶挶ㅤ摢㕥昸昸挶㌷㉦攸昱昹敥㜹昳摥晣昴挶㉤扢ㅦ捦敤昱慦㠵ぢ㥦㌹晤㥥㉤ㅦㅦ㔰㌰㍦㜹摤慦晤攷㑦捤ㅡ㍢㜵㝣挱㔹㉤晡㑣㍤㜷捣㤹㔹㠳ㅢ戵慣㔳㈷㉤敤挴挶捦ㅤ搲㉣㜳挶昸㐷挵㔳敦ㅤ㕣㉡攴㘲㔸ㄴ㘰㤴愳㌸ㅥ㑤昱㤷挹㐵戱㜲㤹㜶〸戱㐶ㄸ〴摢搰愸㤵慤㘹て愸摥㌵ㄳ扣㜵摤摢扡散攵㙢㔳昷挷㤴㕣挸㘶昰㌷敡㡣〹㈴ㄳ㐹㈶㤱㑣㈶㤹㐲㜲ㄱ挹㔴㤲㡢㐱敡愷愵㜰㉤摡㝦戹㝥敥〰ㄴ㡢㡦㕥昳昰挱㙢扥摣〴㘶戴挰〶㌰愲㔴㤴㠹㕣㙢㐳㤸㜱昵㑡㑥㉢挶㑦㤴ㄴ攵㘱㠳㔲挷挷戰昸㤹㝡摣捥㐳㝥ㄴ㡢㑦昴晥搶收㌳ㄴ㌹扥捦㕡攵ㄷ愷昶ㅥ㌱〲㥦挳攲搸敢㈷戶㕤攳㕡㔶攸㔸㥢㥢ㄳ攲捦慣捡〵㠵愹愹慢昶昶愹攱摦晡㜴㔶㉤㕤ㅣㄶっ㠵〷㤷攱挷扢攵㐷㡤㠹晦㜶搶㔳ㅦ昶搶㌹戲㜹搹摢っ愴捣㠰ㄵ昸扢慡愷㔳ㅡ摤㜸㠸ㄹ㌲㐶㝣㌵晥㠷㑦晥摡㌱搵㔴㘷挴敤昵㌰㘶戲〵捦〲愹敡㌰㉥戱ㄳ㝦摤㠳扤つ搰捡搹搲つㅢ扥㤸〲昸ㄴ㘱慦〰㝥㥦㌶收昱昰㑤㑢戳搵㔹ㄵ㘷㕣㐱〰戳㐱㔴捡㐹ㅦつ扡收戶搲㠷戲㝦㤵㜷摣㥥㙤㕣㘹〳攰愲㝦慥㜵㜴〱〸敢〰㥥晢昰慥㌹つ戶ㄷ㥢㙢㡦扢扢挹搵挷捦㌶㤳ㅦ㤸㌰扥捦㡥ㄹ㘶㈴晢㐷戳㜷㉦晢晥昵〱戹慢攸昰换挳戸㠶〰慥〵㔱㈹㑥捥昹搹挶㜵㐸散㝣收㡢㜷㥥㕤㤰扥搱㈷戸搸搱〵愰㔴〷㌰攳昷㐵㕦捥㑥㍦挸晣戹昹搱慦敦㜸㙡㡥㈹㍥㍥㘳攳搶㕢收㤸戲戴挲㔵㤱昳扣㐷㈳㘷㐴ㅡ㌷ㄱ挰捤㈰昲㜰㜳ㄴ捥㌷㡤㕢㤰昸摡〹㥢㝦㐸搹㜶愴改ㄳ㕣扥攸〲㔰愸〳搸㈹㕥昸㘹㜴㜸㡡搹昳改㠳㝡㥣㌵㝤扡搹㕦㜴㌸昲攱㤶挳㑣㉢㝦敢㍣捡㍡愳散㍢〸㘰慥〲㤰愴㔲ち㉤㡥挱愶㜱㈷ㄲ晢捦晤昹㥥㤵㝢㍥愸昴〹慥㐰㜴〱挸搵〱昸〷㑦ㄸ㤰㝢攳ㄴ昳昱㥢㑡愷摣搹㙦扡㌹慥挱昶㌵㥦㙥ㅤ㘲㐶㝥搸愱扢ㄹ昹㔴㍢㉢ち攰ㅥ〲㤸て愲㔲ㄴ攷敤昲〷扡㡥㌱㡤〵㐸昴捤晣晡㍦捦昴㝡ㅦ〰戸㤶搰〵攰〲ㅤ挰㕦㍤摥ㅡ㝦晡捤ㄷ㤹㕢ㄷ㌷ㅣ扥愶捦㌴㜳攷㈹㙦ㅣ搳攷捥搳㈲〵㥡㔳㈲攷ㄹ攳愳〰ㄶㄳ挰ㄲ㄰㜹愸ㄴ㥢㌳㘰ㅡ昷㈱昱㈱晦愴ぢ捡晦㜸〹〰戸ㄶ搰〵㘰戸づ㘰攱攳㍦ㅤ㤲㌹㘲慡搹昹挴敦ㅥ摣㌱敤㘲搳㕣㜶敢挸昷㡥㙣㙦ㄵ搸捣㍡晢慤㌳捡扥㥦〰ㅥ㔰〰㤲㔴㡡攲捣㌴㡤ㄵ㐸㥣㝤晢昲㐹敤て㝣っ〰晥ㄵぢ㘰戰づ㘰㜸㔶收挸㐰㤷愹收慣㠷摥㉣㥣㜷敦挵收挶〳晡捥㕢昵㐶攷㐸㠱戶㕣㥡〶㔶ㄳ挰㐳ち㠰㤷〶搶㈰㜱挸戶㜷㥡扦㜷㔷㘵愵慦㈱㤷〱㔶㙢晦扦〵〵挸㤱昷㕡ぢ㔴㐶ㄲ晡晦㤷㄰㉢晢晦㠷㠹㜷ㅤ㐸晤攴戴㤷ㄱ㈹㜹ㄳ搲敤㍦挲㥣ㅦ㈵㜹㡣㘴㍤挹〶㤲挷㐹㥥㈰㜹㤲愴ㄲ愴㝥㥡攰㜲㌸搹ㄴ戸㔳㤴搱㤳㐸㑥搱㙢愲㔵捥㕢搷ㅡ扤ㄶ㤹敡っ㠶扤ㅥ挶㈶㘶晥っ㐸㔵㠷昱慣㥤㐸㡢晣㘶㉣㠰慥㍡㠰摥㍦㕤戹昲捣改ぢ捣昷㕢㘴㥦㜷挰昹㡢捤昹て㉣㍢㉢攵挳㘹愶戲戳捡敥慡攲㡣攷〹攰〵㄰㤵愲㌸㙤㡢晣㈲ㄲ捦㍢㜲㔱晢㘶㑦㝥㠴戶挸㤵㜰㉥つ戴搷〱㈸挹搵㔹ㄵ愴散慤㍡慢㜸攳ㄵ〲㜸ㄵ㐴愵挴㔸攴搷㤰愸づ㥦攰㔲㌸ㄷ㠰㔶昱〰㤰㌹㈸㝢慢捥㠸㌴摥㈲㠰户㔵ㄹ㉡㐵搹㙣㕡攴㜷㔴㈲搸㝤㠲㡢摢㕣〰㑥㠸ㅢ㠰㙤㙦㐷㤹ㄲ㄰〱㝣㐰〰㕢敤㌲㔴㡡㘶㤱晦㙤㈷ㄲ挰戶㔸〰㝥ㅤ挰攵ㄳ㥥㍥晤晥㠲㠵收换昵扥㜸㝤昴㌱昷㥡㌳㠶㥤㍢敢戹晢挷摡㤶㔸搹㕢ㅢ挰㜶〲昸ㄸ愴㑡㡢晣〹ㄲ㑦扥扢捦捥つ换戶㘴攳敢收㔸〰㠷改〰昲㐷㕣戴换㝣㜶愱昹㙤搳戶㉤㕥㝦㝡㤱㘹㝥㍦改敤ㄳㅥㅡ㘹捡〲摤搶〶㤱挶攷〴昰〵㠸㈷挷っ㔸攴㉦㤱㌸昵戹扥攷扥㔸戲ㄱ〰戸㔲捣㔵〵㑤㜴〰摢㕡摣㝤捥㤸㡦ㄶ㥡ㄵ㘷㘷㍣扢㜴改㈲㜳晥㡤捦㕥昳搲㠹攷㥡㤱晣晤搶㔹搹㕢㤴扤㠳〰扥㔵〰扣㉣昲㜷㐸㙣摡摦摦晣挶〳搷〳〰ㄷ㝣戹〰㌴搰〱晣㙤つ散㈲㠰ㅦㄵ〰户㡥愸㠱㥦㤰㘸㙢愰攱づ〰愸㔶㡢㉣搷㥤㐱㕦挶捦ㄶ㈸㘹㤱扦㐳戱搲㈲晦㐲扣扦㠲挰㈲㜳㘹㔹攲㉣昲㙦捣昹㜷㤲㍦㐸㜶㤳晣㐹昲ㄷ挹ㅥㄲ㐲㌰㌸〰㠲㐵收㥡㉣㔹ㄳㄳ㙤㡢扣晢て捤㐵晤㙢昵攴㈱つ㙥㔹㘲慡㜳愴〹㔴㑤㡤ㄴ㘶㥥㑡㈱慢㌸㡣㌴㍢㤱ㄶ㤹㉢挰㕣〰㝥搶〱扣㤴搶昴㥣ㅥ戳敦㌵㤷㉦㝢攷挳愷敡㉤㌳挳㔷扣㝣搸〱つ㘶㔵㙤㤱敢ㄱ㐰〶㐸㤵ㄶ戹㍥ㄲ挷戴㙦昶挶㌷㜷搳㈲㜳扤㤹ぢ挰㑥ㅤ㠰㤲㕣㥤㤵㔸捡摥慡戳㡡㌷ㅡㄱ〰㝦㤶㕣愵挴㔸攴挶㐸㔴㠷㑦㜰㜵㥢ぢ挰㔷昱〰㤰㌹㈸㝢慢捥㠸㌴づ㈶㠰㐳㔴ㄹ㉡㐵户挸㠷慡㐴戰晢〴搷搲戹〰㝣慡〳挸摥戵晥愶㐱挳㤷㤸㑦㡣敢摡攸愵㌷㤶㤸㌳㐶昲ㄸ㘴㑡〰戶㐵㔶昶ㄶ㘵ㅦ㐹〰㐷搹㘵㡣戲㌸ㄵ〷㝣攴愳㤱昸收㥣㠳搷㤴㍥㜳㍦捣㐱㌲㕡愵ぢ挰㠷㍡㠰㙢㙦㘹晡晣摣㡣㈵收㤸㤷㕦晥㘰收㤱昷㤹ㅢ慦㔹搴㘲㝣㠳㐰搵ㄶ昹㌸〲㘸ち㔲愵㐵㍥ㅥ㠹㙢挷ㅥ㌰戳㕢慢㈷〱㈰㈵ㄶ挰扢㍡㠰㐱ㅢ㡥㘸昲㐵敦㈵收晤㑢摦扥扥攳㈷搰挰晤㍤㙥扢敥捡愱ㄱ戹摣搶〶㙡㌱㥡ㄳ㐰ぢ㄰㜹戸㌹㘸㡦㕡㈲㜱摡戳㤷㜵㍡攱昴搵〰㤰ㅥぢ攰㜵ㅤ挰ㄳ愱挱㌳㝦ㅥ扦挴散扥㜳攱㜱㈷㍣扡挴㌴㡦扥攷收㉦慥捥㌱㈳昹晢慤戳㘶㤱摢ㄲ㐰㍢〵挰换㈲㘷㈱戱愴摥晡㥣戹㡤敥〱㠰㝡戱〰戶攸〰づ㝡㈵戴敥敤挲㈵收愷㌷㑦晦昶戴愷愰㠱搰昷挹㉦ㅦ摥㍢㔲戰㕢㍥愰㌲㍡ㄱ㐰㘷〵挰捤㐱つ㜴㐱攲愵摤戲㡥ㅣ㜴攳愲㙣㕦挳㠶〰㔰慤ㄶ㔹㉥挵㈴戲慥ㄶ愸㈳㜰㤱搹〸挵昲摡攸〶㙡㜴〷㠱㐵收㙡换挴㔹攴㤳㤸昳挹㈴㍤㐸㑥㈱挹㈶㌱㐹㜲㐸㑥㈵改〹〲㡢㝣愰慡㠹慢㙣㡢扣㕥慦㠹て㌶搴㙦㌲㜹㜵搸㔴㘷㐰摤敢㘱昴㘱收㝤㐱慡㍡㡣㝥㜶㈲㉤昲㈱戱〰搶挶〳㐰搹㕢㜵㔶挵ㄹ〳〸㘰㈰㠸㑡㠹昱㤱〷搹〰㘸㡦づ㡦〵昰愰づ㘰㐵晢搹㈳㥡捣㉤㌷㥢㝤㜶㤲㌸㘴昵〴昳㥢攷㕦扥戶挱〵㠳慢㥥戵ㄸ㑡〰挳㐰慡戴挸㘷㈱昱攵㔷㡦㕡㜹戰㙦㕢愵㑦㜰敤愰戴㐷搱㉡㔸慡〳搸ㄱ㝥㌵攷慦㡦㠶㙣㉣㝦愱捦搶㐹昵慦㌰㌳摦㥢㜹敦愴愲㉢㑤㈹戱摢摥㈲搲㌸㤷〰捥〳昱攴愰㡦㝣㍥ㄲ㉦捦昸昲晡㐱㜵㡥㌱㝤攲㤸㔸〰ぢ㜵〰摦慤ㅢ㌵晡挳昷捡捤攷㌷慥摦搸昸捡〹收慢〳㕦㝤㘱昹攴〱愶㤵扦㜵㔶㜶ㄷ㘵㡦㈴㠰㔱ち㐰㡣捤㠶㐵づ㈰昱敥挷摥つ㍥昵挸㔶㘸㠰ぢ晡㕣ㅡ㤸愷〳戸㈷戵挵㠵〷摣㔴㙥㌶ㄹ晦晤昳ㅦ扤㌲挱㝣㜳搹㤱㉢㍢敤ㅡ㕣昵慣㐵㤰〰ち㐰慡戴挸愳㤱昸㜶㘰晢〷ぢ慦㘲ㄵ㥣ㄸぢ攰㔶ㅤ挰愱㥢户戶㝦㘳㑡挸扣㜳昵㈹㍦ㅤ昵㐵㠵㤹㜹㐱挳挶ㄷ㡥改ㄹ㤱摣㙢捣㍥㤶〰㡡㐱攴攱㘵㡦㑡㤰昸敥摡㡦㑢㤶扤晦㍡〰㜰㘹㥤㑢〳搷敢〰㕡㥣搸攸捦つㅤ挲收㥣挱扥㤶㥤摢㔶㤸㘶慢攳㉢㑦㉢㙢ㅢ〱㤰愴㉣戱戲捣㈸㝢㍣〱㤴㉢〰㕥ㄶ㌹㠴挴ㄶ㙤愷摣㝥㙢改㤳〰搰㍡ㄶ挰㔵㍡㠰敥㐷㥢㙦昸ㅡ㠷捤㡢捥昹㘰搸攷㠳愰㠱㥢搷ㅣ晡摣㑢ㅤ㈲〰扣㌴㌰㤱〰㈶㈹〰㕥ㅡ㤸㡣挴㜶捦㝣㜲挶愴㌶㥢㌰㙢㤱〵〰搵㙡㤱攵㐲㍤㔴㠷㌱挵〲㈵㝤攴づ㈸㤶搷挶㐵愰挶㔴㄰㔸攴㡥㠸㑣㥣㐵扥㤸㌹㑦㈳㤹㑥㌲㠳㘴㈶挹㉣㤲㑢㐸㉥㈵戹っ〴ㄶ戹㡢慡〹敥昷ㅢ㤹戵㤸愴搷㠴昲っ搵ㄹ㔰昷㝡ㄸ㔷㌲昳慢㐰慡㍡㡣慢敤㐴㕡攴敥戱〰捡㜵〰㝦摢㐷扥㡥〰慥〷愹搲㈲摦㠰挴愸㡦摣㈳ㄶ㐰戱づ㐰㐹慥捥㑡㉥㘵㙦搵㔹挵ㅢ户㄰挰慤㈰㉡㈵〲㐴捤㌸㘳ㅥ昹㌶㈴慡挳㈷戸戲㑣㍥㡤搱㉡㈸㠸〷㠰捣㐱㔹㘴㜵㐶愴㜱㈷〱捣㔳㘵愸ㄴ摤㐷扥㑢㈵㠲摤㈷㝡挶〲ㄸ愵〳昸摢㍥昲〲〲㔸㘸㤷愱㙣戵收㈳㉦㐲㘲搴㐷收㜲㉦㤷〶捥搳〱晣㙤ㅦ昹㍥〲㔸ち㔲愵㐵㕥㠶挴愸㡦摣㉦ㄶ挰㌰ㅤ挰摦昶㤱㔷㄰挰㠳㈰昲昰戲㐷㉢㤱ㄸ昵㤱戹昰捡愵㠱㠱㍡㠰扦敤㈳慦㈱㠰戵ち㠰㤷㐵㝥ㄸ㠹㔱ㅦ㜹㔰㉣㠰扥㍡㠰扦敤㈳㍦㐶〰敢ㄵ〰㉦つ㙣㐰㘲搴㐷ㅥち〰搵㙡㤱㠷愱〰搸㌸㑣摦㕡愰晣戸挸㍣ぢ戱扣㌶㥥〰㌵㥥〴㠱㐵ㅥ㡥挸挴㔹攴㑡收扣㤱攴㈹㤲愷㐹㌶㤱㍣㐳昲㉣挹㘶㤲㝦㠱挰㈲㥦㡢挲㘵㔳㤰㍦挷搲㤳㐸㍡敢㌵昱㐳挶戴扥㔳敦㔸㘵慡㌳ㄸ昶㝡ㄸ㉦㌲昳㉤㈰㔵ㅤ挶㑢㜶㈲㉤昲〵戱〰摡改〰敡搴㥦㝦摥摤〵て㤸㈳㙦晡昳晢㉤㜳搶㤸ㄳ㍡慣㍢攰㤷攰㉤㔵捦㕡扣㐶〰慦㠳㔴㘹㤱摦㐰攲昵〵㉢㠲摢愶㝥〹敦㠰换㡥㕣ㅡ㘸愱〳㔰㤲慢戳㤲㑢搹㕢㜵㔶昱挶㍢〴昰㉥㠸㑡㠹戱挸敦㈱㔱ㅤ㍥㤱ㅢぢ愰愹づ㈰扦昲㤱㘶搳㙦㕦㙥戶敦㍥㝦昷愳晦㔹㘳㈶㡤㘹戴攰戳愲戹愶捣挱㙤㙦ㄱ㘹晣㥢〰㍥㔴㘵戸㌹攸㈳㝦㠴挴㥦㌷昶敦㜱改敢摦㘵晢〴㔷ㄲ戹㌴㜰㤴づ㐰㐹慥捥ち㝡攴慣散慤㍡愳散㑦〸攰㔳〵挰换㐷晥捣㑥㘴㤷挰挵㐰㉥〰㠷挴〳㐰搹㕢㜵㔶挰㡣㉦〹攰㉢㄰㤵愲㘶㥡敤㌷㝢㕦㍢〰㡣㡤〵㜰㐰㍣〰㘴㠱捡摡愸㌳㈲㡤敦〸㘰愷㉡㐳愵搸扥㈴挶散摦慢㐴戰晢〴㤷攵戸㌴㤰ㄱ㌷〰摢摥㙡㍥昲㑦〴昰戳㕤㠶㑡㔱摥㌴摥散晤㘲㈷ㄲ挰昸㔸〰愹㜱〳㔰昲愹㌳㌵昰〷〱散㔶㘵愸ㄴ㕤〳㝦慡㐴㙡㈰㤳敢㙤ㄸ㔱扦慥〸㈱㈸ㄷ搶㈶〳〱ㄷ搶㥥㡡㜸晣㤸㠰〸慢〴㘱㈵昰捤㥢㤱㠴晤戸㔳㉡㤰昴㡦搷㝢搰㕢㜶㉣㙡㘹攴摡攵扣㘵㈰㈶㈶㍦㈶㈶ㄸㄳ㤳ㄷㄳ㔳ㄸㄳ㔳ㄴㄳ㌳㈶㈶㘶㙣㑣㑣㐱㑣捣攸㈳摣㤸㑢㝡攲〷㕥㠳㤳挲晣㔹㠴㍡㙡㤹づ㝥挸挹㙢捤㡣扤㐶挴晤㕢つ㝢㔹扤挴搵ㅦ㝦㜷晤〸敦㤱ぢ㜷攲扢㜱㠸攳㜷愴晥换㘵㑥㉣㝢慦戲㤳挱㘷〸㌴愷搴㘴㤰ㄱ㤱㕤㘴慢㘹ㄳ㌱昱攷敦搱㤷〳㈸㔸ㅥㄱ㜳攵摥㔵晥搷㍤㤱搴㕦昷㠸摤戸㐹敤㉥敡昳㠹〹㘸昵㙣昹ㄶ敡㔴愰ㅥ㥤㜸搴㥥ㅢ㤰㠹摦㌴晣㡦ㅥ㜵搹搷㘷㍥晡㘰昶㍥昱晦敡挴㍦搱㠹摦〷晣〵㠹挷敦戵㜹㤹昸㐹㠳㝦㔱㤳〷晢㙣㥦戲㜶摦昰㝦㜴挲攷摡㍣㑤晤つ〰摦摡㝡㌸㤱㡤㈶㘶攳㌳昱扤㠶㕤㌶㡤㔹㙢捤㝤慡㝥愷ㄳ晢㘴㈷昶〳㠰㕤㙤搹㥡㐸昰晦攵愶㘹㘲㠷㕢搴愴晣㝤㡢晡㡤㔳搴㈹㑥㔱て㠲愸昳慤摤㘹ㄳ㈹㙡㘲昷晥ㄲ㕦挶㐸摥㜹摦㤲㝦攱㤴晣㈲愷攴㠷㐱昲㍢慡㐱昲〴㙤ㅡ㈶㍥㜳㡢扣慤㘲摦㈲㝦敡ㄴ㜹慡㔳攴愳㈰昲愲㙡㄰㌹戱㤵㡤敤搲挴㜶户昰㐹㑤昷㉤晣㌶愷昰ㄷ㍢㠵㍦ㄶ挲捦慢〶攱ㄳ㔴摦㤴晡摦㙥愹攳愹昲慤㑥愹戹㤸㔴㡥戵搵㡡㙣摡㐴㌱换愹㡢ㄳ愱㡢㙡敥搱摦㜵换〲ㄸ晢㌴换敦㘸戲挸㡤㐵㝤㜵㉦〱昲晤㙦敤㌱㐰㔷扤㑤㜲㡦戸㤶㘲㝢㉦㤳戶昷㐹㙥㠹㉡挴㝦昹㈷戸㠰㌷戶搲戹愲㔷敢㤱摢㠰扤挶ㅣ愲搷戴敡㡦摢㈱㝡㔵慦㝥慥㜲昶㠹㉢㈱〳㥢㠰搱㕥㤷昷ㅡ㑦㜹戹㠰㔸㤳户ㄳ敥愸㈹〷敡〵㑤摣戸ㅤ愸攷㜵㜱戹愶摡㈷慥㔳攲㜶搳挵扤挹㔳摣㥢㥤攲㥥㡣㍢㙡挴攱摡愴挹㡡〶㤸㤴ㄴ㡦挳昵戴㉥㉢㤷㙦晢挴㉤㑡㔶㔳㤷昵づ㑦㔹攷㍡㘵敤㠹㍢㙡愳㠳昶戸㕢㌵昱㌸㘸ㅢ㜴搵㜰㘱戹㑦摣愹㔴搳㐷㔷つ㤷㘸挷㍥攵㕣戳慤戵晡搳㜱挷㝥攰搰㍤ㅣ愳愹㌸ㅣ扡戵扡愶戸〲摥㈷戸㈸㕤摡㠷㠱扡愶戸㤶㍣㔶㔳㕣㕣慥㘹敡㑣摣㔱㥢ㅤ挰〷摤㉡㡡挷ㅢ㔸愱慢攸㈹愹㈲㉥㥢㤷㉡㍡㑢㔷搱晤㥥㉡攲昲㜷㑤㐵攷攰㡥晤挳㘱扣捦慤慣㜸ㅣ挶㈵扡戲昸㍤㠱㑦慣㔰捡扡㐰㔷搶㙡㑦㘵㜱愹扥愶慣㤱戸愳㤶㍢㤸昳摤㕡㡡愷㐹摤愳㙢㠹ㅦ㍤昸挴ㅡ愵愵㍣㑤㑢㤹㙢ㄱ㙢捤㕡㍥㡣愰㥣戵㥣㠷㥢昵㔹换㜵㉡攱㑥㉢㐱捥㕡ㄶ㈰ㅢ昱〸㤲㌴㜵ㄶ㈲慥㥡㝤搴摢摣敡㐰㘷戶㑦ㅦ昵㔶㑤ㅤ㤸㜵攲㔷ちㅡ敡㘲愰慥㌱㈷敢㈶つ㝦摣㑥搶㡤㑥晣㡦㌹昱㡦〳晥㥡㜲㥡慥搳攰挷敤㌴㕤敢㠴扦摥〹㍦っ昸㌵攲〴㕤慤㘱㡦摢〹扡捡㠹㝤㠳ㄳ晢㈴㘰慦㡤㑥捤ㄵ㙥㔱攳㜱㙡㉥㜷㡡晡戸㔳搴愹㄰㜵㍦㜰㔲㉥㠹㤱㍣づ㈷㘵㤶㔳昲㈷㥣㤲捦㠰攴戵搹改㤸敥ㄶ㌹㥥ㅥ㘲㥡㔳㘴㝥㥡愵㤹挴㑢㈱昲晥攱㐴㕣攴ㄶ㍥ㅥ㈷㘲㡡㔳㜸㝥㤲愶〹㍦ㅢ挲搷㜲愷㘰愲㕢敡㜸慡㝣㠲㔳敡㑤㤰㍡搶攱收ㄷ㜴㥡㉥慥㠱㉥慡戹㐷㉦㜷换ㄲ㑦㡦㍥㕥㤳挵攰户㠴㍥挱捦晢愴捦㝣〳㌰攳扦晣ㄳ捦㝢㑡挹捦昴㌴㈹㙦〶㝢㡤㜹〰㘳㌵㜹攳昶〰挶攸昲昲搳㐵㥦㜸㔱挹㝢扢㉥敦㉢㥥昲昲慢㐰㑤摥㍢㜱㐷㑤㜹っ昹㥡戸㜱㝢っ㜹扡戸晣㔰ㄲ㍦敥慡挴扤㐷ㄷ昷㉤㑦㜱摦㜶㡡扢㄰㜷搴㠸㠷㌱㐲㤳㌵㙥て攳〲㕤㔶㝥㤳㠹㑦㐳㤵慣㑢㜴㔹㍦昰㤴㜵慢㔳搶㘵戸愳㌶㝡㈴挳摤慡㠹挷㈳㌹㑢㔷つ扦ㄶ挵㌷愳㑡㌵㉢㜴搵昰扢换㔸㕢昶戱㔳㌵慢㜰挷㝥攰挱っ㡡搱㔴ㅣㅥ捣㐰㕤㔳晣慣ㄵ摦㤶㉡㑤慤搵㌵挵て㐴㘳㌵挵㉦㐶㌵晢昰〸敥愸捤ㅥ㑦㕦户㡡攲改晥晡攸㉡攲㠷户昸昸㔴愹㘸㠳慥愲ㅤ㥥㉡攲㌷慤㥡㡡㥥挴ㅤ晢㠷㠷㤴攳㔶㔶㍣ㅥ㤲愹㉢㡢ㅦ〹晢挴㜷㑡㔹㑦敢捡摡攵愹慣ㅦ㥤捡㝡ㄶ㜷搴㜲㡦慡扢㕢㑢昱㌴愹㙥扡㤶昸㈵㌳㝥て㔹㘹改㜹㑤㑢㤹㍦㈳搶㥡㘶昹〵㐱㌹捤搲ㄹ㌷敢搳㉣晣〶㔸㈶㜴戲ㄲ攴㌴换ㄶ㘴㈳㝥㐳㤲搶昶㕥㐶㕣㌵㍢㘵㔹㙥㜵挴攳㤴戵搳搴㠱㘹㤶摦㥤愸㕦〷敡ㅡ㜳戲㕡㙢昸攳㜶戲㕡㌹昱晦攱挴晦㌶昰搷㤴搳搴㕣㠳ㅦ户搳搴捣〹㝦户ㄳ晥晢㠰㕦㈳㑥搰昱ㅡ昶戸㥤愰愶㑥散㝦㍡戱㝦〸散戵搱愹㌹挶㉤㙡㍣㑥㡤摦㈹㉡㍦挶搷㥥敤㡦㈱敡㝥攰愴ㅣㄹ㈳㜹ㅣ㑥捡ㄱ㑥挹戹〳㠱㈶昹㝦㈰㜹㙤㜶㍡づ㜵㡢ㅣ㑦て㜱㠸㔳㘴㜶〲㥡挸㕦㐱攴晤挳㠹㌸搰㉤㝣㍣㑥㐴ㄳ愷昰挲㈹晣户㄰扥㤶㍢〵㡤摣㔲挷㔳攵㤹㑥愹㔳㈰㜵慣挳捤㙤㌱戴㠶戰ぢ扡愸收ㅥ㍤挳㉤㑢㍣㍤㝡㍤㑤ㄶ昹愳㑤㍥㤱〶攴㜲㥡攵ㄷ㘰挶晦挸㌴㑢㍤㑦㈹戹昷㠶㈶攵敦㘰慦㌱て㈰㐵㤳㌷㙥て愰慥㉥㉦昷㈳昱㠹晡㑡摥扦㜴㜹ㅢ㜹捡换慤㍥㌴㜹㐵㙡捤㜹っ㝦晤ㄶ㕤㡤ㅤ户挷昰㈷㙥㔲慢戱攵慦㙤昹㐴㘳㈵㙥ち挰摢搵㝢戰愷戸摣㔸㐴ㄳ㌷ㅤ㜷搴㠸㠷昱㡢㈶㙢摣ㅥ挶捦扡慣摣㘸挵㈷づ㔵戲㘶攸戲ㅥ改㈹敢㔱㑥㔹ㅢ攲㡥摡攸㤱散㜴慢㈶ㅥ㡦攴㍢㕤㌵摣〲挶㈷㡥㔶慡㘹慣慢收㌸㑦搵㌴㜵慡收㈰摣戱ㅦ㜸㌰㕦挶㘸㉡づて收ぢ㕤㔳挹昰㕦㝣攲㜸愵愹挳㜴㑤㌵昷搴ㄴ户㠱搱ㅥ㤸㈳㜱㐷㙤昶㜸㍥㜶慢㈸㥥敥㙦扢慥㈲敥愶攳ㄳ㉤㤵㡡㡥搱㔵搴搶㔳㐵摣愸㐶㔳㔱㔳摣戱㝦㜸㐸ㅦ戸㤵ㄵ㡦㠷昴扥慥㉣敥晣攳ㄳ㔹㑡㔹捤㜴㘵㜵昲㔴ㄶ㌷搵搱㤴搵ㄲ㜷搴㜲㡦敡㑤户㤶攲㘹㔲㙦攸㕡慡㈷戵搴㐵㘹愹慤愶愵㑣敥攷㠳晦晣〶慦ㅢ捥㜲㌶攵㔵摣慣㑦戳㜰㘳ㅦ㤹昰㡡㤵㈰愷㔹摡㈳ㅢ㜱ㄲ㤲㌴㜵㜶㐴㕣㌵㍢㘵㉦扡搵ㄱ㡦㔳昶㠲愶づ㑣戳㥣散㐴摤ㄵ愸㙢捣挹晡㤷㠶㍦㙥㈷㙢戳ㄳ㝦て㈷晥㤳㠱扦愶愶㔹㌶㘹昰攳㜶㥡㥥㜶挲㍦挵〹摦〴晣ㅡ㜱㠲㉡㌵散㜱㍢㐱㑦㍡戱㘷㍢戱昷〲昶摡攸搴㙣㜰㡢ㅡ㡦㔳戳摥㈹慡改ㄴ戵㉦㐴摤て㥣㤴㐷㘲㈴㡦挳㐹㔹攷㤴㍣挷㈹㜹㝦㐸㕥㥢㥤㡥㌵㙥㤱攳改㈱ㅥ㜲㡡捣㑤搴㌴㐳㍥ㄸ㈲敦ㅦ㑥挴㑡户昰昱㌸ㄱて㍡㠵敦改ㄴ㝥ㄸ㠴慦攵㑥挱晤㙥愹攳愹昲攵㑥愹晢㐰敡搸㘹ㄶ敥㜵愷㌵㠴㜳愱㡢㙡敥搱㤷戸㘵㠹愷㐷㕦慣挹㘲ㅣ㈸ㅤ㥣㝥㐰㉥愷㔹㐶〰戳㍤づㅦ攰㈹㈵㌷搴搳愴ㅣ㠵㍢㙡捣〳戸㐷㤳㌷㙥て攰㙥㕤㕥㙥㌲攸ㄳ㠳㤴扣昹扡扣㐳㍤攵攵晥㝤㥡扣愳㜱㐷㑤㜹っ户㙢攲挶敤㌱摣愶㡢㝢戸ㄴ昷㉣㈵敥㔸㕤摣㜳㍤挵攵㙥㠱㥡戸愵戸愳㐶㍣㡣ㅢ㌴㔹攳昶㌰慥搷㘵攵敥㠹㍥㜱扥㤲戵㕣㤷㜵愴愷慣愳㥣戲㔶攰㡥摡攸㤱㕣攵㔶㑤㍣ㅥ挹㤵扡㙡戸慦愳㑦〴㤴㙡㈶敢慡〹㝡慡㠶㕢㈶㙡捤㘰㉡敥搸て㍣㤸㑢㘲㌴ㄵ㠷〷㌳㑢搷ㄴ㌷愰昴㠹搱㑡㔳㌳㜴㑤㡤昵搴ㄴ昷㜶搴㌴㜵〹敥愸捤ㅥ捦㔴户㡡攲改晥㉥搲㔵挴㉤㌲㝤愲㐴愹攸ち㕤㐵攳㍤㔵挴摤㈷㌵ㄵ㕤㠵㍢昶てて愹挲慤慣㜸㍣愴戰慥㉣㙥攷改ㄳ㈱愵慣㙢㜵㘵㑤昴㔴ㄶ㜷捡搴㤴㜵〳敥愸攵ㅥ㔵愹㕢㑢昱㌴愹ㄲ㕤㑢摣㜳搴㈷㈶㉢㉤摤愲㘹㈹㤳㥢㜴攲㍦愷㔹㉥挲㔹捥愶㡣挱捤晡㌴换㔴㤵㔰㘴㈵挸㘹㤶摢㤱㡤戸ㄸ㐹㥡㍡攷㈲慥㥡㥤戲愰㕢ㅤ昱㌸㘵昹㥡㍡㌰捤㌲捤㠹晡㙥愰慥㌱㈷㉢愰攱㡦摢挹ㅡ攵挴㍦摤㠹㝦㈱昰搷㤴搳㌴㐲㠳ㅦ户搳㜴㠱ㄳ晥っ㈷晣㈵㠰㕦㈳㑥搰戹ㅡ昶戸㥤愰㜳㥣搸㘷㍡戱㉦〷昶摡攸搴㥣攵ㄶ㌵ㅥ愷㘶㤸㔳㔴㙥㥢慢㍤摢て㐲搴晤挰㐹㌹㌳㐶昲㌸㥣㤴挱㑥挹㉦㜱㑡晥㄰㈴慦捤㑥挷〰户挸昱昴㄰晤㥤㈲㜳㘷㘴慤戲搷㐱攴晤挳㠹攸攷ㄶ㍥ㅥ㈷愲慦㔳昸换㥣挲慦㠷昰戵摣㈹㌸捤㉤㜵㍣㔵摥换㈹昵㤵㤰㍡㜶㥡㠵ㅢ㔸㙢つ愱ㄲ扡愸收ㅥ摤㜴换ㄲ㑦㡦㥥慤挹㘲㜴㤱づ捥搵㐰㉥愷㔹㌶〱戳㍤捤㜲㥤愷㤴摣㈵㕢㤳㜲㌳敥愸㌱て愰㥢㈶㙦摣ㅥ㐰㔷㕤摥敥㔲摥ㅢ㤴扣㉦攸昲摥攲㈹㉦㌷攵搶攴㝤〹㜷搴㤴挷搰㕥ㄳ㌷㙥㡦㈱㑢ㄷ户㠷ㄴ昷㌶㈵敥㙢扡戸㜷㝡㡡㍢捦㈹敥㥢戸愳㐶㍣㡣㤶㥡慣㜱㝢ㄸ㉤㜴㔹戹㈵扡㑦摣愵㘴㝤㔷㤷㜵㠱愷慣摣㙤㕣慢摡て㜰㐷㙤昴㐸㥡扡㔵ㄳ㡦㐷㜲㥣慥㥡㥥㔲㌵㡢㤴㙡㍥搲㔵㜳㥦愷㙡戸て扡愶㥡㡦㜱挷㝥攰挱ㅣㄹ愳愹㌸㍣㤸㈳㜴㑤㜱㔷㜹㥦㔸愶㌴昵ㅦ㕤㔳㉢㍣㌵挵つ摢㌵㑤㝤㠹㍢㙡戳挷㜳㤰㕢㐵昱㜴㝦〷敡㉡攲扥昷㍥戱㔲愹㘸㠷慥愲㌵㥥㉡攲㤶昲㥡㡡㜶攲㡥晤挳㐳㙡攸㔶㔶㍣ㅥ㔲〳㕤㔹摣愳ㅦ㍦㍢慣㤴昵愳慥慣挷㍣㤵挵敤敦㌵㘵晤㠲㍢㙡戹㐷㤵敥搶㔲㍣㑤㉡㑤搷ㄲ㝦㐸〰㍦㑤慣戴昴㠷愶愵捣挷ㄱ㡢晦㥣㘶㜹〲㘷㌹捤㔲ㄷ㌷敢搳㉣㑦慡㠴㍡㔶㠲㥣㘶昹ぢ搹㠸㑡㈴㘹敡㑣㑡慢㜶愷㙣捦慦搱㌵愸戲㈷㡢挷㈹晢ぢ㌷愹㌵愸㤸㘶搹攸㐴㕤ㄷ愸㙢捣挹晡㐳挳ㅦ户㤳昵扢ㄳ晦㔳㑥晣改挰㕦㔳㑥搳㉦ㅡ晣戸㥤愶㥦㥤昰昹㜳ぢ㕡愳挹〰晣ㅡ㜱㠲㜶㘹搸攳㜶㠲㝥㜰㘲摦攴挴㥥〹散戵搱愹昹捥㉤㙡㍣㑥捤户㑥㔱昹㕢ㄸ㕡㌵㌵㠱愸晢㠱㤳昲㜵㡣攴㜱㌸㈹㕦㌹㈵㝦搶㈹昹㈱㤰扣㌶㍢ㅤ㥦扢㐵㡥愷㠷昸㡦㔳㘴晥摣㠹㔶搹㐷㐰攴晤挳㠹昸挴㉤㝣㍣㑥挴挷㑥攱晦攵ㄴ摥て攱㙢戹㔳昰㤱㕢敡㜸慡晣㐳愷搴㉦㐲敡搸㘹ㄶ晥㉡㡤搶㄰㡥㠷㉥慡㜹㥡攵㝤户㉣昱昴攸敦㘹戲ㄸ攷㑡〷攷㈵㈰㤷搳㉣捤㠱搹㥥㘶㜹捤㔳㑡晥昴㡤㈶㘵㉢摣㔱㘳ㅥ挰ㅢ㥡扣㜱㝢〰慦敢昲㕥㈰攵㝤㐳挹摢㑥㤷昷ㅤ㑦㜹昹㑢㍢㥡扣ㅤ㜰㐷㑤㜹っ㕢㌴㜱攳昶ㄸ㕥搴挵攵㡦て昹挴㝢㑡摣㉥扡戸晦昶ㄴ昷㐳愷戸摤㜱㐷㡤㜸ㄸ捦㙡戲挶敤㘱㍣愳换捡摦㌹昲㠹㡦㤴慣愷攸戲㝥攲㈹㉢㝦㐲㐸慢摡ㅣ摣㔱ㅢ㍤㤲㈷摤慡㠹挷㈳㜹㐲㔷つ㝦㠱挹㈷㍥㔳慡㌹㑤㔷捤㤷㥥慡攱㡦ㅢ㘹慡改㡢㍢昶〳て收㤱ㄸ㑤挵攱挱慣搳㌵挵㥦㡡昲㠹慦㤵愶晡敢㥡晡捥㔳㔳晣ㄵ㈶㑤㔳㠳㜰㐷㙤昶㜸㔶戹㔵ㄴ㑦昷户㔲㔷ㄱ㝦捣捡㈷扥㔷㉡ㅡ慡慢攸㈷㑦ㄵ昱㜷愲㌴ㄵつ挷ㅤ晢㠷㠷戴捣慤慣㜸㍣愴愵扡戲昸挳㕢㍥昱㡢㔲搶㜹扡戲晥昰㔴搶㙥愷戲㐶攰㡥㕡敥㔱㉤㜴㙢㈹㥥㈶戵㐰搷ㄲ㝦ㅤ捣㈷晥㔴㕡ち攸㕡愲㍦㜲㈲㍥㝡㌴㜲ㄱ㉢昸敢㐹㤵㜰扤㔲昳㜰㌵搳晡敤㠹摥㘵攵挱扣㐰㈸ㅣ㥡摡扢愸㌴㔰摣㝡攸昶つ㉢〲慤摢户ㅥ㕣戸㘹㘱㘹敢昰愶ㄵ㜹㠵慤〷ㄶ㙥㕡㔳搲扡㘴晢㠶挵㜹慤挳㐵㥢㤶㔷戴㤹㔴ㅣ㥡㌴㔵戲昸㈵㡢㝦㕣攱收㔵㥢ㄷ㤴㡥昶㙦㕡㔰敡捦㥡㍡㜰昰㜰㝦捦挲㈲㐴㙦㕡㌱戲搷搹㐳晣捤捥搹戴㜰戲㍦㝦晢㠶搵攰㜹收㠶敤敢㔷㡣㙢㙥戴㈳戴㉣㄰㌱ㄷㄲ昵挲慦㠹搱㌱愴て攵扤敤㉤ㄸ敦搰㐵㉦㠴ㅣ扥㌴晥昴㠰昴㈸搳㜱慥㝢搲㝦昱㙢〶晣㤱㈹愳〸㤹ㅡ㘳㐸挶㤲ㄴ㤳㤴㠰搴慦㤳挶㑤晦ㄳ㔸㔲㈹戳㉥㈳ㄹ㐷㌲㥥愴ㅣ〴㈵㜱扦晤〴㤶ㄴ㘲搶㘱㤲ち㤲〹㈴ㄳ㐱㔰㤲㤹搸㤲㈶㌱敢挹㈴㔳㐸㉥㈲㤹ち㠲㤲戸㜹㝣〲㘵扡㤸㔹㑦㈳㤹㑥㌲㠳㘴㈶〸㑡攲收敢〹㉣㘹ㄶ戳扥㠴攴㔲㤲换㐸㉥〷㐱㐹摣挳㍣㠱㈵㕤挱慣㘷㤳㕣㐹㜲ㄵ挹搵㈰㈸㠹ㅢ㠰㈷戰愴㌹捣晡ㅡ㤲㙢㐹慥㈳戹ㅥ〴㈵㜱ㄳ敤〴㤶㜴〳戳扥㤱攴㈶㤲㥢㐹㙥〱愹㕦㐷㜰㥦㙤㘹㥥㙥挵㜵ㅡ昷戶㑣㘰戹户戱愰摢㐹敥㈰㤹㑢㜲㈷〸㈴攴慥㤲〹㉣㘹ㅥ戳扥㡢攴㙥㤲㝢㐸收㠳愰㈴㙥攸㤸挰㤲ㄶ㌰敢㠵㈴㡢㐸敥㈵㔹っ㠲㤲戸㥤㘲〲㑢㕡挲慣敦㈳㔹㑡戲㡣㘴㌹〸㑡攲敥㠴〹㉣改㝥㘶晤〰挹ち㤲〷㐹㔶㠲愰㈴敥敥㤷挰㤲㔶㌱敢搵㈴て㤱慣㈱㔹ぢ㠲㤲戸㐹㕥〲㑢㝡㤸㔹慦㈳㜹㠴攴㔱㤲挷㐰㔰ㄲ㜷㤸㑢㘰㐹敢㤹昵〶㤲挷㐹㥥㈰㜹ㄲ〴㈵㜱㤷戶〴㤶㔴挹慣㌷㤲㍣㐵昲㌴挹㈶㄰㍣挷摣挸㑤㍥挷捦攰㍡㡤㥢愷㈴戰摣㘷㔹搰㘶㤲㝦㤱㍣㐷昲㍣〸㈴攴戶㈵〹㉣改〵㘶晤㈲挹ㄶ㤲㤷㐸㕥〶㐱㐹摣㌱㈴㠱㈵扤挲慣㕦㈵㜹㡤攴㜵㤲㌷㐰㔰ㄲ昷敢㐸㘰㐹㙦㌲敢户㐸摥㈶㜹㠷攴㕤㄰㤴挴敤㉦ㄲ㔸搲㝢捣晡㝤㤲て㐸戶㤲晣ㅢ〴㈵㜱晢㠸〴㤶昴㈱戳晥㠸㘴ㅢ挹㜶㤲㡦㐱㔰搲㌱㠹㉤改ㄳ㘶晤㈹挹㘷㈴晦㈱昹ㅣ〴㈵㜱ぢ㠳〴捡昴〵戳晥㤲攴㉢㤲慦㐹扥〱㐱㐹摣〶㈰㠱㈵敤㘰搶摦㤲㝣㐷戲㤳攴㝢㄰㍣挷摣㈹㐰㍥挷㍦攰㍡㡤㕦攷㈵戰摣㕤㉣攸㐷㤲㥦㐸㝥㈶昹〵〴ㄲ昲扢戸〴㤶昴㉢戳晥㡤攴㜷㤲㍦㐸㜶㠳愰㈴㝥㤲㤶挰㤲晥㘴搶㝦㤱散㈱㐹挲〸挴㄰㈰㈸㠹ㅦ㠴㈵戰愴㘴㘶㕤㠷愴㉥㐹ち㐹㉡〸㑡攲昷㔵〹㉣㈹㡤㔹愷㤳ㄸ㈴㍥㤲㝡㈰㈸㠹摦㈷㈵戰愴っ㘶㕤㥦愴〱㐹㐳㤲㑣㄰㤴挴捦㝣ㄲ㔸㔲㈳㘶㝤〰㐹㘳㤲㈶㈴〷㠲愰㈴㝥㈳㤳挰㤲づ㘲搶〷㤳ㅣ㐲㜲㈸挹㘱㈰㈸㠹摦㤹㈴戰愴挳㤹昵ㄱ㈴㐷㤲ㅣ㐵㜲㌴〸㥥㘳㝥㡡㈲㥦㘳㍦慥搳戸晣㌳㠱攵ㅥ挳㠲㡥㈵㌹㡥愴㈹挹昱㈰㤰㤰ぢ㉦ㄳ㔸搲〹捣晡㐴㤲㘶㈴捤㐹㕡㠰愰㈴慥㜹㑣㘰㐹㉤㤹㜵㉢㤲搶㈴㙤㐸摡㠲愰㈴慥㌸㑣㘰㐹敤㤸㜵ㄶ㐹㝢㤲づ㈴ㅤ㐱㔰ㄲㄷ昰㈵戰愴㑥捣扡㌳㐹ㄷ㤲慥㈴摤㐰㔰ㄲㄷ挰㈵戰愴敥捣晡㈴㤲㤳㐹㝡㤰㥣〲㠲㤲戸㡥㉣㠱㈵㘵㌳㙢㤳㈴㠷攴㔴㤲㥥㈰㈸㠹㡢戰ㄲ㔸㔲㉦㘶㝤ㅡ㐹㙦㤲㍥㈴㝤㐱㔰ㄲㄷ㌲㈵戰愴㝥捣晡㜴㤲㌳㐸晡㤳っ〰挱㜳捣戵㑥昲㌹ㅥ㠸敢戴收攸㘲ㄲ㔸敥㈰ㄶ㌴㤸攴㑣㤲㈱㈴㐳㐱㈰㘱扢挴㤶㌴㡣㔹㥦㐵㌲㥣攴㙣㤲㜳㐰㔰㔲㤷挴㤶㜴㉥戳㍥㡦攴㝣㤲ぢ㐸㐶㠰愰愴㔳ㄲ㕢搲㠵捣㝡㈴挹㈸㤲〰㐹㉥〸㑡㍡㉤戱㈵攵㌱敢㝣㤲㈰㐹〱挹㘸㄰㤴搴㍦戱㈵ㄵ㌲敢㈲㤲㌱㈴㘳㐹㡡㐱㔰搲搰挴㤶㔴挲慣㑢㐹捡㐸挶㤱㡣〷㐱㐹攷㈵戶愴㜲㘶ㅤ㈲〹㤳㔴㤰㑣〰㐱㐹㠱挴㤶㌴㤱㔹㑦㈲㤹㑣㌲㠵攴㈲㄰㍣挷戹㈸㐹㉥㜹㔸㐴㙡ㅤ愲㄰戱ㅤ㌹〳㝥㌱戸㠸攵㍥愴愶ㄴ㈱昴摦捣㘱攳㙤㐰㔲扤㤲㝥愵攳㉡挲挳〳挵ㄵ挱㡣㤲㘱㠱昲搱挱挸㐵扤㤲㈱㠱搲搱㐱㤹〰扥搴搴㔴㑥㜹慢攳慢昱㍦㝣昲搷㡥愹昶㉦㕢㡢㌱挰㐲㍣敡㜰㌲㍣㔶㈹挶㔶挱愰㙥㄰挵㔵㌰㐴收昷ㅦ换ㄶ㈵㝢㘵㜸㍥㕢㤴㕡っ扦㑦ㅢ昳㜸昸愶愵搹㑥っ捦㔷㡡㌲㡢攱扤㤷㝦ㄹ晡挹攲晢㕤っ〰㌹捥㘲㔰㡢ㅥ㔴づ㌶挸昱ㄶ㐳晦㉥㔷收㡣晡㙣㤵㍢㠷㙣㔱㙥㌱㥣昴搱愰㙢㙥㉢㝤挸挵〰㤰㈱㡢㘱昷戲敦㕦ㅦ㤰扢㉡㝢敤㜱㜷㌷戹晡昸搹㔱㑤㠶㉤㠶㤳慤ㅣㅡ搴㝢戰愲捤慥㔹ㄶ〳㐰㔶㔸っ㙡愹㐲っ挸〹ㄶ挳晡㝥ㄹ挹㉤慦㔸㤷摤㉡愷昸昸昳㕡慡摦㘰㠷㈶㈷㕡っㄱ㐵㍤㥡晤摣㠷㜷捤㘹戰扤㔸㘱挸ㄶ㤳㉣〶㈹㜷攱㉡㜳挶敦㡢扥㥣㥤㝥㤰㘲愸ㄴ㤳㜵㠶㡡㠷捣㌷挵ㅤ㘹挷昴㉥㠹㠲㥣愲㌳攰㘷㜶㘳㐰㕥愴㌳㕣户捥っ㘷㘵㉣㥣㌰敦㌲㤵㐳戶㤸慡㌳捣㝢搴晣戹昹搱慦敦㜸㙡㡥挲㤰㉤㉥搶ㄹ㤲㐶㤹㍤㥦㍥愸挷㔹搳愷㉢㠶㑡㌱捤挱㤰㙢㜶晥㜴攲㡡㐰㠷㘹慡㠸㑡㌱摤挱㤰ㅦぢ㜲㠶㠳愱挰㥣昲挱愱换㉥㝦昰㈲㤵㐳戶㤸改㘰㈸㌴㜷㡡ㄷ㝥ㅡㅤ㥥愲㌰㘴㡢㔹ㄶ㐳愴ㄵ㘷㤹㡦摦㔴㍡攵捥㝥ㅡ㐸扥㉣攰㠳昳搲ㄶㅥㅤ捣㌷㘷戵㙢晢搲攱ㅡ㐸扥㐸㠸㍥㔹㥤㘳㐱㕥㘶㌱㜴㤰㐷㔷㌳㍤戰昶昶㜶ㅢ㌵㤰㝣〱挱ㅣち攴搱摤昴て㥥㌰㈰昷㐶つ㈴摦㈵搸㐵捣ㄸ㙦㙥㕤摣㜰昸㥡㍥ち〳ㅥ㥣搹㍡挳慡㤰昹㘹㍤㜱攴㝢㜳㉦㔶㝡愸ㄴ㔷敡っ㜸㉦ㄹ㔳摤㔷改っ㤹㤳捣ㅦ摦昹㘴㜹搳ㅣ㘵㐰搰㈶慦搶ㄹ捣㈹收㕦㍤摥ㅡ㝦晡捤㑡ち㍣㌸㜳㜴㠶㈴扦搹昹挴敦ㅥ摣㌱㑤㘱〰挸㙢ㅣっ挷㥡㌷㙥ㄹ搷㙦㐲㘷挵㠰〷攷㕡〷㐳搳㔸㤰搷㌹ㄸ㑥㌰㝢ㅦㅣ㥥㜶挵㘲つ攴昵づ㠶㘶收挲挷㝦㍡㈴㜳㠴㘲〰挸ㅢ㜴〶㘸㜲搶㐳㙦ㄶ捥扢㔷㘱〰挸ㅢ㜵〶㘸戲昳㡤㜹㑢〶昴㔳っ〰㜹㤳捥攰愵挹㥢㜵〶㘸㜲攱㤹㌳㡦㔹㜵愳挲〰㑤摥愲㌳㐰㤳挳戳㌲㐷〶扡㈸〶㠰扣ㄵっ戲㡦㌹㕢敦㘳㙥搳㙦挳㠳摦㉡攷慤㙢㡤㕥㡢㔴㔳慥ㄴ户敦㤵〱搰敦愸㠲挱戶㥥㜳慢㘰戰㑤晣㥤㝢㘵〰昴㜹ㄶ㠳㌲昱敦户挸㍥敦㠰昳ㄷ㐷㐱摥㘵㌱㈸ㄳ㕦㕣攷捡挳摡昴扡㌷摡㔲敦戶ㄸ㤴㠹㔷㘲摡㈰敦戱ㄸ㤴㠹㝦敡戰㈳慥㈹㍡㘷愱捡㈱㕢捣户ㄸ㤴㠹敦晤搳㤵㉢捦㥣扥㐰㘱挸ㄶぢ㉣〶㘵攲㔵ㄱ敡㑤戵㔸㘸㌱㈸ㄳ敦㘴㠰㈶昹捡㠶て愴㌲昱㡡挱〶挹搷㌹㘴㠸㥡㜸扤戲搰〸ㄶ㕢っ捡挴慢ㅣ㉣っ搹㠲㙦㙤散㘷ㅥ㈶摥挵㔰㈹昸㐶挷㘶㠰㠹㜷㌲〰攴㔲㥤〱㈶㕥㌱搸㈰㤷改っ㌰昱㡡挱慥敥攵㍡〳㑣扣㤳〱搵㝤扦捥〰ㄳ敦㘲愸ㄴて㌸ㄸ㜲㕤っ〰戹挲挱㤰㙦㌳搸㈰ㅦ㜴㌰ㄴ搸っ㌶挸㤵づ㠶㐲ㄷ〳㐰慥戲ㄸ㈲㜷㘴㤹㤷㑦㜸晡昴晢ぢ㔴㠳挱㌳扦摡㘲㔰㈶晥敤て㕥㉣㍥敦㉤挵〰㤰て㌹㡡攸㙣ㄷ㘱㠳㕣㘳㌱㈸ㄳ㝦搱㤲て㔷㍤晡㤰㝡㌶㔱摤㙢㉤〶㘵攲㕦慥昷挵敢愳㡦㔱捤ㅥ㈰ㅦ搶㡢㠰㘱捡ㅦ㜱搱㉥昳㔹㠵〱㈰搷改っ㌰㑣晤〶㌵换㔹㕣搷㉥愲㔲㍣愲㌳挰㌰愹扡戰㐱㍥慡㌳挰㌰㘵㜴㤸戵戵攴ㄲ㍢㠷㙣昱㤸捥〰挳昴㙤搳戶㉤㕥㝦㕡㌱〰攴㝡㥤〱㈶㝥㕢㡢扢捦ㄹ昳㤱〶㜲㠳㠳攱㔸戳敥扡挷㜶㍤搶㐸攵〰㑤㍥敥㘰㘸ㅡぢ昲〹〷挳〹收㠰㉤㍢㥢㥦㍢挱捥㈱㕢㍣改㘰㘸㘶㔶㥣㥤昱散搲愵㡡〱㈰㉢㜵〶㉦㑤㙥搴ㄹ扣㌴昹㤴捥攰愵挹愷㜵〶㉦㑤昲㘵㥡晤㙣㝡㘹㤲㙦搷㘲㑤晣戳晡㙤愸户扦㔶㑦ㅥ搲攰㤶㈵捡㜲㔵ち扥㍢戳昳㡤㘱㠰㝥昹㕥捤㡢挱㙥〴捦㔵挱㘰㍦㑥捦敦㤵〱晡㝤挱㘲㔰㈶㝥昹戲㜷㍥㝣慡摥戲㈸挸ㄷ㉤〶㘵攲㘷慥㝤㜷晢捡愷敥㔳〶扡㔲㙣戱ㄸ㤴㠹㔷㘲摡㈰㕦戲ㄸ㤴㠹敦㜵昲扣㉦㕦㥥愵㝡ㄱ㍣㑥㉦㕢っ捡挴扦㤴搶昴㥣ㅥ戳戵挷改ㄵ㡢㐱㤹㜸㔵㐴㐴㑣㍣㑥慦㕡っ捡挴㍢ㄹ愰挹搷㉣〶㘵攲ㄵ㠳つ昲㜵㡢㐱㤹㜸挵㘰㙢昲つ㡢㐱㤹㜸㈷〳㌴昹愶挵㈰戳㠴㠹㜷㌱㔴㡡户㜴〶㤸㜸㈷〳㐰扥慤㌳挰挴㉢〶ㅢ攴㍢㍡〳㑣扣㘲戰㐱扥慢㌳挰挴㍢ㄹ〰昲㍤㥤〱㈶㍥㝢搷晡㥢〶つ搷摡攴晢づ㠶㕣昳敥㈱㠷敤㝡戰㐲㌱〰攴〷づ㠶㝣扢〸ㅢ攴㔶〷㐳㠱㌹愲搱㝢慢㑢搶摡㌹㘴㡢㝦㍢ㄸち捤㈷挶㜵㙤昴搲ㅢ㡡〱㈰㍦戴ㄸ㈲㘲㘵㤹搷摥搲昴昹戹ㄹ㌶㐳愵昸挸㘲㔰㈶㝥昳㜱慦㕣昳收㘰挵〰㤰摢ㅣ㐵㜴㡥〵戹摤㘲㔰㈶扥㠳搹昴攰扥敦搹㌹㘴㡢㡦㉤〶㘵攲挷扣晣昲〷㌳㡦㔴捤ㅥ㈰昹〶搲㝥㌶㘱㤸〶㙤㌸愲挹ㄷ扤㔵づ㘸㤳㝣㍢㘹㌳挰㌰㉤敥㝣㐶㠷㍦㑡ㄴ〳㐰㝥愶㌳挰㌰愹捡戲㌵挹户㥡㜶づ㌰㑣㐳㕢㉦ㅤ㝦捣攳㜶づ搹攲㜳㥤〱㠶改晥愵㙦㕦摦昱ㄳ挵〰㤰㕦攸っ㌰昱㑦㠴〶捦晣㜹扣捤㔰㈹扥㜴㌰ㅣ㙢㙥㍤攰戳愲㔹㤷㈸〶㠰晣捡挱搰㌴ㄶ攴搷づ㠶ㄳ捣挳捦㙣㜰搲摣㈵㜶づ搹攲ㅢ〷㐳㌳戳晢捥㠵挷㥤昰愸㘲〰挸ㅤ㍡〳㌴㜹搰㉢愱㜵㙦ㄷ摡っ㤵攲㕢㥤〱㥡㥣扤㜱挲愵㍦㑣㔳っ〰昹㥤捥攰愵挹㥤㍡〳㌴㌹㙥搱㔴㝦㡢晢敤ㅣ戲挵昷㍡〳㌴昹改捤搳扦㍤敤㈹挵〰㤰㍦㠰㐱㥡㜸挷㑣搱㉥晤㌶搴摢〷ㅢ敡㌷㤹扣㍡ㅣ戵㥥㍦敥㤵〱搰㝦慡㠲挱㙥〴㍦㔷挱㘰㍦昳扦散㤵〱搰㝦戵ㄸ㤴㠹㡦〱昹㥢挵愰㑣扣㤳〱㈰㝦户ㄸ㤴㠹㔷っ㌶挸㍦㉣〶㘵攲ㄵ㠳つ㜲户挵愰㑣扣㤳〱㈰晦戴ㄸ㤴㠹㙦昶搹㐹攲㤰搵ㄳ愲㥡晣换㘲㔰㈶晥攲户敡㡥㍢㙦慤㍤捤㔲㈹昶㔸っ捡挴慢㈲㙣㤰㝣〹捣挷㐹㤹昸㝢ㅦ㥥扤㘳昱搲㤰敡挹戲〵㕦㄰㤳㐱㤹昸ㄵ敤㘷㡦㘸㌲户㕣㘱挸ㄶ㝣搷㙢㍦㤰㌰昱㍢挲慦收晣昵搱㤰㡤ㄱ㌱昱捣昳㍤戰捤〰ㄳ摦慢㐷㠷戴㕤㍦㡣㔴㐵㔴ち扥㈳戶ㄹ㘰攲㘳㐰昲晤戱捤〰ㄳ摦㙥搸㠹㙢づ㕢㌳㐳攵㤰㉤昸㙥搹㘶㠰㠹㉦㝦愱捦搶㐹昵慦㠸㠲攴㙢㘲㥢〱㈶晥昹㡤敢㌷㌶扥㔲搳㈴㕦㈱㐷ㄹ㜲捤㌳㑦挹ㅦ搳晢㉥㑤㤳㝣扤ㅣ㘵挸㡦〵挹㔷捦㔱㠶〲㌳搸敤㤱㈷敥㝦㔶搳㈴㕦㑢㐷ㄹち捤敦搶㡤ㅡ晤攱㝢㥡㈶昹㠶㤹っ捡挴㌷ㄹ晦晤昳ㅦ扤愲㠱攴摢㘷㌲㈸ㄳ㍦昱搶㍤愵て㙣搴㐰昲捤㜴戴㠸捥戱㈰昹搶㥡っ捡挴昷搸㝥昸㘳愷㉤搴㐰昲㡤㌶ㄹ㤴㠹扦㈷戵挵㠵〷摣愴㠱攴换㘹扢〸ㄸ愶㍢㔷㥦昲搳㔱㕦㈸っ愸㙥扥戸戶ㄹ㘰㤸㌶㜴㕥㔲㜷㑢㝦挵㠰〷㠷㉦戵㙤〶ㄸ愶㤸敡收ぢ㙦㥢〱㠶改㌷戳攲戸ㄳづ㔲〶〴扥ㄱ㕦㠶摢っ㌰㑣㠷㙥摥摡晥㡤㈹㑡ち㍣㌸㝣慦㙤㌳挰挴捦ㄹ散㙢搹戹慤挲〰㤰㝣攷ㅤ㘵㌸搶散㤴㍡攷㥥戳㜷摡㐵㔴ち扥て㡦㌲㌴㡤〵挹㜷攵㔱㠶ㄳ捣㑢挶㕦㌷㝢㙥戹㥤㐳戶攰㝢昴㈸㐳㌳戳挵㠹㡤晥摣搰㐱㌱〰㈴㕦㠹摢っ搰攴㐵攷㝣㌰散昳㐱ㅡ㐸扥㉥户ㄹ愰挹㌶㔷㠵㍢慥㑡㔲っ搰㈴㕦愵摢っ㕥㥡攴㙢㜶㥢〱㥡㥣戳㘳挹慥㥣㕣㠵〱㥡攴㉢㜸㥢〱㥡散㝥戴昹㠶慦戱㘲〰㐸扥㤳㡦昵攲昹㔶摤扥つ戶㐴昵搲昶㌳捦㌷敥㔵㌳〰㍡摦挶㝢㌱搸㠶㠹㙦敡扤ㄸ㙣敢挹户昸㔵㌳〰㍡㕦挸㤳㐱㤹昸ㄸ㉦㥥㉦敢挹愰㑣㝣㡣ㄷ捦ㄷ昹㘴㔰㈶㕥㠹㘹㠳攴㑢㝥㌲㈸ㄳㅦ攳挵㜳〱〰ㄹ㤴㠹㡦昱攲昹㉥㥦っ捡挴慢㈲㙣㑤昲㍤㍦ㄹ㤴㠹㜷㌲㐰㤳㕣〳㐰〶㘵攲ㄵ㠳つ㤲敢〳挸愰㑣扣㘲戰㌵挹戵〳㘴㔰㈶摥挹〰㑤㜲ㄹ〰ㄹ攴攱攵挵㜳㠹㠰捤攰攵挵㜳昹㠰捤攰攵挵㜳㘹㠱捤攰攵挵㜳搹㠱捤攰攵挵㜳〵㠱捤攰攵挵㜳㜵㐱㤴挱挳㡢攷捡㠳㈸㠳㠷ㄷ捦㔵〹㔱〶て㉦㥥㉢ㄶ愲っㅥ㕥㍣ㄷㅦ㤰㈱愲㝢て㉦㥥ぢㄳ挸愰㑣㝣㡣ㄷ捦㐵ぢ搱㈲㍣扣㜸㉥㘸㈰㠳㌲昱㌱㕥㍣ㄷ㍢㤰㐱㤹昸ㄸ㉦㥥敢ㄶ散㈲扣扣㜸慥㘹戰ㄹ扣扣㜸慥㜷戰ㄹ㘰㤸㔴㡢戲摢㈴搷㐲搸っ㕥㕥㍣搷㐹搸っ㕥㕥㍣㤷㍣搸っ㕥㕥㍣㤷㐳㐴ㄹ㍣扣㜸㉥㤵㠸㌲㜸㜸昱㕣㐶ㄱ㘵昰昰攲戹挴㈲捡攰攱挵㜳戵㠴捤攰攵挵㜳㈵㠵捤攰攵挵㜳㤵㠵捤攰愵㐹慥挰戰ㄹ扣扣㜸慥捥戰ㄹ扣扣㜸㉥搷㠸昵攲戹攰挲扥つ昵昶㐳挶戴扥㔳敦㔸愵㕣慡㑡挱挵ㄸ㔵㌳挰㌰㜱愱㠶ㄷ㠳摤〸戸㠸挳㡢挱㌶㑣㕣攰㔱㌵〳っㄳ搷㙡㤰㐱㤹昸㤱㌷晤昹晤㤶㌹㙢愲㈰戹㡥㠳っ捡挴扦晢摣昱㜳捦摡戳摡㘲〰㐸慥昱㈰㠳㌲昱㑡㑣ㅢ㈴搷㝦㤰㐱㤹昸㤹㤳㑢㉢㙥㔸昱愰捡㈱㕢㜰㙤〸ㄹ㤴㠹慦㔳㝦晥㜹㜷ㄷ㍣愰㌰㘴ぢ㉥昳㈰㠳㌲昱慡〸摢挴㜳〹〸ㄹ㤴㠹㜷㌲〰㈴㤷㠷㤰㐱㤹㜸挵㘰㠳攴搲ㄱ㌲㈸ㄳ慦ㄸ㙣㑤㜲㔹〹ㄹ㤴㠹㜷㌲㐰㤳㕣㈱㐲〶㜹挰挴攷㔷㍥搲㙣晡敤换㤵ㄴ㤵㠲慢㐷㙣〶㤸昸㝢扦㜹㙦敢㠶捦㔶㈸㍤㔴ち慥㉣戱ㄹ㘰攲㔵ㄱ㌶㐸慥㍡戱ㄹ㘰攲㙦㍣敥扡㠵㠷㤹て愹ㅣ戲〵㔷愴搸っ㌰昱敤扢捦摦晤攸㝦散摡捣ㄶ㜹㍡〳㑣扣㉡挲搶㈴ㄷ㥥搸㌹㈴攵扡ㄸ愰㐹㉥㑡㠹㌲攴摢っ㌶㐸㉥㔸㠹㌲ㄴ搸っ戶㈶戹㤸㈵捡㔰攸㘲㠰㈶戹㉥㠵っ㤱㍢戲摣っ㤵㠲㙢㔶挸愰㑣扣㔳ち㠰攴㝡㤶㘸ㄱ㥤敤ㅣ㙣㤰㕣敢㐲〶㘵攲㕤㌹㘴ぢ慥㠳㈱㠳㌲昱㑥〶㠰攴㤲ㄶ扢〸ㄸ㈶ㄷ㐳愵攰㜲ㄷ㥢〱㠶挹挹〰㤰㕣ち㘳㌳挰㌰㈹〶ㅢ㈴㤷挹搸っ㌰㑣㡡挱搶㈴㤷搰搸っ㌰㑣㑥〶㠰攴㙡ㄸ㥢〱㈶摥挵㔰㈹戸㔲㈶捡㜰慣㡢〱㈰戹㡡㈶捡搰搴㘶戰㐱㜲㠵㑤㤴攱〴㥢挱〶挹搵㌷㔱㠶㘶㉥〶㠰攴㐲ㅡ㥢挱㑢㤳㕣㘴㘳㌳㜸㘹㤲ぢ㜰㙣〶㉦㑤㜲㜱㡥捤攰愵㐹㉥摣戱ㄹ㍣㌴㤹㜶㌱ㄸ愴㡤昷攳㕣户㝢㕣ㅦ㥤づづ㤴㤷㠴㕡づ㉢㉢㉦つ攴㤷㔹㉢㜴捡攵㌷愷戳㤰㥢㜱〹挹愵㈴㤷㤱㕣㑥㜲〵挹㙣㤰晡㠷ち㌲㘹㕦㠲㕦㠵换㝢慤㡦㜸㜳㐲愱㡡㤲㜱攱愲戲搲㝦昴ㄹ慦攳搳摤扥摢㌷㕣攱てㄷ㙥摦㜰〳扥搴ㅤ扢㝤㝤㘵搸㕦㡡㡢㈲敢慢㕤晦搳㡦昸晢ㄴ㙤㕡攰て㤷㙦摦㜰㌵扥晥㥤㕦攴捦挳㔷扥愵㠵晥㘶愱㐰㠵㝦㜸捥戰戶攱挲ち摣攷㉦㡥攴摢㕣㔴晣攲摡㍣敤晡慢㙣㌳ㄸ㘹ㄷ捦㘷㐷ㅡ搰慦㝢搴㔹㠴㜱㤳摡㍣捤戸〶挲晡〴㌵愴㘹攰扡㙡搲挰㌳搷㙦㕥戵㝤挳㕤㄰㍦愲㠴〹㥢收㔳摡昵ぢ㑡晣戹㥢㐱晥㠱〶挶戹㌵搰㉥㍡〹㔱愵〶捡㜴つ摣㈸㌵挰收愱㘹攰㘶㕣㈶㝥㙢㠹慣愹㍤㈱㌸敢㝢挳搵慣搶愶晥㤲愲攲㘲㌴慥戶攳〲捤晦㠹昴㘳摤搲㈷戵摦㜷晤㡦搱愵扦㑤㑡捦攷㐲㤳晥づ㕣㈶㝥扢㠸慣愹愷ㄶ愱昵㤶㑡昹㙦㈹㠲昸㙤〷昴晦㐷㘲ㄷ戸挵昶摢慢戱㉡慢慣昴愰㉥昶㍣㈹㌶㉤㠱㈶昶摤戸ㅣ㍦㜵㐸㔹㔹㜸㙡㈲㥦晢〱㥢搶ㄶ愱㤹慢愶㡦㐶摥㉣㕣㕥〴㘳㔰攱㙦摡㌶搰㕣〴摣搲㈴昵摡㜷㈵㡥搲愵㔹㈰愵愱㐹搳愴㔹㠴换㠴敦昴㤴㌵戵扦㝣㕣戱晤挰㠲戰戸㈰〶戹昲㈵㥥慦扡ㅥ捥搷㤱㉦㤱挸㘹㠷㌵攴㑢㜱㤹昰摤㥢戲愶づ㠵敤㕣ㅣ㠶㑤㘵㉢っ晢挷ㄶ攲戲㐲㥣慤挹愰㍣㙢慢つ㔵㉤挳㜰㕤㠶晢愵っ㌴愴㉢戹攸昴〱〴㡣㥥戰戶㘲㠸㤶戵昸㜴晤愶ㅦ扥㍢晡㕥㜳挸昴㘹㥦捦㙥扢捣㝣戴搱搷慦攷㥤㜲愹㈹捤戲㜹㔹攴扣敤扡挸ㄹ㤱挶㑡收挳慥㐹ㅥ㙥づ戳挲㌴㔶㈳㌱昵攴愵ㅢ㕦㝤㜵㝢戶㑦搰㡥戹〰昴搷〱㙣敢㜱昸愰戶㜷㉣㌶㠷敦㍥攱敡㝥敢敥㌳㔷敤ㅡ戱敤戵㉦挶㤹㌲晢㡤攳㈳攷昹㔳㈲㘷㐴ㅡてㄳ〰㝢〶㜹戸㌹㌶〶㑣攳ㄱ㈴捥ㅢ㜳敡㠰昷㥥㝦〹〰㘸㑡㕣〰㝡敢〰㝥㕦㝤晢昰散戳㤶㤸收散㘵㤷㜴晢㝤㠹戹昱戹挳ㄶ㥥㜶捦㌰㌳攲㕣戶戲摡㝣㈷搳㉡㄰㕦摦ㄲ〰つ戳㥢攳㘵戹晡敦〸搳㜸〲㠹ㄷ敥㔸昹搰捡㜶て〱〰ㅦ㙡ㄷ〰㔳〷昰捤㘳户㝦㝥敥挹㑢捣㠱㌳㤶晤㜰㔴攳晢㑣㜳换㈱戹ぢ摥㍤㉦㔲攰㡣㠲挸㜹㥢愵ㄱ愰㌰㥥㈲〰摡㐶㜹戸㌹㘶っ㌷㡤㑤㐸㕣摥愶搱㈱晦㝡攰ㄱ〰攰㜳攸〲搰㕤〷㜰挴㤱挷㤴㍣㝥摦ㄲ㔳㥤慤㡣慤㤳㘹㐶〲敡㡣戲晦㐵〰戴㔲捥㤴扥㘶攴扡㥤㘹㍣㙦㈷戲ㅦ攷攳攴〲搰㌱㝥〰㔶㈹摡挹㜸㠹〰㘸㔸慡㍡㡣㔷散挴㕦昷昸〴㥦〵ㄷ㠰㌶㍡㠰㡦㙦戹昵㠴挵㠷㉦㌱㑦㥦㤹㌴昸慦㌳敥㌳㘷慣扢晢搶ㅢ㔳昲㑣㌵㈲㔵愳㘳㔵㥣昱〶〱搰㍥愸ㄴ挵昹慢㕣戶㝣㝢戶昱ㄶㄲ㈷㙥敢㝦㔴搷㝢㌶㔶晡〴㥦扥㈱㤸㈲㠸㍣㠱捤㔱戶㜲㜵㐴㌳㕣愸慤㔰㡣昷㤸敦晢㈰㝢慣挳昸㠰㌱㕢㐱戰㕢㌳愸㥣㘶戸ㅦて戴㍡〴ㅦ㌷戹ㅦ摤㠷〸昰〳㘹昹㤱㌴㥦㤲㔸㕥㍥ㄹ㤲㜷㥢捥换〶ㅤ换换㐶㉣㜹㍦搶㜹搹昶㘲㜹搹摥㈴敦愷㍡㉦㥢㐹㉣㉦㥢㠶攴晤㡦捥换ㅡ㡤攵㘵㉤㑡摥㉦㜴㕥㉡㍦㤶㤷ち㤷扣㕦改扣㔴攸㈹㔰捡㌷㘷㜶㤵㉥愷捦挷〵昳挶搷㠸㌶扥〱ㄱ㔴戶〷挳づ㌲㝣㑢〶㔶〰㜷搱㌱昲㌰ㅣ搴戶戰㘹愰搵ㅢ㔵敥㙤㥤㤱㐱㝤慤戶㡤ㅦ㤱㥢㑦戰㍥㌷㈲㑦攴㤸㘴㜴㐲㙤捡挰捦㠸㑤㘳㉤㑡改㜸晥敦㜷户昹〵搹ㄸ扦㤲晣㐶昲㍢挹ㅦ㈰昸ㅥ㠲㙤㈰㠱㈵敤㘶搶㝦㤲晣㐵戲㠷〴晦㔸ㄲ㕢㔰〲㑢ㄲ挸搵㐸㈶愹㐳㔲㤷㈴〵〴㈵戱晤㈵戰愴㔴㘶㥤㐶㤲㑥㘲㤰昸㐰㔰ㄲ㕢㙦〲㑢慡挷慣㌳㐸敡㤳㌴㈰㘹〸㠲㤲搸昶ㄳ㔸㔲㈶戳㙥㐴㜲〰㐹㘳㤲㈶㈰㈸㠹㑦㑥〲㑢㍡㤰㔹ㅦ㐴㜲㌰挹㈱㈴㠷㠲搴慦㤳挹攷㡦㐷㈶㥦㐱ㄹ攰〳㈷〳㝣攸㜸〸㍥㉡昲㝢㤹挳㜰てㅦ㄰昹挷㠷㐴㘲攴㔵㥤摢㤳㠷㑥づ㠵㠳㈵㙤㝡㤶ㄵㄷ〷昳攴㠸戸㑤㥦㘰㘹戰扣㈸慦捤ㄹ挱挹昲换㤷挱㠱愲昲㔱敤捦㍦摦㘲ㅤち㌷户㜴㜴㉢㝦㐹㈸慦慣扣戸㈸户㤵㝦㜸戰㍣㠴攱㑥㡦昶㙤摡昱㕦㉢㝦捦㡡攲㜰㐵㜹戰㐷㘹戰㈲㕣ㅥ㈸㙥攵ㅦ㕣㤱㕢㕣㤴㠷っ㠷㤵㡤つ㤶昶挸敤搲㈵搰㈹慦㔳攷慣㙥ㅤ㍡〶摢㜵敤㌶愲搵昹㜱捤〸っ〹㠶㤰㜳愸愵㥡っ㠸㕣てつ㠶㕢昹〷昵㍣戵捤㐰〶ㄴ㤸慣慣㌶㔹㙤㍡㜶挹敡ㅣて愰㘰㙥扢づ戹㠱㡥㕤戳㍡㜶敡㔴搰慤㕢搷ㄱ㈳挴㘷㍦敦搹㌳昴捦㍤㝢㔲㡦㠰晡㔶㠸愹㌹挵挵晥戳换捡挷收㤶㤵㡤つ㈵㜴㈴㤱昸ㄹ〴㌹晥ㄷㅦ㉢〹㡥慥㙥〹ㄲ㍦〳㘰搰敦ㄵㅦ㈹〹㡥㠵〴换慡戳づㄲ㍢㠲㌷攸㌴㡢慤ち晤昱㐰扦戰㍡搱㈷㘸〴㙥搰搵ㄶ敦㈹搸捤〰㝢㑡㌵戶晢㝤㡣愰つ晡摤攲㙤㠵愶㈵搰ㄴ㔴㈳ㅡ㙤〴㙣搰攱ㄶ㙦愸㤲摢愰攴㜱搵㔸戲攷〸搶愰捦㉤攸㝥㐴攷㔵㉦㌳搵㜰㔳㌹㑢㠲慥㠹捤昰挵ㄵ㘶㔲昱て㙤摦捥戳㔷昱㔶ち扡㉤㌶〳收ㄱ摤㠳ㄴ㐱㤷挶㘶攸㝡㡤搹昹攵㐱换ㄷ㝥慤㤶㔴㘲㠵〶摤ㅤ㥢〱㐳㔹㌵搴㔵㔳㌲㠲㥥㡢捤㠰〱愵ㅡ㤲摡㈰改搵搸っ扦㠶捣㘹慤㡦晡戰挲慦㤶昱㘱㤶㥣ㅥ㡦捤㠰愹扥ㄸ㤰昴㠶㙣㠶挲㐹收㘳ㄹ㑤㜷㈷户搵㐰搲㔳戲ㄹ㌰摣㔵挳㘱ㅢ㈴㥤ㅥ㌲愸㐱愷ㅡ戶摡㈰改㄰㤱㈱昲㑡愳㥤㌹攷昳慤摢㉦搶㤷㌳搲㔹戲㡢挰㡣㕣っ㐸㍡㔲搱㈲㍡㤸㉢㠶〴㝦晤晤㔵㕢捣㙣㐱㈷㡢っ㤱㌲㍢搹㐳㘶ㅢ㈴晤㈵扢〸っ㑣搵搰搶〶㐹㕦捡㘶ㄸ㕣㘴捥晡晡㠲ㄶ昵捡敤㈲㉡〵晤㉣㥢〱昳㘷㌱㈰改㠳搹っ㍢㑢捤㜵〳㍦㕢㔹昲㙦㍢㠷㙣㐱晦捣㘶挰戰㔹つ慢㙤㤰㜴戵㙣㠶㈴搳㉥挲〶㐹㌷㉣捡㜰慡㡢〱搵㑤ㄷ㉤捡搰换㘶㠰㐷㈲て㐱昷㉤捡搰摢㘶㠸ㄴ㠱㌶㐹搷㉥捡搰搷挵㠰㤷㈲昴搲愲っ㐹㐹㑡て㌶㐸㝡㜰㔵㌳〰㈴扤㍢㉦〶ㅢ㈴㍤㍦㉦〶ㅢ㈴扤挲慡ㄹ〰㤲づㅥㄹ搴㈰㔸つ㥦㙤㤰㜴晥挸愰㕥ㅥ㕦㥡晤㘸攵昴㥦敤捡挲㉡㌲㡢㐱㑤㜱㈹㌱㙤㤰㜴ㅡ㤹㠳㝡㜹扣攱搸愴㜳晦扡搰捥㈱㕢搰愱㈴㠳ㅡ㠰慢愱扣㠵㈱㍢㡤摥㘳搴愹晤㙦摦摣戴㐳㙥㐶ㄶ㐹㝢㤲づ㈴ㅤ㐹㍡㤱㜴〶昱〹昲㘸昳㠶㕤㜱戹㥦扣戸昹ㄷ扡㡣ㄹ扢昷挸㙤㔹㘵ㄵ挰攰慡捡㔴ち㡤㔴㡤昶攲㘶㌳㙥㔲戳ㄹ昸搵ㅢ㉡㐷㤳晥攴㙡㤲㍥昱㉥㥢搸攴㤶㍥㥥㤷㌶㑦㍢愵㘷慢搰愴㌷㜱戹ㅦ扣戰愹㜴㑢ㅥ捦ぢ㥢㈷㥤㤲昳㔱搰㈴敦㠵换摡晣戲㘶㠳㕢攴㜸㕥搶慣㜷㡡捣〷㕦ㄳ戹㉦㉥晦て㕥搴㍣攲㤶㈴㥥ㄷ㌵敢㥣㤲搰㝡㘹㤲昴挷㘵㌵扦愴㔹ㄳ㠳㕡昹ㄵ㝢㜹㐹昳㤰ㄳ㌵捤慤㠶㝡㌰㉥㙢散〵捤㑡つ扦敡扤昶㘹㉡ㅦ㜴攰慦昷晦〰扡捥㥤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</si>
</sst>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
    <numFmt numFmtId="165" formatCode="_-* #,##0.0_-;\-* #,##0.0_-;_-* &quot;-&quot;_-;_-@"/>
    <numFmt numFmtId="166" formatCode="0.0%"/>
    <numFmt numFmtId="167" formatCode="0.0"/>
    <numFmt numFmtId="168" formatCode="&quot;$&quot;#,##0.0;[Red]\-&quot;$&quot;#,##0.0"/>
    <numFmt numFmtId="169" formatCode="#,##0.0"/>
    <numFmt numFmtId="170" formatCode="_-* #,##0_-;\-* #,##0_-;_-* &quot;-&quot;??_-;_-@"/>
    <numFmt numFmtId="171" formatCode="_(* #,##0_);_(* \(#,##0\);_(* &quot;-&quot;??_);_(@_)"/>
    <numFmt numFmtId="172" formatCode="0.0000%"/>
    <numFmt numFmtId="174" formatCode="0.00000000"/>
    <numFmt numFmtId="175" formatCode="#,##0.000000"/>
  </numFmts>
  <fonts count="65" x14ac:knownFonts="1">
    <font>
      <sz val="10"/>
      <color rgb="FF000000"/>
      <name val="Arial"/>
    </font>
    <font>
      <sz val="11"/>
      <color theme="1"/>
      <name val="Calibri"/>
      <family val="2"/>
      <charset val="163"/>
      <scheme val="minor"/>
    </font>
    <font>
      <sz val="10"/>
      <name val="Arial"/>
      <family val="2"/>
    </font>
    <font>
      <b/>
      <sz val="14"/>
      <color rgb="FFFFFFFF"/>
      <name val="Arial"/>
      <family val="2"/>
    </font>
    <font>
      <sz val="10"/>
      <color theme="1"/>
      <name val="Arial"/>
      <family val="2"/>
    </font>
    <font>
      <b/>
      <sz val="10"/>
      <color theme="1"/>
      <name val="Arial"/>
      <family val="2"/>
    </font>
    <font>
      <b/>
      <u/>
      <sz val="10"/>
      <color theme="1"/>
      <name val="Arial"/>
      <family val="2"/>
    </font>
    <font>
      <b/>
      <u/>
      <sz val="10"/>
      <color rgb="FF0070C0"/>
      <name val="Arial"/>
      <family val="2"/>
    </font>
    <font>
      <b/>
      <u/>
      <sz val="10"/>
      <color rgb="FFFFFFFF"/>
      <name val="Arial"/>
      <family val="2"/>
    </font>
    <font>
      <sz val="10"/>
      <color rgb="FFFFFFFF"/>
      <name val="Arial"/>
      <family val="2"/>
    </font>
    <font>
      <sz val="10"/>
      <color theme="0"/>
      <name val="Arial"/>
      <family val="2"/>
    </font>
    <font>
      <sz val="10"/>
      <color theme="1"/>
      <name val="Calibri"/>
      <family val="2"/>
    </font>
    <font>
      <b/>
      <sz val="10"/>
      <color rgb="FFFF0000"/>
      <name val="Arial"/>
      <family val="2"/>
    </font>
    <font>
      <b/>
      <u/>
      <sz val="10"/>
      <color rgb="FF000000"/>
      <name val="Arial"/>
      <family val="2"/>
    </font>
    <font>
      <b/>
      <u/>
      <sz val="10"/>
      <color theme="0"/>
      <name val="Arial"/>
      <family val="2"/>
    </font>
    <font>
      <sz val="10"/>
      <color rgb="FF000000"/>
      <name val="Arial"/>
      <family val="2"/>
    </font>
    <font>
      <b/>
      <sz val="9"/>
      <color indexed="81"/>
      <name val="Tahoma"/>
      <family val="2"/>
    </font>
    <font>
      <sz val="11"/>
      <color theme="1"/>
      <name val="Calibri"/>
      <family val="2"/>
      <scheme val="major"/>
    </font>
    <font>
      <b/>
      <sz val="11"/>
      <color theme="1"/>
      <name val="Calibri"/>
      <family val="2"/>
      <scheme val="major"/>
    </font>
    <font>
      <b/>
      <u/>
      <sz val="11"/>
      <color theme="1"/>
      <name val="Calibri"/>
      <family val="2"/>
      <scheme val="major"/>
    </font>
    <font>
      <b/>
      <i/>
      <sz val="11"/>
      <color theme="1"/>
      <name val="Calibri"/>
      <family val="2"/>
      <scheme val="major"/>
    </font>
    <font>
      <sz val="11"/>
      <name val="Calibri"/>
      <family val="2"/>
      <scheme val="major"/>
    </font>
    <font>
      <i/>
      <sz val="11"/>
      <color theme="1"/>
      <name val="Calibri"/>
      <family val="2"/>
      <scheme val="major"/>
    </font>
    <font>
      <i/>
      <sz val="11"/>
      <name val="Calibri"/>
      <family val="2"/>
      <scheme val="major"/>
    </font>
    <font>
      <b/>
      <sz val="11"/>
      <color rgb="FF000000"/>
      <name val="Calibri"/>
      <family val="2"/>
      <scheme val="major"/>
    </font>
    <font>
      <sz val="11"/>
      <color rgb="FF000000"/>
      <name val="Calibri"/>
      <family val="2"/>
      <scheme val="major"/>
    </font>
    <font>
      <i/>
      <sz val="11"/>
      <color rgb="FF000000"/>
      <name val="Calibri"/>
      <family val="2"/>
      <scheme val="major"/>
    </font>
    <font>
      <b/>
      <sz val="24"/>
      <color theme="0"/>
      <name val="Calibri"/>
      <family val="2"/>
      <scheme val="major"/>
    </font>
    <font>
      <sz val="12"/>
      <color rgb="FF000000"/>
      <name val="Calibri"/>
      <family val="2"/>
      <scheme val="major"/>
    </font>
    <font>
      <b/>
      <sz val="12"/>
      <color theme="1"/>
      <name val="Calibri"/>
      <family val="2"/>
      <scheme val="major"/>
    </font>
    <font>
      <sz val="12"/>
      <color theme="1"/>
      <name val="Calibri"/>
      <family val="2"/>
      <scheme val="major"/>
    </font>
    <font>
      <i/>
      <sz val="12"/>
      <color theme="1"/>
      <name val="Calibri"/>
      <family val="2"/>
      <scheme val="major"/>
    </font>
    <font>
      <b/>
      <sz val="10"/>
      <color rgb="FF000000"/>
      <name val="Arial"/>
      <family val="2"/>
    </font>
    <font>
      <sz val="10"/>
      <color rgb="FF000000"/>
      <name val="Calibri"/>
      <family val="2"/>
      <scheme val="major"/>
    </font>
    <font>
      <sz val="12"/>
      <name val="Calibri"/>
      <family val="2"/>
      <scheme val="major"/>
    </font>
    <font>
      <sz val="10"/>
      <name val="Calibri"/>
      <family val="2"/>
      <scheme val="major"/>
    </font>
    <font>
      <b/>
      <sz val="12"/>
      <color rgb="FF205867"/>
      <name val="Calibri"/>
      <family val="2"/>
      <scheme val="major"/>
    </font>
    <font>
      <b/>
      <sz val="12"/>
      <color rgb="FFFF9900"/>
      <name val="Calibri"/>
      <family val="2"/>
      <scheme val="major"/>
    </font>
    <font>
      <b/>
      <sz val="12"/>
      <color theme="0"/>
      <name val="Calibri"/>
      <family val="2"/>
      <scheme val="major"/>
    </font>
    <font>
      <b/>
      <i/>
      <sz val="12"/>
      <color theme="1"/>
      <name val="Calibri"/>
      <family val="2"/>
      <scheme val="major"/>
    </font>
    <font>
      <sz val="12"/>
      <color theme="0"/>
      <name val="Calibri"/>
      <family val="2"/>
      <scheme val="major"/>
    </font>
    <font>
      <b/>
      <sz val="12"/>
      <color rgb="FFFFFFFF"/>
      <name val="Calibri"/>
      <family val="2"/>
      <scheme val="major"/>
    </font>
    <font>
      <b/>
      <sz val="12"/>
      <color rgb="FFFF6600"/>
      <name val="Calibri"/>
      <family val="2"/>
      <scheme val="major"/>
    </font>
    <font>
      <b/>
      <vertAlign val="subscript"/>
      <sz val="10"/>
      <color theme="0"/>
      <name val="Calibri"/>
      <family val="2"/>
      <scheme val="major"/>
    </font>
    <font>
      <b/>
      <i/>
      <sz val="11"/>
      <color rgb="FF000000"/>
      <name val="Calibri"/>
      <family val="2"/>
      <scheme val="major"/>
    </font>
    <font>
      <b/>
      <i/>
      <sz val="20"/>
      <color rgb="FF000000"/>
      <name val="Calibri"/>
      <family val="2"/>
      <scheme val="major"/>
    </font>
    <font>
      <sz val="10"/>
      <color rgb="FF000000"/>
      <name val="Arial"/>
      <family val="2"/>
    </font>
    <font>
      <b/>
      <i/>
      <sz val="10"/>
      <color rgb="FF000000"/>
      <name val="Calibri"/>
      <family val="2"/>
      <scheme val="major"/>
    </font>
    <font>
      <b/>
      <i/>
      <sz val="11"/>
      <color rgb="FFFF0000"/>
      <name val="Calibri"/>
      <family val="2"/>
      <scheme val="major"/>
    </font>
    <font>
      <i/>
      <sz val="10"/>
      <color rgb="FF000000"/>
      <name val="Arial"/>
      <family val="2"/>
    </font>
    <font>
      <i/>
      <sz val="10"/>
      <color rgb="FF000000"/>
      <name val="Calibri"/>
      <family val="2"/>
      <scheme val="major"/>
    </font>
    <font>
      <b/>
      <sz val="11"/>
      <color rgb="FFFF0000"/>
      <name val="Calibri"/>
      <family val="2"/>
      <scheme val="major"/>
    </font>
    <font>
      <sz val="10"/>
      <color rgb="FFFF0000"/>
      <name val="Arial"/>
      <family val="2"/>
    </font>
    <font>
      <b/>
      <sz val="12"/>
      <color rgb="FFFF0000"/>
      <name val="Calibri"/>
      <family val="2"/>
      <scheme val="major"/>
    </font>
    <font>
      <i/>
      <sz val="11"/>
      <color theme="1"/>
      <name val="Calibri"/>
      <family val="2"/>
      <charset val="163"/>
      <scheme val="major"/>
    </font>
    <font>
      <sz val="10"/>
      <name val="MS Sans Serif"/>
    </font>
    <font>
      <sz val="9"/>
      <color indexed="81"/>
      <name val="Tahoma"/>
      <family val="2"/>
      <charset val="163"/>
    </font>
    <font>
      <b/>
      <sz val="10"/>
      <color rgb="FF000000"/>
      <name val="Calibri"/>
      <family val="2"/>
      <scheme val="major"/>
    </font>
    <font>
      <b/>
      <sz val="10"/>
      <color rgb="FFFF0000"/>
      <name val="Calibri"/>
      <family val="2"/>
      <scheme val="major"/>
    </font>
    <font>
      <b/>
      <i/>
      <sz val="12"/>
      <color theme="0"/>
      <name val="Calibri"/>
      <family val="2"/>
      <scheme val="major"/>
    </font>
    <font>
      <sz val="10"/>
      <color rgb="FFFF0000"/>
      <name val="Calibri"/>
      <family val="2"/>
      <scheme val="major"/>
    </font>
    <font>
      <sz val="12"/>
      <color rgb="FFFF0000"/>
      <name val="Calibri"/>
      <family val="2"/>
      <scheme val="major"/>
    </font>
    <font>
      <i/>
      <sz val="12"/>
      <color rgb="FFFF0000"/>
      <name val="Calibri"/>
      <family val="2"/>
      <scheme val="major"/>
    </font>
    <font>
      <b/>
      <i/>
      <sz val="12"/>
      <color rgb="FFFF0000"/>
      <name val="Calibri"/>
      <family val="2"/>
      <scheme val="major"/>
    </font>
    <font>
      <sz val="10"/>
      <color theme="1"/>
      <name val="Calibri"/>
      <family val="2"/>
      <scheme val="major"/>
    </font>
  </fonts>
  <fills count="23">
    <fill>
      <patternFill patternType="none"/>
    </fill>
    <fill>
      <patternFill patternType="gray125"/>
    </fill>
    <fill>
      <patternFill patternType="solid">
        <fgColor rgb="FF000000"/>
        <bgColor rgb="FF000000"/>
      </patternFill>
    </fill>
    <fill>
      <patternFill patternType="solid">
        <fgColor rgb="FFDAEEF3"/>
        <bgColor rgb="FFDAEEF3"/>
      </patternFill>
    </fill>
    <fill>
      <patternFill patternType="solid">
        <fgColor rgb="FFB6DDE8"/>
        <bgColor rgb="FFB6DDE8"/>
      </patternFill>
    </fill>
    <fill>
      <patternFill patternType="solid">
        <fgColor theme="1"/>
        <bgColor theme="1"/>
      </patternFill>
    </fill>
    <fill>
      <patternFill patternType="solid">
        <fgColor theme="4"/>
        <bgColor rgb="FF185B8B"/>
      </patternFill>
    </fill>
    <fill>
      <patternFill patternType="solid">
        <fgColor theme="8" tint="0.39997558519241921"/>
        <bgColor indexed="64"/>
      </patternFill>
    </fill>
    <fill>
      <patternFill patternType="solid">
        <fgColor theme="8" tint="0.79998168889431442"/>
        <bgColor rgb="FFFFD579"/>
      </patternFill>
    </fill>
    <fill>
      <patternFill patternType="solid">
        <fgColor theme="8" tint="0.79998168889431442"/>
        <bgColor indexed="64"/>
      </patternFill>
    </fill>
    <fill>
      <patternFill patternType="solid">
        <fgColor theme="4"/>
        <bgColor rgb="FF92CDDC"/>
      </patternFill>
    </fill>
    <fill>
      <patternFill patternType="solid">
        <fgColor theme="8" tint="0.39997558519241921"/>
        <bgColor theme="1"/>
      </patternFill>
    </fill>
    <fill>
      <patternFill patternType="solid">
        <fgColor rgb="FFFFC000"/>
        <bgColor rgb="FFFFC000"/>
      </patternFill>
    </fill>
    <fill>
      <patternFill patternType="solid">
        <fgColor theme="1"/>
        <bgColor indexed="64"/>
      </patternFill>
    </fill>
    <fill>
      <patternFill patternType="solid">
        <fgColor rgb="FFFF0000"/>
        <bgColor indexed="64"/>
      </patternFill>
    </fill>
    <fill>
      <patternFill patternType="solid">
        <fgColor theme="9" tint="0.59999389629810485"/>
        <bgColor indexed="64"/>
      </patternFill>
    </fill>
    <fill>
      <patternFill patternType="solid">
        <fgColor rgb="FF00FFFF"/>
        <bgColor indexed="64"/>
      </patternFill>
    </fill>
    <fill>
      <patternFill patternType="solid">
        <fgColor rgb="FFDAEEF3"/>
        <bgColor indexed="64"/>
      </patternFill>
    </fill>
    <fill>
      <patternFill patternType="solid">
        <fgColor rgb="FFDAEEF3"/>
        <bgColor rgb="FFFFD579"/>
      </patternFill>
    </fill>
    <fill>
      <patternFill patternType="solid">
        <fgColor theme="4" tint="0.59999389629810485"/>
        <bgColor indexed="64"/>
      </patternFill>
    </fill>
    <fill>
      <patternFill patternType="solid">
        <fgColor rgb="FF92CDDC"/>
        <bgColor indexed="64"/>
      </patternFill>
    </fill>
    <fill>
      <patternFill patternType="solid">
        <fgColor rgb="FF00FF00"/>
        <bgColor indexed="64"/>
      </patternFill>
    </fill>
    <fill>
      <patternFill patternType="solid">
        <fgColor rgb="FFFFFF00"/>
        <bgColor indexed="64"/>
      </patternFill>
    </fill>
  </fills>
  <borders count="17">
    <border>
      <left/>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style="medium">
        <color rgb="FF000000"/>
      </bottom>
      <diagonal/>
    </border>
    <border>
      <left style="medium">
        <color rgb="FF000000"/>
      </left>
      <right/>
      <top/>
      <bottom style="thin">
        <color rgb="FF000000"/>
      </bottom>
      <diagonal/>
    </border>
    <border>
      <left/>
      <right/>
      <top style="thin">
        <color rgb="FF000000"/>
      </top>
      <bottom style="thin">
        <color rgb="FF000000"/>
      </bottom>
      <diagonal/>
    </border>
    <border>
      <left style="medium">
        <color rgb="FF000000"/>
      </left>
      <right/>
      <top/>
      <bottom/>
      <diagonal/>
    </border>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5">
    <xf numFmtId="0" fontId="0" fillId="0" borderId="0"/>
    <xf numFmtId="9" fontId="15" fillId="0" borderId="0" applyFont="0" applyFill="0" applyBorder="0" applyAlignment="0" applyProtection="0"/>
    <xf numFmtId="43" fontId="46" fillId="0" borderId="0" applyFont="0" applyFill="0" applyBorder="0" applyAlignment="0" applyProtection="0"/>
    <xf numFmtId="0" fontId="1" fillId="0" borderId="9"/>
    <xf numFmtId="0" fontId="55" fillId="0" borderId="9"/>
  </cellStyleXfs>
  <cellXfs count="343">
    <xf numFmtId="0" fontId="0" fillId="0" borderId="0" xfId="0"/>
    <xf numFmtId="0" fontId="4" fillId="0" borderId="0" xfId="0" applyFont="1" applyAlignment="1">
      <alignment vertical="center"/>
    </xf>
    <xf numFmtId="0" fontId="5" fillId="3" borderId="6" xfId="0" applyFont="1" applyFill="1" applyBorder="1" applyAlignment="1">
      <alignment vertical="center"/>
    </xf>
    <xf numFmtId="0" fontId="4" fillId="0" borderId="8" xfId="0" applyFont="1" applyBorder="1" applyAlignment="1">
      <alignment vertical="center"/>
    </xf>
    <xf numFmtId="0" fontId="6" fillId="0" borderId="0" xfId="0" applyFont="1" applyAlignment="1">
      <alignment vertical="center"/>
    </xf>
    <xf numFmtId="0" fontId="4" fillId="0" borderId="0" xfId="0" applyFont="1" applyAlignment="1">
      <alignment horizontal="center" vertical="center"/>
    </xf>
    <xf numFmtId="0" fontId="4" fillId="0" borderId="8" xfId="0" applyFont="1" applyBorder="1" applyAlignment="1">
      <alignment horizontal="left" vertical="center"/>
    </xf>
    <xf numFmtId="0" fontId="7" fillId="0" borderId="0" xfId="0" applyFont="1" applyAlignment="1">
      <alignment vertical="center"/>
    </xf>
    <xf numFmtId="16" fontId="4" fillId="0" borderId="0" xfId="0" applyNumberFormat="1" applyFont="1" applyAlignment="1">
      <alignment horizontal="center" vertical="center"/>
    </xf>
    <xf numFmtId="49" fontId="4" fillId="0" borderId="0" xfId="0" applyNumberFormat="1" applyFont="1" applyAlignment="1">
      <alignment horizontal="center"/>
    </xf>
    <xf numFmtId="0" fontId="4" fillId="0" borderId="0" xfId="0" applyFont="1" applyAlignment="1">
      <alignment horizontal="left" vertical="center"/>
    </xf>
    <xf numFmtId="3" fontId="11" fillId="0" borderId="0" xfId="0" applyNumberFormat="1" applyFont="1" applyAlignment="1">
      <alignment horizontal="center"/>
    </xf>
    <xf numFmtId="3" fontId="4" fillId="0" borderId="0" xfId="0" applyNumberFormat="1" applyFont="1" applyAlignment="1">
      <alignment vertical="center"/>
    </xf>
    <xf numFmtId="0" fontId="4" fillId="0" borderId="8" xfId="0" applyFont="1" applyBorder="1" applyAlignment="1">
      <alignment horizontal="center" vertical="center"/>
    </xf>
    <xf numFmtId="9" fontId="4" fillId="0" borderId="0" xfId="0" applyNumberFormat="1" applyFont="1" applyAlignment="1">
      <alignment vertical="center"/>
    </xf>
    <xf numFmtId="0" fontId="5" fillId="0" borderId="0" xfId="0" applyFont="1" applyAlignment="1">
      <alignment vertical="center"/>
    </xf>
    <xf numFmtId="3" fontId="5" fillId="0" borderId="0" xfId="0" applyNumberFormat="1" applyFont="1" applyAlignment="1">
      <alignment vertical="center"/>
    </xf>
    <xf numFmtId="9" fontId="12" fillId="0" borderId="0" xfId="0" applyNumberFormat="1" applyFont="1" applyAlignment="1">
      <alignment vertical="center"/>
    </xf>
    <xf numFmtId="4" fontId="4" fillId="0" borderId="0" xfId="0" applyNumberFormat="1" applyFont="1" applyAlignment="1">
      <alignment vertical="center"/>
    </xf>
    <xf numFmtId="0" fontId="11" fillId="0" borderId="0" xfId="0" applyFont="1" applyAlignment="1">
      <alignment horizontal="center"/>
    </xf>
    <xf numFmtId="170" fontId="5" fillId="0" borderId="0" xfId="0" applyNumberFormat="1" applyFont="1" applyAlignment="1">
      <alignment vertical="center"/>
    </xf>
    <xf numFmtId="9" fontId="11" fillId="0" borderId="0" xfId="0" applyNumberFormat="1" applyFont="1" applyAlignment="1">
      <alignment horizontal="center"/>
    </xf>
    <xf numFmtId="170" fontId="4" fillId="0" borderId="0" xfId="0" applyNumberFormat="1" applyFont="1" applyAlignment="1">
      <alignment vertical="center"/>
    </xf>
    <xf numFmtId="49" fontId="4" fillId="0" borderId="3" xfId="0" applyNumberFormat="1" applyFont="1" applyBorder="1" applyAlignment="1">
      <alignment horizontal="center"/>
    </xf>
    <xf numFmtId="3" fontId="4" fillId="0" borderId="3" xfId="0" applyNumberFormat="1" applyFont="1" applyBorder="1" applyAlignment="1">
      <alignment vertical="center"/>
    </xf>
    <xf numFmtId="0" fontId="4" fillId="0" borderId="1" xfId="0" applyFont="1" applyBorder="1" applyAlignment="1">
      <alignment horizontal="center" vertical="center"/>
    </xf>
    <xf numFmtId="166" fontId="4" fillId="0" borderId="0" xfId="0" applyNumberFormat="1" applyFont="1" applyAlignment="1">
      <alignment vertical="center"/>
    </xf>
    <xf numFmtId="164" fontId="4" fillId="0" borderId="0" xfId="0" applyNumberFormat="1" applyFont="1" applyAlignment="1">
      <alignment horizontal="center" vertical="center"/>
    </xf>
    <xf numFmtId="0" fontId="4" fillId="0" borderId="1" xfId="0" applyFont="1" applyBorder="1" applyAlignment="1">
      <alignment vertical="center"/>
    </xf>
    <xf numFmtId="165" fontId="4" fillId="0" borderId="0" xfId="0" applyNumberFormat="1" applyFont="1" applyAlignment="1">
      <alignment horizontal="center" vertical="center"/>
    </xf>
    <xf numFmtId="169" fontId="4" fillId="0" borderId="0" xfId="0" applyNumberFormat="1" applyFont="1" applyAlignment="1">
      <alignment vertical="center"/>
    </xf>
    <xf numFmtId="9" fontId="12" fillId="0" borderId="0" xfId="0" applyNumberFormat="1" applyFont="1" applyAlignment="1">
      <alignment horizontal="right" vertical="center" wrapText="1"/>
    </xf>
    <xf numFmtId="3" fontId="4" fillId="0" borderId="0" xfId="0" applyNumberFormat="1" applyFont="1" applyAlignment="1">
      <alignment horizontal="right" vertical="center" wrapText="1"/>
    </xf>
    <xf numFmtId="0" fontId="0" fillId="0" borderId="1" xfId="0" applyBorder="1"/>
    <xf numFmtId="0" fontId="5" fillId="0" borderId="8" xfId="0" applyFont="1" applyBorder="1" applyAlignment="1">
      <alignment vertical="center"/>
    </xf>
    <xf numFmtId="3" fontId="4" fillId="0" borderId="0" xfId="0" applyNumberFormat="1" applyFont="1" applyAlignment="1">
      <alignment horizontal="right" vertical="center"/>
    </xf>
    <xf numFmtId="0" fontId="5" fillId="0" borderId="3" xfId="0" applyFont="1" applyBorder="1" applyAlignment="1">
      <alignment vertical="center"/>
    </xf>
    <xf numFmtId="0" fontId="4" fillId="0" borderId="3" xfId="0" applyFont="1" applyBorder="1" applyAlignment="1">
      <alignment horizontal="center" vertical="center"/>
    </xf>
    <xf numFmtId="3" fontId="5" fillId="0" borderId="3" xfId="0" applyNumberFormat="1" applyFont="1" applyBorder="1" applyAlignment="1">
      <alignment vertical="center"/>
    </xf>
    <xf numFmtId="0" fontId="5" fillId="0" borderId="2" xfId="0" applyFont="1" applyBorder="1" applyAlignment="1">
      <alignment vertical="center"/>
    </xf>
    <xf numFmtId="0" fontId="4" fillId="0" borderId="3" xfId="0" applyFont="1" applyBorder="1" applyAlignment="1">
      <alignment vertical="center"/>
    </xf>
    <xf numFmtId="164" fontId="4" fillId="0" borderId="0" xfId="0" applyNumberFormat="1" applyFont="1" applyAlignment="1">
      <alignment vertical="center"/>
    </xf>
    <xf numFmtId="166" fontId="4" fillId="0" borderId="0" xfId="0" applyNumberFormat="1" applyFont="1" applyAlignment="1">
      <alignment horizontal="center" vertical="center"/>
    </xf>
    <xf numFmtId="9" fontId="4" fillId="0" borderId="0" xfId="0" applyNumberFormat="1" applyFont="1" applyAlignment="1">
      <alignment horizontal="center" vertical="center"/>
    </xf>
    <xf numFmtId="3" fontId="4" fillId="0" borderId="0" xfId="0" applyNumberFormat="1" applyFont="1" applyAlignment="1">
      <alignment horizontal="center" vertical="center"/>
    </xf>
    <xf numFmtId="3" fontId="5" fillId="0" borderId="3" xfId="0" applyNumberFormat="1" applyFont="1" applyBorder="1" applyAlignment="1">
      <alignment horizontal="center" vertical="center"/>
    </xf>
    <xf numFmtId="166" fontId="4" fillId="0" borderId="3" xfId="0" applyNumberFormat="1" applyFont="1" applyBorder="1" applyAlignment="1">
      <alignment vertical="center"/>
    </xf>
    <xf numFmtId="0" fontId="5" fillId="0" borderId="0" xfId="0" applyFont="1" applyAlignment="1">
      <alignment horizontal="left" vertical="center"/>
    </xf>
    <xf numFmtId="167" fontId="4" fillId="0" borderId="0" xfId="0" applyNumberFormat="1" applyFont="1" applyAlignment="1">
      <alignment vertical="center"/>
    </xf>
    <xf numFmtId="9" fontId="5" fillId="0" borderId="0" xfId="0" applyNumberFormat="1" applyFont="1" applyAlignment="1">
      <alignment vertical="center"/>
    </xf>
    <xf numFmtId="0" fontId="5" fillId="0" borderId="0" xfId="0" applyFont="1" applyAlignment="1">
      <alignment horizontal="right" vertical="center"/>
    </xf>
    <xf numFmtId="168" fontId="5" fillId="0" borderId="0" xfId="0" applyNumberFormat="1" applyFont="1" applyAlignment="1">
      <alignment vertical="center"/>
    </xf>
    <xf numFmtId="166" fontId="5" fillId="0" borderId="0" xfId="0" applyNumberFormat="1" applyFont="1" applyAlignment="1">
      <alignment vertical="center"/>
    </xf>
    <xf numFmtId="0" fontId="17" fillId="0" borderId="0" xfId="0" applyFont="1" applyAlignment="1">
      <alignment horizontal="left"/>
    </xf>
    <xf numFmtId="0" fontId="17" fillId="0" borderId="0" xfId="0" applyFont="1" applyAlignment="1">
      <alignment horizontal="right"/>
    </xf>
    <xf numFmtId="0" fontId="17" fillId="0" borderId="0" xfId="0" applyFont="1"/>
    <xf numFmtId="3" fontId="17" fillId="0" borderId="0" xfId="0" applyNumberFormat="1" applyFont="1" applyAlignment="1">
      <alignment horizontal="right"/>
    </xf>
    <xf numFmtId="0" fontId="17" fillId="0" borderId="9" xfId="0" applyFont="1" applyBorder="1"/>
    <xf numFmtId="0" fontId="17" fillId="0" borderId="9" xfId="0" applyFont="1" applyBorder="1" applyAlignment="1">
      <alignment horizontal="left"/>
    </xf>
    <xf numFmtId="0" fontId="17" fillId="0" borderId="9" xfId="0" applyFont="1" applyBorder="1" applyAlignment="1">
      <alignment horizontal="right"/>
    </xf>
    <xf numFmtId="3" fontId="17" fillId="0" borderId="9" xfId="0" applyNumberFormat="1" applyFont="1" applyBorder="1" applyAlignment="1">
      <alignment horizontal="right"/>
    </xf>
    <xf numFmtId="16" fontId="17" fillId="0" borderId="9" xfId="0" applyNumberFormat="1" applyFont="1" applyBorder="1" applyAlignment="1">
      <alignment horizontal="center"/>
    </xf>
    <xf numFmtId="0" fontId="17" fillId="0" borderId="9" xfId="0" applyFont="1" applyBorder="1" applyAlignment="1">
      <alignment horizontal="center"/>
    </xf>
    <xf numFmtId="3" fontId="17" fillId="0" borderId="9" xfId="0" applyNumberFormat="1" applyFont="1" applyBorder="1"/>
    <xf numFmtId="0" fontId="22" fillId="0" borderId="9" xfId="0" applyFont="1" applyBorder="1"/>
    <xf numFmtId="0" fontId="18" fillId="8" borderId="11" xfId="0" applyFont="1" applyFill="1" applyBorder="1" applyAlignment="1">
      <alignment horizontal="left"/>
    </xf>
    <xf numFmtId="0" fontId="18" fillId="8" borderId="9" xfId="0" applyFont="1" applyFill="1" applyBorder="1" applyAlignment="1">
      <alignment horizontal="right"/>
    </xf>
    <xf numFmtId="0" fontId="18" fillId="8" borderId="9" xfId="0" applyFont="1" applyFill="1" applyBorder="1" applyAlignment="1">
      <alignment horizontal="center"/>
    </xf>
    <xf numFmtId="3" fontId="18" fillId="8" borderId="9" xfId="0" applyNumberFormat="1" applyFont="1" applyFill="1" applyBorder="1" applyAlignment="1">
      <alignment horizontal="center"/>
    </xf>
    <xf numFmtId="0" fontId="18" fillId="9" borderId="9" xfId="0" applyFont="1" applyFill="1" applyBorder="1" applyAlignment="1">
      <alignment horizontal="center"/>
    </xf>
    <xf numFmtId="0" fontId="25" fillId="0" borderId="0" xfId="0" applyFont="1"/>
    <xf numFmtId="0" fontId="17" fillId="0" borderId="11" xfId="0" applyFont="1" applyBorder="1"/>
    <xf numFmtId="9" fontId="25" fillId="0" borderId="0" xfId="0" applyNumberFormat="1" applyFont="1"/>
    <xf numFmtId="0" fontId="25" fillId="0" borderId="9" xfId="0" applyFont="1" applyBorder="1"/>
    <xf numFmtId="3" fontId="25" fillId="0" borderId="0" xfId="0" applyNumberFormat="1" applyFont="1"/>
    <xf numFmtId="0" fontId="19" fillId="9" borderId="12" xfId="0" applyFont="1" applyFill="1" applyBorder="1"/>
    <xf numFmtId="3" fontId="18" fillId="8" borderId="14" xfId="0" applyNumberFormat="1" applyFont="1" applyFill="1" applyBorder="1" applyAlignment="1">
      <alignment horizontal="center"/>
    </xf>
    <xf numFmtId="3" fontId="17" fillId="0" borderId="15" xfId="0" applyNumberFormat="1" applyFont="1" applyBorder="1" applyAlignment="1">
      <alignment horizontal="right"/>
    </xf>
    <xf numFmtId="0" fontId="24" fillId="9" borderId="0" xfId="0" applyFont="1" applyFill="1" applyAlignment="1">
      <alignment horizontal="center"/>
    </xf>
    <xf numFmtId="3" fontId="24" fillId="0" borderId="10" xfId="0" applyNumberFormat="1" applyFont="1" applyBorder="1"/>
    <xf numFmtId="9" fontId="25" fillId="0" borderId="0" xfId="1" applyFont="1" applyAlignment="1"/>
    <xf numFmtId="0" fontId="25" fillId="0" borderId="0" xfId="0" applyFont="1" applyAlignment="1">
      <alignment horizontal="center"/>
    </xf>
    <xf numFmtId="0" fontId="24" fillId="0" borderId="0" xfId="0" applyFont="1" applyAlignment="1">
      <alignment horizontal="center"/>
    </xf>
    <xf numFmtId="0" fontId="30" fillId="0" borderId="0" xfId="0" applyFont="1" applyAlignment="1">
      <alignment horizontal="left" vertical="center"/>
    </xf>
    <xf numFmtId="0" fontId="30" fillId="0" borderId="0" xfId="0" applyFont="1" applyAlignment="1">
      <alignment vertical="center"/>
    </xf>
    <xf numFmtId="167" fontId="30" fillId="0" borderId="0" xfId="0" applyNumberFormat="1" applyFont="1" applyAlignment="1">
      <alignment vertical="center"/>
    </xf>
    <xf numFmtId="0" fontId="32" fillId="0" borderId="0" xfId="0" applyFont="1"/>
    <xf numFmtId="0" fontId="0" fillId="0" borderId="0" xfId="0" quotePrefix="1"/>
    <xf numFmtId="10" fontId="17" fillId="0" borderId="9" xfId="0" applyNumberFormat="1" applyFont="1" applyBorder="1" applyAlignment="1">
      <alignment horizontal="right" wrapText="1"/>
    </xf>
    <xf numFmtId="0" fontId="33" fillId="0" borderId="0" xfId="0" applyFont="1"/>
    <xf numFmtId="0" fontId="34" fillId="0" borderId="9" xfId="0" applyFont="1" applyBorder="1"/>
    <xf numFmtId="0" fontId="30" fillId="0" borderId="7" xfId="0" applyFont="1" applyBorder="1" applyAlignment="1">
      <alignment horizontal="right" vertical="center"/>
    </xf>
    <xf numFmtId="0" fontId="37" fillId="0" borderId="0" xfId="0" applyFont="1" applyAlignment="1">
      <alignment horizontal="center" vertical="center"/>
    </xf>
    <xf numFmtId="0" fontId="30" fillId="11" borderId="7" xfId="0" applyFont="1" applyFill="1" applyBorder="1" applyAlignment="1">
      <alignment horizontal="center" vertical="center"/>
    </xf>
    <xf numFmtId="0" fontId="30" fillId="11" borderId="7" xfId="0" applyFont="1" applyFill="1" applyBorder="1" applyAlignment="1">
      <alignment horizontal="right" vertical="center"/>
    </xf>
    <xf numFmtId="169" fontId="30" fillId="0" borderId="0" xfId="0" applyNumberFormat="1" applyFont="1" applyAlignment="1">
      <alignment vertical="center"/>
    </xf>
    <xf numFmtId="0" fontId="29" fillId="3" borderId="3" xfId="0" applyFont="1" applyFill="1" applyBorder="1" applyAlignment="1">
      <alignment vertical="center"/>
    </xf>
    <xf numFmtId="169" fontId="29" fillId="3" borderId="3" xfId="0" applyNumberFormat="1" applyFont="1" applyFill="1" applyBorder="1" applyAlignment="1">
      <alignment vertical="center"/>
    </xf>
    <xf numFmtId="0" fontId="29" fillId="0" borderId="0" xfId="0" applyFont="1" applyAlignment="1">
      <alignment vertical="center"/>
    </xf>
    <xf numFmtId="166" fontId="30" fillId="0" borderId="0" xfId="0" applyNumberFormat="1" applyFont="1" applyAlignment="1">
      <alignment vertical="center"/>
    </xf>
    <xf numFmtId="169" fontId="29" fillId="0" borderId="0" xfId="0" applyNumberFormat="1" applyFont="1" applyAlignment="1">
      <alignment vertical="center"/>
    </xf>
    <xf numFmtId="0" fontId="30" fillId="0" borderId="3" xfId="0" applyFont="1" applyBorder="1" applyAlignment="1">
      <alignment vertical="center"/>
    </xf>
    <xf numFmtId="2" fontId="30" fillId="0" borderId="3" xfId="0" applyNumberFormat="1" applyFont="1" applyBorder="1" applyAlignment="1">
      <alignment vertical="center"/>
    </xf>
    <xf numFmtId="167" fontId="37" fillId="0" borderId="0" xfId="0" applyNumberFormat="1" applyFont="1" applyAlignment="1">
      <alignment horizontal="center" vertical="center"/>
    </xf>
    <xf numFmtId="0" fontId="39" fillId="0" borderId="0" xfId="0" applyFont="1" applyAlignment="1">
      <alignment horizontal="left" vertical="center"/>
    </xf>
    <xf numFmtId="167" fontId="31" fillId="0" borderId="0" xfId="0" applyNumberFormat="1" applyFont="1" applyAlignment="1">
      <alignment vertical="center"/>
    </xf>
    <xf numFmtId="169" fontId="31" fillId="0" borderId="0" xfId="0" applyNumberFormat="1" applyFont="1" applyAlignment="1">
      <alignment vertical="center"/>
    </xf>
    <xf numFmtId="0" fontId="30" fillId="0" borderId="0" xfId="0" quotePrefix="1" applyFont="1" applyAlignment="1">
      <alignment horizontal="left" vertical="center"/>
    </xf>
    <xf numFmtId="169" fontId="33" fillId="0" borderId="0" xfId="0" applyNumberFormat="1" applyFont="1"/>
    <xf numFmtId="0" fontId="39" fillId="0" borderId="0" xfId="0" applyFont="1" applyAlignment="1">
      <alignment vertical="center"/>
    </xf>
    <xf numFmtId="0" fontId="39" fillId="0" borderId="0" xfId="0" quotePrefix="1" applyFont="1" applyAlignment="1">
      <alignment horizontal="left" vertical="center"/>
    </xf>
    <xf numFmtId="0" fontId="29" fillId="0" borderId="0" xfId="0" applyFont="1" applyAlignment="1">
      <alignment horizontal="center" vertical="center"/>
    </xf>
    <xf numFmtId="0" fontId="30" fillId="11" borderId="7" xfId="0" applyFont="1" applyFill="1" applyBorder="1" applyAlignment="1">
      <alignment vertical="center"/>
    </xf>
    <xf numFmtId="0" fontId="39" fillId="12" borderId="9" xfId="0" applyFont="1" applyFill="1" applyBorder="1" applyAlignment="1">
      <alignment horizontal="left" vertical="center"/>
    </xf>
    <xf numFmtId="0" fontId="30" fillId="0" borderId="9" xfId="0" applyFont="1" applyBorder="1" applyAlignment="1">
      <alignment horizontal="left" vertical="center"/>
    </xf>
    <xf numFmtId="169" fontId="39" fillId="0" borderId="0" xfId="0" applyNumberFormat="1" applyFont="1" applyAlignment="1">
      <alignment vertical="center"/>
    </xf>
    <xf numFmtId="0" fontId="39" fillId="12" borderId="9" xfId="0" applyFont="1" applyFill="1" applyBorder="1" applyAlignment="1">
      <alignment vertical="center"/>
    </xf>
    <xf numFmtId="0" fontId="30" fillId="0" borderId="9" xfId="0" applyFont="1" applyBorder="1" applyAlignment="1">
      <alignment vertical="center"/>
    </xf>
    <xf numFmtId="0" fontId="29" fillId="0" borderId="9" xfId="0" applyFont="1" applyBorder="1" applyAlignment="1">
      <alignment vertical="center"/>
    </xf>
    <xf numFmtId="3" fontId="29" fillId="0" borderId="9" xfId="0" applyNumberFormat="1" applyFont="1" applyBorder="1" applyAlignment="1">
      <alignment vertical="center"/>
    </xf>
    <xf numFmtId="0" fontId="38" fillId="13" borderId="12" xfId="0" applyFont="1" applyFill="1" applyBorder="1" applyAlignment="1">
      <alignment horizontal="left"/>
    </xf>
    <xf numFmtId="166" fontId="40" fillId="13" borderId="12" xfId="0" applyNumberFormat="1" applyFont="1" applyFill="1" applyBorder="1" applyAlignment="1">
      <alignment horizontal="right"/>
    </xf>
    <xf numFmtId="0" fontId="38" fillId="14" borderId="11" xfId="0" applyFont="1" applyFill="1" applyBorder="1" applyAlignment="1">
      <alignment horizontal="left" vertical="center"/>
    </xf>
    <xf numFmtId="3" fontId="30" fillId="16" borderId="11" xfId="0" applyNumberFormat="1" applyFont="1" applyFill="1" applyBorder="1" applyAlignment="1">
      <alignment horizontal="right" vertical="center"/>
    </xf>
    <xf numFmtId="0" fontId="41" fillId="0" borderId="0" xfId="0" applyFont="1" applyAlignment="1">
      <alignment vertical="center"/>
    </xf>
    <xf numFmtId="169" fontId="41" fillId="0" borderId="0" xfId="0" applyNumberFormat="1" applyFont="1" applyAlignment="1">
      <alignment vertical="center"/>
    </xf>
    <xf numFmtId="0" fontId="42" fillId="0" borderId="0" xfId="0" applyFont="1" applyAlignment="1">
      <alignment vertical="center"/>
    </xf>
    <xf numFmtId="0" fontId="35" fillId="0" borderId="0" xfId="0" applyFont="1"/>
    <xf numFmtId="0" fontId="28" fillId="0" borderId="0" xfId="0" applyFont="1"/>
    <xf numFmtId="0" fontId="28" fillId="0" borderId="9" xfId="0" applyFont="1" applyBorder="1"/>
    <xf numFmtId="0" fontId="36" fillId="0" borderId="0" xfId="0" applyFont="1" applyAlignment="1">
      <alignment horizontal="center" vertical="center"/>
    </xf>
    <xf numFmtId="0" fontId="33" fillId="0" borderId="3" xfId="0" applyFont="1" applyBorder="1" applyAlignment="1">
      <alignment horizontal="right"/>
    </xf>
    <xf numFmtId="0" fontId="5" fillId="3" borderId="9" xfId="0" applyFont="1" applyFill="1" applyBorder="1" applyAlignment="1">
      <alignment horizontal="right" vertical="center"/>
    </xf>
    <xf numFmtId="0" fontId="5" fillId="4" borderId="7" xfId="0" applyFont="1" applyFill="1" applyBorder="1" applyAlignment="1">
      <alignment horizontal="center" vertical="center"/>
    </xf>
    <xf numFmtId="0" fontId="8" fillId="5" borderId="9" xfId="0" applyFont="1" applyFill="1" applyBorder="1" applyAlignment="1">
      <alignment horizontal="center" vertical="center"/>
    </xf>
    <xf numFmtId="0" fontId="9" fillId="5" borderId="9" xfId="0" applyFont="1" applyFill="1" applyBorder="1" applyAlignment="1">
      <alignment horizontal="center" vertical="center"/>
    </xf>
    <xf numFmtId="0" fontId="10" fillId="5" borderId="9" xfId="0" applyFont="1" applyFill="1" applyBorder="1" applyAlignment="1">
      <alignment horizontal="center" vertical="center"/>
    </xf>
    <xf numFmtId="0" fontId="6" fillId="3" borderId="9" xfId="0" applyFont="1" applyFill="1" applyBorder="1" applyAlignment="1">
      <alignment horizontal="left" vertical="center"/>
    </xf>
    <xf numFmtId="0" fontId="6" fillId="3" borderId="9" xfId="0" applyFont="1" applyFill="1" applyBorder="1" applyAlignment="1">
      <alignment vertical="center"/>
    </xf>
    <xf numFmtId="0" fontId="13" fillId="3" borderId="9" xfId="0" applyFont="1" applyFill="1" applyBorder="1"/>
    <xf numFmtId="0" fontId="6" fillId="3" borderId="3" xfId="0" applyFont="1" applyFill="1" applyBorder="1" applyAlignment="1">
      <alignment vertical="center"/>
    </xf>
    <xf numFmtId="0" fontId="4" fillId="0" borderId="4" xfId="0" applyFont="1" applyBorder="1" applyAlignment="1">
      <alignment horizontal="center" vertical="center"/>
    </xf>
    <xf numFmtId="0" fontId="14" fillId="5" borderId="9" xfId="0" applyFont="1" applyFill="1" applyBorder="1" applyAlignment="1">
      <alignment horizontal="center" vertical="center"/>
    </xf>
    <xf numFmtId="0" fontId="5" fillId="3" borderId="3" xfId="0" applyFont="1" applyFill="1" applyBorder="1" applyAlignment="1">
      <alignment vertical="center" wrapText="1"/>
    </xf>
    <xf numFmtId="0" fontId="5" fillId="3" borderId="9" xfId="0" applyFont="1" applyFill="1" applyBorder="1" applyAlignment="1">
      <alignment vertical="center" wrapText="1"/>
    </xf>
    <xf numFmtId="0" fontId="8" fillId="0" borderId="0" xfId="0" applyFont="1" applyAlignment="1">
      <alignment horizontal="center" vertical="center"/>
    </xf>
    <xf numFmtId="0" fontId="8" fillId="2" borderId="9" xfId="0" applyFont="1" applyFill="1" applyBorder="1" applyAlignment="1">
      <alignment horizontal="center" vertical="center"/>
    </xf>
    <xf numFmtId="0" fontId="8" fillId="2" borderId="9" xfId="0" applyFont="1" applyFill="1" applyBorder="1" applyAlignment="1">
      <alignment horizontal="center" vertical="center" wrapText="1"/>
    </xf>
    <xf numFmtId="0" fontId="5" fillId="4" borderId="7" xfId="0" applyFont="1" applyFill="1" applyBorder="1" applyAlignment="1">
      <alignment vertical="center"/>
    </xf>
    <xf numFmtId="0" fontId="5" fillId="4" borderId="7" xfId="0" applyFont="1" applyFill="1" applyBorder="1" applyAlignment="1">
      <alignment horizontal="center" vertical="center" wrapText="1"/>
    </xf>
    <xf numFmtId="170" fontId="5" fillId="4" borderId="7" xfId="0" applyNumberFormat="1" applyFont="1" applyFill="1" applyBorder="1" applyAlignment="1">
      <alignment horizontal="center" vertical="center"/>
    </xf>
    <xf numFmtId="0" fontId="22" fillId="0" borderId="9" xfId="0" applyFont="1" applyBorder="1" applyAlignment="1">
      <alignment horizontal="left"/>
    </xf>
    <xf numFmtId="3" fontId="17" fillId="0" borderId="16" xfId="0" applyNumberFormat="1" applyFont="1" applyBorder="1" applyAlignment="1">
      <alignment horizontal="right"/>
    </xf>
    <xf numFmtId="0" fontId="25" fillId="0" borderId="0" xfId="0" applyFont="1" applyAlignment="1">
      <alignment horizontal="right"/>
    </xf>
    <xf numFmtId="0" fontId="17" fillId="0" borderId="11" xfId="0" applyFont="1" applyBorder="1" applyAlignment="1">
      <alignment horizontal="left"/>
    </xf>
    <xf numFmtId="3" fontId="17" fillId="0" borderId="11" xfId="0" applyNumberFormat="1" applyFont="1" applyBorder="1"/>
    <xf numFmtId="9" fontId="17" fillId="0" borderId="9" xfId="1" applyFont="1" applyFill="1" applyBorder="1" applyAlignment="1">
      <alignment horizontal="right"/>
    </xf>
    <xf numFmtId="3" fontId="18" fillId="18" borderId="9" xfId="0" applyNumberFormat="1" applyFont="1" applyFill="1" applyBorder="1" applyAlignment="1">
      <alignment horizontal="center"/>
    </xf>
    <xf numFmtId="0" fontId="0" fillId="17" borderId="0" xfId="0" applyFill="1"/>
    <xf numFmtId="0" fontId="25" fillId="17" borderId="0" xfId="0" applyFont="1" applyFill="1"/>
    <xf numFmtId="0" fontId="24" fillId="17" borderId="0" xfId="0" applyFont="1" applyFill="1" applyAlignment="1">
      <alignment horizontal="right"/>
    </xf>
    <xf numFmtId="0" fontId="23" fillId="17" borderId="12" xfId="0" applyFont="1" applyFill="1" applyBorder="1"/>
    <xf numFmtId="9" fontId="0" fillId="0" borderId="0" xfId="0" applyNumberFormat="1"/>
    <xf numFmtId="171" fontId="17" fillId="0" borderId="9" xfId="2" applyNumberFormat="1" applyFont="1" applyBorder="1" applyAlignment="1">
      <alignment horizontal="right"/>
    </xf>
    <xf numFmtId="0" fontId="18" fillId="18" borderId="11" xfId="0" applyFont="1" applyFill="1" applyBorder="1" applyAlignment="1">
      <alignment horizontal="left"/>
    </xf>
    <xf numFmtId="0" fontId="32" fillId="17" borderId="0" xfId="0" applyFont="1" applyFill="1"/>
    <xf numFmtId="4" fontId="17" fillId="0" borderId="9" xfId="0" applyNumberFormat="1" applyFont="1" applyBorder="1" applyAlignment="1">
      <alignment horizontal="right"/>
    </xf>
    <xf numFmtId="4" fontId="17" fillId="0" borderId="9" xfId="0" applyNumberFormat="1" applyFont="1" applyBorder="1"/>
    <xf numFmtId="4" fontId="17" fillId="0" borderId="15" xfId="0" applyNumberFormat="1" applyFont="1" applyBorder="1" applyAlignment="1">
      <alignment horizontal="right"/>
    </xf>
    <xf numFmtId="4" fontId="25" fillId="0" borderId="0" xfId="0" applyNumberFormat="1" applyFont="1"/>
    <xf numFmtId="4" fontId="25" fillId="0" borderId="0" xfId="2" applyNumberFormat="1" applyFont="1"/>
    <xf numFmtId="4" fontId="17" fillId="0" borderId="9" xfId="2" applyNumberFormat="1" applyFont="1" applyBorder="1"/>
    <xf numFmtId="4" fontId="17" fillId="0" borderId="9" xfId="2" applyNumberFormat="1" applyFont="1" applyBorder="1" applyAlignment="1">
      <alignment horizontal="right"/>
    </xf>
    <xf numFmtId="0" fontId="23" fillId="0" borderId="9" xfId="0" applyFont="1" applyBorder="1"/>
    <xf numFmtId="0" fontId="24" fillId="0" borderId="10" xfId="0" applyFont="1" applyBorder="1"/>
    <xf numFmtId="3" fontId="24" fillId="0" borderId="13" xfId="0" applyNumberFormat="1" applyFont="1" applyBorder="1"/>
    <xf numFmtId="4" fontId="30" fillId="0" borderId="0" xfId="0" applyNumberFormat="1" applyFont="1" applyAlignment="1">
      <alignment vertical="center"/>
    </xf>
    <xf numFmtId="171" fontId="30" fillId="0" borderId="3" xfId="2" applyNumberFormat="1" applyFont="1" applyBorder="1" applyAlignment="1">
      <alignment vertical="center"/>
    </xf>
    <xf numFmtId="0" fontId="47" fillId="0" borderId="0" xfId="0" applyFont="1"/>
    <xf numFmtId="3" fontId="30" fillId="0" borderId="0" xfId="0" applyNumberFormat="1" applyFont="1" applyAlignment="1">
      <alignment vertical="center"/>
    </xf>
    <xf numFmtId="171" fontId="25" fillId="0" borderId="0" xfId="0" applyNumberFormat="1" applyFont="1"/>
    <xf numFmtId="0" fontId="18" fillId="9" borderId="12" xfId="0" applyFont="1" applyFill="1" applyBorder="1"/>
    <xf numFmtId="3" fontId="24" fillId="0" borderId="11" xfId="0" applyNumberFormat="1" applyFont="1" applyBorder="1"/>
    <xf numFmtId="0" fontId="24" fillId="0" borderId="9" xfId="0" applyFont="1" applyBorder="1"/>
    <xf numFmtId="4" fontId="24" fillId="0" borderId="10" xfId="0" applyNumberFormat="1" applyFont="1" applyBorder="1"/>
    <xf numFmtId="0" fontId="48" fillId="15" borderId="9" xfId="0" applyFont="1" applyFill="1" applyBorder="1" applyAlignment="1">
      <alignment horizontal="center"/>
    </xf>
    <xf numFmtId="49" fontId="48" fillId="15" borderId="9" xfId="0" applyNumberFormat="1" applyFont="1" applyFill="1" applyBorder="1" applyAlignment="1">
      <alignment horizontal="center"/>
    </xf>
    <xf numFmtId="0" fontId="48" fillId="17" borderId="12" xfId="0" applyFont="1" applyFill="1" applyBorder="1"/>
    <xf numFmtId="4" fontId="17" fillId="0" borderId="16" xfId="0" applyNumberFormat="1" applyFont="1" applyBorder="1" applyAlignment="1">
      <alignment horizontal="right"/>
    </xf>
    <xf numFmtId="9" fontId="0" fillId="0" borderId="11" xfId="0" applyNumberFormat="1" applyBorder="1"/>
    <xf numFmtId="4" fontId="25" fillId="0" borderId="11" xfId="0" applyNumberFormat="1" applyFont="1" applyBorder="1"/>
    <xf numFmtId="4" fontId="17" fillId="0" borderId="11" xfId="2" applyNumberFormat="1" applyFont="1" applyBorder="1" applyAlignment="1">
      <alignment horizontal="right"/>
    </xf>
    <xf numFmtId="4" fontId="25" fillId="0" borderId="11" xfId="2" applyNumberFormat="1" applyFont="1" applyBorder="1"/>
    <xf numFmtId="0" fontId="18" fillId="9" borderId="10" xfId="0" applyFont="1" applyFill="1" applyBorder="1"/>
    <xf numFmtId="4" fontId="18" fillId="8" borderId="10" xfId="0" applyNumberFormat="1" applyFont="1" applyFill="1" applyBorder="1" applyAlignment="1">
      <alignment horizontal="right"/>
    </xf>
    <xf numFmtId="0" fontId="24" fillId="17" borderId="0" xfId="0" applyFont="1" applyFill="1" applyAlignment="1">
      <alignment horizontal="center"/>
    </xf>
    <xf numFmtId="3" fontId="24" fillId="0" borderId="9" xfId="0" applyNumberFormat="1" applyFont="1" applyBorder="1"/>
    <xf numFmtId="3" fontId="24" fillId="17" borderId="12" xfId="0" applyNumberFormat="1" applyFont="1" applyFill="1" applyBorder="1" applyAlignment="1">
      <alignment horizontal="right"/>
    </xf>
    <xf numFmtId="3" fontId="24" fillId="19" borderId="0" xfId="0" applyNumberFormat="1" applyFont="1" applyFill="1" applyAlignment="1">
      <alignment horizontal="right"/>
    </xf>
    <xf numFmtId="171" fontId="18" fillId="8" borderId="9" xfId="0" applyNumberFormat="1" applyFont="1" applyFill="1" applyBorder="1" applyAlignment="1">
      <alignment horizontal="right"/>
    </xf>
    <xf numFmtId="2" fontId="0" fillId="0" borderId="0" xfId="0" applyNumberFormat="1"/>
    <xf numFmtId="10" fontId="49" fillId="0" borderId="0" xfId="1" applyNumberFormat="1" applyFont="1"/>
    <xf numFmtId="0" fontId="24" fillId="17" borderId="11" xfId="0" applyFont="1" applyFill="1" applyBorder="1"/>
    <xf numFmtId="0" fontId="25" fillId="0" borderId="9" xfId="0" applyFont="1" applyBorder="1" applyAlignment="1">
      <alignment horizontal="left"/>
    </xf>
    <xf numFmtId="9" fontId="25" fillId="0" borderId="0" xfId="1" applyFont="1"/>
    <xf numFmtId="172" fontId="25" fillId="0" borderId="0" xfId="0" applyNumberFormat="1" applyFont="1"/>
    <xf numFmtId="0" fontId="15" fillId="0" borderId="0" xfId="0" applyFont="1" applyAlignment="1">
      <alignment horizontal="right"/>
    </xf>
    <xf numFmtId="1" fontId="30" fillId="0" borderId="3" xfId="0" applyNumberFormat="1" applyFont="1" applyBorder="1" applyAlignment="1">
      <alignment vertical="center"/>
    </xf>
    <xf numFmtId="4" fontId="0" fillId="0" borderId="0" xfId="0" applyNumberFormat="1"/>
    <xf numFmtId="0" fontId="18" fillId="0" borderId="11" xfId="0" applyFont="1" applyBorder="1" applyAlignment="1">
      <alignment horizontal="left"/>
    </xf>
    <xf numFmtId="0" fontId="32" fillId="0" borderId="11" xfId="0" applyFont="1" applyBorder="1"/>
    <xf numFmtId="4" fontId="32" fillId="0" borderId="11" xfId="0" applyNumberFormat="1" applyFont="1" applyBorder="1"/>
    <xf numFmtId="171" fontId="17" fillId="0" borderId="11" xfId="2" applyNumberFormat="1" applyFont="1" applyBorder="1" applyAlignment="1">
      <alignment horizontal="right"/>
    </xf>
    <xf numFmtId="3" fontId="25" fillId="0" borderId="11" xfId="0" applyNumberFormat="1" applyFont="1" applyBorder="1"/>
    <xf numFmtId="0" fontId="20" fillId="17" borderId="9" xfId="0" applyFont="1" applyFill="1" applyBorder="1"/>
    <xf numFmtId="2" fontId="30" fillId="0" borderId="9" xfId="0" applyNumberFormat="1" applyFont="1" applyBorder="1" applyAlignment="1">
      <alignment vertical="center"/>
    </xf>
    <xf numFmtId="0" fontId="30" fillId="11" borderId="4" xfId="0" applyFont="1" applyFill="1" applyBorder="1" applyAlignment="1">
      <alignment horizontal="center" vertical="center"/>
    </xf>
    <xf numFmtId="0" fontId="30" fillId="11" borderId="4" xfId="0" applyFont="1" applyFill="1" applyBorder="1" applyAlignment="1">
      <alignment horizontal="right" vertical="center"/>
    </xf>
    <xf numFmtId="0" fontId="30" fillId="0" borderId="12" xfId="0" applyFont="1" applyBorder="1" applyAlignment="1">
      <alignment vertical="center"/>
    </xf>
    <xf numFmtId="2" fontId="30" fillId="0" borderId="12" xfId="0" applyNumberFormat="1" applyFont="1" applyBorder="1" applyAlignment="1">
      <alignment vertical="center"/>
    </xf>
    <xf numFmtId="2" fontId="33" fillId="0" borderId="0" xfId="0" applyNumberFormat="1" applyFont="1"/>
    <xf numFmtId="2" fontId="25" fillId="0" borderId="0" xfId="0" applyNumberFormat="1" applyFont="1"/>
    <xf numFmtId="2" fontId="28" fillId="0" borderId="0" xfId="0" applyNumberFormat="1" applyFont="1"/>
    <xf numFmtId="49" fontId="17" fillId="0" borderId="9" xfId="0" applyNumberFormat="1" applyFont="1" applyBorder="1" applyAlignment="1">
      <alignment horizontal="left"/>
    </xf>
    <xf numFmtId="49" fontId="17" fillId="0" borderId="9" xfId="0" applyNumberFormat="1" applyFont="1" applyBorder="1"/>
    <xf numFmtId="4" fontId="31" fillId="0" borderId="0" xfId="0" applyNumberFormat="1" applyFont="1" applyAlignment="1">
      <alignment vertical="center"/>
    </xf>
    <xf numFmtId="2" fontId="30" fillId="0" borderId="0" xfId="0" applyNumberFormat="1" applyFont="1" applyAlignment="1">
      <alignment vertical="center"/>
    </xf>
    <xf numFmtId="3" fontId="0" fillId="0" borderId="0" xfId="0" applyNumberFormat="1"/>
    <xf numFmtId="0" fontId="33" fillId="0" borderId="9" xfId="0" applyFont="1" applyBorder="1"/>
    <xf numFmtId="0" fontId="24" fillId="17" borderId="0" xfId="0" applyFont="1" applyFill="1" applyAlignment="1">
      <alignment horizontal="center" wrapText="1"/>
    </xf>
    <xf numFmtId="2" fontId="25" fillId="0" borderId="0" xfId="1" applyNumberFormat="1" applyFont="1" applyAlignment="1"/>
    <xf numFmtId="3" fontId="18" fillId="8" borderId="14" xfId="0" applyNumberFormat="1" applyFont="1" applyFill="1" applyBorder="1" applyAlignment="1">
      <alignment horizontal="center" wrapText="1"/>
    </xf>
    <xf numFmtId="0" fontId="24" fillId="9" borderId="0" xfId="0" applyFont="1" applyFill="1" applyAlignment="1">
      <alignment horizontal="center" wrapText="1"/>
    </xf>
    <xf numFmtId="0" fontId="18" fillId="9" borderId="9" xfId="0" applyFont="1" applyFill="1" applyBorder="1" applyAlignment="1">
      <alignment horizontal="center" wrapText="1"/>
    </xf>
    <xf numFmtId="0" fontId="24" fillId="20" borderId="11" xfId="0" applyFont="1" applyFill="1" applyBorder="1"/>
    <xf numFmtId="0" fontId="18" fillId="17" borderId="9" xfId="0" applyFont="1" applyFill="1" applyBorder="1"/>
    <xf numFmtId="1" fontId="32" fillId="17" borderId="9" xfId="0" applyNumberFormat="1" applyFont="1" applyFill="1" applyBorder="1"/>
    <xf numFmtId="0" fontId="50" fillId="0" borderId="0" xfId="0" applyFont="1"/>
    <xf numFmtId="0" fontId="51" fillId="20" borderId="11" xfId="0" applyFont="1" applyFill="1" applyBorder="1"/>
    <xf numFmtId="0" fontId="12" fillId="17" borderId="0" xfId="0" applyFont="1" applyFill="1"/>
    <xf numFmtId="4" fontId="52" fillId="0" borderId="0" xfId="0" applyNumberFormat="1" applyFont="1"/>
    <xf numFmtId="2" fontId="52" fillId="0" borderId="0" xfId="0" applyNumberFormat="1" applyFont="1"/>
    <xf numFmtId="4" fontId="12" fillId="0" borderId="11" xfId="0" applyNumberFormat="1" applyFont="1" applyBorder="1"/>
    <xf numFmtId="0" fontId="15" fillId="0" borderId="0" xfId="0" applyFont="1"/>
    <xf numFmtId="3" fontId="18" fillId="17" borderId="15" xfId="0" applyNumberFormat="1" applyFont="1" applyFill="1" applyBorder="1" applyAlignment="1">
      <alignment horizontal="center"/>
    </xf>
    <xf numFmtId="0" fontId="18" fillId="17" borderId="9" xfId="0" applyFont="1" applyFill="1" applyBorder="1" applyAlignment="1">
      <alignment horizontal="center"/>
    </xf>
    <xf numFmtId="4" fontId="33" fillId="0" borderId="0" xfId="0" applyNumberFormat="1" applyFont="1"/>
    <xf numFmtId="4" fontId="29" fillId="3" borderId="3" xfId="0" applyNumberFormat="1" applyFont="1" applyFill="1" applyBorder="1" applyAlignment="1">
      <alignment vertical="center"/>
    </xf>
    <xf numFmtId="2" fontId="39" fillId="0" borderId="0" xfId="0" applyNumberFormat="1" applyFont="1" applyAlignment="1">
      <alignment vertical="center"/>
    </xf>
    <xf numFmtId="2" fontId="29" fillId="0" borderId="0" xfId="0" applyNumberFormat="1" applyFont="1" applyAlignment="1">
      <alignment vertical="center"/>
    </xf>
    <xf numFmtId="2" fontId="31" fillId="0" borderId="0" xfId="0" applyNumberFormat="1" applyFont="1" applyAlignment="1">
      <alignment vertical="center"/>
    </xf>
    <xf numFmtId="2" fontId="29" fillId="3" borderId="3" xfId="0" applyNumberFormat="1" applyFont="1" applyFill="1" applyBorder="1" applyAlignment="1">
      <alignment vertical="center"/>
    </xf>
    <xf numFmtId="1" fontId="0" fillId="0" borderId="0" xfId="0" applyNumberFormat="1"/>
    <xf numFmtId="169" fontId="53" fillId="0" borderId="0" xfId="0" applyNumberFormat="1" applyFont="1" applyAlignment="1">
      <alignment vertical="center"/>
    </xf>
    <xf numFmtId="0" fontId="54" fillId="0" borderId="9" xfId="0" applyFont="1" applyBorder="1" applyAlignment="1">
      <alignment horizontal="left"/>
    </xf>
    <xf numFmtId="3" fontId="17" fillId="21" borderId="15" xfId="0" applyNumberFormat="1" applyFont="1" applyFill="1" applyBorder="1" applyAlignment="1">
      <alignment horizontal="right"/>
    </xf>
    <xf numFmtId="3" fontId="21" fillId="21" borderId="15" xfId="0" applyNumberFormat="1" applyFont="1" applyFill="1" applyBorder="1" applyAlignment="1">
      <alignment horizontal="right"/>
    </xf>
    <xf numFmtId="1" fontId="17" fillId="0" borderId="9" xfId="0" applyNumberFormat="1" applyFont="1" applyBorder="1" applyAlignment="1">
      <alignment horizontal="right" wrapText="1"/>
    </xf>
    <xf numFmtId="1" fontId="17" fillId="21" borderId="9" xfId="0" applyNumberFormat="1" applyFont="1" applyFill="1" applyBorder="1" applyAlignment="1">
      <alignment horizontal="right" wrapText="1"/>
    </xf>
    <xf numFmtId="10" fontId="17" fillId="21" borderId="9" xfId="0" applyNumberFormat="1" applyFont="1" applyFill="1" applyBorder="1" applyAlignment="1">
      <alignment horizontal="right" wrapText="1"/>
    </xf>
    <xf numFmtId="9" fontId="25" fillId="21" borderId="0" xfId="0" applyNumberFormat="1" applyFont="1" applyFill="1"/>
    <xf numFmtId="9" fontId="17" fillId="21" borderId="9" xfId="2" applyNumberFormat="1" applyFont="1" applyFill="1" applyBorder="1" applyAlignment="1">
      <alignment horizontal="right"/>
    </xf>
    <xf numFmtId="3" fontId="17" fillId="21" borderId="9" xfId="0" applyNumberFormat="1" applyFont="1" applyFill="1" applyBorder="1" applyAlignment="1">
      <alignment horizontal="right"/>
    </xf>
    <xf numFmtId="0" fontId="57" fillId="0" borderId="0" xfId="0" applyFont="1"/>
    <xf numFmtId="0" fontId="58" fillId="0" borderId="0" xfId="0" applyFont="1"/>
    <xf numFmtId="0" fontId="29" fillId="0" borderId="7" xfId="0" applyFont="1" applyBorder="1" applyAlignment="1">
      <alignment horizontal="right" vertical="center"/>
    </xf>
    <xf numFmtId="0" fontId="38" fillId="14" borderId="9" xfId="0" applyFont="1" applyFill="1" applyBorder="1" applyAlignment="1">
      <alignment horizontal="left" vertical="center"/>
    </xf>
    <xf numFmtId="3" fontId="30" fillId="16" borderId="9" xfId="0" applyNumberFormat="1" applyFont="1" applyFill="1" applyBorder="1" applyAlignment="1">
      <alignment horizontal="right" vertical="center"/>
    </xf>
    <xf numFmtId="9" fontId="30" fillId="16" borderId="9" xfId="1" applyFont="1" applyFill="1" applyBorder="1" applyAlignment="1">
      <alignment horizontal="right" vertical="center"/>
    </xf>
    <xf numFmtId="4" fontId="24" fillId="0" borderId="11" xfId="0" applyNumberFormat="1" applyFont="1" applyBorder="1"/>
    <xf numFmtId="0" fontId="30" fillId="0" borderId="11" xfId="0" applyFont="1" applyBorder="1" applyAlignment="1">
      <alignment vertical="center"/>
    </xf>
    <xf numFmtId="2" fontId="28" fillId="0" borderId="11" xfId="0" applyNumberFormat="1" applyFont="1" applyBorder="1"/>
    <xf numFmtId="0" fontId="29" fillId="3" borderId="9" xfId="0" applyFont="1" applyFill="1" applyBorder="1" applyAlignment="1">
      <alignment vertical="center"/>
    </xf>
    <xf numFmtId="4" fontId="29" fillId="0" borderId="9" xfId="0" applyNumberFormat="1" applyFont="1" applyBorder="1" applyAlignment="1">
      <alignment vertical="center"/>
    </xf>
    <xf numFmtId="4" fontId="39" fillId="0" borderId="0" xfId="0" applyNumberFormat="1" applyFont="1" applyAlignment="1">
      <alignment vertical="center"/>
    </xf>
    <xf numFmtId="0" fontId="29" fillId="3" borderId="11" xfId="0" applyFont="1" applyFill="1" applyBorder="1" applyAlignment="1">
      <alignment vertical="center"/>
    </xf>
    <xf numFmtId="0" fontId="59" fillId="13" borderId="0" xfId="0" quotePrefix="1" applyFont="1" applyFill="1" applyAlignment="1">
      <alignment horizontal="left" vertical="center"/>
    </xf>
    <xf numFmtId="4" fontId="59" fillId="13" borderId="0" xfId="0" applyNumberFormat="1" applyFont="1" applyFill="1" applyAlignment="1">
      <alignment vertical="center"/>
    </xf>
    <xf numFmtId="3" fontId="30" fillId="0" borderId="11" xfId="0" applyNumberFormat="1" applyFont="1" applyBorder="1" applyAlignment="1">
      <alignment horizontal="right" vertical="center"/>
    </xf>
    <xf numFmtId="3" fontId="30" fillId="0" borderId="9" xfId="0" applyNumberFormat="1" applyFont="1" applyBorder="1" applyAlignment="1">
      <alignment horizontal="right" vertical="center"/>
    </xf>
    <xf numFmtId="0" fontId="29" fillId="0" borderId="0" xfId="0" quotePrefix="1" applyFont="1" applyAlignment="1">
      <alignment horizontal="left" vertical="center"/>
    </xf>
    <xf numFmtId="0" fontId="53" fillId="0" borderId="7" xfId="0" applyFont="1" applyBorder="1" applyAlignment="1">
      <alignment horizontal="right" vertical="center"/>
    </xf>
    <xf numFmtId="0" fontId="60" fillId="0" borderId="0" xfId="0" applyFont="1"/>
    <xf numFmtId="0" fontId="52" fillId="0" borderId="0" xfId="0" applyFont="1"/>
    <xf numFmtId="0" fontId="61" fillId="11" borderId="7" xfId="0" applyFont="1" applyFill="1" applyBorder="1" applyAlignment="1">
      <alignment horizontal="right" vertical="center"/>
    </xf>
    <xf numFmtId="2" fontId="61" fillId="0" borderId="9" xfId="0" applyNumberFormat="1" applyFont="1" applyBorder="1" applyAlignment="1">
      <alignment vertical="center"/>
    </xf>
    <xf numFmtId="1" fontId="61" fillId="0" borderId="3" xfId="0" applyNumberFormat="1" applyFont="1" applyBorder="1" applyAlignment="1">
      <alignment vertical="center"/>
    </xf>
    <xf numFmtId="167" fontId="61" fillId="0" borderId="0" xfId="0" applyNumberFormat="1" applyFont="1" applyAlignment="1">
      <alignment vertical="center"/>
    </xf>
    <xf numFmtId="4" fontId="62" fillId="0" borderId="0" xfId="0" applyNumberFormat="1" applyFont="1" applyAlignment="1">
      <alignment vertical="center"/>
    </xf>
    <xf numFmtId="4" fontId="61" fillId="0" borderId="0" xfId="0" applyNumberFormat="1" applyFont="1" applyAlignment="1">
      <alignment vertical="center"/>
    </xf>
    <xf numFmtId="4" fontId="60" fillId="0" borderId="0" xfId="0" applyNumberFormat="1" applyFont="1"/>
    <xf numFmtId="4" fontId="53" fillId="3" borderId="3" xfId="0" applyNumberFormat="1" applyFont="1" applyFill="1" applyBorder="1" applyAlignment="1">
      <alignment vertical="center"/>
    </xf>
    <xf numFmtId="2" fontId="61" fillId="0" borderId="0" xfId="0" applyNumberFormat="1" applyFont="1" applyAlignment="1">
      <alignment vertical="center"/>
    </xf>
    <xf numFmtId="2" fontId="63" fillId="0" borderId="0" xfId="0" applyNumberFormat="1" applyFont="1" applyAlignment="1">
      <alignment vertical="center"/>
    </xf>
    <xf numFmtId="2" fontId="60" fillId="0" borderId="0" xfId="0" applyNumberFormat="1" applyFont="1"/>
    <xf numFmtId="2" fontId="53" fillId="3" borderId="3" xfId="0" applyNumberFormat="1" applyFont="1" applyFill="1" applyBorder="1" applyAlignment="1">
      <alignment vertical="center"/>
    </xf>
    <xf numFmtId="0" fontId="61" fillId="11" borderId="7" xfId="0" applyFont="1" applyFill="1" applyBorder="1" applyAlignment="1">
      <alignment vertical="center"/>
    </xf>
    <xf numFmtId="2" fontId="61" fillId="0" borderId="0" xfId="0" applyNumberFormat="1" applyFont="1"/>
    <xf numFmtId="4" fontId="63" fillId="13" borderId="0" xfId="0" applyNumberFormat="1" applyFont="1" applyFill="1" applyAlignment="1">
      <alignment vertical="center"/>
    </xf>
    <xf numFmtId="0" fontId="61" fillId="0" borderId="0" xfId="0" applyFont="1"/>
    <xf numFmtId="4" fontId="29" fillId="3" borderId="9" xfId="0" applyNumberFormat="1" applyFont="1" applyFill="1" applyBorder="1" applyAlignment="1">
      <alignment vertical="center"/>
    </xf>
    <xf numFmtId="4" fontId="53" fillId="3" borderId="9" xfId="0" applyNumberFormat="1" applyFont="1" applyFill="1" applyBorder="1" applyAlignment="1">
      <alignment vertical="center"/>
    </xf>
    <xf numFmtId="4" fontId="33" fillId="0" borderId="9" xfId="0" applyNumberFormat="1" applyFont="1" applyBorder="1"/>
    <xf numFmtId="4" fontId="29" fillId="3" borderId="11" xfId="0" applyNumberFormat="1" applyFont="1" applyFill="1" applyBorder="1" applyAlignment="1">
      <alignment vertical="center"/>
    </xf>
    <xf numFmtId="4" fontId="53" fillId="3" borderId="11" xfId="0" applyNumberFormat="1" applyFont="1" applyFill="1" applyBorder="1" applyAlignment="1">
      <alignment vertical="center"/>
    </xf>
    <xf numFmtId="174" fontId="30" fillId="0" borderId="0" xfId="0" applyNumberFormat="1" applyFont="1" applyAlignment="1">
      <alignment vertical="center"/>
    </xf>
    <xf numFmtId="175" fontId="29" fillId="0" borderId="9" xfId="0" applyNumberFormat="1" applyFont="1" applyBorder="1" applyAlignment="1">
      <alignment vertical="center"/>
    </xf>
    <xf numFmtId="169" fontId="35" fillId="0" borderId="0" xfId="0" applyNumberFormat="1" applyFont="1"/>
    <xf numFmtId="2" fontId="35" fillId="0" borderId="0" xfId="0" applyNumberFormat="1" applyFont="1"/>
    <xf numFmtId="0" fontId="64" fillId="0" borderId="0" xfId="0" applyFont="1"/>
    <xf numFmtId="0" fontId="40" fillId="13" borderId="10" xfId="0" applyFont="1" applyFill="1" applyBorder="1"/>
    <xf numFmtId="9" fontId="38" fillId="13" borderId="10" xfId="1" applyFont="1" applyFill="1" applyBorder="1"/>
    <xf numFmtId="0" fontId="38" fillId="14" borderId="9" xfId="0" applyFont="1" applyFill="1" applyBorder="1"/>
    <xf numFmtId="3" fontId="28" fillId="0" borderId="9" xfId="0" applyNumberFormat="1" applyFont="1" applyBorder="1"/>
    <xf numFmtId="0" fontId="38" fillId="14" borderId="11" xfId="0" applyFont="1" applyFill="1" applyBorder="1"/>
    <xf numFmtId="3" fontId="28" fillId="0" borderId="11" xfId="0" applyNumberFormat="1" applyFont="1" applyBorder="1"/>
    <xf numFmtId="0" fontId="18" fillId="7" borderId="10" xfId="0" applyFont="1" applyFill="1" applyBorder="1" applyAlignment="1">
      <alignment horizontal="center"/>
    </xf>
    <xf numFmtId="0" fontId="27" fillId="6" borderId="9" xfId="0" applyFont="1" applyFill="1" applyBorder="1" applyAlignment="1">
      <alignment horizontal="center" vertical="center"/>
    </xf>
    <xf numFmtId="0" fontId="26" fillId="0" borderId="9" xfId="0" applyFont="1" applyBorder="1" applyAlignment="1">
      <alignment horizontal="left" wrapText="1"/>
    </xf>
    <xf numFmtId="0" fontId="26" fillId="0" borderId="9" xfId="0" applyFont="1" applyBorder="1" applyAlignment="1">
      <alignment horizontal="left"/>
    </xf>
    <xf numFmtId="0" fontId="18" fillId="7" borderId="11" xfId="0" applyFont="1" applyFill="1" applyBorder="1" applyAlignment="1">
      <alignment horizontal="center"/>
    </xf>
    <xf numFmtId="0" fontId="38" fillId="10" borderId="9" xfId="0" applyFont="1" applyFill="1" applyBorder="1" applyAlignment="1">
      <alignment horizontal="center" vertical="center"/>
    </xf>
    <xf numFmtId="0" fontId="18" fillId="7" borderId="9" xfId="0" applyFont="1" applyFill="1" applyBorder="1" applyAlignment="1">
      <alignment horizontal="center"/>
    </xf>
    <xf numFmtId="3" fontId="18" fillId="8" borderId="12" xfId="0" applyNumberFormat="1" applyFont="1" applyFill="1" applyBorder="1" applyAlignment="1">
      <alignment horizontal="center"/>
    </xf>
    <xf numFmtId="3" fontId="18" fillId="18" borderId="12" xfId="0" applyNumberFormat="1" applyFont="1" applyFill="1" applyBorder="1" applyAlignment="1">
      <alignment horizontal="center"/>
    </xf>
    <xf numFmtId="0" fontId="18" fillId="9" borderId="12" xfId="0" applyFont="1" applyFill="1" applyBorder="1" applyAlignment="1">
      <alignment horizontal="center"/>
    </xf>
    <xf numFmtId="4" fontId="18" fillId="8" borderId="12" xfId="0" applyNumberFormat="1" applyFont="1" applyFill="1" applyBorder="1" applyAlignment="1">
      <alignment horizontal="center"/>
    </xf>
    <xf numFmtId="4" fontId="18" fillId="18" borderId="12" xfId="0" applyNumberFormat="1" applyFont="1" applyFill="1" applyBorder="1" applyAlignment="1">
      <alignment horizontal="center"/>
    </xf>
    <xf numFmtId="4" fontId="18" fillId="9" borderId="12" xfId="0" applyNumberFormat="1" applyFont="1" applyFill="1" applyBorder="1" applyAlignment="1">
      <alignment horizontal="center"/>
    </xf>
    <xf numFmtId="0" fontId="5" fillId="4" borderId="7" xfId="0" applyFont="1" applyFill="1" applyBorder="1" applyAlignment="1">
      <alignment horizontal="center" vertical="center"/>
    </xf>
    <xf numFmtId="0" fontId="2" fillId="0" borderId="7" xfId="0" applyFont="1" applyBorder="1"/>
    <xf numFmtId="0" fontId="5" fillId="3" borderId="9" xfId="0" applyFont="1" applyFill="1" applyBorder="1" applyAlignment="1">
      <alignment horizontal="center" vertical="center"/>
    </xf>
    <xf numFmtId="0" fontId="2" fillId="0" borderId="9" xfId="0" applyFont="1" applyBorder="1"/>
    <xf numFmtId="0" fontId="5" fillId="4" borderId="7" xfId="0" applyFont="1" applyFill="1" applyBorder="1" applyAlignment="1">
      <alignment horizontal="center"/>
    </xf>
    <xf numFmtId="0" fontId="3" fillId="2" borderId="9" xfId="0" applyFont="1" applyFill="1" applyBorder="1" applyAlignment="1">
      <alignment horizontal="center" vertical="center"/>
    </xf>
    <xf numFmtId="0" fontId="2" fillId="0" borderId="5" xfId="0" applyFont="1" applyBorder="1"/>
    <xf numFmtId="169" fontId="30" fillId="22" borderId="0" xfId="0" applyNumberFormat="1" applyFont="1" applyFill="1" applyAlignment="1">
      <alignment vertical="center"/>
    </xf>
    <xf numFmtId="4" fontId="30" fillId="22" borderId="0" xfId="0" applyNumberFormat="1" applyFont="1" applyFill="1" applyAlignment="1">
      <alignment vertical="center"/>
    </xf>
    <xf numFmtId="169" fontId="61" fillId="22" borderId="0" xfId="0" applyNumberFormat="1" applyFont="1" applyFill="1" applyAlignment="1">
      <alignment vertical="center"/>
    </xf>
    <xf numFmtId="4" fontId="61" fillId="22" borderId="0" xfId="0" applyNumberFormat="1" applyFont="1" applyFill="1" applyAlignment="1">
      <alignment vertical="center"/>
    </xf>
    <xf numFmtId="2" fontId="30" fillId="22" borderId="0" xfId="0" applyNumberFormat="1" applyFont="1" applyFill="1" applyAlignment="1">
      <alignment vertical="center"/>
    </xf>
    <xf numFmtId="2" fontId="61" fillId="22" borderId="0" xfId="0" applyNumberFormat="1" applyFont="1" applyFill="1" applyAlignment="1">
      <alignment vertical="center"/>
    </xf>
    <xf numFmtId="2" fontId="28" fillId="22" borderId="0" xfId="0" applyNumberFormat="1" applyFont="1" applyFill="1"/>
  </cellXfs>
  <cellStyles count="5">
    <cellStyle name="Comma" xfId="2" builtinId="3"/>
    <cellStyle name="Normal" xfId="0" builtinId="0"/>
    <cellStyle name="Normal 2" xfId="3" xr:uid="{EE988F35-D6CC-4F3F-B492-F9669536B61F}"/>
    <cellStyle name="Normal 2 2" xfId="4" xr:uid="{711143C6-2A67-4841-9B70-B27894AC0F8B}"/>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AEEF3"/>
      <color rgb="FF92CDDC"/>
      <color rgb="FFD9D9D9"/>
      <color rgb="FFFFE6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customXml" Target="../customXml/item3.xml"/><Relationship Id="rId10" Type="http://schemas.openxmlformats.org/officeDocument/2006/relationships/externalLink" Target="externalLinks/externalLink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Book3"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Book4"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Book5"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Book6"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Book7"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Book8"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Book9"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Book1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Bán nước · 1</v>
          </cell>
          <cell r="C37">
            <v>5.508334780343489</v>
          </cell>
          <cell r="D37">
            <v>920.24112343165211</v>
          </cell>
        </row>
        <row r="38">
          <cell r="B38" t="str">
            <v>Lãi suất (thực)</v>
          </cell>
          <cell r="C38">
            <v>772.69291041895349</v>
          </cell>
          <cell r="D38">
            <v>231.03302603563338</v>
          </cell>
        </row>
        <row r="39">
          <cell r="B39" t="str">
            <v>Đường hầm và cơ sở hạ tầng biển ·  Nhà máy 1</v>
          </cell>
          <cell r="C39">
            <v>503.95831021204157</v>
          </cell>
          <cell r="D39">
            <v>423.27538088711935</v>
          </cell>
        </row>
        <row r="40">
          <cell r="B40" t="str">
            <v>Cố định ($ million/pa) · Giá trị tài chính (sau VAT/tiền lương)</v>
          </cell>
          <cell r="C40">
            <v>500.60045855707335</v>
          </cell>
          <cell r="D40">
            <v>425.14899965492259</v>
          </cell>
        </row>
        <row r="41">
          <cell r="B41" t="str">
            <v>Biến đổi ($/ML) · Giá trị tài chính (sau VAT/tiền lương)</v>
          </cell>
          <cell r="C41">
            <v>484.48128324615914</v>
          </cell>
          <cell r="D41">
            <v>441.26817496583669</v>
          </cell>
        </row>
        <row r="42">
          <cell r="B42" t="str">
            <v>Biến đổi ($/ML) · Giá trị tài chính (sau VAT/tiền lương) (C53)</v>
          </cell>
          <cell r="C42">
            <v>474.28818591198808</v>
          </cell>
          <cell r="D42">
            <v>451.46127230000764</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Bán nước · 1</v>
          </cell>
          <cell r="C37">
            <v>-75.499893621035611</v>
          </cell>
          <cell r="D37">
            <v>737.68401390158238</v>
          </cell>
        </row>
        <row r="38">
          <cell r="B38" t="str">
            <v>Cố định ($ million/pa) · Giá trị tài chính (sau VAT/tiền lương)</v>
          </cell>
          <cell r="C38">
            <v>364.99213594735306</v>
          </cell>
          <cell r="D38">
            <v>297.19198433319428</v>
          </cell>
        </row>
        <row r="39">
          <cell r="B39" t="str">
            <v>Lãi suất (thực)</v>
          </cell>
          <cell r="C39">
            <v>363.06836055180111</v>
          </cell>
          <cell r="D39">
            <v>297.62997201158834</v>
          </cell>
        </row>
        <row r="40">
          <cell r="B40" t="str">
            <v>Đường hầm và cơ sở hạ tầng biển ·  Nhà máy 1</v>
          </cell>
          <cell r="C40">
            <v>360.56732247305314</v>
          </cell>
          <cell r="D40">
            <v>301.61679780749449</v>
          </cell>
        </row>
        <row r="41">
          <cell r="B41" t="str">
            <v>Biến đổi ($/ML) · Giá trị tài chính (sau VAT/tiền lương)</v>
          </cell>
          <cell r="C41">
            <v>350.50755810251002</v>
          </cell>
          <cell r="D41">
            <v>311.67656217803739</v>
          </cell>
        </row>
        <row r="42">
          <cell r="B42" t="str">
            <v>Biến đổi ($/ML) · Giá trị tài chính (sau VAT/tiền lương) (C53)</v>
          </cell>
          <cell r="C42">
            <v>340.99397741014371</v>
          </cell>
          <cell r="D42">
            <v>321.19014287040375</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Bán nước · 1</v>
          </cell>
          <cell r="C37">
            <v>3404.248357526887</v>
          </cell>
          <cell r="D37">
            <v>5094.7226047651366</v>
          </cell>
        </row>
        <row r="38">
          <cell r="B38" t="str">
            <v>Phương án 2!Suất chiết khấu</v>
          </cell>
          <cell r="C38">
            <v>5004.8005674824517</v>
          </cell>
          <cell r="D38">
            <v>3635.3092851653942</v>
          </cell>
        </row>
        <row r="39">
          <cell r="B39" t="str">
            <v>Biến đổi ($/ML) · Giá trị tài chính (sau VAT/tiền lương)</v>
          </cell>
          <cell r="C39">
            <v>4249.4854811460118</v>
          </cell>
          <cell r="D39">
            <v>4249.4854811460118</v>
          </cell>
        </row>
        <row r="40">
          <cell r="B40" t="str">
            <v>Biến đổi ($/ML) · Giá trị tài chính (sau VAT/tiền lương) (C53)</v>
          </cell>
          <cell r="C40">
            <v>4249.4854811460118</v>
          </cell>
          <cell r="D40">
            <v>4249.4854811460118</v>
          </cell>
        </row>
        <row r="41">
          <cell r="B41" t="str">
            <v>Cố định ($ million/pa) · Giá trị tài chính (sau VAT/tiền lương) (C49)</v>
          </cell>
          <cell r="C41">
            <v>4249.4854811460118</v>
          </cell>
          <cell r="D41">
            <v>4249.4854811460118</v>
          </cell>
        </row>
        <row r="42">
          <cell r="B42" t="str">
            <v>Cố định ($ million/pa) · Giá trị tài chính (sau VAT/tiền lương)</v>
          </cell>
          <cell r="C42">
            <v>4249.4854811460118</v>
          </cell>
          <cell r="D42">
            <v>4249.4854811460118</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Phương án 2!Suất chiết khấu</v>
          </cell>
          <cell r="C37">
            <v>3205.8786532778367</v>
          </cell>
          <cell r="D37">
            <v>2628.1198130855105</v>
          </cell>
        </row>
        <row r="38">
          <cell r="B38" t="str">
            <v>Cố định ($ million/pa) · Giá trị tài chính (sau VAT/tiền lương)</v>
          </cell>
          <cell r="C38">
            <v>2822.3023158485948</v>
          </cell>
          <cell r="D38">
            <v>2958.7536301257105</v>
          </cell>
        </row>
        <row r="39">
          <cell r="B39" t="str">
            <v>Biến đổi ($/ML) · Giá trị tài chính (sau VAT/tiền lương)</v>
          </cell>
          <cell r="C39">
            <v>2851.4532784441612</v>
          </cell>
          <cell r="D39">
            <v>2929.602667530145</v>
          </cell>
        </row>
        <row r="40">
          <cell r="B40" t="str">
            <v>Đường hầm và cơ sở hạ tầng biển ·  Nhà máy 1</v>
          </cell>
          <cell r="C40">
            <v>2859.1554239675456</v>
          </cell>
          <cell r="D40">
            <v>2921.9005220067615</v>
          </cell>
        </row>
        <row r="41">
          <cell r="B41" t="str">
            <v>Biến đổi ($/ML) · Giá trị tài chính (sau VAT/tiền lương) (C53)</v>
          </cell>
          <cell r="C41">
            <v>2868.4193607511797</v>
          </cell>
          <cell r="D41">
            <v>2912.6365852231265</v>
          </cell>
        </row>
        <row r="42">
          <cell r="B42" t="str">
            <v>Cố định ($ million/pa) · Giá trị tài chính (sau VAT/tiền lương) (C49)</v>
          </cell>
          <cell r="C42">
            <v>2872.981455339554</v>
          </cell>
          <cell r="D42">
            <v>2908.0744906347509</v>
          </cell>
        </row>
      </sheetData>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Phương án 2!Suất chiết khấu</v>
          </cell>
          <cell r="C37">
            <v>2733.5358447780427</v>
          </cell>
          <cell r="D37">
            <v>2239.6595423805147</v>
          </cell>
        </row>
        <row r="38">
          <cell r="B38" t="str">
            <v>Cố định ($ million/pa) · Giá trị tài chính (sau VAT/tiền lương)</v>
          </cell>
          <cell r="C38">
            <v>2355.3345547456438</v>
          </cell>
          <cell r="D38">
            <v>2576.7027809633646</v>
          </cell>
        </row>
        <row r="39">
          <cell r="B39" t="str">
            <v>Biến đổi ($/ML) · Giá trị tài chính (sau VAT/tiền lương)</v>
          </cell>
          <cell r="C39">
            <v>2402.6268576194288</v>
          </cell>
          <cell r="D39">
            <v>2529.4104780895786</v>
          </cell>
        </row>
        <row r="40">
          <cell r="B40" t="str">
            <v>Biến đổi ($/ML) · Giá trị tài chính (sau VAT/tiền lương) (C53)</v>
          </cell>
          <cell r="C40">
            <v>2402.6268576194288</v>
          </cell>
          <cell r="D40">
            <v>2529.4104780895786</v>
          </cell>
        </row>
        <row r="41">
          <cell r="B41" t="str">
            <v>Cố định ($ million/pa) · Giá trị tài chính (sau VAT/tiền lương) (C49)</v>
          </cell>
          <cell r="C41">
            <v>2415.707707350477</v>
          </cell>
          <cell r="D41">
            <v>2516.3296283585319</v>
          </cell>
        </row>
        <row r="42">
          <cell r="B42" t="str">
            <v>Phương án 2!Lạm phát</v>
          </cell>
          <cell r="C42">
            <v>2466.0186678545051</v>
          </cell>
          <cell r="D42">
            <v>2466.0186678545051</v>
          </cell>
        </row>
      </sheetData>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Phương án 2!Suất chiết khấu</v>
          </cell>
          <cell r="C37">
            <v>3205.8786532778367</v>
          </cell>
          <cell r="D37">
            <v>2628.1198130855105</v>
          </cell>
        </row>
        <row r="38">
          <cell r="B38" t="str">
            <v>Cố định ($ million/pa) · Giá trị tài chính (sau VAT/tiền lương)</v>
          </cell>
          <cell r="C38">
            <v>2822.3023158485948</v>
          </cell>
          <cell r="D38">
            <v>2958.7536301257105</v>
          </cell>
        </row>
        <row r="39">
          <cell r="B39" t="str">
            <v>Biến đổi ($/ML) · Giá trị tài chính (sau VAT/tiền lương)</v>
          </cell>
          <cell r="C39">
            <v>2851.4532784441612</v>
          </cell>
          <cell r="D39">
            <v>2929.602667530145</v>
          </cell>
        </row>
        <row r="40">
          <cell r="B40" t="str">
            <v>Đường hầm và cơ sở hạ tầng biển ·  Nhà máy 1</v>
          </cell>
          <cell r="C40">
            <v>2859.1554239675456</v>
          </cell>
          <cell r="D40">
            <v>2921.9005220067615</v>
          </cell>
        </row>
        <row r="41">
          <cell r="B41" t="str">
            <v>Biến đổi ($/ML) · Giá trị tài chính (sau VAT/tiền lương) (C53)</v>
          </cell>
          <cell r="C41">
            <v>2868.4193607511797</v>
          </cell>
          <cell r="D41">
            <v>2912.6365852231265</v>
          </cell>
        </row>
        <row r="42">
          <cell r="B42" t="str">
            <v>Cố định ($ million/pa) · Giá trị tài chính (sau VAT/tiền lương) (C49)</v>
          </cell>
          <cell r="C42">
            <v>2872.981455339554</v>
          </cell>
          <cell r="D42">
            <v>2908.0744906347509</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Hệ thống kết nối đập · Giá trị tài chính (sau VAT/thuế lương)</v>
          </cell>
          <cell r="C37">
            <v>3038.1450870061426</v>
          </cell>
          <cell r="D37">
            <v>3685.9438291445076</v>
          </cell>
        </row>
        <row r="38">
          <cell r="B38" t="str">
            <v>Đường ống và trạm bơm · Giá trị tài chính (sau VAT/thuế lương)</v>
          </cell>
          <cell r="C38">
            <v>3226.7688383934901</v>
          </cell>
          <cell r="D38">
            <v>3497.3200777571601</v>
          </cell>
        </row>
        <row r="39">
          <cell r="B39" t="str">
            <v>Phương án 1!Suất chiết khấu</v>
          </cell>
          <cell r="C39">
            <v>3506.0035788905243</v>
          </cell>
          <cell r="D39">
            <v>3240.3080678110155</v>
          </cell>
        </row>
        <row r="40">
          <cell r="B40" t="str">
            <v>Môi trường · (triệu $/a)</v>
          </cell>
          <cell r="C40">
            <v>3267.3247786204988</v>
          </cell>
          <cell r="D40">
            <v>3456.7641375301509</v>
          </cell>
        </row>
        <row r="41">
          <cell r="B41" t="str">
            <v>Biến đổi ($/ML) · Giá trị tài chính (sau VAT/thuế lương)</v>
          </cell>
          <cell r="C41">
            <v>3309.6432476876571</v>
          </cell>
          <cell r="D41">
            <v>3414.445668462994</v>
          </cell>
        </row>
        <row r="42">
          <cell r="B42" t="str">
            <v>Cố định ($ million/pa) · Giá trị tài chính (sau VAT/thuế lương)</v>
          </cell>
          <cell r="C42">
            <v>3321.7933227595258</v>
          </cell>
          <cell r="D42">
            <v>3402.2955933911253</v>
          </cell>
        </row>
      </sheetData>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Phương án 1!Suất chiết khấu</v>
          </cell>
          <cell r="C37">
            <v>1573.0374220332537</v>
          </cell>
          <cell r="D37">
            <v>1288.8319278887996</v>
          </cell>
        </row>
        <row r="38">
          <cell r="B38" t="str">
            <v>Môi trường · (triệu $/a)</v>
          </cell>
          <cell r="C38">
            <v>1312.6652604343542</v>
          </cell>
          <cell r="D38">
            <v>1525.5193241052402</v>
          </cell>
        </row>
        <row r="39">
          <cell r="B39" t="str">
            <v>Biến đổi ($/ML) · Giá trị tài chính (sau VAT/thuế lương)</v>
          </cell>
          <cell r="C39">
            <v>1338.5928767867101</v>
          </cell>
          <cell r="D39">
            <v>1499.5917077528845</v>
          </cell>
        </row>
        <row r="40">
          <cell r="B40" t="str">
            <v>Cố định ($ million/pa) · Giá trị tài chính (sau VAT/thuế lương)</v>
          </cell>
          <cell r="C40">
            <v>1374.3703947791928</v>
          </cell>
          <cell r="D40">
            <v>1463.814189760401</v>
          </cell>
        </row>
        <row r="41">
          <cell r="B41" t="str">
            <v>Hệ thống kết nối đập · Giá trị tài chính (sau VAT/thuế lương)</v>
          </cell>
          <cell r="C41">
            <v>1419.0922922697976</v>
          </cell>
          <cell r="D41">
            <v>1419.0922922697976</v>
          </cell>
        </row>
        <row r="42">
          <cell r="B42" t="str">
            <v>Phương án 1!Lạm phát</v>
          </cell>
          <cell r="C42">
            <v>1419.0922922697976</v>
          </cell>
          <cell r="D42">
            <v>1419.0922922697976</v>
          </cell>
        </row>
      </sheetData>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Hệ thống kết nối đập · Giá trị tài chính (sau VAT/thuế lương)</v>
          </cell>
          <cell r="C37">
            <v>3038.1450870061426</v>
          </cell>
          <cell r="D37">
            <v>3685.9438291445076</v>
          </cell>
        </row>
        <row r="38">
          <cell r="B38" t="str">
            <v>Đường ống và trạm bơm · Giá trị tài chính (sau VAT/thuế lương)</v>
          </cell>
          <cell r="C38">
            <v>3226.7688383934901</v>
          </cell>
          <cell r="D38">
            <v>3497.3200777571601</v>
          </cell>
        </row>
        <row r="39">
          <cell r="B39" t="str">
            <v>Phương án 1!Suất chiết khấu</v>
          </cell>
          <cell r="C39">
            <v>3506.0035788905243</v>
          </cell>
          <cell r="D39">
            <v>3240.3080678110155</v>
          </cell>
        </row>
        <row r="40">
          <cell r="B40" t="str">
            <v>Môi trường · (triệu $/a)</v>
          </cell>
          <cell r="C40">
            <v>3267.3247786204988</v>
          </cell>
          <cell r="D40">
            <v>3456.7641375301509</v>
          </cell>
        </row>
        <row r="41">
          <cell r="B41" t="str">
            <v>Biến đổi ($/ML) · Giá trị tài chính (sau VAT/thuế lương)</v>
          </cell>
          <cell r="C41">
            <v>3309.6432476876571</v>
          </cell>
          <cell r="D41">
            <v>3414.445668462994</v>
          </cell>
        </row>
        <row r="42">
          <cell r="B42" t="str">
            <v>Cố định ($ million/pa) · Giá trị tài chính (sau VAT/thuế lương)</v>
          </cell>
          <cell r="C42">
            <v>3321.7933227595258</v>
          </cell>
          <cell r="D42">
            <v>3402.2955933911253</v>
          </cell>
        </row>
      </sheetData>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nado Chart"/>
      <sheetName val="ZZTornado"/>
      <sheetName val="Spider Chart"/>
    </sheetNames>
    <sheetDataSet>
      <sheetData sheetId="0">
        <row r="37">
          <cell r="B37" t="str">
            <v>Hệ thống kết nối đập · Giá trị tài chính (sau VAT/thuế lương)</v>
          </cell>
          <cell r="C37">
            <v>2575.9686490216864</v>
          </cell>
          <cell r="D37">
            <v>3223.7673911600514</v>
          </cell>
        </row>
        <row r="38">
          <cell r="B38" t="str">
            <v>Đường ống và trạm bơm · Giá trị tài chính (sau VAT/thuế lương)</v>
          </cell>
          <cell r="C38">
            <v>2764.5924004090339</v>
          </cell>
          <cell r="D38">
            <v>3035.1436397727039</v>
          </cell>
        </row>
        <row r="39">
          <cell r="B39" t="str">
            <v>Phương án 1!Suất chiết khấu</v>
          </cell>
          <cell r="C39">
            <v>2981.9967041166137</v>
          </cell>
          <cell r="D39">
            <v>2829.8225600297892</v>
          </cell>
        </row>
        <row r="40">
          <cell r="B40" t="str">
            <v>Biến đổi ($/ML) · Giá trị tài chính (sau VAT/thuế lương)</v>
          </cell>
          <cell r="C40">
            <v>2846.1755950667339</v>
          </cell>
          <cell r="D40">
            <v>2953.5604451150057</v>
          </cell>
        </row>
        <row r="41">
          <cell r="B41" t="str">
            <v>Cố định ($ million/pa) · Giá trị tài chính (sau VAT/thuế lương)</v>
          </cell>
          <cell r="C41">
            <v>2858.6237075536019</v>
          </cell>
          <cell r="D41">
            <v>2941.1123326281377</v>
          </cell>
        </row>
        <row r="42">
          <cell r="B42" t="str">
            <v>Môi trường · (triệu $/a)</v>
          </cell>
          <cell r="C42">
            <v>2899.8680200908693</v>
          </cell>
          <cell r="D42">
            <v>2899.8680200908693</v>
          </cell>
        </row>
      </sheetData>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39"/>
  <sheetViews>
    <sheetView tabSelected="1" zoomScale="88" zoomScaleNormal="91" workbookViewId="0">
      <selection activeCell="B28" sqref="B28"/>
    </sheetView>
  </sheetViews>
  <sheetFormatPr defaultColWidth="14.46484375" defaultRowHeight="12.75" x14ac:dyDescent="0.35"/>
  <cols>
    <col min="1" max="1" width="25.46484375" customWidth="1"/>
    <col min="2" max="3" width="15.6640625" customWidth="1"/>
    <col min="4" max="4" width="30" bestFit="1" customWidth="1"/>
    <col min="5" max="5" width="17.33203125" customWidth="1"/>
    <col min="6" max="6" width="23.1328125" bestFit="1" customWidth="1"/>
    <col min="7" max="7" width="21.1328125" customWidth="1"/>
    <col min="8" max="8" width="15.6640625" customWidth="1"/>
    <col min="9" max="9" width="21.53125" customWidth="1"/>
    <col min="10" max="10" width="29.86328125" customWidth="1"/>
    <col min="11" max="11" width="19.6640625" bestFit="1" customWidth="1"/>
    <col min="12" max="12" width="11" customWidth="1"/>
    <col min="13" max="13" width="15.1328125" customWidth="1"/>
    <col min="14" max="14" width="11" customWidth="1"/>
    <col min="15" max="15" width="18.1328125" customWidth="1"/>
    <col min="16" max="16" width="14.86328125" bestFit="1" customWidth="1"/>
    <col min="17" max="17" width="8.1328125" customWidth="1"/>
    <col min="18" max="27" width="8.6640625" customWidth="1"/>
  </cols>
  <sheetData>
    <row r="1" spans="1:30" s="70" customFormat="1" ht="14.25" x14ac:dyDescent="0.45">
      <c r="A1" s="53"/>
      <c r="B1" s="54"/>
      <c r="C1" s="55"/>
      <c r="D1" s="55"/>
      <c r="E1" s="53"/>
      <c r="F1" s="55"/>
      <c r="G1" s="56"/>
      <c r="H1" s="56"/>
      <c r="I1" s="55"/>
      <c r="J1" s="55"/>
      <c r="K1" s="55"/>
      <c r="L1" s="55"/>
      <c r="M1" s="55"/>
      <c r="N1" s="55"/>
      <c r="O1" s="55"/>
      <c r="P1" s="55"/>
      <c r="Q1" s="55"/>
      <c r="R1" s="55"/>
      <c r="S1" s="55"/>
      <c r="T1" s="55"/>
      <c r="U1" s="55"/>
      <c r="V1" s="55"/>
      <c r="W1" s="55"/>
      <c r="X1" s="55"/>
      <c r="Y1" s="55"/>
      <c r="Z1" s="55"/>
      <c r="AA1" s="55"/>
      <c r="AB1" s="55"/>
      <c r="AC1" s="55"/>
      <c r="AD1" s="55"/>
    </row>
    <row r="2" spans="1:30" s="70" customFormat="1" ht="30.75" x14ac:dyDescent="0.45">
      <c r="A2" s="317" t="s">
        <v>171</v>
      </c>
      <c r="B2" s="317"/>
      <c r="C2" s="317"/>
      <c r="D2" s="317"/>
      <c r="E2" s="317"/>
      <c r="F2" s="317"/>
      <c r="G2" s="317"/>
      <c r="H2" s="317"/>
      <c r="I2" s="317"/>
      <c r="J2" s="317"/>
      <c r="K2" s="57"/>
      <c r="L2" s="55"/>
      <c r="M2" s="55"/>
      <c r="N2" s="55"/>
      <c r="O2" s="55"/>
      <c r="P2" s="55"/>
      <c r="Q2" s="55"/>
      <c r="R2" s="55"/>
      <c r="S2" s="55"/>
      <c r="T2" s="55"/>
      <c r="U2" s="55"/>
      <c r="V2" s="55"/>
      <c r="W2" s="55"/>
      <c r="X2" s="55"/>
      <c r="Y2" s="55"/>
      <c r="Z2" s="55"/>
      <c r="AA2" s="55"/>
      <c r="AB2" s="55"/>
      <c r="AC2" s="55"/>
      <c r="AD2" s="55"/>
    </row>
    <row r="3" spans="1:30" s="70" customFormat="1" ht="57" customHeight="1" x14ac:dyDescent="0.45">
      <c r="A3" s="318" t="s">
        <v>226</v>
      </c>
      <c r="B3" s="319"/>
      <c r="C3" s="319"/>
      <c r="D3" s="319"/>
      <c r="E3" s="319"/>
      <c r="F3" s="319"/>
      <c r="G3" s="319"/>
      <c r="H3" s="319"/>
      <c r="I3" s="319"/>
      <c r="J3" s="319"/>
      <c r="K3" s="73"/>
    </row>
    <row r="4" spans="1:30" s="70" customFormat="1" ht="14.25" x14ac:dyDescent="0.45">
      <c r="A4" s="58"/>
      <c r="B4" s="59"/>
      <c r="C4" s="57"/>
      <c r="D4" s="73"/>
      <c r="E4" s="73"/>
      <c r="F4" s="73"/>
      <c r="G4" s="73"/>
      <c r="H4" s="60"/>
      <c r="I4" s="57"/>
      <c r="J4" s="57"/>
      <c r="K4" s="57"/>
      <c r="L4" s="55"/>
      <c r="M4" s="55"/>
      <c r="N4" s="55"/>
      <c r="O4" s="55"/>
      <c r="P4" s="55"/>
      <c r="Q4" s="55"/>
      <c r="R4" s="55"/>
      <c r="S4" s="55"/>
      <c r="T4" s="55"/>
      <c r="U4" s="55"/>
      <c r="V4" s="55"/>
      <c r="W4" s="55"/>
      <c r="X4" s="55"/>
      <c r="Y4" s="55"/>
      <c r="Z4" s="55"/>
      <c r="AA4" s="55"/>
      <c r="AB4" s="55"/>
      <c r="AC4" s="55"/>
      <c r="AD4" s="55"/>
    </row>
    <row r="5" spans="1:30" s="70" customFormat="1" ht="14.25" x14ac:dyDescent="0.45">
      <c r="A5" s="65" t="s">
        <v>1</v>
      </c>
      <c r="B5" s="66" t="s">
        <v>2</v>
      </c>
      <c r="C5" s="57"/>
      <c r="D5" s="316" t="s">
        <v>236</v>
      </c>
      <c r="E5" s="316"/>
      <c r="F5" s="316"/>
      <c r="G5" s="316"/>
      <c r="H5" s="316"/>
      <c r="I5" s="316"/>
      <c r="J5"/>
      <c r="R5" s="55"/>
      <c r="S5" s="55"/>
      <c r="T5" s="55"/>
      <c r="U5" s="55"/>
      <c r="V5" s="55"/>
      <c r="W5" s="55"/>
      <c r="X5" s="55"/>
      <c r="Y5" s="55"/>
      <c r="Z5" s="55"/>
      <c r="AA5" s="55"/>
      <c r="AB5" s="55"/>
      <c r="AC5" s="55"/>
    </row>
    <row r="6" spans="1:30" s="70" customFormat="1" ht="14.25" x14ac:dyDescent="0.45">
      <c r="A6" s="58" t="s">
        <v>3</v>
      </c>
      <c r="B6" s="59">
        <v>49</v>
      </c>
      <c r="C6" s="57"/>
      <c r="D6" s="75" t="s">
        <v>4</v>
      </c>
      <c r="E6" s="158"/>
      <c r="F6" s="76" t="s">
        <v>240</v>
      </c>
      <c r="G6" s="157" t="s">
        <v>241</v>
      </c>
      <c r="H6" s="68" t="s">
        <v>242</v>
      </c>
      <c r="I6" s="69" t="s">
        <v>9</v>
      </c>
      <c r="K6" s="82"/>
      <c r="R6" s="55"/>
      <c r="S6" s="55"/>
      <c r="T6" s="55"/>
      <c r="U6" s="55"/>
      <c r="V6" s="55"/>
      <c r="W6" s="55"/>
      <c r="X6" s="55"/>
      <c r="Y6" s="55"/>
      <c r="Z6" s="55"/>
      <c r="AA6" s="55"/>
      <c r="AB6" s="55"/>
      <c r="AC6" s="55"/>
    </row>
    <row r="7" spans="1:30" s="70" customFormat="1" ht="14.25" x14ac:dyDescent="0.45">
      <c r="A7" s="58"/>
      <c r="B7" s="59"/>
      <c r="C7" s="61"/>
      <c r="D7" s="64" t="s">
        <v>168</v>
      </c>
      <c r="E7"/>
      <c r="F7" s="255">
        <v>850</v>
      </c>
      <c r="G7" s="166">
        <f>F7-H7</f>
        <v>16.666666666666629</v>
      </c>
      <c r="H7" s="166">
        <f>F7/(1+B20)</f>
        <v>833.33333333333337</v>
      </c>
      <c r="I7" s="166">
        <f>H7</f>
        <v>833.33333333333337</v>
      </c>
      <c r="Q7" s="55"/>
      <c r="R7" s="55"/>
      <c r="S7" s="55"/>
      <c r="T7" s="55"/>
      <c r="U7" s="55"/>
      <c r="V7" s="55"/>
      <c r="W7" s="55"/>
      <c r="X7" s="55"/>
      <c r="Y7" s="55"/>
      <c r="Z7" s="55"/>
      <c r="AA7" s="55"/>
      <c r="AB7" s="55"/>
      <c r="AC7" s="55"/>
    </row>
    <row r="8" spans="1:30" s="70" customFormat="1" ht="14.25" x14ac:dyDescent="0.45">
      <c r="A8" s="65" t="s">
        <v>11</v>
      </c>
      <c r="B8" s="66" t="s">
        <v>172</v>
      </c>
      <c r="C8" s="62"/>
      <c r="D8" s="254" t="s">
        <v>228</v>
      </c>
      <c r="E8"/>
      <c r="F8" s="255">
        <v>355</v>
      </c>
      <c r="G8" s="166">
        <f>F8-H8</f>
        <v>6.960784313725469</v>
      </c>
      <c r="H8" s="166">
        <f>F8/(1+$B$20)</f>
        <v>348.03921568627453</v>
      </c>
      <c r="I8" s="167">
        <f>H8</f>
        <v>348.03921568627453</v>
      </c>
      <c r="M8" s="55"/>
      <c r="N8" s="55"/>
      <c r="O8" s="55"/>
      <c r="P8" s="55"/>
      <c r="Q8" s="55"/>
      <c r="R8" s="55"/>
      <c r="S8" s="55"/>
      <c r="T8" s="55"/>
      <c r="U8" s="55"/>
      <c r="V8" s="55"/>
      <c r="W8" s="55"/>
      <c r="X8" s="55"/>
      <c r="Y8" s="55"/>
      <c r="Z8" s="55"/>
      <c r="AA8" s="55"/>
      <c r="AB8" s="55"/>
      <c r="AC8" s="55"/>
    </row>
    <row r="9" spans="1:30" s="70" customFormat="1" ht="14.25" x14ac:dyDescent="0.45">
      <c r="A9" s="58" t="s">
        <v>173</v>
      </c>
      <c r="B9" s="163">
        <v>90000</v>
      </c>
      <c r="C9" s="62"/>
      <c r="D9" s="151" t="s">
        <v>165</v>
      </c>
      <c r="E9"/>
      <c r="F9" s="77"/>
      <c r="G9" s="166"/>
      <c r="H9" s="166"/>
      <c r="I9" s="166"/>
      <c r="K9" s="80"/>
      <c r="M9" s="55"/>
      <c r="N9" s="55"/>
      <c r="O9" s="55"/>
      <c r="P9" s="55"/>
      <c r="Q9" s="55"/>
      <c r="R9" s="55"/>
      <c r="S9" s="55"/>
      <c r="T9" s="55"/>
      <c r="U9" s="55"/>
      <c r="V9" s="55"/>
      <c r="W9" s="55"/>
      <c r="X9" s="55"/>
      <c r="Y9" s="55"/>
      <c r="Z9" s="55"/>
      <c r="AA9" s="55"/>
      <c r="AB9" s="55"/>
      <c r="AC9" s="55"/>
    </row>
    <row r="10" spans="1:30" s="70" customFormat="1" ht="14.25" x14ac:dyDescent="0.45">
      <c r="A10" s="58" t="s">
        <v>227</v>
      </c>
      <c r="B10" s="163">
        <f>B9+54000</f>
        <v>144000</v>
      </c>
      <c r="C10" s="62"/>
      <c r="D10" s="57" t="s">
        <v>229</v>
      </c>
      <c r="E10"/>
      <c r="F10" s="77">
        <v>12</v>
      </c>
      <c r="G10" s="166">
        <f>F10-H10</f>
        <v>0.23529411764705976</v>
      </c>
      <c r="H10" s="166">
        <f>F10/(1+$B$20)</f>
        <v>11.76470588235294</v>
      </c>
      <c r="I10" s="167">
        <f>H10</f>
        <v>11.76470588235294</v>
      </c>
      <c r="K10" s="80"/>
      <c r="M10" s="55"/>
      <c r="N10" s="55"/>
      <c r="O10" s="55"/>
      <c r="P10" s="55"/>
      <c r="Q10" s="55"/>
      <c r="R10" s="55"/>
      <c r="S10" s="55"/>
      <c r="T10" s="55"/>
      <c r="U10" s="55"/>
      <c r="V10" s="55"/>
      <c r="W10" s="55"/>
      <c r="X10" s="55"/>
      <c r="Y10" s="55"/>
      <c r="Z10" s="55"/>
      <c r="AA10" s="55"/>
      <c r="AB10" s="55"/>
      <c r="AC10" s="55"/>
    </row>
    <row r="11" spans="1:30" s="70" customFormat="1" ht="14.25" x14ac:dyDescent="0.45">
      <c r="A11" s="58"/>
      <c r="B11" s="163"/>
      <c r="C11" s="62"/>
      <c r="D11" s="57" t="s">
        <v>10</v>
      </c>
      <c r="E11"/>
      <c r="F11" s="77">
        <v>50</v>
      </c>
      <c r="G11" s="166">
        <f>F11-H11</f>
        <v>0.98039215686274872</v>
      </c>
      <c r="H11" s="166">
        <f>F11/(1+$B$20)</f>
        <v>49.019607843137251</v>
      </c>
      <c r="I11" s="167">
        <f>H11</f>
        <v>49.019607843137251</v>
      </c>
      <c r="K11" s="80"/>
      <c r="M11" s="55"/>
      <c r="N11" s="55"/>
      <c r="O11" s="55"/>
      <c r="P11" s="55"/>
      <c r="Q11" s="55"/>
      <c r="R11" s="55"/>
      <c r="S11" s="55"/>
      <c r="T11" s="55"/>
      <c r="U11" s="55"/>
      <c r="V11" s="55"/>
      <c r="W11" s="55"/>
      <c r="X11" s="55"/>
      <c r="Y11" s="55"/>
      <c r="Z11" s="55"/>
      <c r="AA11" s="55"/>
      <c r="AB11" s="55"/>
      <c r="AC11" s="55"/>
    </row>
    <row r="12" spans="1:30" s="70" customFormat="1" ht="14.25" x14ac:dyDescent="0.45">
      <c r="A12"/>
      <c r="B12"/>
      <c r="C12" s="62"/>
      <c r="D12" s="57" t="s">
        <v>230</v>
      </c>
      <c r="E12"/>
      <c r="F12" s="77">
        <v>5</v>
      </c>
      <c r="G12" s="166">
        <f>F12-H12</f>
        <v>9.8039215686274161E-2</v>
      </c>
      <c r="H12" s="166">
        <f>F12/(1+$B$20)</f>
        <v>4.9019607843137258</v>
      </c>
      <c r="I12" s="167">
        <f>H12</f>
        <v>4.9019607843137258</v>
      </c>
      <c r="K12" s="80"/>
      <c r="M12" s="55"/>
      <c r="N12" s="55"/>
      <c r="O12" s="55"/>
      <c r="P12" s="55"/>
      <c r="Q12" s="55"/>
      <c r="R12" s="55"/>
      <c r="S12" s="55"/>
      <c r="T12" s="55"/>
      <c r="U12" s="55"/>
      <c r="V12" s="55"/>
      <c r="W12" s="55"/>
      <c r="X12" s="55"/>
      <c r="Y12" s="55"/>
      <c r="Z12" s="55"/>
      <c r="AA12" s="55"/>
      <c r="AB12" s="55"/>
      <c r="AC12" s="55"/>
    </row>
    <row r="13" spans="1:30" s="70" customFormat="1" ht="14.25" x14ac:dyDescent="0.45">
      <c r="A13" s="164" t="s">
        <v>180</v>
      </c>
      <c r="B13" s="159"/>
      <c r="C13" s="62"/>
      <c r="D13" s="174" t="s">
        <v>48</v>
      </c>
      <c r="E13" s="174"/>
      <c r="F13" s="175">
        <f>SUM(F7:F12)</f>
        <v>1272</v>
      </c>
      <c r="G13" s="184">
        <f>SUM(G7:G12)</f>
        <v>24.941176470588179</v>
      </c>
      <c r="H13" s="79">
        <f>SUM(H7:H12)</f>
        <v>1247.0588235294119</v>
      </c>
      <c r="I13" s="79">
        <f>SUM(I7:I12)</f>
        <v>1247.0588235294119</v>
      </c>
      <c r="K13" s="80"/>
      <c r="M13" s="55"/>
      <c r="N13" s="55"/>
      <c r="O13" s="55"/>
      <c r="P13" s="55"/>
      <c r="Q13" s="55"/>
      <c r="R13" s="55"/>
      <c r="S13" s="55"/>
      <c r="T13" s="55"/>
      <c r="U13" s="55"/>
      <c r="V13" s="55"/>
      <c r="W13" s="55"/>
      <c r="X13" s="55"/>
      <c r="Y13" s="55"/>
      <c r="Z13" s="55"/>
      <c r="AA13" s="55"/>
      <c r="AB13" s="55"/>
      <c r="AC13" s="55"/>
    </row>
    <row r="14" spans="1:30" s="70" customFormat="1" ht="14.25" x14ac:dyDescent="0.45">
      <c r="A14" s="58" t="s">
        <v>169</v>
      </c>
      <c r="B14" s="88">
        <v>0.01</v>
      </c>
      <c r="C14" s="62"/>
      <c r="K14" s="81"/>
      <c r="Q14" s="55"/>
      <c r="R14" s="55"/>
      <c r="S14" s="55"/>
      <c r="T14" s="55"/>
      <c r="U14" s="55"/>
      <c r="V14" s="55"/>
      <c r="W14" s="55"/>
      <c r="X14" s="55"/>
      <c r="Y14" s="55"/>
      <c r="Z14" s="55"/>
      <c r="AA14" s="55"/>
      <c r="AB14" s="55"/>
      <c r="AC14" s="55"/>
    </row>
    <row r="15" spans="1:30" s="70" customFormat="1" ht="14.25" x14ac:dyDescent="0.45">
      <c r="A15" s="58" t="s">
        <v>166</v>
      </c>
      <c r="B15" s="60">
        <v>0</v>
      </c>
      <c r="C15" s="62"/>
      <c r="D15" s="320" t="s">
        <v>178</v>
      </c>
      <c r="E15" s="320"/>
      <c r="F15" s="320"/>
      <c r="G15" s="320"/>
      <c r="H15" s="320"/>
      <c r="I15" s="320"/>
      <c r="J15"/>
      <c r="Q15" s="55"/>
      <c r="R15" s="55"/>
      <c r="S15" s="55"/>
      <c r="T15" s="55"/>
      <c r="U15" s="55"/>
      <c r="V15" s="55"/>
      <c r="W15" s="55"/>
      <c r="X15" s="55"/>
      <c r="Y15" s="55"/>
      <c r="Z15" s="55"/>
      <c r="AA15" s="55"/>
      <c r="AB15" s="55"/>
      <c r="AC15" s="55"/>
    </row>
    <row r="16" spans="1:30" s="70" customFormat="1" ht="14.25" x14ac:dyDescent="0.45">
      <c r="C16" s="62"/>
      <c r="D16" s="161"/>
      <c r="E16" s="165" t="s">
        <v>177</v>
      </c>
      <c r="F16" s="76" t="s">
        <v>240</v>
      </c>
      <c r="G16" s="78" t="s">
        <v>241</v>
      </c>
      <c r="H16" s="69" t="s">
        <v>242</v>
      </c>
      <c r="I16" s="69" t="s">
        <v>9</v>
      </c>
      <c r="O16" s="55"/>
      <c r="P16" s="55"/>
      <c r="Q16" s="55"/>
      <c r="R16" s="55"/>
      <c r="S16" s="55"/>
      <c r="T16" s="55"/>
      <c r="U16" s="55"/>
      <c r="V16" s="55"/>
      <c r="W16" s="55"/>
      <c r="X16" s="55"/>
      <c r="Y16" s="55"/>
      <c r="Z16" s="55"/>
      <c r="AA16" s="55"/>
      <c r="AB16" s="55"/>
      <c r="AC16" s="55"/>
    </row>
    <row r="17" spans="1:29" ht="14.25" x14ac:dyDescent="0.45">
      <c r="A17" s="65" t="s">
        <v>15</v>
      </c>
      <c r="B17" s="66" t="s">
        <v>12</v>
      </c>
      <c r="D17" s="173" t="s">
        <v>182</v>
      </c>
      <c r="F17" s="256">
        <v>18</v>
      </c>
      <c r="G17" s="70"/>
      <c r="H17" s="63"/>
      <c r="I17" s="63"/>
      <c r="J17" s="70"/>
    </row>
    <row r="18" spans="1:29" s="70" customFormat="1" ht="14.25" x14ac:dyDescent="0.45">
      <c r="A18" s="70" t="s">
        <v>16</v>
      </c>
      <c r="B18" s="72">
        <v>0.26</v>
      </c>
      <c r="C18" s="62"/>
      <c r="D18" s="57" t="s">
        <v>231</v>
      </c>
      <c r="E18" s="162">
        <v>0.4</v>
      </c>
      <c r="F18" s="168">
        <f>$F$17*E18</f>
        <v>7.2</v>
      </c>
      <c r="G18" s="169">
        <f>F18-H18</f>
        <v>0.20970873786407829</v>
      </c>
      <c r="H18" s="170">
        <f>F18/(1+B21)</f>
        <v>6.9902912621359219</v>
      </c>
      <c r="I18" s="170">
        <f>H18</f>
        <v>6.9902912621359219</v>
      </c>
      <c r="K18" s="80"/>
      <c r="M18" s="55"/>
      <c r="N18" s="55"/>
      <c r="O18" s="55"/>
      <c r="P18" s="55"/>
      <c r="Q18" s="55"/>
      <c r="R18" s="55"/>
      <c r="S18" s="55"/>
      <c r="T18" s="55"/>
      <c r="U18" s="55"/>
      <c r="V18" s="55"/>
      <c r="W18" s="55"/>
      <c r="X18" s="55"/>
      <c r="Y18" s="55"/>
      <c r="Z18" s="55"/>
      <c r="AA18" s="55"/>
      <c r="AB18" s="55"/>
      <c r="AC18" s="55"/>
    </row>
    <row r="19" spans="1:29" s="70" customFormat="1" ht="14.25" x14ac:dyDescent="0.45">
      <c r="A19" s="70" t="s">
        <v>7</v>
      </c>
      <c r="B19" s="72">
        <v>0.1</v>
      </c>
      <c r="C19" s="62"/>
      <c r="D19" s="57" t="s">
        <v>232</v>
      </c>
      <c r="E19" s="162">
        <v>0.1</v>
      </c>
      <c r="F19" s="168">
        <f>$F$17*E19</f>
        <v>1.8</v>
      </c>
      <c r="G19" s="169">
        <f t="shared" ref="G19:G24" si="0">F19-H19</f>
        <v>0.1636363636363638</v>
      </c>
      <c r="H19" s="170">
        <f>F19/(1+$B$19)</f>
        <v>1.6363636363636362</v>
      </c>
      <c r="I19" s="170">
        <f t="shared" ref="I19:I24" si="1">H19</f>
        <v>1.6363636363636362</v>
      </c>
      <c r="K19" s="80"/>
      <c r="M19" s="55"/>
      <c r="N19" s="55"/>
      <c r="O19" s="55"/>
      <c r="P19" s="55"/>
      <c r="Q19" s="55"/>
      <c r="R19" s="55"/>
      <c r="S19" s="55"/>
      <c r="T19" s="55"/>
      <c r="U19" s="55"/>
      <c r="V19" s="55"/>
      <c r="W19" s="55"/>
      <c r="X19" s="55"/>
      <c r="Y19" s="55"/>
      <c r="Z19" s="55"/>
      <c r="AA19" s="55"/>
      <c r="AB19" s="55"/>
      <c r="AC19" s="55"/>
    </row>
    <row r="20" spans="1:29" s="70" customFormat="1" ht="14.25" x14ac:dyDescent="0.45">
      <c r="A20" s="70" t="s">
        <v>164</v>
      </c>
      <c r="B20" s="156">
        <v>0.02</v>
      </c>
      <c r="C20" s="62"/>
      <c r="D20" s="57" t="s">
        <v>233</v>
      </c>
      <c r="E20" s="162">
        <v>0.5</v>
      </c>
      <c r="F20" s="168">
        <f>$F$17*E20</f>
        <v>9</v>
      </c>
      <c r="G20" s="169">
        <f t="shared" si="0"/>
        <v>0.81818181818181834</v>
      </c>
      <c r="H20" s="170">
        <f>F20/(1+$B$19)</f>
        <v>8.1818181818181817</v>
      </c>
      <c r="I20" s="170">
        <f t="shared" si="1"/>
        <v>8.1818181818181817</v>
      </c>
      <c r="K20" s="80"/>
      <c r="M20" s="55"/>
      <c r="N20" s="55"/>
      <c r="O20" s="55"/>
      <c r="P20" s="55"/>
      <c r="Q20" s="55"/>
      <c r="R20" s="55"/>
      <c r="S20" s="55"/>
      <c r="T20" s="55"/>
      <c r="U20" s="55"/>
      <c r="V20" s="55"/>
      <c r="W20" s="55"/>
      <c r="X20" s="55"/>
      <c r="Y20" s="55"/>
      <c r="Z20" s="55"/>
      <c r="AA20" s="55"/>
      <c r="AB20" s="55"/>
      <c r="AC20" s="55"/>
    </row>
    <row r="21" spans="1:29" s="70" customFormat="1" ht="14.25" x14ac:dyDescent="0.45">
      <c r="A21" s="70" t="s">
        <v>179</v>
      </c>
      <c r="B21" s="156">
        <v>0.03</v>
      </c>
      <c r="C21" s="62"/>
      <c r="D21" s="64" t="s">
        <v>185</v>
      </c>
      <c r="E21"/>
      <c r="F21" s="255">
        <v>225</v>
      </c>
      <c r="G21" s="169"/>
      <c r="H21" s="171"/>
      <c r="I21" s="170"/>
      <c r="K21" s="80"/>
      <c r="M21" s="55"/>
      <c r="N21" s="55"/>
      <c r="O21" s="55"/>
      <c r="P21" s="55"/>
      <c r="Q21" s="55"/>
      <c r="R21" s="55"/>
      <c r="S21" s="55"/>
      <c r="T21" s="55"/>
      <c r="U21" s="55"/>
      <c r="V21" s="55"/>
      <c r="W21" s="55"/>
      <c r="X21" s="55"/>
      <c r="Y21" s="55"/>
      <c r="Z21" s="55"/>
      <c r="AA21" s="55"/>
      <c r="AB21" s="55"/>
      <c r="AC21" s="55"/>
    </row>
    <row r="22" spans="1:29" s="70" customFormat="1" ht="14.25" x14ac:dyDescent="0.45">
      <c r="C22" s="62"/>
      <c r="D22" s="57" t="s">
        <v>231</v>
      </c>
      <c r="E22" s="162">
        <v>0.4</v>
      </c>
      <c r="F22" s="168">
        <f>$F$21*E22</f>
        <v>90</v>
      </c>
      <c r="G22" s="169">
        <f t="shared" si="0"/>
        <v>2.6213592233009706</v>
      </c>
      <c r="H22" s="172">
        <f>F22/(1+B21)</f>
        <v>87.378640776699029</v>
      </c>
      <c r="I22" s="170">
        <f t="shared" si="1"/>
        <v>87.378640776699029</v>
      </c>
      <c r="K22" s="80"/>
      <c r="M22" s="55"/>
      <c r="N22" s="55"/>
      <c r="O22" s="55"/>
      <c r="P22" s="55"/>
      <c r="Q22" s="55"/>
      <c r="R22" s="55"/>
      <c r="S22" s="55"/>
      <c r="T22" s="55"/>
      <c r="U22" s="55"/>
      <c r="V22" s="55"/>
      <c r="W22" s="55"/>
      <c r="X22" s="55"/>
      <c r="Y22" s="55"/>
      <c r="Z22" s="55"/>
      <c r="AA22" s="55"/>
      <c r="AB22" s="55"/>
      <c r="AC22" s="55"/>
    </row>
    <row r="23" spans="1:29" s="70" customFormat="1" ht="14.25" x14ac:dyDescent="0.45">
      <c r="A23" s="164" t="s">
        <v>181</v>
      </c>
      <c r="B23" s="160" t="s">
        <v>188</v>
      </c>
      <c r="C23" s="62"/>
      <c r="D23" s="57" t="s">
        <v>232</v>
      </c>
      <c r="E23" s="162">
        <v>0.1</v>
      </c>
      <c r="F23" s="168">
        <f>$F$21*E23</f>
        <v>22.5</v>
      </c>
      <c r="G23" s="169">
        <f t="shared" si="0"/>
        <v>2.0454545454545467</v>
      </c>
      <c r="H23" s="172">
        <f>F23/(1+B19)</f>
        <v>20.454545454545453</v>
      </c>
      <c r="I23" s="170">
        <f t="shared" si="1"/>
        <v>20.454545454545453</v>
      </c>
      <c r="K23" s="80"/>
      <c r="M23" s="55"/>
      <c r="N23" s="55"/>
      <c r="O23" s="55"/>
      <c r="P23" s="55"/>
      <c r="Q23" s="55"/>
      <c r="R23" s="55"/>
      <c r="S23" s="55"/>
      <c r="T23" s="55"/>
      <c r="U23" s="55"/>
      <c r="V23" s="55"/>
      <c r="W23" s="55"/>
      <c r="X23" s="55"/>
      <c r="Y23" s="55"/>
      <c r="Z23" s="55"/>
      <c r="AA23" s="55"/>
      <c r="AB23" s="55"/>
      <c r="AC23" s="55"/>
    </row>
    <row r="24" spans="1:29" s="70" customFormat="1" ht="14.25" x14ac:dyDescent="0.45">
      <c r="A24" s="58" t="s">
        <v>189</v>
      </c>
      <c r="B24" s="258">
        <v>40</v>
      </c>
      <c r="C24" s="57"/>
      <c r="D24" s="57" t="s">
        <v>233</v>
      </c>
      <c r="E24" s="162">
        <v>0.5</v>
      </c>
      <c r="F24" s="168">
        <f>$F$21*E24</f>
        <v>112.5</v>
      </c>
      <c r="G24" s="169">
        <f t="shared" si="0"/>
        <v>10.227272727272734</v>
      </c>
      <c r="H24" s="172">
        <f>F24/(1+B19)</f>
        <v>102.27272727272727</v>
      </c>
      <c r="I24" s="170">
        <f t="shared" si="1"/>
        <v>102.27272727272727</v>
      </c>
      <c r="K24" s="80"/>
      <c r="M24" s="55"/>
      <c r="N24" s="55"/>
      <c r="O24" s="55"/>
      <c r="P24" s="55"/>
      <c r="Q24" s="55"/>
      <c r="R24" s="55"/>
      <c r="S24" s="55"/>
      <c r="T24" s="55"/>
      <c r="U24" s="55"/>
      <c r="V24" s="55"/>
      <c r="W24" s="55"/>
      <c r="X24" s="55"/>
      <c r="Y24" s="55"/>
      <c r="Z24" s="55"/>
      <c r="AA24" s="55"/>
      <c r="AB24" s="55"/>
      <c r="AC24" s="55"/>
    </row>
    <row r="25" spans="1:29" s="70" customFormat="1" ht="14.25" x14ac:dyDescent="0.45">
      <c r="C25" s="57"/>
      <c r="K25" s="80"/>
      <c r="M25" s="55"/>
      <c r="N25" s="55"/>
      <c r="O25" s="55"/>
      <c r="P25" s="55"/>
      <c r="Q25" s="55"/>
      <c r="R25" s="55"/>
      <c r="S25" s="55"/>
      <c r="T25" s="55"/>
      <c r="U25" s="55"/>
      <c r="V25" s="55"/>
      <c r="W25" s="55"/>
      <c r="X25" s="55"/>
      <c r="Y25" s="55"/>
      <c r="Z25" s="55"/>
      <c r="AA25" s="55"/>
      <c r="AB25" s="55"/>
      <c r="AC25" s="55"/>
    </row>
    <row r="26" spans="1:29" s="70" customFormat="1" ht="14.25" x14ac:dyDescent="0.45">
      <c r="A26" s="65" t="s">
        <v>13</v>
      </c>
      <c r="C26" s="57"/>
      <c r="D26" s="316" t="s">
        <v>237</v>
      </c>
      <c r="E26" s="316"/>
      <c r="F26" s="316"/>
      <c r="G26" s="316"/>
      <c r="H26" s="316"/>
      <c r="I26" s="316"/>
      <c r="J26"/>
      <c r="K26" s="80"/>
      <c r="M26" s="55"/>
      <c r="N26" s="55"/>
      <c r="O26" s="55"/>
      <c r="P26" s="55"/>
      <c r="Q26" s="55"/>
      <c r="R26" s="55"/>
      <c r="S26" s="55"/>
      <c r="T26" s="55"/>
      <c r="U26" s="55"/>
      <c r="V26" s="55"/>
      <c r="W26" s="55"/>
      <c r="X26" s="55"/>
      <c r="Y26" s="55"/>
      <c r="Z26" s="55"/>
      <c r="AA26" s="55"/>
      <c r="AB26" s="55"/>
      <c r="AC26" s="55"/>
    </row>
    <row r="27" spans="1:29" s="70" customFormat="1" ht="14.25" x14ac:dyDescent="0.45">
      <c r="A27" s="58" t="s">
        <v>20</v>
      </c>
      <c r="B27" s="259">
        <v>0</v>
      </c>
      <c r="C27" s="57"/>
      <c r="D27" s="75" t="s">
        <v>4</v>
      </c>
      <c r="E27" s="158"/>
      <c r="F27" s="76" t="s">
        <v>6</v>
      </c>
      <c r="G27" s="157" t="s">
        <v>7</v>
      </c>
      <c r="H27" s="68" t="s">
        <v>8</v>
      </c>
      <c r="I27" s="69" t="s">
        <v>9</v>
      </c>
      <c r="J27"/>
      <c r="K27" s="80"/>
      <c r="M27" s="55"/>
      <c r="N27" s="55"/>
      <c r="O27" s="55"/>
      <c r="P27" s="55"/>
      <c r="Q27" s="55"/>
      <c r="R27" s="55"/>
      <c r="S27" s="55"/>
      <c r="T27" s="55"/>
      <c r="U27" s="55"/>
      <c r="V27" s="55"/>
      <c r="W27" s="55"/>
      <c r="X27" s="55"/>
      <c r="Y27" s="55"/>
      <c r="Z27" s="55"/>
      <c r="AA27" s="55"/>
      <c r="AB27" s="55"/>
      <c r="AC27" s="55"/>
    </row>
    <row r="28" spans="1:29" s="70" customFormat="1" ht="14.25" x14ac:dyDescent="0.45">
      <c r="A28" s="70" t="s">
        <v>0</v>
      </c>
      <c r="B28" s="260">
        <v>0.06</v>
      </c>
      <c r="C28" s="57"/>
      <c r="D28" s="224">
        <v>2013</v>
      </c>
      <c r="E28"/>
      <c r="F28" s="168">
        <v>0.14000000000000001</v>
      </c>
      <c r="G28" s="166">
        <f>F28-H28</f>
        <v>2.7450980392156876E-3</v>
      </c>
      <c r="H28" s="166">
        <f>F28/(1+$B$20)</f>
        <v>0.13725490196078433</v>
      </c>
      <c r="I28" s="166">
        <f>H28</f>
        <v>0.13725490196078433</v>
      </c>
      <c r="J28"/>
      <c r="M28" s="55"/>
      <c r="N28" s="55"/>
      <c r="O28" s="55"/>
      <c r="P28" s="55"/>
      <c r="Q28" s="55"/>
      <c r="R28" s="55"/>
      <c r="S28" s="55"/>
      <c r="T28" s="55"/>
      <c r="U28" s="55"/>
      <c r="V28" s="55"/>
      <c r="W28" s="55"/>
      <c r="X28" s="55"/>
      <c r="Y28" s="55"/>
      <c r="Z28" s="55"/>
      <c r="AA28" s="55"/>
      <c r="AB28" s="55"/>
      <c r="AC28" s="55"/>
    </row>
    <row r="29" spans="1:29" s="70" customFormat="1" ht="14.25" x14ac:dyDescent="0.45">
      <c r="A29" s="70" t="s">
        <v>21</v>
      </c>
      <c r="B29" s="70">
        <v>1000000</v>
      </c>
      <c r="C29" s="57"/>
      <c r="D29" s="223">
        <v>2018</v>
      </c>
      <c r="E29"/>
      <c r="F29" s="168">
        <v>0.85</v>
      </c>
      <c r="G29" s="166">
        <f t="shared" ref="G29:G33" si="2">F29-H29</f>
        <v>1.6666666666666718E-2</v>
      </c>
      <c r="H29" s="166">
        <f t="shared" ref="H29:H33" si="3">F29/(1+$B$20)</f>
        <v>0.83333333333333326</v>
      </c>
      <c r="I29" s="166">
        <f t="shared" ref="I29:I33" si="4">H29</f>
        <v>0.83333333333333326</v>
      </c>
      <c r="M29" s="55"/>
      <c r="N29" s="55"/>
      <c r="O29" s="55"/>
      <c r="P29" s="55"/>
      <c r="Q29" s="55"/>
      <c r="R29" s="55"/>
      <c r="S29" s="55"/>
      <c r="T29" s="55"/>
      <c r="U29" s="55"/>
      <c r="V29" s="55"/>
      <c r="W29" s="55"/>
      <c r="X29" s="55"/>
      <c r="Y29" s="55"/>
      <c r="Z29" s="55"/>
      <c r="AA29" s="55"/>
      <c r="AB29" s="55"/>
      <c r="AC29" s="55"/>
    </row>
    <row r="30" spans="1:29" s="70" customFormat="1" ht="14.25" x14ac:dyDescent="0.45">
      <c r="A30" s="58" t="s">
        <v>278</v>
      </c>
      <c r="B30" s="60">
        <v>5250</v>
      </c>
      <c r="C30" s="57" t="s">
        <v>219</v>
      </c>
      <c r="D30" s="223">
        <v>2023</v>
      </c>
      <c r="E30"/>
      <c r="F30" s="168">
        <v>0.6</v>
      </c>
      <c r="G30" s="166">
        <f t="shared" si="2"/>
        <v>1.1764705882352899E-2</v>
      </c>
      <c r="H30" s="166">
        <f t="shared" si="3"/>
        <v>0.58823529411764708</v>
      </c>
      <c r="I30" s="166">
        <f t="shared" si="4"/>
        <v>0.58823529411764708</v>
      </c>
      <c r="M30" s="55"/>
      <c r="N30" s="55"/>
      <c r="O30" s="55"/>
      <c r="P30" s="55"/>
      <c r="Q30" s="55"/>
      <c r="R30" s="55"/>
      <c r="S30" s="55"/>
      <c r="T30" s="55"/>
      <c r="U30" s="55"/>
      <c r="V30" s="55"/>
      <c r="W30" s="55"/>
      <c r="X30" s="55"/>
      <c r="Y30" s="55"/>
      <c r="Z30" s="55"/>
      <c r="AA30" s="55"/>
      <c r="AB30" s="55"/>
      <c r="AC30" s="55"/>
    </row>
    <row r="31" spans="1:29" s="70" customFormat="1" ht="14.25" x14ac:dyDescent="0.45">
      <c r="C31" s="57"/>
      <c r="D31" s="224">
        <v>2028</v>
      </c>
      <c r="E31"/>
      <c r="F31" s="168">
        <v>2.2000000000000002</v>
      </c>
      <c r="G31" s="166">
        <f t="shared" si="2"/>
        <v>4.3137254901960631E-2</v>
      </c>
      <c r="H31" s="166">
        <f t="shared" si="3"/>
        <v>2.1568627450980395</v>
      </c>
      <c r="I31" s="166">
        <f t="shared" si="4"/>
        <v>2.1568627450980395</v>
      </c>
      <c r="K31" s="80"/>
      <c r="M31" s="55"/>
      <c r="N31" s="55"/>
      <c r="O31" s="55"/>
      <c r="P31" s="55"/>
      <c r="Q31" s="55"/>
      <c r="R31" s="55"/>
      <c r="S31" s="55"/>
      <c r="T31" s="55"/>
      <c r="U31" s="55"/>
      <c r="V31" s="55"/>
      <c r="W31" s="55"/>
      <c r="X31" s="55"/>
      <c r="Y31" s="55"/>
      <c r="Z31" s="55"/>
      <c r="AA31" s="55"/>
      <c r="AB31" s="55"/>
      <c r="AC31" s="55"/>
    </row>
    <row r="32" spans="1:29" s="70" customFormat="1" ht="14.25" x14ac:dyDescent="0.45">
      <c r="C32" s="57"/>
      <c r="D32" s="224">
        <v>2033</v>
      </c>
      <c r="E32"/>
      <c r="F32" s="168">
        <v>0.33</v>
      </c>
      <c r="G32" s="166">
        <f t="shared" si="2"/>
        <v>6.4705882352941169E-3</v>
      </c>
      <c r="H32" s="166">
        <f t="shared" si="3"/>
        <v>0.3235294117647059</v>
      </c>
      <c r="I32" s="166">
        <f t="shared" si="4"/>
        <v>0.3235294117647059</v>
      </c>
      <c r="K32" s="80"/>
      <c r="M32" s="55"/>
      <c r="N32" s="55"/>
      <c r="O32" s="55"/>
      <c r="P32" s="55"/>
      <c r="Q32" s="55"/>
      <c r="R32" s="55"/>
      <c r="S32" s="55"/>
      <c r="T32" s="55"/>
      <c r="U32" s="55"/>
      <c r="V32" s="55"/>
      <c r="W32" s="55"/>
      <c r="X32" s="55"/>
      <c r="Y32" s="55"/>
      <c r="Z32" s="55"/>
      <c r="AA32" s="55"/>
      <c r="AB32" s="55"/>
      <c r="AC32" s="55"/>
    </row>
    <row r="33" spans="1:30" s="70" customFormat="1" ht="14.25" x14ac:dyDescent="0.45">
      <c r="C33" s="57"/>
      <c r="D33" s="224" t="s">
        <v>166</v>
      </c>
      <c r="E33"/>
      <c r="F33" s="168">
        <v>20</v>
      </c>
      <c r="G33" s="166">
        <f t="shared" si="2"/>
        <v>0.39215686274509665</v>
      </c>
      <c r="H33" s="166">
        <f t="shared" si="3"/>
        <v>19.607843137254903</v>
      </c>
      <c r="I33" s="166">
        <f t="shared" si="4"/>
        <v>19.607843137254903</v>
      </c>
      <c r="K33" s="80"/>
      <c r="M33" s="55"/>
      <c r="N33" s="55"/>
      <c r="O33" s="55"/>
      <c r="P33" s="55"/>
      <c r="Q33" s="55"/>
      <c r="R33" s="55"/>
      <c r="S33" s="55"/>
      <c r="T33" s="55"/>
      <c r="U33" s="55"/>
      <c r="V33" s="55"/>
      <c r="W33" s="55"/>
      <c r="X33" s="55"/>
      <c r="Y33" s="55"/>
      <c r="Z33" s="55"/>
      <c r="AA33" s="55"/>
      <c r="AB33" s="55"/>
      <c r="AC33" s="55"/>
    </row>
    <row r="34" spans="1:30" s="70" customFormat="1" ht="14.25" x14ac:dyDescent="0.45">
      <c r="C34" s="57"/>
      <c r="D34" s="174" t="s">
        <v>48</v>
      </c>
      <c r="E34" s="174"/>
      <c r="F34" s="175">
        <f>SUM(F28:F33)</f>
        <v>24.12</v>
      </c>
      <c r="G34" s="184">
        <f>SUM(G28:G33)</f>
        <v>0.4729411764705867</v>
      </c>
      <c r="H34" s="79">
        <f>SUM(H28:H33)</f>
        <v>23.647058823529413</v>
      </c>
      <c r="I34" s="79">
        <f>SUM(I28:I33)</f>
        <v>23.647058823529413</v>
      </c>
      <c r="K34" s="80"/>
      <c r="M34" s="55"/>
      <c r="N34" s="55"/>
      <c r="O34" s="55"/>
      <c r="P34" s="55"/>
      <c r="Q34" s="55"/>
      <c r="R34" s="55"/>
      <c r="S34" s="55"/>
      <c r="T34" s="55"/>
      <c r="U34" s="55"/>
      <c r="V34" s="55"/>
      <c r="W34" s="55"/>
      <c r="X34" s="55"/>
      <c r="Y34" s="55"/>
      <c r="Z34" s="55"/>
      <c r="AA34" s="55"/>
      <c r="AB34" s="55"/>
      <c r="AC34" s="55"/>
    </row>
    <row r="35" spans="1:30" s="70" customFormat="1" ht="14.25" x14ac:dyDescent="0.45">
      <c r="C35" s="57"/>
      <c r="K35" s="80"/>
      <c r="M35" s="55"/>
      <c r="N35" s="55"/>
      <c r="O35" s="55"/>
      <c r="P35" s="55"/>
      <c r="Q35" s="55"/>
      <c r="R35" s="55"/>
      <c r="S35" s="55"/>
      <c r="T35" s="55"/>
      <c r="U35" s="55"/>
      <c r="V35" s="55"/>
      <c r="W35" s="55"/>
      <c r="X35" s="55"/>
      <c r="Y35" s="55"/>
      <c r="Z35" s="55"/>
      <c r="AA35" s="55"/>
      <c r="AB35" s="55"/>
      <c r="AC35" s="55"/>
      <c r="AD35" s="55"/>
    </row>
    <row r="43" spans="1:30" ht="14.25" x14ac:dyDescent="0.45">
      <c r="A43" s="58"/>
      <c r="B43" s="60"/>
      <c r="C43" s="57"/>
    </row>
    <row r="44" spans="1:30" ht="14.25" x14ac:dyDescent="0.45">
      <c r="A44" s="58"/>
      <c r="B44" s="59"/>
      <c r="C44" s="57"/>
    </row>
    <row r="75" ht="13.5" customHeight="1" x14ac:dyDescent="0.35"/>
    <row r="76" ht="13.5" customHeight="1" x14ac:dyDescent="0.35"/>
    <row r="78" ht="13.5" customHeight="1" x14ac:dyDescent="0.35"/>
    <row r="83" ht="13.5" customHeight="1" x14ac:dyDescent="0.35"/>
    <row r="84" ht="35.25" customHeight="1" x14ac:dyDescent="0.35"/>
    <row r="85" ht="13.5" customHeight="1" x14ac:dyDescent="0.35"/>
    <row r="86" ht="13.5" customHeight="1" x14ac:dyDescent="0.35"/>
    <row r="87" ht="13.5" customHeight="1" x14ac:dyDescent="0.35"/>
    <row r="88" ht="13.5" customHeight="1" x14ac:dyDescent="0.35"/>
    <row r="89" ht="13.5" customHeight="1" x14ac:dyDescent="0.35"/>
    <row r="90" ht="13.5" customHeight="1" x14ac:dyDescent="0.35"/>
    <row r="91" ht="13.5" customHeight="1" x14ac:dyDescent="0.35"/>
    <row r="92" ht="51" customHeight="1" x14ac:dyDescent="0.35"/>
    <row r="93" ht="13.5" customHeight="1" x14ac:dyDescent="0.35"/>
    <row r="94" ht="13.5" customHeight="1" x14ac:dyDescent="0.35"/>
    <row r="95" ht="13.5" customHeight="1" x14ac:dyDescent="0.35"/>
    <row r="96" ht="13.5" customHeight="1" x14ac:dyDescent="0.35"/>
    <row r="97" ht="13.5" customHeight="1" x14ac:dyDescent="0.35"/>
    <row r="98" ht="13.5" customHeight="1" x14ac:dyDescent="0.35"/>
    <row r="99" ht="13.5" customHeight="1" x14ac:dyDescent="0.35"/>
    <row r="100" ht="36" customHeight="1" x14ac:dyDescent="0.35"/>
    <row r="101" ht="13.5" customHeight="1" x14ac:dyDescent="0.35"/>
    <row r="102" ht="13.5" customHeight="1" x14ac:dyDescent="0.35"/>
    <row r="103" ht="13.5" customHeight="1" x14ac:dyDescent="0.35"/>
    <row r="104" ht="13.5" customHeight="1" x14ac:dyDescent="0.35"/>
    <row r="105" ht="13.5" customHeight="1" x14ac:dyDescent="0.35"/>
    <row r="106" ht="13.5" customHeight="1" x14ac:dyDescent="0.35"/>
    <row r="107" ht="13.5" customHeight="1" x14ac:dyDescent="0.35"/>
    <row r="108" ht="36" customHeight="1" x14ac:dyDescent="0.35"/>
    <row r="109" ht="13.5" customHeight="1" x14ac:dyDescent="0.35"/>
    <row r="110" ht="13.5" customHeight="1" x14ac:dyDescent="0.35"/>
    <row r="111" ht="13.5" customHeight="1" x14ac:dyDescent="0.35"/>
    <row r="112" ht="13.5" customHeight="1" x14ac:dyDescent="0.35"/>
    <row r="113" ht="13.5" customHeight="1" x14ac:dyDescent="0.35"/>
    <row r="114" ht="13.5" customHeight="1" x14ac:dyDescent="0.35"/>
    <row r="115" ht="13.5" customHeight="1" x14ac:dyDescent="0.35"/>
    <row r="116" ht="45.75" customHeight="1" x14ac:dyDescent="0.35"/>
    <row r="117" ht="13.5" customHeight="1" x14ac:dyDescent="0.35"/>
    <row r="118" ht="13.5" customHeight="1" x14ac:dyDescent="0.35"/>
    <row r="119" ht="13.5" customHeight="1" x14ac:dyDescent="0.35"/>
    <row r="120" ht="13.5" customHeight="1" x14ac:dyDescent="0.35"/>
    <row r="121" ht="13.5" customHeight="1" x14ac:dyDescent="0.35"/>
    <row r="122" ht="13.5" customHeight="1" x14ac:dyDescent="0.35"/>
    <row r="123" ht="13.5" customHeight="1" x14ac:dyDescent="0.35"/>
    <row r="124" ht="36" customHeight="1" x14ac:dyDescent="0.35"/>
    <row r="125" ht="13.5" customHeight="1" x14ac:dyDescent="0.35"/>
    <row r="126" ht="13.5" customHeight="1" x14ac:dyDescent="0.35"/>
    <row r="127" ht="13.5" customHeight="1" x14ac:dyDescent="0.35"/>
    <row r="128" ht="13.5" customHeight="1" x14ac:dyDescent="0.35"/>
    <row r="129" ht="13.5" customHeight="1" x14ac:dyDescent="0.35"/>
    <row r="130" ht="13.5" customHeight="1" x14ac:dyDescent="0.35"/>
    <row r="131" ht="13.5" customHeight="1" x14ac:dyDescent="0.35"/>
    <row r="132" ht="36" customHeight="1" x14ac:dyDescent="0.35"/>
    <row r="133" ht="13.5" customHeight="1" x14ac:dyDescent="0.35"/>
    <row r="134" ht="13.5" customHeight="1" x14ac:dyDescent="0.35"/>
    <row r="135" ht="13.5" customHeight="1" x14ac:dyDescent="0.35"/>
    <row r="136" ht="13.5" customHeight="1" x14ac:dyDescent="0.35"/>
    <row r="137" ht="13.5" customHeight="1" x14ac:dyDescent="0.35"/>
    <row r="138" ht="13.5" customHeight="1" x14ac:dyDescent="0.35"/>
    <row r="139" ht="13.5" customHeight="1" x14ac:dyDescent="0.35"/>
    <row r="140" ht="36" customHeight="1" x14ac:dyDescent="0.35"/>
    <row r="141" ht="13.5" customHeight="1" x14ac:dyDescent="0.35"/>
    <row r="142" ht="13.5" customHeight="1" x14ac:dyDescent="0.35"/>
    <row r="143" ht="13.5" customHeight="1" x14ac:dyDescent="0.35"/>
    <row r="144" ht="13.5" customHeight="1" x14ac:dyDescent="0.35"/>
    <row r="145" ht="13.5" customHeight="1" x14ac:dyDescent="0.35"/>
    <row r="146" ht="13.5" customHeight="1" x14ac:dyDescent="0.35"/>
    <row r="147" ht="13.5" customHeight="1" x14ac:dyDescent="0.35"/>
    <row r="148" ht="36" customHeight="1" x14ac:dyDescent="0.35"/>
    <row r="149" ht="13.5" customHeight="1" x14ac:dyDescent="0.35"/>
    <row r="150" ht="13.5" customHeight="1" x14ac:dyDescent="0.35"/>
    <row r="151" ht="13.5" customHeight="1" x14ac:dyDescent="0.35"/>
    <row r="152" ht="13.5" customHeight="1" x14ac:dyDescent="0.35"/>
    <row r="153" ht="13.5" customHeight="1" x14ac:dyDescent="0.35"/>
    <row r="154" ht="13.5" customHeight="1" x14ac:dyDescent="0.35"/>
    <row r="155" ht="13.5" customHeight="1" x14ac:dyDescent="0.35"/>
    <row r="156" ht="36" customHeight="1" x14ac:dyDescent="0.35"/>
    <row r="157" ht="13.5" customHeight="1" x14ac:dyDescent="0.35"/>
    <row r="158" ht="13.5" customHeight="1" x14ac:dyDescent="0.35"/>
    <row r="159" ht="13.5" customHeight="1" x14ac:dyDescent="0.35"/>
    <row r="160" ht="13.5" customHeight="1" x14ac:dyDescent="0.35"/>
    <row r="161" ht="13.5" customHeight="1" x14ac:dyDescent="0.35"/>
    <row r="162" ht="13.5" customHeight="1" x14ac:dyDescent="0.35"/>
    <row r="163" ht="13.5" customHeight="1" x14ac:dyDescent="0.35"/>
    <row r="164" ht="36" customHeight="1" x14ac:dyDescent="0.35"/>
    <row r="165" ht="13.5" customHeight="1" x14ac:dyDescent="0.35"/>
    <row r="166" ht="13.5" customHeight="1" x14ac:dyDescent="0.35"/>
    <row r="167" ht="13.5" customHeight="1" x14ac:dyDescent="0.35"/>
    <row r="168" ht="13.5" customHeight="1" x14ac:dyDescent="0.35"/>
    <row r="169" ht="13.5" customHeight="1" x14ac:dyDescent="0.35"/>
    <row r="170" ht="13.5" customHeight="1" x14ac:dyDescent="0.35"/>
    <row r="171" ht="13.5" customHeight="1" x14ac:dyDescent="0.35"/>
    <row r="172" ht="36" customHeight="1" x14ac:dyDescent="0.35"/>
    <row r="173" ht="13.5" customHeight="1" x14ac:dyDescent="0.35"/>
    <row r="174" ht="13.5" customHeight="1" x14ac:dyDescent="0.35"/>
    <row r="175" ht="13.5" customHeight="1" x14ac:dyDescent="0.35"/>
    <row r="176" ht="13.5" customHeight="1" x14ac:dyDescent="0.35"/>
    <row r="177" ht="13.5" customHeight="1" x14ac:dyDescent="0.35"/>
    <row r="178" ht="13.5" customHeight="1" x14ac:dyDescent="0.35"/>
    <row r="179" ht="13.5" customHeight="1" x14ac:dyDescent="0.35"/>
    <row r="180" ht="36" customHeight="1" x14ac:dyDescent="0.35"/>
    <row r="181" ht="13.5" customHeight="1" x14ac:dyDescent="0.35"/>
    <row r="182" ht="13.5" customHeight="1" x14ac:dyDescent="0.35"/>
    <row r="183" ht="13.5" customHeight="1" x14ac:dyDescent="0.35"/>
    <row r="184" ht="13.5" customHeight="1" x14ac:dyDescent="0.35"/>
    <row r="185" ht="13.5" customHeight="1" x14ac:dyDescent="0.35"/>
    <row r="186" ht="13.5" customHeight="1" x14ac:dyDescent="0.35"/>
    <row r="187" ht="13.5" customHeight="1" x14ac:dyDescent="0.35"/>
    <row r="188" ht="36" customHeight="1" x14ac:dyDescent="0.35"/>
    <row r="189" ht="13.5" customHeight="1" x14ac:dyDescent="0.35"/>
    <row r="190" ht="13.5" customHeight="1" x14ac:dyDescent="0.35"/>
    <row r="191" ht="13.5" customHeight="1" x14ac:dyDescent="0.35"/>
    <row r="192" ht="13.5" customHeight="1" x14ac:dyDescent="0.35"/>
    <row r="193" ht="13.5" customHeight="1" x14ac:dyDescent="0.35"/>
    <row r="194" ht="13.5" customHeight="1" x14ac:dyDescent="0.35"/>
    <row r="195" ht="13.5" customHeight="1" x14ac:dyDescent="0.35"/>
    <row r="196" ht="13.5" customHeight="1" x14ac:dyDescent="0.35"/>
    <row r="197" ht="13.5" customHeight="1" x14ac:dyDescent="0.35"/>
    <row r="198" ht="13.5" customHeight="1" x14ac:dyDescent="0.35"/>
    <row r="199" ht="13.5" customHeight="1" x14ac:dyDescent="0.35"/>
    <row r="200" ht="13.5" customHeight="1" x14ac:dyDescent="0.35"/>
    <row r="201" ht="13.5" customHeight="1" x14ac:dyDescent="0.35"/>
    <row r="202" ht="13.5" customHeight="1" x14ac:dyDescent="0.35"/>
    <row r="203" ht="13.5" customHeight="1" x14ac:dyDescent="0.35"/>
    <row r="204" ht="36" customHeight="1" x14ac:dyDescent="0.35"/>
    <row r="205" ht="13.5" customHeight="1" x14ac:dyDescent="0.35"/>
    <row r="206" ht="13.5" customHeight="1" x14ac:dyDescent="0.35"/>
    <row r="207" ht="13.5" customHeight="1" x14ac:dyDescent="0.35"/>
    <row r="208" ht="13.5" customHeight="1" x14ac:dyDescent="0.35"/>
    <row r="209" ht="13.5" customHeight="1" x14ac:dyDescent="0.35"/>
    <row r="210" ht="13.5" customHeight="1" x14ac:dyDescent="0.35"/>
    <row r="211" ht="13.5" customHeight="1" x14ac:dyDescent="0.35"/>
    <row r="212" ht="36" customHeight="1" x14ac:dyDescent="0.35"/>
    <row r="213" ht="13.5" customHeight="1" x14ac:dyDescent="0.35"/>
    <row r="214" ht="13.5" customHeight="1" x14ac:dyDescent="0.35"/>
    <row r="215" ht="13.5" customHeight="1" x14ac:dyDescent="0.35"/>
    <row r="216" ht="13.5" customHeight="1" x14ac:dyDescent="0.35"/>
    <row r="217" ht="13.5" customHeight="1" x14ac:dyDescent="0.35"/>
    <row r="218" ht="13.5" customHeight="1" x14ac:dyDescent="0.35"/>
    <row r="219" ht="13.5" customHeight="1" x14ac:dyDescent="0.35"/>
    <row r="220" ht="36" customHeight="1" x14ac:dyDescent="0.35"/>
    <row r="221" ht="13.5" customHeight="1" x14ac:dyDescent="0.35"/>
    <row r="222" ht="13.5" customHeight="1" x14ac:dyDescent="0.35"/>
    <row r="223" ht="13.5" customHeight="1" x14ac:dyDescent="0.35"/>
    <row r="224" ht="13.5" customHeight="1" x14ac:dyDescent="0.35"/>
    <row r="225" ht="13.5" customHeight="1" x14ac:dyDescent="0.35"/>
    <row r="226" ht="13.5" customHeight="1" x14ac:dyDescent="0.35"/>
    <row r="227" ht="13.5" customHeight="1" x14ac:dyDescent="0.35"/>
    <row r="228" ht="36" customHeight="1" x14ac:dyDescent="0.35"/>
    <row r="229" ht="13.5" customHeight="1" x14ac:dyDescent="0.35"/>
    <row r="230" ht="13.5" customHeight="1" x14ac:dyDescent="0.35"/>
    <row r="231" ht="13.5" customHeight="1" x14ac:dyDescent="0.35"/>
    <row r="232" ht="13.5" customHeight="1" x14ac:dyDescent="0.35"/>
    <row r="233" ht="13.5" customHeight="1" x14ac:dyDescent="0.35"/>
    <row r="234" ht="13.5" customHeight="1" x14ac:dyDescent="0.35"/>
    <row r="235" ht="13.5" customHeight="1" x14ac:dyDescent="0.35"/>
    <row r="236" ht="13.5" customHeight="1" x14ac:dyDescent="0.35"/>
    <row r="237" ht="13.5" customHeight="1" x14ac:dyDescent="0.35"/>
    <row r="238" ht="13.5" customHeight="1" x14ac:dyDescent="0.35"/>
    <row r="239" ht="13.5" customHeight="1" x14ac:dyDescent="0.35"/>
    <row r="240" ht="13.5" customHeight="1" x14ac:dyDescent="0.35"/>
    <row r="241" ht="13.5" customHeight="1" x14ac:dyDescent="0.35"/>
    <row r="242" ht="13.5" customHeight="1" x14ac:dyDescent="0.35"/>
    <row r="243" ht="13.5" customHeight="1" x14ac:dyDescent="0.35"/>
    <row r="244" ht="13.5" customHeight="1" x14ac:dyDescent="0.35"/>
    <row r="245" ht="13.5" customHeight="1" x14ac:dyDescent="0.35"/>
    <row r="246" ht="13.5" customHeight="1" x14ac:dyDescent="0.35"/>
    <row r="247" ht="13.5" customHeight="1" x14ac:dyDescent="0.35"/>
    <row r="248" ht="13.5" customHeight="1" x14ac:dyDescent="0.35"/>
    <row r="249" ht="13.5" customHeight="1" x14ac:dyDescent="0.35"/>
    <row r="250" ht="13.5" customHeight="1" x14ac:dyDescent="0.35"/>
    <row r="251" ht="13.5" customHeight="1" x14ac:dyDescent="0.35"/>
    <row r="252" ht="13.5" customHeight="1" x14ac:dyDescent="0.35"/>
    <row r="253" ht="13.5" customHeight="1" x14ac:dyDescent="0.35"/>
    <row r="254" ht="13.5" customHeight="1" x14ac:dyDescent="0.35"/>
    <row r="255" ht="13.5" customHeight="1" x14ac:dyDescent="0.35"/>
    <row r="256" ht="13.5" customHeight="1" x14ac:dyDescent="0.35"/>
    <row r="257" ht="13.5" customHeight="1" x14ac:dyDescent="0.35"/>
    <row r="258" ht="13.5" customHeight="1" x14ac:dyDescent="0.35"/>
    <row r="259" ht="13.5" customHeight="1" x14ac:dyDescent="0.35"/>
    <row r="260" ht="13.5" customHeight="1" x14ac:dyDescent="0.35"/>
    <row r="261" ht="13.5" customHeight="1" x14ac:dyDescent="0.35"/>
    <row r="262" ht="13.5" customHeight="1" x14ac:dyDescent="0.35"/>
    <row r="263" ht="13.5" customHeight="1" x14ac:dyDescent="0.35"/>
    <row r="264" ht="13.5" customHeight="1" x14ac:dyDescent="0.35"/>
    <row r="265" ht="13.5" customHeight="1" x14ac:dyDescent="0.35"/>
    <row r="266" ht="13.5" customHeight="1" x14ac:dyDescent="0.35"/>
    <row r="267" ht="13.5" customHeight="1" x14ac:dyDescent="0.35"/>
    <row r="268" ht="13.5" customHeight="1" x14ac:dyDescent="0.35"/>
    <row r="269" ht="13.5" customHeight="1" x14ac:dyDescent="0.35"/>
    <row r="270" ht="13.5" customHeight="1" x14ac:dyDescent="0.35"/>
    <row r="271" ht="13.5" customHeight="1" x14ac:dyDescent="0.35"/>
    <row r="272" ht="13.5" customHeight="1" x14ac:dyDescent="0.35"/>
    <row r="273" ht="13.5" customHeight="1" x14ac:dyDescent="0.35"/>
    <row r="274" ht="13.5" customHeight="1" x14ac:dyDescent="0.35"/>
    <row r="275" ht="13.5" customHeight="1" x14ac:dyDescent="0.35"/>
    <row r="276" ht="13.5" customHeight="1" x14ac:dyDescent="0.35"/>
    <row r="277" ht="13.5" customHeight="1" x14ac:dyDescent="0.35"/>
    <row r="278" ht="13.5" customHeight="1" x14ac:dyDescent="0.35"/>
    <row r="279" ht="13.5" customHeight="1" x14ac:dyDescent="0.35"/>
    <row r="280" ht="13.5" customHeight="1" x14ac:dyDescent="0.35"/>
    <row r="281" ht="13.5" customHeight="1" x14ac:dyDescent="0.35"/>
    <row r="282" ht="13.5" customHeight="1" x14ac:dyDescent="0.35"/>
    <row r="283" ht="13.5" customHeight="1" x14ac:dyDescent="0.35"/>
    <row r="284" ht="13.5" customHeight="1" x14ac:dyDescent="0.35"/>
    <row r="285" ht="13.5" customHeight="1" x14ac:dyDescent="0.35"/>
    <row r="286" ht="13.5" customHeight="1" x14ac:dyDescent="0.35"/>
    <row r="287" ht="13.5" customHeight="1" x14ac:dyDescent="0.35"/>
    <row r="288" ht="13.5" customHeight="1" x14ac:dyDescent="0.35"/>
    <row r="289" ht="13.5" customHeight="1" x14ac:dyDescent="0.35"/>
    <row r="290" ht="13.5" customHeight="1" x14ac:dyDescent="0.35"/>
    <row r="291" ht="13.5" customHeight="1" x14ac:dyDescent="0.35"/>
    <row r="292" ht="13.5" customHeight="1" x14ac:dyDescent="0.35"/>
    <row r="293" ht="13.5" customHeight="1" x14ac:dyDescent="0.35"/>
    <row r="294" ht="13.5" customHeight="1" x14ac:dyDescent="0.35"/>
    <row r="295" ht="13.5" customHeight="1" x14ac:dyDescent="0.35"/>
    <row r="296" ht="13.5" customHeight="1" x14ac:dyDescent="0.35"/>
    <row r="297" ht="13.5" customHeight="1" x14ac:dyDescent="0.35"/>
    <row r="298" ht="13.5" customHeight="1" x14ac:dyDescent="0.35"/>
    <row r="299" ht="13.5" customHeight="1" x14ac:dyDescent="0.35"/>
    <row r="300" ht="13.5" customHeight="1" x14ac:dyDescent="0.35"/>
    <row r="301" ht="13.5" customHeight="1" x14ac:dyDescent="0.35"/>
    <row r="302" ht="13.5" customHeight="1" x14ac:dyDescent="0.35"/>
    <row r="303" ht="13.5" customHeight="1" x14ac:dyDescent="0.35"/>
    <row r="304" ht="13.5" customHeight="1" x14ac:dyDescent="0.35"/>
    <row r="305" ht="13.5" customHeight="1" x14ac:dyDescent="0.35"/>
    <row r="306" ht="13.5" customHeight="1" x14ac:dyDescent="0.35"/>
    <row r="307" ht="13.5" customHeight="1" x14ac:dyDescent="0.35"/>
    <row r="308" ht="13.5" customHeight="1" x14ac:dyDescent="0.35"/>
    <row r="309" ht="13.5" customHeight="1" x14ac:dyDescent="0.35"/>
    <row r="310" ht="13.5" customHeight="1" x14ac:dyDescent="0.35"/>
    <row r="311" ht="13.5" customHeight="1" x14ac:dyDescent="0.35"/>
    <row r="312" ht="13.5" customHeight="1" x14ac:dyDescent="0.35"/>
    <row r="313" ht="13.5" customHeight="1" x14ac:dyDescent="0.35"/>
    <row r="314" ht="13.5" customHeight="1" x14ac:dyDescent="0.35"/>
    <row r="315" ht="13.5" customHeight="1" x14ac:dyDescent="0.35"/>
    <row r="316" ht="13.5" customHeight="1" x14ac:dyDescent="0.35"/>
    <row r="317" ht="13.5" customHeight="1" x14ac:dyDescent="0.35"/>
    <row r="318" ht="13.5" customHeight="1" x14ac:dyDescent="0.35"/>
    <row r="319" ht="13.5" customHeight="1" x14ac:dyDescent="0.35"/>
    <row r="320" ht="13.5" customHeight="1" x14ac:dyDescent="0.35"/>
    <row r="321" ht="13.5" customHeight="1" x14ac:dyDescent="0.35"/>
    <row r="322" ht="13.5" customHeight="1" x14ac:dyDescent="0.35"/>
    <row r="323" ht="13.5" customHeight="1" x14ac:dyDescent="0.35"/>
    <row r="324" ht="13.5" customHeight="1" x14ac:dyDescent="0.35"/>
    <row r="325" ht="13.5" customHeight="1" x14ac:dyDescent="0.35"/>
    <row r="326" ht="13.5" customHeight="1" x14ac:dyDescent="0.35"/>
    <row r="327" ht="13.5" customHeight="1" x14ac:dyDescent="0.35"/>
    <row r="328" ht="13.5" customHeight="1" x14ac:dyDescent="0.35"/>
    <row r="329" ht="13.5" customHeight="1" x14ac:dyDescent="0.35"/>
    <row r="330" ht="13.5" customHeight="1" x14ac:dyDescent="0.35"/>
    <row r="331" ht="13.5" customHeight="1" x14ac:dyDescent="0.35"/>
    <row r="332" ht="13.5" customHeight="1" x14ac:dyDescent="0.35"/>
    <row r="333" ht="13.5" customHeight="1" x14ac:dyDescent="0.35"/>
    <row r="334" ht="13.5" customHeight="1" x14ac:dyDescent="0.35"/>
    <row r="335" ht="13.5" customHeight="1" x14ac:dyDescent="0.35"/>
    <row r="336" ht="13.5" customHeight="1" x14ac:dyDescent="0.35"/>
    <row r="337" ht="13.5" customHeight="1" x14ac:dyDescent="0.35"/>
    <row r="338" ht="13.5" customHeight="1" x14ac:dyDescent="0.35"/>
    <row r="339" ht="13.5" customHeight="1" x14ac:dyDescent="0.35"/>
    <row r="340" ht="13.5" customHeight="1" x14ac:dyDescent="0.35"/>
    <row r="341" ht="13.5" customHeight="1" x14ac:dyDescent="0.35"/>
    <row r="342" ht="13.5" customHeight="1" x14ac:dyDescent="0.35"/>
    <row r="343" ht="13.5" customHeight="1" x14ac:dyDescent="0.35"/>
    <row r="344" ht="13.5" customHeight="1" x14ac:dyDescent="0.35"/>
    <row r="345" ht="13.5" customHeight="1" x14ac:dyDescent="0.35"/>
    <row r="346" ht="13.5" customHeight="1" x14ac:dyDescent="0.35"/>
    <row r="347" ht="13.5" customHeight="1" x14ac:dyDescent="0.35"/>
    <row r="348" ht="13.5" customHeight="1" x14ac:dyDescent="0.35"/>
    <row r="349" ht="13.5" customHeight="1" x14ac:dyDescent="0.35"/>
    <row r="350" ht="13.5" customHeight="1" x14ac:dyDescent="0.35"/>
    <row r="351" ht="13.5" customHeight="1" x14ac:dyDescent="0.35"/>
    <row r="352" ht="13.5" customHeight="1" x14ac:dyDescent="0.35"/>
    <row r="353" ht="13.5" customHeight="1" x14ac:dyDescent="0.35"/>
    <row r="354" ht="13.5" customHeight="1" x14ac:dyDescent="0.35"/>
    <row r="355" ht="13.5" customHeight="1" x14ac:dyDescent="0.35"/>
    <row r="356" ht="13.5" customHeight="1" x14ac:dyDescent="0.35"/>
    <row r="357" ht="13.5" customHeight="1" x14ac:dyDescent="0.35"/>
    <row r="358" ht="13.5" customHeight="1" x14ac:dyDescent="0.35"/>
    <row r="359" ht="13.5" customHeight="1" x14ac:dyDescent="0.35"/>
    <row r="360" ht="13.5" customHeight="1" x14ac:dyDescent="0.35"/>
    <row r="361" ht="13.5" customHeight="1" x14ac:dyDescent="0.35"/>
    <row r="362" ht="13.5" customHeight="1" x14ac:dyDescent="0.35"/>
    <row r="363" ht="13.5" customHeight="1" x14ac:dyDescent="0.35"/>
    <row r="364" ht="13.5" customHeight="1" x14ac:dyDescent="0.35"/>
    <row r="365" ht="13.5" customHeight="1" x14ac:dyDescent="0.35"/>
    <row r="366" ht="13.5" customHeight="1" x14ac:dyDescent="0.35"/>
    <row r="367" ht="13.5" customHeight="1" x14ac:dyDescent="0.35"/>
    <row r="368" ht="13.5" customHeight="1" x14ac:dyDescent="0.35"/>
    <row r="369" ht="13.5" customHeight="1" x14ac:dyDescent="0.35"/>
    <row r="370" ht="13.5" customHeight="1" x14ac:dyDescent="0.35"/>
    <row r="371" ht="13.5" customHeight="1" x14ac:dyDescent="0.35"/>
    <row r="372" ht="13.5" customHeight="1" x14ac:dyDescent="0.35"/>
    <row r="373" ht="13.5" customHeight="1" x14ac:dyDescent="0.35"/>
    <row r="374" ht="13.5" customHeight="1" x14ac:dyDescent="0.35"/>
    <row r="375" ht="13.5" customHeight="1" x14ac:dyDescent="0.35"/>
    <row r="376" ht="13.5" customHeight="1" x14ac:dyDescent="0.35"/>
    <row r="377" ht="13.5" customHeight="1" x14ac:dyDescent="0.35"/>
    <row r="378" ht="13.5" customHeight="1" x14ac:dyDescent="0.35"/>
    <row r="379" ht="13.5" customHeight="1" x14ac:dyDescent="0.35"/>
    <row r="380" ht="13.5" customHeight="1" x14ac:dyDescent="0.35"/>
    <row r="381" ht="13.5" customHeight="1" x14ac:dyDescent="0.35"/>
    <row r="382" ht="13.5" customHeight="1" x14ac:dyDescent="0.35"/>
    <row r="383" ht="13.5" customHeight="1" x14ac:dyDescent="0.35"/>
    <row r="384" ht="13.5" customHeight="1" x14ac:dyDescent="0.35"/>
    <row r="385" ht="13.5" customHeight="1" x14ac:dyDescent="0.35"/>
    <row r="386" ht="13.5" customHeight="1" x14ac:dyDescent="0.35"/>
    <row r="387" ht="13.5" customHeight="1" x14ac:dyDescent="0.35"/>
    <row r="388" ht="13.5" customHeight="1" x14ac:dyDescent="0.35"/>
    <row r="389" ht="13.5" customHeight="1" x14ac:dyDescent="0.35"/>
    <row r="390" ht="13.5" customHeight="1" x14ac:dyDescent="0.35"/>
    <row r="391" ht="13.5" customHeight="1" x14ac:dyDescent="0.35"/>
    <row r="392" ht="13.5" customHeight="1" x14ac:dyDescent="0.35"/>
    <row r="393" ht="13.5" customHeight="1" x14ac:dyDescent="0.35"/>
    <row r="394" ht="13.5" customHeight="1" x14ac:dyDescent="0.35"/>
    <row r="395" ht="13.5" customHeight="1" x14ac:dyDescent="0.35"/>
    <row r="396" ht="13.5" customHeight="1" x14ac:dyDescent="0.35"/>
    <row r="397" ht="13.5" customHeight="1" x14ac:dyDescent="0.35"/>
    <row r="398" ht="13.5" customHeight="1" x14ac:dyDescent="0.35"/>
    <row r="399" ht="13.5" customHeight="1" x14ac:dyDescent="0.35"/>
    <row r="400" ht="13.5" customHeight="1" x14ac:dyDescent="0.35"/>
    <row r="401" ht="13.5" customHeight="1" x14ac:dyDescent="0.35"/>
    <row r="402" ht="13.5" customHeight="1" x14ac:dyDescent="0.35"/>
    <row r="403" ht="13.5" customHeight="1" x14ac:dyDescent="0.35"/>
    <row r="404" ht="13.5" customHeight="1" x14ac:dyDescent="0.35"/>
    <row r="405" ht="13.5" customHeight="1" x14ac:dyDescent="0.35"/>
    <row r="406" ht="13.5" customHeight="1" x14ac:dyDescent="0.35"/>
    <row r="407" ht="13.5" customHeight="1" x14ac:dyDescent="0.35"/>
    <row r="408" ht="13.5" customHeight="1" x14ac:dyDescent="0.35"/>
    <row r="409" ht="13.5" customHeight="1" x14ac:dyDescent="0.35"/>
    <row r="410" ht="13.5" customHeight="1" x14ac:dyDescent="0.35"/>
    <row r="411" ht="13.5" customHeight="1" x14ac:dyDescent="0.35"/>
    <row r="412" ht="13.5" customHeight="1" x14ac:dyDescent="0.35"/>
    <row r="413" ht="13.5" customHeight="1" x14ac:dyDescent="0.35"/>
    <row r="414" ht="13.5" customHeight="1" x14ac:dyDescent="0.35"/>
    <row r="415" ht="13.5" customHeight="1" x14ac:dyDescent="0.35"/>
    <row r="416" ht="13.5" customHeight="1" x14ac:dyDescent="0.35"/>
    <row r="417" ht="13.5" customHeight="1" x14ac:dyDescent="0.35"/>
    <row r="418" ht="13.5" customHeight="1" x14ac:dyDescent="0.35"/>
    <row r="419" ht="13.5" customHeight="1" x14ac:dyDescent="0.35"/>
    <row r="420" ht="13.5" customHeight="1" x14ac:dyDescent="0.35"/>
    <row r="421" ht="13.5" customHeight="1" x14ac:dyDescent="0.35"/>
    <row r="422" ht="13.5" customHeight="1" x14ac:dyDescent="0.35"/>
    <row r="423" ht="13.5" customHeight="1" x14ac:dyDescent="0.35"/>
    <row r="424" ht="13.5" customHeight="1" x14ac:dyDescent="0.35"/>
    <row r="425" ht="13.5" customHeight="1" x14ac:dyDescent="0.35"/>
    <row r="426" ht="13.5" customHeight="1" x14ac:dyDescent="0.35"/>
    <row r="427" ht="13.5" customHeight="1" x14ac:dyDescent="0.35"/>
    <row r="428" ht="13.5" customHeight="1" x14ac:dyDescent="0.35"/>
    <row r="429" ht="13.5" customHeight="1" x14ac:dyDescent="0.35"/>
    <row r="430" ht="13.5" customHeight="1" x14ac:dyDescent="0.35"/>
    <row r="431" ht="13.5" customHeight="1" x14ac:dyDescent="0.35"/>
    <row r="432" ht="13.5" customHeight="1" x14ac:dyDescent="0.35"/>
    <row r="433" ht="13.5" customHeight="1" x14ac:dyDescent="0.35"/>
    <row r="434" ht="13.5" customHeight="1" x14ac:dyDescent="0.35"/>
    <row r="435" ht="13.5" customHeight="1" x14ac:dyDescent="0.35"/>
    <row r="436" ht="13.5" customHeight="1" x14ac:dyDescent="0.35"/>
    <row r="437" ht="13.5" customHeight="1" x14ac:dyDescent="0.35"/>
    <row r="438" ht="13.5" customHeight="1" x14ac:dyDescent="0.35"/>
    <row r="439" ht="13.5" customHeight="1" x14ac:dyDescent="0.35"/>
    <row r="440" ht="13.5" customHeight="1" x14ac:dyDescent="0.35"/>
    <row r="441" ht="13.5" customHeight="1" x14ac:dyDescent="0.35"/>
    <row r="442" ht="13.5" customHeight="1" x14ac:dyDescent="0.35"/>
    <row r="443" ht="13.5" customHeight="1" x14ac:dyDescent="0.35"/>
    <row r="444" ht="13.5" customHeight="1" x14ac:dyDescent="0.35"/>
    <row r="445" ht="13.5" customHeight="1" x14ac:dyDescent="0.35"/>
    <row r="446" ht="13.5" customHeight="1" x14ac:dyDescent="0.35"/>
    <row r="447" ht="13.5" customHeight="1" x14ac:dyDescent="0.35"/>
    <row r="448" ht="13.5" customHeight="1" x14ac:dyDescent="0.35"/>
    <row r="449" ht="13.5" customHeight="1" x14ac:dyDescent="0.35"/>
    <row r="450" ht="13.5" customHeight="1" x14ac:dyDescent="0.35"/>
    <row r="451" ht="13.5" customHeight="1" x14ac:dyDescent="0.35"/>
    <row r="452" ht="13.5" customHeight="1" x14ac:dyDescent="0.35"/>
    <row r="453" ht="13.5" customHeight="1" x14ac:dyDescent="0.35"/>
    <row r="454" ht="13.5" customHeight="1" x14ac:dyDescent="0.35"/>
    <row r="455" ht="13.5" customHeight="1" x14ac:dyDescent="0.35"/>
    <row r="456" ht="13.5" customHeight="1" x14ac:dyDescent="0.35"/>
    <row r="457" ht="13.5" customHeight="1" x14ac:dyDescent="0.35"/>
    <row r="458" ht="13.5" customHeight="1" x14ac:dyDescent="0.35"/>
    <row r="459" ht="13.5" customHeight="1" x14ac:dyDescent="0.35"/>
    <row r="460" ht="13.5" customHeight="1" x14ac:dyDescent="0.35"/>
    <row r="461" ht="13.5" customHeight="1" x14ac:dyDescent="0.35"/>
    <row r="462" ht="13.5" customHeight="1" x14ac:dyDescent="0.35"/>
    <row r="463" ht="13.5" customHeight="1" x14ac:dyDescent="0.35"/>
    <row r="464" ht="13.5" customHeight="1" x14ac:dyDescent="0.35"/>
    <row r="465" ht="13.5" customHeight="1" x14ac:dyDescent="0.35"/>
    <row r="466" ht="13.5" customHeight="1" x14ac:dyDescent="0.35"/>
    <row r="467" ht="13.5" customHeight="1" x14ac:dyDescent="0.35"/>
    <row r="468" ht="13.5" customHeight="1" x14ac:dyDescent="0.35"/>
    <row r="469" ht="13.5" customHeight="1" x14ac:dyDescent="0.35"/>
    <row r="470" ht="13.5" customHeight="1" x14ac:dyDescent="0.35"/>
    <row r="471" ht="13.5" customHeight="1" x14ac:dyDescent="0.35"/>
    <row r="472" ht="13.5" customHeight="1" x14ac:dyDescent="0.35"/>
    <row r="473" ht="13.5" customHeight="1" x14ac:dyDescent="0.35"/>
    <row r="474" ht="13.5" customHeight="1" x14ac:dyDescent="0.35"/>
    <row r="475" ht="13.5" customHeight="1" x14ac:dyDescent="0.35"/>
    <row r="476" ht="13.5" customHeight="1" x14ac:dyDescent="0.35"/>
    <row r="477" ht="13.5" customHeight="1" x14ac:dyDescent="0.35"/>
    <row r="478" ht="13.5" customHeight="1" x14ac:dyDescent="0.35"/>
    <row r="479" ht="13.5" customHeight="1" x14ac:dyDescent="0.35"/>
    <row r="480" ht="13.5" customHeight="1" x14ac:dyDescent="0.35"/>
    <row r="481" ht="13.5" customHeight="1" x14ac:dyDescent="0.35"/>
    <row r="482" ht="13.5" customHeight="1" x14ac:dyDescent="0.35"/>
    <row r="483" ht="13.5" customHeight="1" x14ac:dyDescent="0.35"/>
    <row r="484" ht="13.5" customHeight="1" x14ac:dyDescent="0.35"/>
    <row r="485" ht="13.5" customHeight="1" x14ac:dyDescent="0.35"/>
    <row r="486" ht="13.5" customHeight="1" x14ac:dyDescent="0.35"/>
    <row r="487" ht="13.5" customHeight="1" x14ac:dyDescent="0.35"/>
    <row r="488" ht="13.5" customHeight="1" x14ac:dyDescent="0.35"/>
    <row r="489" ht="13.5" customHeight="1" x14ac:dyDescent="0.35"/>
    <row r="490" ht="13.5" customHeight="1" x14ac:dyDescent="0.35"/>
    <row r="491" ht="13.5" customHeight="1" x14ac:dyDescent="0.35"/>
    <row r="492" ht="13.5" customHeight="1" x14ac:dyDescent="0.35"/>
    <row r="493" ht="13.5" customHeight="1" x14ac:dyDescent="0.35"/>
    <row r="494" ht="13.5" customHeight="1" x14ac:dyDescent="0.35"/>
    <row r="495" ht="13.5" customHeight="1" x14ac:dyDescent="0.35"/>
    <row r="496" ht="13.5" customHeight="1" x14ac:dyDescent="0.35"/>
    <row r="497" ht="13.5" customHeight="1" x14ac:dyDescent="0.35"/>
    <row r="498" ht="13.5" customHeight="1" x14ac:dyDescent="0.35"/>
    <row r="499" ht="13.5" customHeight="1" x14ac:dyDescent="0.35"/>
    <row r="500" ht="13.5" customHeight="1" x14ac:dyDescent="0.35"/>
    <row r="501" ht="13.5" customHeight="1" x14ac:dyDescent="0.35"/>
    <row r="502" ht="13.5" customHeight="1" x14ac:dyDescent="0.35"/>
    <row r="503" ht="13.5" customHeight="1" x14ac:dyDescent="0.35"/>
    <row r="504" ht="13.5" customHeight="1" x14ac:dyDescent="0.35"/>
    <row r="505" ht="13.5" customHeight="1" x14ac:dyDescent="0.35"/>
    <row r="506" ht="13.5" customHeight="1" x14ac:dyDescent="0.35"/>
    <row r="507" ht="13.5" customHeight="1" x14ac:dyDescent="0.35"/>
    <row r="508" ht="13.5" customHeight="1" x14ac:dyDescent="0.35"/>
    <row r="509" ht="13.5" customHeight="1" x14ac:dyDescent="0.35"/>
    <row r="510" ht="13.5" customHeight="1" x14ac:dyDescent="0.35"/>
    <row r="511" ht="13.5" customHeight="1" x14ac:dyDescent="0.35"/>
    <row r="512" ht="13.5" customHeight="1" x14ac:dyDescent="0.35"/>
    <row r="513" ht="13.5" customHeight="1" x14ac:dyDescent="0.35"/>
    <row r="514" ht="13.5" customHeight="1" x14ac:dyDescent="0.35"/>
    <row r="515" ht="13.5" customHeight="1" x14ac:dyDescent="0.35"/>
    <row r="516" ht="13.5" customHeight="1" x14ac:dyDescent="0.35"/>
    <row r="517" ht="13.5" customHeight="1" x14ac:dyDescent="0.35"/>
    <row r="518" ht="13.5" customHeight="1" x14ac:dyDescent="0.35"/>
    <row r="519" ht="13.5" customHeight="1" x14ac:dyDescent="0.35"/>
    <row r="520" ht="13.5" customHeight="1" x14ac:dyDescent="0.35"/>
    <row r="521" ht="13.5" customHeight="1" x14ac:dyDescent="0.35"/>
    <row r="522" ht="13.5" customHeight="1" x14ac:dyDescent="0.35"/>
    <row r="523" ht="13.5" customHeight="1" x14ac:dyDescent="0.35"/>
    <row r="524" ht="13.5" customHeight="1" x14ac:dyDescent="0.35"/>
    <row r="525" ht="13.5" customHeight="1" x14ac:dyDescent="0.35"/>
    <row r="526" ht="13.5" customHeight="1" x14ac:dyDescent="0.35"/>
    <row r="527" ht="13.5" customHeight="1" x14ac:dyDescent="0.35"/>
    <row r="528" ht="13.5" customHeight="1" x14ac:dyDescent="0.35"/>
    <row r="529" ht="13.5" customHeight="1" x14ac:dyDescent="0.35"/>
    <row r="530" ht="13.5" customHeight="1" x14ac:dyDescent="0.35"/>
    <row r="531" ht="13.5" customHeight="1" x14ac:dyDescent="0.35"/>
    <row r="532" ht="13.5" customHeight="1" x14ac:dyDescent="0.35"/>
    <row r="533" ht="13.5" customHeight="1" x14ac:dyDescent="0.35"/>
    <row r="534" ht="13.5" customHeight="1" x14ac:dyDescent="0.35"/>
    <row r="535" ht="13.5" customHeight="1" x14ac:dyDescent="0.35"/>
    <row r="536" ht="13.5" customHeight="1" x14ac:dyDescent="0.35"/>
    <row r="537" ht="13.5" customHeight="1" x14ac:dyDescent="0.35"/>
    <row r="538" ht="13.5" customHeight="1" x14ac:dyDescent="0.35"/>
    <row r="539" ht="13.5" customHeight="1" x14ac:dyDescent="0.35"/>
    <row r="540" ht="13.5" customHeight="1" x14ac:dyDescent="0.35"/>
    <row r="541" ht="13.5" customHeight="1" x14ac:dyDescent="0.35"/>
    <row r="542" ht="13.5" customHeight="1" x14ac:dyDescent="0.35"/>
    <row r="543" ht="13.5" customHeight="1" x14ac:dyDescent="0.35"/>
    <row r="544" ht="13.5" customHeight="1" x14ac:dyDescent="0.35"/>
    <row r="545" ht="13.5" customHeight="1" x14ac:dyDescent="0.35"/>
    <row r="546" ht="13.5" customHeight="1" x14ac:dyDescent="0.35"/>
    <row r="547" ht="13.5" customHeight="1" x14ac:dyDescent="0.35"/>
    <row r="548" ht="13.5" customHeight="1" x14ac:dyDescent="0.35"/>
    <row r="549" ht="13.5" customHeight="1" x14ac:dyDescent="0.35"/>
    <row r="550" ht="13.5" customHeight="1" x14ac:dyDescent="0.35"/>
    <row r="551" ht="13.5" customHeight="1" x14ac:dyDescent="0.35"/>
    <row r="552" ht="13.5" customHeight="1" x14ac:dyDescent="0.35"/>
    <row r="553" ht="13.5" customHeight="1" x14ac:dyDescent="0.35"/>
    <row r="554" ht="13.5" customHeight="1" x14ac:dyDescent="0.35"/>
    <row r="555" ht="13.5" customHeight="1" x14ac:dyDescent="0.35"/>
    <row r="556" ht="13.5" customHeight="1" x14ac:dyDescent="0.35"/>
    <row r="557" ht="13.5" customHeight="1" x14ac:dyDescent="0.35"/>
    <row r="558" ht="13.5" customHeight="1" x14ac:dyDescent="0.35"/>
    <row r="559" ht="13.5" customHeight="1" x14ac:dyDescent="0.35"/>
    <row r="560" ht="13.5" customHeight="1" x14ac:dyDescent="0.35"/>
    <row r="561" ht="13.5" customHeight="1" x14ac:dyDescent="0.35"/>
    <row r="562" ht="13.5" customHeight="1" x14ac:dyDescent="0.35"/>
    <row r="563" ht="13.5" customHeight="1" x14ac:dyDescent="0.35"/>
    <row r="564" ht="13.5" customHeight="1" x14ac:dyDescent="0.35"/>
    <row r="565" ht="13.5" customHeight="1" x14ac:dyDescent="0.35"/>
    <row r="566" ht="13.5" customHeight="1" x14ac:dyDescent="0.35"/>
    <row r="567" ht="13.5" customHeight="1" x14ac:dyDescent="0.35"/>
    <row r="568" ht="13.5" customHeight="1" x14ac:dyDescent="0.35"/>
    <row r="569" ht="13.5" customHeight="1" x14ac:dyDescent="0.35"/>
    <row r="570" ht="13.5" customHeight="1" x14ac:dyDescent="0.35"/>
    <row r="571" ht="13.5" customHeight="1" x14ac:dyDescent="0.35"/>
    <row r="572" ht="13.5" customHeight="1" x14ac:dyDescent="0.35"/>
    <row r="573" ht="13.5" customHeight="1" x14ac:dyDescent="0.35"/>
    <row r="574" ht="13.5" customHeight="1" x14ac:dyDescent="0.35"/>
    <row r="575" ht="13.5" customHeight="1" x14ac:dyDescent="0.35"/>
    <row r="576" ht="13.5" customHeight="1" x14ac:dyDescent="0.35"/>
    <row r="577" ht="13.5" customHeight="1" x14ac:dyDescent="0.35"/>
    <row r="578" ht="13.5" customHeight="1" x14ac:dyDescent="0.35"/>
    <row r="579" ht="13.5" customHeight="1" x14ac:dyDescent="0.35"/>
    <row r="580" ht="13.5" customHeight="1" x14ac:dyDescent="0.35"/>
    <row r="581" ht="13.5" customHeight="1" x14ac:dyDescent="0.35"/>
    <row r="582" ht="13.5" customHeight="1" x14ac:dyDescent="0.35"/>
    <row r="583" ht="13.5" customHeight="1" x14ac:dyDescent="0.35"/>
    <row r="584" ht="13.5" customHeight="1" x14ac:dyDescent="0.35"/>
    <row r="585" ht="13.5" customHeight="1" x14ac:dyDescent="0.35"/>
    <row r="586" ht="13.5" customHeight="1" x14ac:dyDescent="0.35"/>
    <row r="587" ht="13.5" customHeight="1" x14ac:dyDescent="0.35"/>
    <row r="588" ht="13.5" customHeight="1" x14ac:dyDescent="0.35"/>
    <row r="589" ht="13.5" customHeight="1" x14ac:dyDescent="0.35"/>
    <row r="590" ht="13.5" customHeight="1" x14ac:dyDescent="0.35"/>
    <row r="591" ht="13.5" customHeight="1" x14ac:dyDescent="0.35"/>
    <row r="592" ht="13.5" customHeight="1" x14ac:dyDescent="0.35"/>
    <row r="593" ht="13.5" customHeight="1" x14ac:dyDescent="0.35"/>
    <row r="594" ht="13.5" customHeight="1" x14ac:dyDescent="0.35"/>
    <row r="595" ht="13.5" customHeight="1" x14ac:dyDescent="0.35"/>
    <row r="596" ht="13.5" customHeight="1" x14ac:dyDescent="0.35"/>
    <row r="597" ht="13.5" customHeight="1" x14ac:dyDescent="0.35"/>
    <row r="598" ht="13.5" customHeight="1" x14ac:dyDescent="0.35"/>
    <row r="599" ht="13.5" customHeight="1" x14ac:dyDescent="0.35"/>
    <row r="600" ht="13.5" customHeight="1" x14ac:dyDescent="0.35"/>
    <row r="601" ht="13.5" customHeight="1" x14ac:dyDescent="0.35"/>
    <row r="602" ht="13.5" customHeight="1" x14ac:dyDescent="0.35"/>
    <row r="603" ht="13.5" customHeight="1" x14ac:dyDescent="0.35"/>
    <row r="604" ht="13.5" customHeight="1" x14ac:dyDescent="0.35"/>
    <row r="605" ht="13.5" customHeight="1" x14ac:dyDescent="0.35"/>
    <row r="606" ht="13.5" customHeight="1" x14ac:dyDescent="0.35"/>
    <row r="607" ht="13.5" customHeight="1" x14ac:dyDescent="0.35"/>
    <row r="608" ht="13.5" customHeight="1" x14ac:dyDescent="0.35"/>
    <row r="609" ht="13.5" customHeight="1" x14ac:dyDescent="0.35"/>
    <row r="610" ht="13.5" customHeight="1" x14ac:dyDescent="0.35"/>
    <row r="611" ht="13.5" customHeight="1" x14ac:dyDescent="0.35"/>
    <row r="612" ht="13.5" customHeight="1" x14ac:dyDescent="0.35"/>
    <row r="613" ht="13.5" customHeight="1" x14ac:dyDescent="0.35"/>
    <row r="614" ht="13.5" customHeight="1" x14ac:dyDescent="0.35"/>
    <row r="615" ht="13.5" customHeight="1" x14ac:dyDescent="0.35"/>
    <row r="616" ht="13.5" customHeight="1" x14ac:dyDescent="0.35"/>
    <row r="617" ht="13.5" customHeight="1" x14ac:dyDescent="0.35"/>
    <row r="618" ht="13.5" customHeight="1" x14ac:dyDescent="0.35"/>
    <row r="619" ht="13.5" customHeight="1" x14ac:dyDescent="0.35"/>
    <row r="620" ht="13.5" customHeight="1" x14ac:dyDescent="0.35"/>
    <row r="621" ht="13.5" customHeight="1" x14ac:dyDescent="0.35"/>
    <row r="622" ht="13.5" customHeight="1" x14ac:dyDescent="0.35"/>
    <row r="623" ht="13.5" customHeight="1" x14ac:dyDescent="0.35"/>
    <row r="624" ht="13.5" customHeight="1" x14ac:dyDescent="0.35"/>
    <row r="625" ht="13.5" customHeight="1" x14ac:dyDescent="0.35"/>
    <row r="626" ht="13.5" customHeight="1" x14ac:dyDescent="0.35"/>
    <row r="627" ht="13.5" customHeight="1" x14ac:dyDescent="0.35"/>
    <row r="628" ht="13.5" customHeight="1" x14ac:dyDescent="0.35"/>
    <row r="629" ht="13.5" customHeight="1" x14ac:dyDescent="0.35"/>
    <row r="630" ht="13.5" customHeight="1" x14ac:dyDescent="0.35"/>
    <row r="631" ht="13.5" customHeight="1" x14ac:dyDescent="0.35"/>
    <row r="632" ht="13.5" customHeight="1" x14ac:dyDescent="0.35"/>
    <row r="633" ht="13.5" customHeight="1" x14ac:dyDescent="0.35"/>
    <row r="634" ht="13.5" customHeight="1" x14ac:dyDescent="0.35"/>
    <row r="635" ht="13.5" customHeight="1" x14ac:dyDescent="0.35"/>
    <row r="636" ht="13.5" customHeight="1" x14ac:dyDescent="0.35"/>
    <row r="637" ht="13.5" customHeight="1" x14ac:dyDescent="0.35"/>
    <row r="638" ht="13.5" customHeight="1" x14ac:dyDescent="0.35"/>
    <row r="639" ht="13.5" customHeight="1" x14ac:dyDescent="0.35"/>
    <row r="640" ht="13.5" customHeight="1" x14ac:dyDescent="0.35"/>
    <row r="641" ht="13.5" customHeight="1" x14ac:dyDescent="0.35"/>
    <row r="642" ht="13.5" customHeight="1" x14ac:dyDescent="0.35"/>
    <row r="643" ht="13.5" customHeight="1" x14ac:dyDescent="0.35"/>
    <row r="644" ht="13.5" customHeight="1" x14ac:dyDescent="0.35"/>
    <row r="645" ht="13.5" customHeight="1" x14ac:dyDescent="0.35"/>
    <row r="646" ht="13.5" customHeight="1" x14ac:dyDescent="0.35"/>
    <row r="647" ht="13.5" customHeight="1" x14ac:dyDescent="0.35"/>
    <row r="648" ht="13.5" customHeight="1" x14ac:dyDescent="0.35"/>
    <row r="649" ht="13.5" customHeight="1" x14ac:dyDescent="0.35"/>
    <row r="650" ht="13.5" customHeight="1" x14ac:dyDescent="0.35"/>
    <row r="651" ht="13.5" customHeight="1" x14ac:dyDescent="0.35"/>
    <row r="652" ht="13.5" customHeight="1" x14ac:dyDescent="0.35"/>
    <row r="653" ht="13.5" customHeight="1" x14ac:dyDescent="0.35"/>
    <row r="654" ht="13.5" customHeight="1" x14ac:dyDescent="0.35"/>
    <row r="655" ht="13.5" customHeight="1" x14ac:dyDescent="0.35"/>
    <row r="656" ht="13.5" customHeight="1" x14ac:dyDescent="0.35"/>
    <row r="657" ht="13.5" customHeight="1" x14ac:dyDescent="0.35"/>
    <row r="658" ht="13.5" customHeight="1" x14ac:dyDescent="0.35"/>
    <row r="659" ht="13.5" customHeight="1" x14ac:dyDescent="0.35"/>
    <row r="660" ht="13.5" customHeight="1" x14ac:dyDescent="0.35"/>
    <row r="661" ht="13.5" customHeight="1" x14ac:dyDescent="0.35"/>
    <row r="662" ht="13.5" customHeight="1" x14ac:dyDescent="0.35"/>
    <row r="663" ht="13.5" customHeight="1" x14ac:dyDescent="0.35"/>
    <row r="664" ht="13.5" customHeight="1" x14ac:dyDescent="0.35"/>
    <row r="665" ht="13.5" customHeight="1" x14ac:dyDescent="0.35"/>
    <row r="666" ht="13.5" customHeight="1" x14ac:dyDescent="0.35"/>
    <row r="667" ht="13.5" customHeight="1" x14ac:dyDescent="0.35"/>
    <row r="668" ht="13.5" customHeight="1" x14ac:dyDescent="0.35"/>
    <row r="669" ht="13.5" customHeight="1" x14ac:dyDescent="0.35"/>
    <row r="670" ht="13.5" customHeight="1" x14ac:dyDescent="0.35"/>
    <row r="671" ht="13.5" customHeight="1" x14ac:dyDescent="0.35"/>
    <row r="672" ht="13.5" customHeight="1" x14ac:dyDescent="0.35"/>
    <row r="673" ht="13.5" customHeight="1" x14ac:dyDescent="0.35"/>
    <row r="674" ht="13.5" customHeight="1" x14ac:dyDescent="0.35"/>
    <row r="675" ht="13.5" customHeight="1" x14ac:dyDescent="0.35"/>
    <row r="676" ht="13.5" customHeight="1" x14ac:dyDescent="0.35"/>
    <row r="677" ht="13.5" customHeight="1" x14ac:dyDescent="0.35"/>
    <row r="678" ht="13.5" customHeight="1" x14ac:dyDescent="0.35"/>
    <row r="679" ht="13.5" customHeight="1" x14ac:dyDescent="0.35"/>
    <row r="680" ht="13.5" customHeight="1" x14ac:dyDescent="0.35"/>
    <row r="681" ht="13.5" customHeight="1" x14ac:dyDescent="0.35"/>
    <row r="682" ht="13.5" customHeight="1" x14ac:dyDescent="0.35"/>
    <row r="683" ht="13.5" customHeight="1" x14ac:dyDescent="0.35"/>
    <row r="684" ht="13.5" customHeight="1" x14ac:dyDescent="0.35"/>
    <row r="685" ht="13.5" customHeight="1" x14ac:dyDescent="0.35"/>
    <row r="686" ht="13.5" customHeight="1" x14ac:dyDescent="0.35"/>
    <row r="687" ht="13.5" customHeight="1" x14ac:dyDescent="0.35"/>
    <row r="688" ht="13.5" customHeight="1" x14ac:dyDescent="0.35"/>
    <row r="689" ht="13.5" customHeight="1" x14ac:dyDescent="0.35"/>
    <row r="690" ht="13.5" customHeight="1" x14ac:dyDescent="0.35"/>
    <row r="691" ht="13.5" customHeight="1" x14ac:dyDescent="0.35"/>
    <row r="692" ht="13.5" customHeight="1" x14ac:dyDescent="0.35"/>
    <row r="693" ht="13.5" customHeight="1" x14ac:dyDescent="0.35"/>
    <row r="694" ht="13.5" customHeight="1" x14ac:dyDescent="0.35"/>
    <row r="695" ht="13.5" customHeight="1" x14ac:dyDescent="0.35"/>
    <row r="696" ht="13.5" customHeight="1" x14ac:dyDescent="0.35"/>
    <row r="697" ht="13.5" customHeight="1" x14ac:dyDescent="0.35"/>
    <row r="698" ht="13.5" customHeight="1" x14ac:dyDescent="0.35"/>
    <row r="699" ht="13.5" customHeight="1" x14ac:dyDescent="0.35"/>
    <row r="700" ht="13.5" customHeight="1" x14ac:dyDescent="0.35"/>
    <row r="701" ht="13.5" customHeight="1" x14ac:dyDescent="0.35"/>
    <row r="702" ht="13.5" customHeight="1" x14ac:dyDescent="0.35"/>
    <row r="703" ht="13.5" customHeight="1" x14ac:dyDescent="0.35"/>
    <row r="704" ht="13.5" customHeight="1" x14ac:dyDescent="0.35"/>
    <row r="705" ht="13.5" customHeight="1" x14ac:dyDescent="0.35"/>
    <row r="706" ht="13.5" customHeight="1" x14ac:dyDescent="0.35"/>
    <row r="707" ht="13.5" customHeight="1" x14ac:dyDescent="0.35"/>
    <row r="708" ht="13.5" customHeight="1" x14ac:dyDescent="0.35"/>
    <row r="709" ht="13.5" customHeight="1" x14ac:dyDescent="0.35"/>
    <row r="710" ht="13.5" customHeight="1" x14ac:dyDescent="0.35"/>
    <row r="711" ht="13.5" customHeight="1" x14ac:dyDescent="0.35"/>
    <row r="712" ht="13.5" customHeight="1" x14ac:dyDescent="0.35"/>
    <row r="713" ht="13.5" customHeight="1" x14ac:dyDescent="0.35"/>
    <row r="714" ht="13.5" customHeight="1" x14ac:dyDescent="0.35"/>
    <row r="715" ht="13.5" customHeight="1" x14ac:dyDescent="0.35"/>
    <row r="716" ht="13.5" customHeight="1" x14ac:dyDescent="0.35"/>
    <row r="717" ht="13.5" customHeight="1" x14ac:dyDescent="0.35"/>
    <row r="718" ht="13.5" customHeight="1" x14ac:dyDescent="0.35"/>
    <row r="719" ht="13.5" customHeight="1" x14ac:dyDescent="0.35"/>
    <row r="720" ht="13.5" customHeight="1" x14ac:dyDescent="0.35"/>
    <row r="721" ht="13.5" customHeight="1" x14ac:dyDescent="0.35"/>
    <row r="722" ht="13.5" customHeight="1" x14ac:dyDescent="0.35"/>
    <row r="723" ht="13.5" customHeight="1" x14ac:dyDescent="0.35"/>
    <row r="724" ht="13.5" customHeight="1" x14ac:dyDescent="0.35"/>
    <row r="725" ht="13.5" customHeight="1" x14ac:dyDescent="0.35"/>
    <row r="726" ht="13.5" customHeight="1" x14ac:dyDescent="0.35"/>
    <row r="727" ht="13.5" customHeight="1" x14ac:dyDescent="0.35"/>
    <row r="728" ht="13.5" customHeight="1" x14ac:dyDescent="0.35"/>
    <row r="729" ht="13.5" customHeight="1" x14ac:dyDescent="0.35"/>
    <row r="730" ht="13.5" customHeight="1" x14ac:dyDescent="0.35"/>
    <row r="731" ht="13.5" customHeight="1" x14ac:dyDescent="0.35"/>
    <row r="732" ht="13.5" customHeight="1" x14ac:dyDescent="0.35"/>
    <row r="733" ht="13.5" customHeight="1" x14ac:dyDescent="0.35"/>
    <row r="734" ht="13.5" customHeight="1" x14ac:dyDescent="0.35"/>
    <row r="735" ht="13.5" customHeight="1" x14ac:dyDescent="0.35"/>
    <row r="736" ht="13.5" customHeight="1" x14ac:dyDescent="0.35"/>
    <row r="737" ht="13.5" customHeight="1" x14ac:dyDescent="0.35"/>
    <row r="738" ht="13.5" customHeight="1" x14ac:dyDescent="0.35"/>
    <row r="739" ht="13.5" customHeight="1" x14ac:dyDescent="0.35"/>
    <row r="740" ht="13.5" customHeight="1" x14ac:dyDescent="0.35"/>
    <row r="741" ht="13.5" customHeight="1" x14ac:dyDescent="0.35"/>
    <row r="742" ht="13.5" customHeight="1" x14ac:dyDescent="0.35"/>
    <row r="743" ht="13.5" customHeight="1" x14ac:dyDescent="0.35"/>
    <row r="744" ht="13.5" customHeight="1" x14ac:dyDescent="0.35"/>
    <row r="745" ht="13.5" customHeight="1" x14ac:dyDescent="0.35"/>
    <row r="746" ht="13.5" customHeight="1" x14ac:dyDescent="0.35"/>
    <row r="747" ht="13.5" customHeight="1" x14ac:dyDescent="0.35"/>
    <row r="748" ht="13.5" customHeight="1" x14ac:dyDescent="0.35"/>
    <row r="749" ht="13.5" customHeight="1" x14ac:dyDescent="0.35"/>
    <row r="750" ht="13.5" customHeight="1" x14ac:dyDescent="0.35"/>
    <row r="751" ht="13.5" customHeight="1" x14ac:dyDescent="0.35"/>
    <row r="752" ht="13.5" customHeight="1" x14ac:dyDescent="0.35"/>
    <row r="753" ht="13.5" customHeight="1" x14ac:dyDescent="0.35"/>
    <row r="754" ht="13.5" customHeight="1" x14ac:dyDescent="0.35"/>
    <row r="755" ht="13.5" customHeight="1" x14ac:dyDescent="0.35"/>
    <row r="756" ht="13.5" customHeight="1" x14ac:dyDescent="0.35"/>
    <row r="757" ht="13.5" customHeight="1" x14ac:dyDescent="0.35"/>
    <row r="758" ht="13.5" customHeight="1" x14ac:dyDescent="0.35"/>
    <row r="759" ht="13.5" customHeight="1" x14ac:dyDescent="0.35"/>
    <row r="760" ht="13.5" customHeight="1" x14ac:dyDescent="0.35"/>
    <row r="761" ht="13.5" customHeight="1" x14ac:dyDescent="0.35"/>
    <row r="762" ht="13.5" customHeight="1" x14ac:dyDescent="0.35"/>
    <row r="763" ht="13.5" customHeight="1" x14ac:dyDescent="0.35"/>
    <row r="764" ht="13.5" customHeight="1" x14ac:dyDescent="0.35"/>
    <row r="765" ht="13.5" customHeight="1" x14ac:dyDescent="0.35"/>
    <row r="766" ht="13.5" customHeight="1" x14ac:dyDescent="0.35"/>
    <row r="767" ht="13.5" customHeight="1" x14ac:dyDescent="0.35"/>
    <row r="768" ht="13.5" customHeight="1" x14ac:dyDescent="0.35"/>
    <row r="769" ht="13.5" customHeight="1" x14ac:dyDescent="0.35"/>
    <row r="770" ht="13.5" customHeight="1" x14ac:dyDescent="0.35"/>
    <row r="771" ht="13.5" customHeight="1" x14ac:dyDescent="0.35"/>
    <row r="772" ht="13.5" customHeight="1" x14ac:dyDescent="0.35"/>
    <row r="773" ht="13.5" customHeight="1" x14ac:dyDescent="0.35"/>
    <row r="774" ht="13.5" customHeight="1" x14ac:dyDescent="0.35"/>
    <row r="775" ht="13.5" customHeight="1" x14ac:dyDescent="0.35"/>
    <row r="776" ht="13.5" customHeight="1" x14ac:dyDescent="0.35"/>
    <row r="777" ht="13.5" customHeight="1" x14ac:dyDescent="0.35"/>
    <row r="778" ht="13.5" customHeight="1" x14ac:dyDescent="0.35"/>
    <row r="779" ht="13.5" customHeight="1" x14ac:dyDescent="0.35"/>
    <row r="780" ht="13.5" customHeight="1" x14ac:dyDescent="0.35"/>
    <row r="781" ht="13.5" customHeight="1" x14ac:dyDescent="0.35"/>
    <row r="782" ht="13.5" customHeight="1" x14ac:dyDescent="0.35"/>
    <row r="783" ht="13.5" customHeight="1" x14ac:dyDescent="0.35"/>
    <row r="784" ht="13.5" customHeight="1" x14ac:dyDescent="0.35"/>
    <row r="785" ht="13.5" customHeight="1" x14ac:dyDescent="0.35"/>
    <row r="786" ht="13.5" customHeight="1" x14ac:dyDescent="0.35"/>
    <row r="787" ht="13.5" customHeight="1" x14ac:dyDescent="0.35"/>
    <row r="788" ht="13.5" customHeight="1" x14ac:dyDescent="0.35"/>
    <row r="789" ht="13.5" customHeight="1" x14ac:dyDescent="0.35"/>
    <row r="790" ht="13.5" customHeight="1" x14ac:dyDescent="0.35"/>
    <row r="791" ht="13.5" customHeight="1" x14ac:dyDescent="0.35"/>
    <row r="792" ht="13.5" customHeight="1" x14ac:dyDescent="0.35"/>
    <row r="793" ht="13.5" customHeight="1" x14ac:dyDescent="0.35"/>
    <row r="794" ht="13.5" customHeight="1" x14ac:dyDescent="0.35"/>
    <row r="795" ht="13.5" customHeight="1" x14ac:dyDescent="0.35"/>
    <row r="796" ht="13.5" customHeight="1" x14ac:dyDescent="0.35"/>
    <row r="797" ht="13.5" customHeight="1" x14ac:dyDescent="0.35"/>
    <row r="798" ht="13.5" customHeight="1" x14ac:dyDescent="0.35"/>
    <row r="799" ht="13.5" customHeight="1" x14ac:dyDescent="0.35"/>
    <row r="800" ht="13.5" customHeight="1" x14ac:dyDescent="0.35"/>
    <row r="801" ht="13.5" customHeight="1" x14ac:dyDescent="0.35"/>
    <row r="802" ht="13.5" customHeight="1" x14ac:dyDescent="0.35"/>
    <row r="803" ht="13.5" customHeight="1" x14ac:dyDescent="0.35"/>
    <row r="804" ht="13.5" customHeight="1" x14ac:dyDescent="0.35"/>
    <row r="805" ht="13.5" customHeight="1" x14ac:dyDescent="0.35"/>
    <row r="806" ht="13.5" customHeight="1" x14ac:dyDescent="0.35"/>
    <row r="807" ht="13.5" customHeight="1" x14ac:dyDescent="0.35"/>
    <row r="808" ht="13.5" customHeight="1" x14ac:dyDescent="0.35"/>
    <row r="809" ht="13.5" customHeight="1" x14ac:dyDescent="0.35"/>
    <row r="810" ht="13.5" customHeight="1" x14ac:dyDescent="0.35"/>
    <row r="811" ht="13.5" customHeight="1" x14ac:dyDescent="0.35"/>
    <row r="812" ht="13.5" customHeight="1" x14ac:dyDescent="0.35"/>
    <row r="813" ht="13.5" customHeight="1" x14ac:dyDescent="0.35"/>
    <row r="814" ht="13.5" customHeight="1" x14ac:dyDescent="0.35"/>
    <row r="815" ht="13.5" customHeight="1" x14ac:dyDescent="0.35"/>
    <row r="816" ht="13.5" customHeight="1" x14ac:dyDescent="0.35"/>
    <row r="817" ht="13.5" customHeight="1" x14ac:dyDescent="0.35"/>
    <row r="818" ht="13.5" customHeight="1" x14ac:dyDescent="0.35"/>
    <row r="819" ht="13.5" customHeight="1" x14ac:dyDescent="0.35"/>
    <row r="820" ht="13.5" customHeight="1" x14ac:dyDescent="0.35"/>
    <row r="821" ht="13.5" customHeight="1" x14ac:dyDescent="0.35"/>
    <row r="822" ht="13.5" customHeight="1" x14ac:dyDescent="0.35"/>
    <row r="823" ht="13.5" customHeight="1" x14ac:dyDescent="0.35"/>
    <row r="824" ht="13.5" customHeight="1" x14ac:dyDescent="0.35"/>
    <row r="825" ht="13.5" customHeight="1" x14ac:dyDescent="0.35"/>
    <row r="826" ht="13.5" customHeight="1" x14ac:dyDescent="0.35"/>
    <row r="827" ht="13.5" customHeight="1" x14ac:dyDescent="0.35"/>
    <row r="828" ht="13.5" customHeight="1" x14ac:dyDescent="0.35"/>
    <row r="829" ht="13.5" customHeight="1" x14ac:dyDescent="0.35"/>
    <row r="830" ht="13.5" customHeight="1" x14ac:dyDescent="0.35"/>
    <row r="831" ht="13.5" customHeight="1" x14ac:dyDescent="0.35"/>
    <row r="832" ht="13.5" customHeight="1" x14ac:dyDescent="0.35"/>
    <row r="833" ht="13.5" customHeight="1" x14ac:dyDescent="0.35"/>
    <row r="834" ht="13.5" customHeight="1" x14ac:dyDescent="0.35"/>
    <row r="835" ht="13.5" customHeight="1" x14ac:dyDescent="0.35"/>
    <row r="836" ht="13.5" customHeight="1" x14ac:dyDescent="0.35"/>
    <row r="837" ht="13.5" customHeight="1" x14ac:dyDescent="0.35"/>
    <row r="838" ht="13.5" customHeight="1" x14ac:dyDescent="0.35"/>
    <row r="839" ht="13.5" customHeight="1" x14ac:dyDescent="0.35"/>
    <row r="840" ht="13.5" customHeight="1" x14ac:dyDescent="0.35"/>
    <row r="841" ht="13.5" customHeight="1" x14ac:dyDescent="0.35"/>
    <row r="842" ht="13.5" customHeight="1" x14ac:dyDescent="0.35"/>
    <row r="843" ht="13.5" customHeight="1" x14ac:dyDescent="0.35"/>
    <row r="844" ht="13.5" customHeight="1" x14ac:dyDescent="0.35"/>
    <row r="845" ht="13.5" customHeight="1" x14ac:dyDescent="0.35"/>
    <row r="846" ht="13.5" customHeight="1" x14ac:dyDescent="0.35"/>
    <row r="847" ht="13.5" customHeight="1" x14ac:dyDescent="0.35"/>
    <row r="848" ht="13.5" customHeight="1" x14ac:dyDescent="0.35"/>
    <row r="849" ht="13.5" customHeight="1" x14ac:dyDescent="0.35"/>
    <row r="850" ht="13.5" customHeight="1" x14ac:dyDescent="0.35"/>
    <row r="851" ht="13.5" customHeight="1" x14ac:dyDescent="0.35"/>
    <row r="852" ht="13.5" customHeight="1" x14ac:dyDescent="0.35"/>
    <row r="853" ht="13.5" customHeight="1" x14ac:dyDescent="0.35"/>
    <row r="854" ht="13.5" customHeight="1" x14ac:dyDescent="0.35"/>
    <row r="855" ht="13.5" customHeight="1" x14ac:dyDescent="0.35"/>
    <row r="856" ht="13.5" customHeight="1" x14ac:dyDescent="0.35"/>
    <row r="857" ht="13.5" customHeight="1" x14ac:dyDescent="0.35"/>
    <row r="858" ht="13.5" customHeight="1" x14ac:dyDescent="0.35"/>
    <row r="859" ht="13.5" customHeight="1" x14ac:dyDescent="0.35"/>
    <row r="860" ht="13.5" customHeight="1" x14ac:dyDescent="0.35"/>
    <row r="861" ht="13.5" customHeight="1" x14ac:dyDescent="0.35"/>
    <row r="862" ht="13.5" customHeight="1" x14ac:dyDescent="0.35"/>
    <row r="863" ht="13.5" customHeight="1" x14ac:dyDescent="0.35"/>
    <row r="864" ht="13.5" customHeight="1" x14ac:dyDescent="0.35"/>
    <row r="865" ht="13.5" customHeight="1" x14ac:dyDescent="0.35"/>
    <row r="866" ht="13.5" customHeight="1" x14ac:dyDescent="0.35"/>
    <row r="867" ht="13.5" customHeight="1" x14ac:dyDescent="0.35"/>
    <row r="868" ht="13.5" customHeight="1" x14ac:dyDescent="0.35"/>
    <row r="869" ht="13.5" customHeight="1" x14ac:dyDescent="0.35"/>
    <row r="870" ht="13.5" customHeight="1" x14ac:dyDescent="0.35"/>
    <row r="871" ht="13.5" customHeight="1" x14ac:dyDescent="0.35"/>
    <row r="872" ht="13.5" customHeight="1" x14ac:dyDescent="0.35"/>
    <row r="873" ht="13.5" customHeight="1" x14ac:dyDescent="0.35"/>
    <row r="874" ht="13.5" customHeight="1" x14ac:dyDescent="0.35"/>
    <row r="875" ht="13.5" customHeight="1" x14ac:dyDescent="0.35"/>
    <row r="876" ht="13.5" customHeight="1" x14ac:dyDescent="0.35"/>
    <row r="877" ht="13.5" customHeight="1" x14ac:dyDescent="0.35"/>
    <row r="878" ht="13.5" customHeight="1" x14ac:dyDescent="0.35"/>
    <row r="879" ht="13.5" customHeight="1" x14ac:dyDescent="0.35"/>
    <row r="880" ht="13.5" customHeight="1" x14ac:dyDescent="0.35"/>
    <row r="881" ht="13.5" customHeight="1" x14ac:dyDescent="0.35"/>
    <row r="882" ht="13.5" customHeight="1" x14ac:dyDescent="0.35"/>
    <row r="883" ht="13.5" customHeight="1" x14ac:dyDescent="0.35"/>
    <row r="884" ht="13.5" customHeight="1" x14ac:dyDescent="0.35"/>
    <row r="885" ht="13.5" customHeight="1" x14ac:dyDescent="0.35"/>
    <row r="886" ht="13.5" customHeight="1" x14ac:dyDescent="0.35"/>
    <row r="887" ht="13.5" customHeight="1" x14ac:dyDescent="0.35"/>
    <row r="888" ht="13.5" customHeight="1" x14ac:dyDescent="0.35"/>
    <row r="889" ht="13.5" customHeight="1" x14ac:dyDescent="0.35"/>
    <row r="890" ht="13.5" customHeight="1" x14ac:dyDescent="0.35"/>
    <row r="891" ht="13.5" customHeight="1" x14ac:dyDescent="0.35"/>
    <row r="892" ht="13.5" customHeight="1" x14ac:dyDescent="0.35"/>
    <row r="893" ht="13.5" customHeight="1" x14ac:dyDescent="0.35"/>
    <row r="894" ht="13.5" customHeight="1" x14ac:dyDescent="0.35"/>
    <row r="895" ht="13.5" customHeight="1" x14ac:dyDescent="0.35"/>
    <row r="896" ht="13.5" customHeight="1" x14ac:dyDescent="0.35"/>
    <row r="897" ht="13.5" customHeight="1" x14ac:dyDescent="0.35"/>
    <row r="898" ht="13.5" customHeight="1" x14ac:dyDescent="0.35"/>
    <row r="899" ht="13.5" customHeight="1" x14ac:dyDescent="0.35"/>
    <row r="900" ht="13.5" customHeight="1" x14ac:dyDescent="0.35"/>
    <row r="901" ht="13.5" customHeight="1" x14ac:dyDescent="0.35"/>
    <row r="902" ht="13.5" customHeight="1" x14ac:dyDescent="0.35"/>
    <row r="903" ht="13.5" customHeight="1" x14ac:dyDescent="0.35"/>
    <row r="904" ht="13.5" customHeight="1" x14ac:dyDescent="0.35"/>
    <row r="905" ht="13.5" customHeight="1" x14ac:dyDescent="0.35"/>
    <row r="906" ht="13.5" customHeight="1" x14ac:dyDescent="0.35"/>
    <row r="907" ht="13.5" customHeight="1" x14ac:dyDescent="0.35"/>
    <row r="908" ht="13.5" customHeight="1" x14ac:dyDescent="0.35"/>
    <row r="909" ht="13.5" customHeight="1" x14ac:dyDescent="0.35"/>
    <row r="910" ht="13.5" customHeight="1" x14ac:dyDescent="0.35"/>
    <row r="911" ht="13.5" customHeight="1" x14ac:dyDescent="0.35"/>
    <row r="912" ht="13.5" customHeight="1" x14ac:dyDescent="0.35"/>
    <row r="913" ht="13.5" customHeight="1" x14ac:dyDescent="0.35"/>
    <row r="914" ht="13.5" customHeight="1" x14ac:dyDescent="0.35"/>
    <row r="915" ht="13.5" customHeight="1" x14ac:dyDescent="0.35"/>
    <row r="916" ht="13.5" customHeight="1" x14ac:dyDescent="0.35"/>
    <row r="917" ht="13.5" customHeight="1" x14ac:dyDescent="0.35"/>
    <row r="918" ht="13.5" customHeight="1" x14ac:dyDescent="0.35"/>
    <row r="919" ht="13.5" customHeight="1" x14ac:dyDescent="0.35"/>
    <row r="920" ht="13.5" customHeight="1" x14ac:dyDescent="0.35"/>
    <row r="921" ht="13.5" customHeight="1" x14ac:dyDescent="0.35"/>
    <row r="922" ht="13.5" customHeight="1" x14ac:dyDescent="0.35"/>
    <row r="923" ht="13.5" customHeight="1" x14ac:dyDescent="0.35"/>
    <row r="924" ht="13.5" customHeight="1" x14ac:dyDescent="0.35"/>
    <row r="925" ht="13.5" customHeight="1" x14ac:dyDescent="0.35"/>
    <row r="926" ht="13.5" customHeight="1" x14ac:dyDescent="0.35"/>
    <row r="927" ht="13.5" customHeight="1" x14ac:dyDescent="0.35"/>
    <row r="928" ht="13.5" customHeight="1" x14ac:dyDescent="0.35"/>
    <row r="929" ht="13.5" customHeight="1" x14ac:dyDescent="0.35"/>
    <row r="930" ht="13.5" customHeight="1" x14ac:dyDescent="0.35"/>
    <row r="931" ht="13.5" customHeight="1" x14ac:dyDescent="0.35"/>
    <row r="932" ht="13.5" customHeight="1" x14ac:dyDescent="0.35"/>
    <row r="933" ht="13.5" customHeight="1" x14ac:dyDescent="0.35"/>
    <row r="934" ht="13.5" customHeight="1" x14ac:dyDescent="0.35"/>
    <row r="935" ht="13.5" customHeight="1" x14ac:dyDescent="0.35"/>
    <row r="936" ht="13.5" customHeight="1" x14ac:dyDescent="0.35"/>
    <row r="937" ht="13.5" customHeight="1" x14ac:dyDescent="0.35"/>
    <row r="938" ht="13.5" customHeight="1" x14ac:dyDescent="0.35"/>
    <row r="939" ht="13.5" customHeight="1" x14ac:dyDescent="0.35"/>
    <row r="940" ht="13.5" customHeight="1" x14ac:dyDescent="0.35"/>
    <row r="941" ht="13.5" customHeight="1" x14ac:dyDescent="0.35"/>
    <row r="942" ht="13.5" customHeight="1" x14ac:dyDescent="0.35"/>
    <row r="943" ht="13.5" customHeight="1" x14ac:dyDescent="0.35"/>
    <row r="944" ht="13.5" customHeight="1" x14ac:dyDescent="0.35"/>
    <row r="945" ht="13.5" customHeight="1" x14ac:dyDescent="0.35"/>
    <row r="946" ht="13.5" customHeight="1" x14ac:dyDescent="0.35"/>
    <row r="947" ht="13.5" customHeight="1" x14ac:dyDescent="0.35"/>
    <row r="948" ht="13.5" customHeight="1" x14ac:dyDescent="0.35"/>
    <row r="949" ht="13.5" customHeight="1" x14ac:dyDescent="0.35"/>
    <row r="950" ht="13.5" customHeight="1" x14ac:dyDescent="0.35"/>
    <row r="951" ht="13.5" customHeight="1" x14ac:dyDescent="0.35"/>
    <row r="952" ht="13.5" customHeight="1" x14ac:dyDescent="0.35"/>
    <row r="953" ht="13.5" customHeight="1" x14ac:dyDescent="0.35"/>
    <row r="954" ht="13.5" customHeight="1" x14ac:dyDescent="0.35"/>
    <row r="955" ht="13.5" customHeight="1" x14ac:dyDescent="0.35"/>
    <row r="956" ht="13.5" customHeight="1" x14ac:dyDescent="0.35"/>
    <row r="957" ht="13.5" customHeight="1" x14ac:dyDescent="0.35"/>
    <row r="958" ht="13.5" customHeight="1" x14ac:dyDescent="0.35"/>
    <row r="959" ht="13.5" customHeight="1" x14ac:dyDescent="0.35"/>
    <row r="960" ht="13.5" customHeight="1" x14ac:dyDescent="0.35"/>
    <row r="961" ht="13.5" customHeight="1" x14ac:dyDescent="0.35"/>
    <row r="962" ht="13.5" customHeight="1" x14ac:dyDescent="0.35"/>
    <row r="963" ht="13.5" customHeight="1" x14ac:dyDescent="0.35"/>
    <row r="964" ht="13.5" customHeight="1" x14ac:dyDescent="0.35"/>
    <row r="965" ht="13.5" customHeight="1" x14ac:dyDescent="0.35"/>
    <row r="966" ht="13.5" customHeight="1" x14ac:dyDescent="0.35"/>
    <row r="967" ht="13.5" customHeight="1" x14ac:dyDescent="0.35"/>
    <row r="968" ht="13.5" customHeight="1" x14ac:dyDescent="0.35"/>
    <row r="969" ht="13.5" customHeight="1" x14ac:dyDescent="0.35"/>
    <row r="970" ht="13.5" customHeight="1" x14ac:dyDescent="0.35"/>
    <row r="971" ht="13.5" customHeight="1" x14ac:dyDescent="0.35"/>
    <row r="972" ht="13.5" customHeight="1" x14ac:dyDescent="0.35"/>
    <row r="973" ht="13.5" customHeight="1" x14ac:dyDescent="0.35"/>
    <row r="974" ht="13.5" customHeight="1" x14ac:dyDescent="0.35"/>
    <row r="975" ht="13.5" customHeight="1" x14ac:dyDescent="0.35"/>
    <row r="976" ht="13.5" customHeight="1" x14ac:dyDescent="0.35"/>
    <row r="977" ht="13.5" customHeight="1" x14ac:dyDescent="0.35"/>
    <row r="978" ht="13.5" customHeight="1" x14ac:dyDescent="0.35"/>
    <row r="979" ht="13.5" customHeight="1" x14ac:dyDescent="0.35"/>
    <row r="980" ht="13.5" customHeight="1" x14ac:dyDescent="0.35"/>
    <row r="981" ht="13.5" customHeight="1" x14ac:dyDescent="0.35"/>
    <row r="982" ht="13.5" customHeight="1" x14ac:dyDescent="0.35"/>
    <row r="983" ht="13.5" customHeight="1" x14ac:dyDescent="0.35"/>
    <row r="984" ht="13.5" customHeight="1" x14ac:dyDescent="0.35"/>
    <row r="985" ht="13.5" customHeight="1" x14ac:dyDescent="0.35"/>
    <row r="986" ht="13.5" customHeight="1" x14ac:dyDescent="0.35"/>
    <row r="987" ht="13.5" customHeight="1" x14ac:dyDescent="0.35"/>
    <row r="988" ht="13.5" customHeight="1" x14ac:dyDescent="0.35"/>
    <row r="989" ht="13.5" customHeight="1" x14ac:dyDescent="0.35"/>
    <row r="990" ht="13.5" customHeight="1" x14ac:dyDescent="0.35"/>
    <row r="991" ht="13.5" customHeight="1" x14ac:dyDescent="0.35"/>
    <row r="992" ht="13.5" customHeight="1" x14ac:dyDescent="0.35"/>
    <row r="993" ht="13.5" customHeight="1" x14ac:dyDescent="0.35"/>
    <row r="994" ht="13.5" customHeight="1" x14ac:dyDescent="0.35"/>
    <row r="995" ht="13.5" customHeight="1" x14ac:dyDescent="0.35"/>
    <row r="996" ht="13.5" customHeight="1" x14ac:dyDescent="0.35"/>
    <row r="997" ht="13.5" customHeight="1" x14ac:dyDescent="0.35"/>
    <row r="998" ht="13.5" customHeight="1" x14ac:dyDescent="0.35"/>
    <row r="999" ht="13.5" customHeight="1" x14ac:dyDescent="0.35"/>
    <row r="1000" ht="13.5" customHeight="1" x14ac:dyDescent="0.35"/>
    <row r="1001" ht="13.5" customHeight="1" x14ac:dyDescent="0.35"/>
    <row r="1002" ht="13.5" customHeight="1" x14ac:dyDescent="0.35"/>
    <row r="1003" ht="13.5" customHeight="1" x14ac:dyDescent="0.35"/>
    <row r="1004" ht="13.5" customHeight="1" x14ac:dyDescent="0.35"/>
    <row r="1005" ht="13.5" customHeight="1" x14ac:dyDescent="0.35"/>
    <row r="1006" ht="13.5" customHeight="1" x14ac:dyDescent="0.35"/>
    <row r="1007" ht="13.5" customHeight="1" x14ac:dyDescent="0.35"/>
    <row r="1008" ht="13.5" customHeight="1" x14ac:dyDescent="0.35"/>
    <row r="1009" ht="13.5" customHeight="1" x14ac:dyDescent="0.35"/>
    <row r="1010" ht="13.5" customHeight="1" x14ac:dyDescent="0.35"/>
    <row r="1011" ht="13.5" customHeight="1" x14ac:dyDescent="0.35"/>
    <row r="1012" ht="13.5" customHeight="1" x14ac:dyDescent="0.35"/>
    <row r="1013" ht="13.5" customHeight="1" x14ac:dyDescent="0.35"/>
    <row r="1014" ht="13.5" customHeight="1" x14ac:dyDescent="0.35"/>
    <row r="1015" ht="13.5" customHeight="1" x14ac:dyDescent="0.35"/>
    <row r="1016" ht="13.5" customHeight="1" x14ac:dyDescent="0.35"/>
    <row r="1017" ht="13.5" customHeight="1" x14ac:dyDescent="0.35"/>
    <row r="1018" ht="13.5" customHeight="1" x14ac:dyDescent="0.35"/>
    <row r="1019" ht="13.5" customHeight="1" x14ac:dyDescent="0.35"/>
    <row r="1020" ht="13.5" customHeight="1" x14ac:dyDescent="0.35"/>
    <row r="1021" ht="13.5" customHeight="1" x14ac:dyDescent="0.35"/>
    <row r="1022" ht="13.5" customHeight="1" x14ac:dyDescent="0.35"/>
    <row r="1023" ht="13.5" customHeight="1" x14ac:dyDescent="0.35"/>
    <row r="1024" ht="13.5" customHeight="1" x14ac:dyDescent="0.35"/>
    <row r="1025" ht="13.5" customHeight="1" x14ac:dyDescent="0.35"/>
    <row r="1026" ht="13.5" customHeight="1" x14ac:dyDescent="0.35"/>
    <row r="1027" ht="13.5" customHeight="1" x14ac:dyDescent="0.35"/>
    <row r="1028" ht="13.5" customHeight="1" x14ac:dyDescent="0.35"/>
    <row r="1029" ht="13.5" customHeight="1" x14ac:dyDescent="0.35"/>
    <row r="1030" ht="13.5" customHeight="1" x14ac:dyDescent="0.35"/>
    <row r="1031" ht="13.5" customHeight="1" x14ac:dyDescent="0.35"/>
    <row r="1032" ht="15" customHeight="1" x14ac:dyDescent="0.35"/>
    <row r="1033" ht="15" customHeight="1" x14ac:dyDescent="0.35"/>
    <row r="1034" ht="15" customHeight="1" x14ac:dyDescent="0.35"/>
    <row r="1035" ht="15" customHeight="1" x14ac:dyDescent="0.35"/>
    <row r="1036" ht="15" customHeight="1" x14ac:dyDescent="0.35"/>
    <row r="1037" ht="15" customHeight="1" x14ac:dyDescent="0.35"/>
    <row r="1038" ht="15" customHeight="1" x14ac:dyDescent="0.35"/>
    <row r="1039" ht="15" customHeight="1" x14ac:dyDescent="0.35"/>
  </sheetData>
  <mergeCells count="5">
    <mergeCell ref="D26:I26"/>
    <mergeCell ref="A2:J2"/>
    <mergeCell ref="A3:J3"/>
    <mergeCell ref="D5:I5"/>
    <mergeCell ref="D15:I15"/>
  </mergeCells>
  <conditionalFormatting sqref="L6:L15 L18:L35">
    <cfRule type="cellIs" dxfId="1" priority="3" operator="equal">
      <formula>1</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250"/>
  <sheetViews>
    <sheetView zoomScale="85" zoomScaleNormal="85" workbookViewId="0">
      <pane ySplit="1" topLeftCell="A2" activePane="bottomLeft" state="frozen"/>
      <selection pane="bottomLeft" activeCell="A94" sqref="A94"/>
    </sheetView>
  </sheetViews>
  <sheetFormatPr defaultColWidth="14.46484375" defaultRowHeight="13.15" x14ac:dyDescent="0.4"/>
  <cols>
    <col min="1" max="1" width="33.33203125" style="89" customWidth="1"/>
    <col min="2" max="51" width="10.6640625" style="89" customWidth="1"/>
    <col min="52" max="16384" width="14.46484375" style="89"/>
  </cols>
  <sheetData>
    <row r="1" spans="1:51" ht="15" customHeight="1" x14ac:dyDescent="0.4">
      <c r="A1" s="130" t="s">
        <v>26</v>
      </c>
      <c r="B1" s="91">
        <v>2009</v>
      </c>
      <c r="C1" s="91">
        <v>2010</v>
      </c>
      <c r="D1" s="91">
        <v>2011</v>
      </c>
      <c r="E1" s="91">
        <v>2012</v>
      </c>
      <c r="F1" s="91">
        <v>2013</v>
      </c>
      <c r="G1" s="91">
        <v>2014</v>
      </c>
      <c r="H1" s="91">
        <v>2015</v>
      </c>
      <c r="I1" s="91">
        <v>2016</v>
      </c>
      <c r="J1" s="91">
        <v>2017</v>
      </c>
      <c r="K1" s="91">
        <v>2018</v>
      </c>
      <c r="L1" s="91">
        <v>2019</v>
      </c>
      <c r="M1" s="91">
        <v>2020</v>
      </c>
      <c r="N1" s="91">
        <v>2021</v>
      </c>
      <c r="O1" s="91">
        <v>2022</v>
      </c>
      <c r="P1" s="91">
        <v>2023</v>
      </c>
      <c r="Q1" s="91">
        <v>2024</v>
      </c>
      <c r="R1" s="91">
        <v>2025</v>
      </c>
      <c r="S1" s="91">
        <v>2026</v>
      </c>
      <c r="T1" s="91">
        <v>2027</v>
      </c>
      <c r="U1" s="91">
        <v>2028</v>
      </c>
      <c r="V1" s="91">
        <v>2029</v>
      </c>
      <c r="W1" s="91">
        <v>2030</v>
      </c>
      <c r="X1" s="91">
        <v>2031</v>
      </c>
      <c r="Y1" s="91">
        <v>2032</v>
      </c>
      <c r="Z1" s="91">
        <v>2033</v>
      </c>
      <c r="AA1" s="91">
        <v>2034</v>
      </c>
      <c r="AB1" s="91">
        <v>2035</v>
      </c>
      <c r="AC1" s="91">
        <v>2036</v>
      </c>
      <c r="AD1" s="91">
        <v>2037</v>
      </c>
      <c r="AE1" s="91">
        <v>2038</v>
      </c>
      <c r="AF1" s="91">
        <v>2039</v>
      </c>
      <c r="AG1" s="91">
        <v>2040</v>
      </c>
      <c r="AH1" s="91">
        <v>2041</v>
      </c>
      <c r="AI1" s="91">
        <v>2042</v>
      </c>
      <c r="AJ1" s="91">
        <v>2043</v>
      </c>
      <c r="AK1" s="91">
        <v>2044</v>
      </c>
      <c r="AL1" s="91">
        <v>2045</v>
      </c>
      <c r="AM1" s="91">
        <v>2046</v>
      </c>
      <c r="AN1" s="91">
        <v>2047</v>
      </c>
      <c r="AO1" s="91">
        <v>2048</v>
      </c>
      <c r="AP1" s="91">
        <v>2049</v>
      </c>
      <c r="AQ1" s="91">
        <v>2050</v>
      </c>
      <c r="AR1" s="91">
        <v>2051</v>
      </c>
      <c r="AS1" s="91">
        <v>2052</v>
      </c>
      <c r="AT1" s="91">
        <v>2053</v>
      </c>
      <c r="AU1" s="91">
        <v>2054</v>
      </c>
      <c r="AV1" s="91">
        <v>2055</v>
      </c>
      <c r="AW1" s="91">
        <v>2056</v>
      </c>
      <c r="AX1" s="91">
        <v>2057</v>
      </c>
      <c r="AY1" s="91">
        <v>2058</v>
      </c>
    </row>
    <row r="2" spans="1:51" ht="15" customHeight="1" x14ac:dyDescent="0.4">
      <c r="D2" s="92"/>
      <c r="E2" s="92"/>
      <c r="F2" s="84"/>
      <c r="G2" s="84"/>
      <c r="H2" s="84"/>
      <c r="I2" s="84"/>
      <c r="J2" s="84"/>
      <c r="K2" s="84"/>
      <c r="L2" s="84"/>
    </row>
    <row r="3" spans="1:51" ht="15.75" x14ac:dyDescent="0.4">
      <c r="A3" s="321" t="s">
        <v>35</v>
      </c>
      <c r="B3" s="321"/>
      <c r="C3" s="321"/>
      <c r="D3" s="100"/>
      <c r="E3" s="100"/>
      <c r="F3" s="100"/>
      <c r="G3" s="100"/>
      <c r="H3" s="100"/>
      <c r="I3" s="100"/>
      <c r="J3" s="100"/>
      <c r="K3" s="100"/>
      <c r="L3" s="100"/>
    </row>
    <row r="4" spans="1:51" ht="15.75" x14ac:dyDescent="0.4">
      <c r="A4" s="84"/>
      <c r="B4" s="99"/>
      <c r="C4" s="100"/>
      <c r="D4" s="100"/>
      <c r="E4" s="100"/>
      <c r="F4" s="100"/>
      <c r="G4" s="100"/>
      <c r="H4" s="100"/>
      <c r="I4" s="100"/>
      <c r="J4" s="100"/>
      <c r="K4" s="100"/>
      <c r="L4" s="100"/>
      <c r="Q4" s="131"/>
    </row>
    <row r="5" spans="1:51" ht="15.75" customHeight="1" x14ac:dyDescent="0.4">
      <c r="A5" s="216" t="s">
        <v>2</v>
      </c>
      <c r="B5" s="217">
        <v>0</v>
      </c>
      <c r="C5" s="217">
        <v>1</v>
      </c>
      <c r="D5" s="217">
        <v>2</v>
      </c>
      <c r="E5" s="217">
        <v>3</v>
      </c>
      <c r="F5" s="217">
        <v>4</v>
      </c>
      <c r="G5" s="217">
        <v>5</v>
      </c>
      <c r="H5" s="217">
        <v>6</v>
      </c>
      <c r="I5" s="217">
        <v>7</v>
      </c>
      <c r="J5" s="217">
        <v>8</v>
      </c>
      <c r="K5" s="217">
        <v>9</v>
      </c>
      <c r="L5" s="217">
        <v>10</v>
      </c>
      <c r="M5" s="217">
        <v>11</v>
      </c>
      <c r="N5" s="217">
        <v>12</v>
      </c>
      <c r="O5" s="217">
        <v>13</v>
      </c>
      <c r="P5" s="217">
        <v>14</v>
      </c>
      <c r="Q5" s="217">
        <v>15</v>
      </c>
      <c r="R5" s="217">
        <v>16</v>
      </c>
      <c r="S5" s="217">
        <v>17</v>
      </c>
      <c r="T5" s="217">
        <v>18</v>
      </c>
      <c r="U5" s="217">
        <v>19</v>
      </c>
      <c r="V5" s="217">
        <v>20</v>
      </c>
      <c r="W5" s="217">
        <v>21</v>
      </c>
      <c r="X5" s="217">
        <v>22</v>
      </c>
      <c r="Y5" s="217">
        <v>23</v>
      </c>
      <c r="Z5" s="217">
        <v>24</v>
      </c>
      <c r="AA5" s="217">
        <v>25</v>
      </c>
      <c r="AB5" s="217">
        <v>26</v>
      </c>
      <c r="AC5" s="217">
        <v>27</v>
      </c>
      <c r="AD5" s="217">
        <v>28</v>
      </c>
      <c r="AE5" s="217">
        <v>29</v>
      </c>
      <c r="AF5" s="217">
        <v>30</v>
      </c>
      <c r="AG5" s="217">
        <v>31</v>
      </c>
      <c r="AH5" s="217">
        <v>32</v>
      </c>
      <c r="AI5" s="217">
        <v>33</v>
      </c>
      <c r="AJ5" s="217">
        <v>34</v>
      </c>
      <c r="AK5" s="217">
        <v>35</v>
      </c>
      <c r="AL5" s="217">
        <v>36</v>
      </c>
      <c r="AM5" s="217">
        <v>37</v>
      </c>
      <c r="AN5" s="217">
        <v>38</v>
      </c>
      <c r="AO5" s="217">
        <v>39</v>
      </c>
      <c r="AP5" s="217">
        <v>40</v>
      </c>
      <c r="AQ5" s="217">
        <v>41</v>
      </c>
      <c r="AR5" s="217">
        <v>42</v>
      </c>
      <c r="AS5" s="217">
        <v>43</v>
      </c>
      <c r="AT5" s="217">
        <v>44</v>
      </c>
      <c r="AU5" s="217">
        <v>45</v>
      </c>
      <c r="AV5" s="217">
        <v>46</v>
      </c>
      <c r="AW5" s="217">
        <v>47</v>
      </c>
      <c r="AX5" s="217">
        <v>48</v>
      </c>
      <c r="AY5" s="217">
        <v>49</v>
      </c>
    </row>
    <row r="6" spans="1:51" ht="15.75" x14ac:dyDescent="0.4">
      <c r="A6" s="218" t="s">
        <v>234</v>
      </c>
      <c r="B6" s="219">
        <f>(1+'Phương án 1'!$B$27)^B5</f>
        <v>1</v>
      </c>
      <c r="C6" s="219">
        <f>(1+'Phương án 1'!$B$27)^C5</f>
        <v>1</v>
      </c>
      <c r="D6" s="219">
        <f>(1+'Phương án 1'!$B$27)^D5</f>
        <v>1</v>
      </c>
      <c r="E6" s="219">
        <f>(1+'Phương án 1'!$B$27)^E5</f>
        <v>1</v>
      </c>
      <c r="F6" s="219">
        <f>(1+'Phương án 1'!$B$27)^F5</f>
        <v>1</v>
      </c>
      <c r="G6" s="219">
        <f>(1+'Phương án 1'!$B$27)^G5</f>
        <v>1</v>
      </c>
      <c r="H6" s="219">
        <f>(1+'Phương án 1'!$B$27)^H5</f>
        <v>1</v>
      </c>
      <c r="I6" s="219">
        <f>(1+'Phương án 1'!$B$27)^I5</f>
        <v>1</v>
      </c>
      <c r="J6" s="219">
        <f>(1+'Phương án 1'!$B$27)^J5</f>
        <v>1</v>
      </c>
      <c r="K6" s="219">
        <f>(1+'Phương án 1'!$B$27)^K5</f>
        <v>1</v>
      </c>
      <c r="L6" s="219">
        <f>(1+'Phương án 1'!$B$27)^L5</f>
        <v>1</v>
      </c>
      <c r="M6" s="219">
        <f>(1+'Phương án 1'!$B$27)^M5</f>
        <v>1</v>
      </c>
      <c r="N6" s="219">
        <f>(1+'Phương án 1'!$B$27)^N5</f>
        <v>1</v>
      </c>
      <c r="O6" s="219">
        <f>(1+'Phương án 1'!$B$27)^O5</f>
        <v>1</v>
      </c>
      <c r="P6" s="219">
        <f>(1+'Phương án 1'!$B$27)^P5</f>
        <v>1</v>
      </c>
      <c r="Q6" s="219">
        <f>(1+'Phương án 1'!$B$27)^Q5</f>
        <v>1</v>
      </c>
      <c r="R6" s="219">
        <f>(1+'Phương án 1'!$B$27)^R5</f>
        <v>1</v>
      </c>
      <c r="S6" s="219">
        <f>(1+'Phương án 1'!$B$27)^S5</f>
        <v>1</v>
      </c>
      <c r="T6" s="219">
        <f>(1+'Phương án 1'!$B$27)^T5</f>
        <v>1</v>
      </c>
      <c r="U6" s="219">
        <f>(1+'Phương án 1'!$B$27)^U5</f>
        <v>1</v>
      </c>
      <c r="V6" s="219">
        <f>(1+'Phương án 1'!$B$27)^V5</f>
        <v>1</v>
      </c>
      <c r="W6" s="219">
        <f>(1+'Phương án 1'!$B$27)^W5</f>
        <v>1</v>
      </c>
      <c r="X6" s="219">
        <f>(1+'Phương án 1'!$B$27)^X5</f>
        <v>1</v>
      </c>
      <c r="Y6" s="219">
        <f>(1+'Phương án 1'!$B$27)^Y5</f>
        <v>1</v>
      </c>
      <c r="Z6" s="219">
        <f>(1+'Phương án 1'!$B$27)^Z5</f>
        <v>1</v>
      </c>
      <c r="AA6" s="219">
        <f>(1+'Phương án 1'!$B$27)^AA5</f>
        <v>1</v>
      </c>
      <c r="AB6" s="219">
        <f>(1+'Phương án 1'!$B$27)^AB5</f>
        <v>1</v>
      </c>
      <c r="AC6" s="219">
        <f>(1+'Phương án 1'!$B$27)^AC5</f>
        <v>1</v>
      </c>
      <c r="AD6" s="219">
        <f>(1+'Phương án 1'!$B$27)^AD5</f>
        <v>1</v>
      </c>
      <c r="AE6" s="219">
        <f>(1+'Phương án 1'!$B$27)^AE5</f>
        <v>1</v>
      </c>
      <c r="AF6" s="219">
        <f>(1+'Phương án 1'!$B$27)^AF5</f>
        <v>1</v>
      </c>
      <c r="AG6" s="219">
        <f>(1+'Phương án 1'!$B$27)^AG5</f>
        <v>1</v>
      </c>
      <c r="AH6" s="219">
        <f>(1+'Phương án 1'!$B$27)^AH5</f>
        <v>1</v>
      </c>
      <c r="AI6" s="219">
        <f>(1+'Phương án 1'!$B$27)^AI5</f>
        <v>1</v>
      </c>
      <c r="AJ6" s="219">
        <f>(1+'Phương án 1'!$B$27)^AJ5</f>
        <v>1</v>
      </c>
      <c r="AK6" s="219">
        <f>(1+'Phương án 1'!$B$27)^AK5</f>
        <v>1</v>
      </c>
      <c r="AL6" s="219">
        <f>(1+'Phương án 1'!$B$27)^AL5</f>
        <v>1</v>
      </c>
      <c r="AM6" s="219">
        <f>(1+'Phương án 1'!$B$27)^AM5</f>
        <v>1</v>
      </c>
      <c r="AN6" s="219">
        <f>(1+'Phương án 1'!$B$27)^AN5</f>
        <v>1</v>
      </c>
      <c r="AO6" s="219">
        <f>(1+'Phương án 1'!$B$27)^AO5</f>
        <v>1</v>
      </c>
      <c r="AP6" s="219">
        <f>(1+'Phương án 1'!$B$27)^AP5</f>
        <v>1</v>
      </c>
      <c r="AQ6" s="219">
        <f>(1+'Phương án 1'!$B$27)^AQ5</f>
        <v>1</v>
      </c>
      <c r="AR6" s="219">
        <f>(1+'Phương án 1'!$B$27)^AR5</f>
        <v>1</v>
      </c>
      <c r="AS6" s="219">
        <f>(1+'Phương án 1'!$B$27)^AS5</f>
        <v>1</v>
      </c>
      <c r="AT6" s="219">
        <f>(1+'Phương án 1'!$B$27)^AT5</f>
        <v>1</v>
      </c>
      <c r="AU6" s="219">
        <f>(1+'Phương án 1'!$B$27)^AU5</f>
        <v>1</v>
      </c>
      <c r="AV6" s="219">
        <f>(1+'Phương án 1'!$B$27)^AV5</f>
        <v>1</v>
      </c>
      <c r="AW6" s="219">
        <f>(1+'Phương án 1'!$B$27)^AW5</f>
        <v>1</v>
      </c>
      <c r="AX6" s="219">
        <f>(1+'Phương án 1'!$B$27)^AX5</f>
        <v>1</v>
      </c>
      <c r="AY6" s="219">
        <f>(1+'Phương án 1'!$B$27)^AY5</f>
        <v>1</v>
      </c>
    </row>
    <row r="7" spans="1:51" ht="15.75" x14ac:dyDescent="0.5">
      <c r="A7" s="270" t="s">
        <v>235</v>
      </c>
      <c r="B7" s="271"/>
      <c r="C7" s="271"/>
      <c r="D7" s="271">
        <f>(1+'Phương án 1'!$B$27+'Phương án 1'!$B$14)^B5</f>
        <v>1</v>
      </c>
      <c r="E7" s="271">
        <f>(1+'Phương án 1'!$B$27+'Phương án 1'!$B$14)^C5</f>
        <v>1.01</v>
      </c>
      <c r="F7" s="271">
        <f>(1+'Phương án 1'!$B$27+'Phương án 1'!$B$14)^D5</f>
        <v>1.0201</v>
      </c>
      <c r="G7" s="271">
        <f>(1+'Phương án 1'!$B$27+'Phương án 1'!$B$14)^E5</f>
        <v>1.0303009999999999</v>
      </c>
      <c r="H7" s="271">
        <f>(1+'Phương án 1'!$B$27+'Phương án 1'!$B$14)^F5</f>
        <v>1.04060401</v>
      </c>
      <c r="I7" s="271">
        <f>(1+'Phương án 1'!$B$27+'Phương án 1'!$B$14)^G5</f>
        <v>1.0510100500999999</v>
      </c>
      <c r="J7" s="271">
        <f>(1+'Phương án 1'!$B$27+'Phương án 1'!$B$14)^H5</f>
        <v>1.0615201506010001</v>
      </c>
      <c r="K7" s="271">
        <f>(1+'Phương án 1'!$B$27+'Phương án 1'!$B$14)^I5</f>
        <v>1.0721353521070098</v>
      </c>
      <c r="L7" s="271">
        <f>(1+'Phương án 1'!$B$27+'Phương án 1'!$B$14)^J5</f>
        <v>1.0828567056280802</v>
      </c>
      <c r="M7" s="271">
        <f>(1+'Phương án 1'!$B$27+'Phương án 1'!$B$14)^K5</f>
        <v>1.0936852726843611</v>
      </c>
      <c r="N7" s="271">
        <f>(1+'Phương án 1'!$B$27+'Phương án 1'!$B$14)^L5</f>
        <v>1.1046221254112047</v>
      </c>
      <c r="O7" s="271">
        <f>(1+'Phương án 1'!$B$27+'Phương án 1'!$B$14)^M5</f>
        <v>1.1156683466653166</v>
      </c>
      <c r="P7" s="271">
        <f>(1+'Phương án 1'!$B$27+'Phương án 1'!$B$14)^N5</f>
        <v>1.1268250301319698</v>
      </c>
      <c r="Q7" s="271">
        <f>(1+'Phương án 1'!$B$27+'Phương án 1'!$B$14)^O5</f>
        <v>1.1380932804332895</v>
      </c>
      <c r="R7" s="271">
        <f>(1+'Phương án 1'!$B$27+'Phương án 1'!$B$14)^P5</f>
        <v>1.1494742132376226</v>
      </c>
      <c r="S7" s="271">
        <f>(1+'Phương án 1'!$B$27+'Phương án 1'!$B$14)^Q5</f>
        <v>1.1609689553699984</v>
      </c>
      <c r="T7" s="271">
        <f>(1+'Phương án 1'!$B$27+'Phương án 1'!$B$14)^R5</f>
        <v>1.1725786449236988</v>
      </c>
      <c r="U7" s="271">
        <f>(1+'Phương án 1'!$B$27+'Phương án 1'!$B$14)^S5</f>
        <v>1.1843044313729358</v>
      </c>
      <c r="V7" s="271">
        <f>(1+'Phương án 1'!$B$27+'Phương án 1'!$B$14)^T5</f>
        <v>1.1961474756866652</v>
      </c>
      <c r="W7" s="271">
        <f>(1+'Phương án 1'!$B$27+'Phương án 1'!$B$14)^U5</f>
        <v>1.2081089504435316</v>
      </c>
      <c r="X7" s="271">
        <f>(1+'Phương án 1'!$B$27+'Phương án 1'!$B$14)^V5</f>
        <v>1.220190039947967</v>
      </c>
      <c r="Y7" s="271">
        <f>(1+'Phương án 1'!$B$27+'Phương án 1'!$B$14)^W5</f>
        <v>1.2323919403474466</v>
      </c>
      <c r="Z7" s="271">
        <f>(1+'Phương án 1'!$B$27+'Phương án 1'!$B$14)^X5</f>
        <v>1.2447158597509214</v>
      </c>
      <c r="AA7" s="271">
        <f>(1+'Phương án 1'!$B$27+'Phương án 1'!$B$14)^Y5</f>
        <v>1.2571630183484304</v>
      </c>
      <c r="AB7" s="271">
        <f>(1+'Phương án 1'!$B$27+'Phương án 1'!$B$15)^AB6</f>
        <v>1</v>
      </c>
      <c r="AC7" s="271">
        <f>(1+'Phương án 1'!$B$27+'Phương án 1'!$B$15)^AC6</f>
        <v>1</v>
      </c>
      <c r="AD7" s="271">
        <f>(1+'Phương án 1'!$B$27+'Phương án 1'!$B$15)^AD6</f>
        <v>1</v>
      </c>
      <c r="AE7" s="271">
        <f>(1+'Phương án 1'!$B$27+'Phương án 1'!$B$15)^AE5</f>
        <v>1</v>
      </c>
      <c r="AF7" s="271">
        <f>(1+'Phương án 1'!$B$27+'Phương án 1'!$B$15)^AF5</f>
        <v>1</v>
      </c>
      <c r="AG7" s="271">
        <f>(1+'Phương án 1'!$B$27+'Phương án 1'!$B$15)^AG5</f>
        <v>1</v>
      </c>
      <c r="AH7" s="271">
        <f>(1+'Phương án 1'!$B$27+'Phương án 1'!$B$15)^AH5</f>
        <v>1</v>
      </c>
      <c r="AI7" s="271">
        <f>(1+'Phương án 1'!$B$27+'Phương án 1'!$B$15)^AI5</f>
        <v>1</v>
      </c>
      <c r="AJ7" s="271">
        <f>(1+'Phương án 1'!$B$27+'Phương án 1'!$B$15)^AJ5</f>
        <v>1</v>
      </c>
      <c r="AK7" s="271">
        <f>(1+'Phương án 1'!$B$27+'Phương án 1'!$B$15)^AK5</f>
        <v>1</v>
      </c>
      <c r="AL7" s="271">
        <f>(1+'Phương án 1'!$B$27+'Phương án 1'!$B$15)^AL5</f>
        <v>1</v>
      </c>
      <c r="AM7" s="271">
        <f>(1+'Phương án 1'!$B$27+'Phương án 1'!$B$15)^AM5</f>
        <v>1</v>
      </c>
      <c r="AN7" s="271">
        <f>(1+'Phương án 1'!$B$27+'Phương án 1'!$B$15)^AN5</f>
        <v>1</v>
      </c>
      <c r="AO7" s="271">
        <f>(1+'Phương án 1'!$B$27+'Phương án 1'!$B$15)^AO5</f>
        <v>1</v>
      </c>
      <c r="AP7" s="271">
        <f>(1+'Phương án 1'!$B$27+'Phương án 1'!$B$15)^AP5</f>
        <v>1</v>
      </c>
      <c r="AQ7" s="271">
        <f>(1+'Phương án 1'!$B$27+'Phương án 1'!$B$15)^AQ5</f>
        <v>1</v>
      </c>
      <c r="AR7" s="271">
        <f>(1+'Phương án 1'!$B$27+'Phương án 1'!$B$15)^AR5</f>
        <v>1</v>
      </c>
      <c r="AS7" s="271">
        <f>(1+'Phương án 1'!$B$27+'Phương án 1'!$B$15)^AS5</f>
        <v>1</v>
      </c>
      <c r="AT7" s="271">
        <f>(1+'Phương án 1'!$B$27+'Phương án 1'!$B$15)^AT5</f>
        <v>1</v>
      </c>
      <c r="AU7" s="271">
        <f>(1+'Phương án 1'!$B$27+'Phương án 1'!$B$15)^AU5</f>
        <v>1</v>
      </c>
      <c r="AV7" s="271">
        <f>(1+'Phương án 1'!$B$27+'Phương án 1'!$B$15)^AV5</f>
        <v>1</v>
      </c>
      <c r="AW7" s="271">
        <f>(1+'Phương án 1'!$B$27+'Phương án 1'!$B$15)^AW5</f>
        <v>1</v>
      </c>
      <c r="AX7" s="271">
        <f>(1+'Phương án 1'!$B$27+'Phương án 1'!$B$15)^AX5</f>
        <v>1</v>
      </c>
      <c r="AY7" s="271">
        <f>(1+'Phương án 1'!$B$27+'Phương án 1'!$B$15)^AY5</f>
        <v>1</v>
      </c>
    </row>
    <row r="8" spans="1:51" ht="15.75" x14ac:dyDescent="0.4">
      <c r="A8" s="84"/>
      <c r="B8" s="99"/>
      <c r="C8" s="100"/>
      <c r="D8" s="100"/>
      <c r="E8" s="100"/>
      <c r="F8" s="100"/>
      <c r="G8" s="100"/>
      <c r="H8" s="100"/>
      <c r="I8" s="100"/>
      <c r="J8" s="100"/>
      <c r="K8" s="100"/>
      <c r="L8" s="100"/>
    </row>
    <row r="9" spans="1:51" ht="15.75" x14ac:dyDescent="0.4">
      <c r="A9" s="321" t="s">
        <v>37</v>
      </c>
      <c r="B9" s="321"/>
      <c r="C9" s="321"/>
      <c r="D9" s="100"/>
      <c r="E9" s="100"/>
      <c r="F9" s="100"/>
      <c r="G9" s="100"/>
      <c r="H9" s="100"/>
      <c r="I9" s="100"/>
      <c r="J9" s="100"/>
      <c r="K9" s="100"/>
      <c r="L9" s="100"/>
    </row>
    <row r="10" spans="1:51" ht="15.75" x14ac:dyDescent="0.4">
      <c r="A10" s="84"/>
      <c r="B10" s="99"/>
      <c r="C10" s="100"/>
      <c r="D10" s="100"/>
      <c r="E10" s="100"/>
      <c r="F10" s="100"/>
      <c r="G10" s="100"/>
      <c r="H10" s="100"/>
      <c r="I10" s="100"/>
      <c r="J10" s="100"/>
      <c r="K10" s="100"/>
      <c r="L10" s="100"/>
      <c r="AY10" s="89" t="s">
        <v>221</v>
      </c>
    </row>
    <row r="11" spans="1:51" ht="15.75" customHeight="1" x14ac:dyDescent="0.4">
      <c r="A11" s="93" t="s">
        <v>2</v>
      </c>
      <c r="B11" s="94">
        <f t="shared" ref="B11:Q11" si="0">B5</f>
        <v>0</v>
      </c>
      <c r="C11" s="94">
        <f t="shared" si="0"/>
        <v>1</v>
      </c>
      <c r="D11" s="94">
        <f t="shared" si="0"/>
        <v>2</v>
      </c>
      <c r="E11" s="94">
        <f t="shared" si="0"/>
        <v>3</v>
      </c>
      <c r="F11" s="94">
        <f t="shared" si="0"/>
        <v>4</v>
      </c>
      <c r="G11" s="94">
        <f t="shared" si="0"/>
        <v>5</v>
      </c>
      <c r="H11" s="94">
        <f t="shared" si="0"/>
        <v>6</v>
      </c>
      <c r="I11" s="94">
        <f t="shared" si="0"/>
        <v>7</v>
      </c>
      <c r="J11" s="94">
        <f t="shared" si="0"/>
        <v>8</v>
      </c>
      <c r="K11" s="94">
        <f t="shared" si="0"/>
        <v>9</v>
      </c>
      <c r="L11" s="94">
        <f t="shared" si="0"/>
        <v>10</v>
      </c>
      <c r="M11" s="94">
        <f t="shared" si="0"/>
        <v>11</v>
      </c>
      <c r="N11" s="94">
        <f t="shared" si="0"/>
        <v>12</v>
      </c>
      <c r="O11" s="94">
        <f t="shared" si="0"/>
        <v>13</v>
      </c>
      <c r="P11" s="94">
        <f t="shared" si="0"/>
        <v>14</v>
      </c>
      <c r="Q11" s="94">
        <f t="shared" si="0"/>
        <v>15</v>
      </c>
      <c r="R11" s="94">
        <f t="shared" ref="R11:AY11" si="1">R5</f>
        <v>16</v>
      </c>
      <c r="S11" s="94">
        <f t="shared" si="1"/>
        <v>17</v>
      </c>
      <c r="T11" s="94">
        <f t="shared" si="1"/>
        <v>18</v>
      </c>
      <c r="U11" s="94">
        <f t="shared" si="1"/>
        <v>19</v>
      </c>
      <c r="V11" s="94">
        <f t="shared" si="1"/>
        <v>20</v>
      </c>
      <c r="W11" s="94">
        <f t="shared" si="1"/>
        <v>21</v>
      </c>
      <c r="X11" s="94">
        <f t="shared" si="1"/>
        <v>22</v>
      </c>
      <c r="Y11" s="94">
        <f t="shared" si="1"/>
        <v>23</v>
      </c>
      <c r="Z11" s="94">
        <f t="shared" si="1"/>
        <v>24</v>
      </c>
      <c r="AA11" s="94">
        <f t="shared" si="1"/>
        <v>25</v>
      </c>
      <c r="AB11" s="94">
        <f t="shared" si="1"/>
        <v>26</v>
      </c>
      <c r="AC11" s="94">
        <f t="shared" si="1"/>
        <v>27</v>
      </c>
      <c r="AD11" s="94">
        <f t="shared" si="1"/>
        <v>28</v>
      </c>
      <c r="AE11" s="94">
        <f t="shared" si="1"/>
        <v>29</v>
      </c>
      <c r="AF11" s="94">
        <f t="shared" si="1"/>
        <v>30</v>
      </c>
      <c r="AG11" s="94">
        <f t="shared" si="1"/>
        <v>31</v>
      </c>
      <c r="AH11" s="94">
        <f t="shared" si="1"/>
        <v>32</v>
      </c>
      <c r="AI11" s="94">
        <f t="shared" si="1"/>
        <v>33</v>
      </c>
      <c r="AJ11" s="94">
        <f t="shared" si="1"/>
        <v>34</v>
      </c>
      <c r="AK11" s="94">
        <f t="shared" si="1"/>
        <v>35</v>
      </c>
      <c r="AL11" s="94">
        <f t="shared" si="1"/>
        <v>36</v>
      </c>
      <c r="AM11" s="94">
        <f t="shared" si="1"/>
        <v>37</v>
      </c>
      <c r="AN11" s="94">
        <f t="shared" si="1"/>
        <v>38</v>
      </c>
      <c r="AO11" s="94">
        <f t="shared" si="1"/>
        <v>39</v>
      </c>
      <c r="AP11" s="94">
        <f t="shared" si="1"/>
        <v>40</v>
      </c>
      <c r="AQ11" s="94">
        <f t="shared" si="1"/>
        <v>41</v>
      </c>
      <c r="AR11" s="94">
        <f t="shared" si="1"/>
        <v>42</v>
      </c>
      <c r="AS11" s="94">
        <f t="shared" si="1"/>
        <v>43</v>
      </c>
      <c r="AT11" s="94">
        <f t="shared" si="1"/>
        <v>44</v>
      </c>
      <c r="AU11" s="94">
        <f t="shared" si="1"/>
        <v>45</v>
      </c>
      <c r="AV11" s="94">
        <f t="shared" si="1"/>
        <v>46</v>
      </c>
      <c r="AW11" s="94">
        <f t="shared" si="1"/>
        <v>47</v>
      </c>
      <c r="AX11" s="94">
        <f t="shared" si="1"/>
        <v>48</v>
      </c>
      <c r="AY11" s="94">
        <f t="shared" si="1"/>
        <v>49</v>
      </c>
    </row>
    <row r="12" spans="1:51" ht="15.75" x14ac:dyDescent="0.4">
      <c r="A12" s="101" t="s">
        <v>11</v>
      </c>
      <c r="B12" s="102"/>
      <c r="C12" s="102"/>
      <c r="D12" s="177">
        <f>'Phương án 1'!$B$9</f>
        <v>90000</v>
      </c>
      <c r="E12" s="177">
        <f>'Phương án 1'!$B$9</f>
        <v>90000</v>
      </c>
      <c r="F12" s="177">
        <f>'Phương án 1'!$B$9</f>
        <v>90000</v>
      </c>
      <c r="G12" s="177">
        <f>'Phương án 1'!$B$9</f>
        <v>90000</v>
      </c>
      <c r="H12" s="177">
        <f>'Phương án 1'!$B$9</f>
        <v>90000</v>
      </c>
      <c r="I12" s="177">
        <f>'Phương án 1'!$B$9</f>
        <v>90000</v>
      </c>
      <c r="J12" s="177">
        <f>'Phương án 1'!$B$9</f>
        <v>90000</v>
      </c>
      <c r="K12" s="177">
        <f>'Phương án 1'!$B$9</f>
        <v>90000</v>
      </c>
      <c r="L12" s="177">
        <f>'Phương án 1'!$B$9</f>
        <v>90000</v>
      </c>
      <c r="M12" s="177">
        <f>'Phương án 1'!$B$9</f>
        <v>90000</v>
      </c>
      <c r="N12" s="177">
        <f>'Phương án 1'!$B$9</f>
        <v>90000</v>
      </c>
      <c r="O12" s="177">
        <f>'Phương án 1'!$B$9</f>
        <v>90000</v>
      </c>
      <c r="P12" s="177">
        <f>'Phương án 1'!$B$9</f>
        <v>90000</v>
      </c>
      <c r="Q12" s="177">
        <f>'Phương án 1'!$B$9</f>
        <v>90000</v>
      </c>
      <c r="R12" s="177">
        <f>'Phương án 1'!$B$10</f>
        <v>144000</v>
      </c>
      <c r="S12" s="177">
        <f>'Phương án 1'!$B$10</f>
        <v>144000</v>
      </c>
      <c r="T12" s="177">
        <f>'Phương án 1'!$B$10</f>
        <v>144000</v>
      </c>
      <c r="U12" s="177">
        <f>'Phương án 1'!$B$10</f>
        <v>144000</v>
      </c>
      <c r="V12" s="177">
        <f>'Phương án 1'!$B$10</f>
        <v>144000</v>
      </c>
      <c r="W12" s="177">
        <f>'Phương án 1'!$B$10</f>
        <v>144000</v>
      </c>
      <c r="X12" s="177">
        <f>'Phương án 1'!$B$10</f>
        <v>144000</v>
      </c>
      <c r="Y12" s="177">
        <f>'Phương án 1'!$B$10</f>
        <v>144000</v>
      </c>
      <c r="Z12" s="177">
        <f>'Phương án 1'!$B$10</f>
        <v>144000</v>
      </c>
      <c r="AA12" s="177">
        <f>'Phương án 1'!$B$10</f>
        <v>144000</v>
      </c>
      <c r="AB12" s="177">
        <f>'Phương án 1'!$B$10</f>
        <v>144000</v>
      </c>
      <c r="AC12" s="177">
        <f>'Phương án 1'!$B$10</f>
        <v>144000</v>
      </c>
      <c r="AD12" s="177">
        <f>'Phương án 1'!$B$10</f>
        <v>144000</v>
      </c>
      <c r="AE12" s="177">
        <f>'Phương án 1'!$B$10</f>
        <v>144000</v>
      </c>
      <c r="AF12" s="177">
        <f>'Phương án 1'!$B$10</f>
        <v>144000</v>
      </c>
      <c r="AG12" s="177">
        <f>'Phương án 1'!$B$10</f>
        <v>144000</v>
      </c>
      <c r="AH12" s="177">
        <f>'Phương án 1'!$B$10</f>
        <v>144000</v>
      </c>
      <c r="AI12" s="177">
        <f>'Phương án 1'!$B$10</f>
        <v>144000</v>
      </c>
      <c r="AJ12" s="177">
        <f>'Phương án 1'!$B$10</f>
        <v>144000</v>
      </c>
      <c r="AK12" s="177">
        <f>'Phương án 1'!$B$10</f>
        <v>144000</v>
      </c>
      <c r="AL12" s="177">
        <f>'Phương án 1'!$B$10</f>
        <v>144000</v>
      </c>
      <c r="AM12" s="177">
        <f>'Phương án 1'!$B$10</f>
        <v>144000</v>
      </c>
      <c r="AN12" s="177">
        <f>'Phương án 1'!$B$10</f>
        <v>144000</v>
      </c>
      <c r="AO12" s="177">
        <f>'Phương án 1'!$B$10</f>
        <v>144000</v>
      </c>
      <c r="AP12" s="177">
        <f>'Phương án 1'!$B$10</f>
        <v>144000</v>
      </c>
      <c r="AQ12" s="177">
        <f>'Phương án 1'!$B$10</f>
        <v>144000</v>
      </c>
      <c r="AR12" s="177">
        <f>'Phương án 1'!$B$10</f>
        <v>144000</v>
      </c>
      <c r="AS12" s="177">
        <f>'Phương án 1'!$B$10</f>
        <v>144000</v>
      </c>
      <c r="AT12" s="177">
        <f>'Phương án 1'!$B$10</f>
        <v>144000</v>
      </c>
      <c r="AU12" s="177">
        <f>'Phương án 1'!$B$10</f>
        <v>144000</v>
      </c>
      <c r="AV12" s="177">
        <f>'Phương án 1'!$B$10</f>
        <v>144000</v>
      </c>
      <c r="AW12" s="177">
        <f>'Phương án 1'!$B$10</f>
        <v>144000</v>
      </c>
      <c r="AX12" s="177">
        <f>'Phương án 1'!$B$10</f>
        <v>144000</v>
      </c>
      <c r="AY12" s="177">
        <f>'Phương án 1'!$B$10</f>
        <v>144000</v>
      </c>
    </row>
    <row r="13" spans="1:51" ht="15.75" x14ac:dyDescent="0.4">
      <c r="A13" s="92"/>
      <c r="B13" s="92"/>
      <c r="C13" s="92"/>
      <c r="D13" s="92"/>
      <c r="E13" s="92"/>
      <c r="F13" s="84"/>
      <c r="G13" s="84"/>
      <c r="H13" s="84"/>
      <c r="I13" s="84"/>
      <c r="J13" s="84"/>
      <c r="K13" s="84"/>
      <c r="L13" s="84"/>
    </row>
    <row r="14" spans="1:51" ht="15.75" x14ac:dyDescent="0.4">
      <c r="A14" s="92"/>
      <c r="B14" s="92"/>
      <c r="C14" s="92"/>
      <c r="D14" s="92"/>
      <c r="E14" s="92"/>
      <c r="F14" s="84"/>
      <c r="G14" s="84"/>
      <c r="H14" s="84"/>
      <c r="I14" s="84"/>
      <c r="J14" s="84"/>
      <c r="K14" s="84"/>
      <c r="L14" s="84"/>
    </row>
    <row r="15" spans="1:51" ht="15.75" x14ac:dyDescent="0.4">
      <c r="A15" s="321" t="s">
        <v>310</v>
      </c>
      <c r="B15" s="321"/>
      <c r="C15" s="321"/>
      <c r="D15" s="111"/>
      <c r="E15" s="111"/>
      <c r="F15" s="84"/>
      <c r="G15" s="84"/>
      <c r="H15" s="84"/>
      <c r="I15" s="84"/>
      <c r="J15" s="84"/>
      <c r="K15" s="84"/>
      <c r="L15" s="84"/>
    </row>
    <row r="16" spans="1:51" ht="15.75" x14ac:dyDescent="0.4">
      <c r="A16" s="92"/>
      <c r="B16" s="92"/>
      <c r="C16" s="92"/>
      <c r="D16" s="92"/>
      <c r="E16" s="92"/>
      <c r="F16" s="84"/>
      <c r="G16" s="84"/>
      <c r="H16" s="84"/>
      <c r="I16" s="84"/>
      <c r="J16" s="84"/>
      <c r="K16" s="84"/>
      <c r="L16" s="84"/>
      <c r="AY16" s="131" t="s">
        <v>28</v>
      </c>
    </row>
    <row r="17" spans="1:51" ht="15.75" x14ac:dyDescent="0.4">
      <c r="A17" s="93" t="s">
        <v>2</v>
      </c>
      <c r="B17" s="112">
        <f t="shared" ref="B17:AG17" si="2">B5</f>
        <v>0</v>
      </c>
      <c r="C17" s="112">
        <f t="shared" si="2"/>
        <v>1</v>
      </c>
      <c r="D17" s="112">
        <f t="shared" si="2"/>
        <v>2</v>
      </c>
      <c r="E17" s="112">
        <f t="shared" si="2"/>
        <v>3</v>
      </c>
      <c r="F17" s="112">
        <f t="shared" si="2"/>
        <v>4</v>
      </c>
      <c r="G17" s="112">
        <f t="shared" si="2"/>
        <v>5</v>
      </c>
      <c r="H17" s="112">
        <f t="shared" si="2"/>
        <v>6</v>
      </c>
      <c r="I17" s="112">
        <f t="shared" si="2"/>
        <v>7</v>
      </c>
      <c r="J17" s="112">
        <f t="shared" si="2"/>
        <v>8</v>
      </c>
      <c r="K17" s="112">
        <f t="shared" si="2"/>
        <v>9</v>
      </c>
      <c r="L17" s="112">
        <f t="shared" si="2"/>
        <v>10</v>
      </c>
      <c r="M17" s="112">
        <f t="shared" si="2"/>
        <v>11</v>
      </c>
      <c r="N17" s="112">
        <f t="shared" si="2"/>
        <v>12</v>
      </c>
      <c r="O17" s="112">
        <f t="shared" si="2"/>
        <v>13</v>
      </c>
      <c r="P17" s="112">
        <f t="shared" si="2"/>
        <v>14</v>
      </c>
      <c r="Q17" s="112">
        <f t="shared" si="2"/>
        <v>15</v>
      </c>
      <c r="R17" s="112">
        <f t="shared" si="2"/>
        <v>16</v>
      </c>
      <c r="S17" s="112">
        <f t="shared" si="2"/>
        <v>17</v>
      </c>
      <c r="T17" s="112">
        <f t="shared" si="2"/>
        <v>18</v>
      </c>
      <c r="U17" s="112">
        <f t="shared" si="2"/>
        <v>19</v>
      </c>
      <c r="V17" s="112">
        <f t="shared" si="2"/>
        <v>20</v>
      </c>
      <c r="W17" s="112">
        <f t="shared" si="2"/>
        <v>21</v>
      </c>
      <c r="X17" s="112">
        <f t="shared" si="2"/>
        <v>22</v>
      </c>
      <c r="Y17" s="112">
        <f t="shared" si="2"/>
        <v>23</v>
      </c>
      <c r="Z17" s="112">
        <f t="shared" si="2"/>
        <v>24</v>
      </c>
      <c r="AA17" s="112">
        <f t="shared" si="2"/>
        <v>25</v>
      </c>
      <c r="AB17" s="112">
        <f t="shared" si="2"/>
        <v>26</v>
      </c>
      <c r="AC17" s="112">
        <f t="shared" si="2"/>
        <v>27</v>
      </c>
      <c r="AD17" s="112">
        <f t="shared" si="2"/>
        <v>28</v>
      </c>
      <c r="AE17" s="112">
        <f t="shared" si="2"/>
        <v>29</v>
      </c>
      <c r="AF17" s="112">
        <f t="shared" si="2"/>
        <v>30</v>
      </c>
      <c r="AG17" s="112">
        <f t="shared" si="2"/>
        <v>31</v>
      </c>
      <c r="AH17" s="112">
        <f t="shared" ref="AH17:AY17" si="3">AH5</f>
        <v>32</v>
      </c>
      <c r="AI17" s="112">
        <f t="shared" si="3"/>
        <v>33</v>
      </c>
      <c r="AJ17" s="112">
        <f t="shared" si="3"/>
        <v>34</v>
      </c>
      <c r="AK17" s="112">
        <f t="shared" si="3"/>
        <v>35</v>
      </c>
      <c r="AL17" s="112">
        <f t="shared" si="3"/>
        <v>36</v>
      </c>
      <c r="AM17" s="112">
        <f t="shared" si="3"/>
        <v>37</v>
      </c>
      <c r="AN17" s="112">
        <f t="shared" si="3"/>
        <v>38</v>
      </c>
      <c r="AO17" s="112">
        <f t="shared" si="3"/>
        <v>39</v>
      </c>
      <c r="AP17" s="112">
        <f t="shared" si="3"/>
        <v>40</v>
      </c>
      <c r="AQ17" s="112">
        <f t="shared" si="3"/>
        <v>41</v>
      </c>
      <c r="AR17" s="112">
        <f t="shared" si="3"/>
        <v>42</v>
      </c>
      <c r="AS17" s="112">
        <f t="shared" si="3"/>
        <v>43</v>
      </c>
      <c r="AT17" s="112">
        <f t="shared" si="3"/>
        <v>44</v>
      </c>
      <c r="AU17" s="112">
        <f t="shared" si="3"/>
        <v>45</v>
      </c>
      <c r="AV17" s="112">
        <f t="shared" si="3"/>
        <v>46</v>
      </c>
      <c r="AW17" s="112">
        <f t="shared" si="3"/>
        <v>47</v>
      </c>
      <c r="AX17" s="112">
        <f t="shared" si="3"/>
        <v>48</v>
      </c>
      <c r="AY17" s="112">
        <f t="shared" si="3"/>
        <v>49</v>
      </c>
    </row>
    <row r="18" spans="1:51" ht="15.75" x14ac:dyDescent="0.4">
      <c r="A18" s="116" t="s">
        <v>49</v>
      </c>
      <c r="B18" s="84"/>
      <c r="C18" s="84"/>
      <c r="D18" s="84"/>
      <c r="E18" s="84"/>
      <c r="F18" s="84"/>
      <c r="G18" s="84"/>
      <c r="H18" s="84"/>
      <c r="I18" s="84"/>
      <c r="J18" s="84"/>
      <c r="K18" s="84"/>
      <c r="L18" s="84"/>
    </row>
    <row r="19" spans="1:51" ht="15.75" x14ac:dyDescent="0.4">
      <c r="A19" s="83" t="s">
        <v>187</v>
      </c>
      <c r="B19" s="336"/>
      <c r="C19" s="336"/>
      <c r="D19" s="84"/>
      <c r="E19" s="84"/>
      <c r="F19" s="84"/>
      <c r="G19" s="84"/>
      <c r="H19" s="84"/>
      <c r="I19" s="84"/>
      <c r="J19" s="84"/>
      <c r="K19" s="84"/>
      <c r="L19" s="84"/>
    </row>
    <row r="20" spans="1:51" ht="15.75" x14ac:dyDescent="0.4">
      <c r="A20" s="107" t="s">
        <v>196</v>
      </c>
      <c r="B20" s="336"/>
      <c r="C20" s="336"/>
      <c r="D20" s="84"/>
      <c r="E20" s="84"/>
      <c r="F20" s="84"/>
      <c r="G20" s="84"/>
      <c r="H20" s="84"/>
      <c r="I20" s="84"/>
      <c r="J20" s="84"/>
      <c r="K20" s="84"/>
      <c r="L20" s="84"/>
    </row>
    <row r="21" spans="1:51" ht="15.75" customHeight="1" x14ac:dyDescent="0.4">
      <c r="A21" s="84" t="s">
        <v>90</v>
      </c>
      <c r="B21" s="105"/>
      <c r="C21" s="106"/>
      <c r="D21" s="337"/>
      <c r="E21" s="337"/>
      <c r="F21" s="337"/>
      <c r="G21" s="337"/>
      <c r="H21" s="337"/>
      <c r="I21" s="337"/>
      <c r="J21" s="337"/>
      <c r="K21" s="337"/>
      <c r="L21" s="337"/>
      <c r="M21" s="337"/>
      <c r="N21" s="337"/>
      <c r="O21" s="337"/>
      <c r="P21" s="337"/>
      <c r="Q21" s="337"/>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row>
    <row r="22" spans="1:51" ht="15.75" x14ac:dyDescent="0.4">
      <c r="A22" s="107" t="s">
        <v>174</v>
      </c>
      <c r="B22" s="105"/>
      <c r="C22" s="95"/>
      <c r="D22" s="337"/>
      <c r="E22" s="337"/>
      <c r="F22" s="337"/>
      <c r="G22" s="337"/>
      <c r="H22" s="337"/>
      <c r="I22" s="337"/>
      <c r="J22" s="337"/>
      <c r="K22" s="337"/>
      <c r="L22" s="337"/>
      <c r="M22" s="337"/>
      <c r="N22" s="337"/>
      <c r="O22" s="337"/>
      <c r="P22" s="337"/>
      <c r="Q22" s="337"/>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row>
    <row r="23" spans="1:51" ht="15.75" customHeight="1" x14ac:dyDescent="0.4">
      <c r="A23" s="107" t="s">
        <v>191</v>
      </c>
      <c r="B23" s="105"/>
      <c r="C23" s="95"/>
      <c r="D23" s="337"/>
      <c r="E23" s="337"/>
      <c r="F23" s="337"/>
      <c r="G23" s="337"/>
      <c r="H23" s="337"/>
      <c r="I23" s="337"/>
      <c r="J23" s="337"/>
      <c r="K23" s="337"/>
      <c r="L23" s="337"/>
      <c r="M23" s="337"/>
      <c r="N23" s="337"/>
      <c r="O23" s="337"/>
      <c r="P23" s="337"/>
      <c r="Q23" s="337"/>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row>
    <row r="24" spans="1:51" ht="15.75" customHeight="1" x14ac:dyDescent="0.4">
      <c r="A24" s="107" t="s">
        <v>175</v>
      </c>
      <c r="B24" s="105"/>
      <c r="C24" s="95"/>
      <c r="D24" s="337"/>
      <c r="E24" s="337"/>
      <c r="F24" s="337"/>
      <c r="G24" s="337"/>
      <c r="H24" s="337"/>
      <c r="I24" s="337"/>
      <c r="J24" s="337"/>
      <c r="K24" s="337"/>
      <c r="L24" s="337"/>
      <c r="M24" s="337"/>
      <c r="N24" s="337"/>
      <c r="O24" s="337"/>
      <c r="P24" s="337"/>
      <c r="Q24" s="337"/>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row>
    <row r="25" spans="1:51" ht="15.75" x14ac:dyDescent="0.4">
      <c r="A25" s="107" t="s">
        <v>197</v>
      </c>
      <c r="B25" s="105"/>
      <c r="C25" s="95"/>
      <c r="D25" s="337"/>
      <c r="E25" s="337"/>
      <c r="F25" s="337"/>
      <c r="G25" s="337"/>
      <c r="H25" s="337"/>
      <c r="I25" s="337"/>
      <c r="J25" s="337"/>
      <c r="K25" s="337"/>
      <c r="L25" s="337"/>
      <c r="M25" s="337"/>
      <c r="N25" s="337"/>
      <c r="O25" s="337"/>
      <c r="P25" s="337"/>
      <c r="Q25" s="337"/>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row>
    <row r="26" spans="1:51" ht="15.75" customHeight="1" x14ac:dyDescent="0.4">
      <c r="A26" s="107" t="s">
        <v>176</v>
      </c>
      <c r="B26" s="105"/>
      <c r="C26" s="95"/>
      <c r="D26" s="337"/>
      <c r="E26" s="337"/>
      <c r="F26" s="337"/>
      <c r="G26" s="337"/>
      <c r="H26" s="337"/>
      <c r="I26" s="337"/>
      <c r="J26" s="337"/>
      <c r="K26" s="337"/>
      <c r="L26" s="337"/>
      <c r="M26" s="337"/>
      <c r="N26" s="337"/>
      <c r="O26" s="337"/>
      <c r="P26" s="337"/>
      <c r="Q26" s="337"/>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row>
    <row r="27" spans="1:51" ht="15.75" customHeight="1" x14ac:dyDescent="0.4">
      <c r="A27" s="107" t="s">
        <v>197</v>
      </c>
      <c r="B27" s="105"/>
      <c r="C27" s="95"/>
      <c r="D27" s="337"/>
      <c r="E27" s="337"/>
      <c r="F27" s="337"/>
      <c r="G27" s="337"/>
      <c r="H27" s="337"/>
      <c r="I27" s="337"/>
      <c r="J27" s="337"/>
      <c r="K27" s="337"/>
      <c r="L27" s="337"/>
      <c r="M27" s="337"/>
      <c r="N27" s="337"/>
      <c r="O27" s="337"/>
      <c r="P27" s="337"/>
      <c r="Q27" s="337"/>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row>
    <row r="28" spans="1:51" ht="15.75" x14ac:dyDescent="0.4">
      <c r="A28" s="107" t="s">
        <v>183</v>
      </c>
      <c r="B28" s="105"/>
      <c r="C28" s="95"/>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row>
    <row r="29" spans="1:51" ht="15.75" x14ac:dyDescent="0.4">
      <c r="A29" s="107" t="s">
        <v>174</v>
      </c>
      <c r="B29" s="105"/>
      <c r="C29" s="95"/>
      <c r="D29" s="337"/>
      <c r="E29" s="337"/>
      <c r="F29" s="337"/>
      <c r="G29" s="337"/>
      <c r="H29" s="337"/>
      <c r="I29" s="337"/>
      <c r="J29" s="337"/>
      <c r="K29" s="337"/>
      <c r="L29" s="337"/>
      <c r="M29" s="337"/>
      <c r="N29" s="337"/>
      <c r="O29" s="337"/>
      <c r="P29" s="337"/>
      <c r="Q29" s="337"/>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row>
    <row r="30" spans="1:51" ht="15.75" x14ac:dyDescent="0.4">
      <c r="A30" s="107" t="s">
        <v>191</v>
      </c>
      <c r="B30" s="85"/>
      <c r="C30" s="95"/>
      <c r="D30" s="337"/>
      <c r="E30" s="337"/>
      <c r="F30" s="337"/>
      <c r="G30" s="337"/>
      <c r="H30" s="337"/>
      <c r="I30" s="337"/>
      <c r="J30" s="337"/>
      <c r="K30" s="337"/>
      <c r="L30" s="337"/>
      <c r="M30" s="337"/>
      <c r="N30" s="337"/>
      <c r="O30" s="337"/>
      <c r="P30" s="337"/>
      <c r="Q30" s="337"/>
      <c r="R30" s="337"/>
      <c r="S30" s="337"/>
      <c r="T30" s="337"/>
      <c r="U30" s="337"/>
      <c r="V30" s="337"/>
      <c r="W30" s="337"/>
      <c r="X30" s="337"/>
      <c r="Y30" s="337"/>
      <c r="Z30" s="337"/>
      <c r="AA30" s="337"/>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row>
    <row r="31" spans="1:51" ht="15.75" x14ac:dyDescent="0.4">
      <c r="A31" s="107" t="s">
        <v>175</v>
      </c>
      <c r="B31" s="85"/>
      <c r="C31" s="95"/>
      <c r="D31" s="337"/>
      <c r="E31" s="337"/>
      <c r="F31" s="337"/>
      <c r="G31" s="337"/>
      <c r="H31" s="337"/>
      <c r="I31" s="337"/>
      <c r="J31" s="337"/>
      <c r="K31" s="337"/>
      <c r="L31" s="337"/>
      <c r="M31" s="337"/>
      <c r="N31" s="337"/>
      <c r="O31" s="337"/>
      <c r="P31" s="337"/>
      <c r="Q31" s="337"/>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row>
    <row r="32" spans="1:51" ht="15.75" x14ac:dyDescent="0.4">
      <c r="A32" s="107" t="s">
        <v>197</v>
      </c>
      <c r="B32" s="85"/>
      <c r="C32" s="179"/>
      <c r="D32" s="337"/>
      <c r="E32" s="337"/>
      <c r="F32" s="337"/>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row>
    <row r="33" spans="1:52" ht="15.75" x14ac:dyDescent="0.4">
      <c r="A33" s="107" t="s">
        <v>176</v>
      </c>
      <c r="B33" s="115"/>
      <c r="C33" s="115"/>
      <c r="D33" s="337"/>
      <c r="E33" s="337"/>
      <c r="F33" s="337"/>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row>
    <row r="34" spans="1:52" ht="15.75" x14ac:dyDescent="0.4">
      <c r="A34" s="107" t="s">
        <v>197</v>
      </c>
      <c r="B34" s="84"/>
      <c r="C34" s="85"/>
      <c r="D34" s="337"/>
      <c r="E34" s="337"/>
      <c r="F34" s="337"/>
      <c r="G34" s="337"/>
      <c r="H34" s="337"/>
      <c r="I34" s="337"/>
      <c r="J34" s="337"/>
      <c r="K34" s="337"/>
      <c r="L34" s="337"/>
      <c r="M34" s="337"/>
      <c r="N34" s="337"/>
      <c r="O34" s="337"/>
      <c r="P34" s="337"/>
      <c r="Q34" s="337"/>
      <c r="R34" s="337"/>
      <c r="S34" s="337"/>
      <c r="T34" s="337"/>
      <c r="U34" s="337"/>
      <c r="V34" s="337"/>
      <c r="W34" s="337"/>
      <c r="X34" s="337"/>
      <c r="Y34" s="337"/>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row>
    <row r="35" spans="1:52" ht="15.75" x14ac:dyDescent="0.5">
      <c r="A35" s="107" t="s">
        <v>190</v>
      </c>
      <c r="B35" s="84"/>
      <c r="C35" s="85"/>
      <c r="D35" s="85"/>
      <c r="E35" s="85"/>
      <c r="F35" s="222">
        <f>'Phương án 1'!$H$28*'Phân tích phương án 1'!F6</f>
        <v>0.13725490196078433</v>
      </c>
      <c r="G35" s="222"/>
      <c r="H35" s="222"/>
      <c r="I35" s="222"/>
      <c r="J35" s="222"/>
      <c r="K35" s="222">
        <f>'Phương án 1'!$H$29*'Phân tích phương án 1'!K6</f>
        <v>0.83333333333333326</v>
      </c>
      <c r="L35" s="222"/>
      <c r="M35" s="222"/>
      <c r="N35" s="222"/>
      <c r="O35" s="222"/>
      <c r="P35" s="222">
        <f>'Phương án 1'!$H$30*'Phân tích phương án 1'!P6</f>
        <v>0.58823529411764708</v>
      </c>
      <c r="Q35" s="222"/>
      <c r="R35" s="222"/>
      <c r="S35" s="222"/>
      <c r="T35" s="222"/>
      <c r="U35" s="222">
        <f>'Phương án 1'!$H$31*'Phân tích phương án 1'!U6</f>
        <v>2.1568627450980395</v>
      </c>
      <c r="V35" s="222"/>
      <c r="W35" s="222"/>
      <c r="X35" s="222"/>
      <c r="Y35" s="222"/>
      <c r="Z35" s="222">
        <f>'Phương án 1'!$H$32*'Phân tích phương án 1'!Z6</f>
        <v>0.3235294117647059</v>
      </c>
      <c r="AA35" s="222"/>
      <c r="AB35" s="222">
        <f>'Phương án 1'!$H$33*AB6</f>
        <v>19.607843137254903</v>
      </c>
      <c r="AC35" s="222">
        <f>'Phương án 1'!$H$33*AC6</f>
        <v>19.607843137254903</v>
      </c>
      <c r="AD35" s="222">
        <f>'Phương án 1'!$H$33*AD6</f>
        <v>19.607843137254903</v>
      </c>
      <c r="AE35" s="222">
        <f>'Phương án 1'!$H$33*AE6</f>
        <v>19.607843137254903</v>
      </c>
      <c r="AF35" s="222">
        <f>'Phương án 1'!$H$33*AF6</f>
        <v>19.607843137254903</v>
      </c>
      <c r="AG35" s="222">
        <f>'Phương án 1'!$H$33*AG6</f>
        <v>19.607843137254903</v>
      </c>
      <c r="AH35" s="222">
        <f>'Phương án 1'!$H$33*AH6</f>
        <v>19.607843137254903</v>
      </c>
      <c r="AI35" s="222">
        <f>'Phương án 1'!$H$33*AI6</f>
        <v>19.607843137254903</v>
      </c>
      <c r="AJ35" s="222">
        <f>'Phương án 1'!$H$33*AJ6</f>
        <v>19.607843137254903</v>
      </c>
      <c r="AK35" s="222">
        <f>'Phương án 1'!$H$33*AK6</f>
        <v>19.607843137254903</v>
      </c>
      <c r="AL35" s="222">
        <f>'Phương án 1'!$H$33*AL6</f>
        <v>19.607843137254903</v>
      </c>
      <c r="AM35" s="222">
        <f>'Phương án 1'!$H$33*AM6</f>
        <v>19.607843137254903</v>
      </c>
      <c r="AN35" s="222">
        <f>'Phương án 1'!$H$33*AN6</f>
        <v>19.607843137254903</v>
      </c>
      <c r="AO35" s="222">
        <f>'Phương án 1'!$H$33*AO6</f>
        <v>19.607843137254903</v>
      </c>
      <c r="AP35" s="222">
        <f>'Phương án 1'!$H$33*AP6</f>
        <v>19.607843137254903</v>
      </c>
      <c r="AQ35" s="222">
        <f>'Phương án 1'!$H$33*AQ6</f>
        <v>19.607843137254903</v>
      </c>
      <c r="AR35" s="222">
        <f>'Phương án 1'!$H$33*AR6</f>
        <v>19.607843137254903</v>
      </c>
      <c r="AS35" s="222">
        <f>'Phương án 1'!$H$33*AS6</f>
        <v>19.607843137254903</v>
      </c>
      <c r="AT35" s="222">
        <f>'Phương án 1'!$H$33*AT6</f>
        <v>19.607843137254903</v>
      </c>
      <c r="AU35" s="222">
        <f>'Phương án 1'!$H$33*AU6</f>
        <v>19.607843137254903</v>
      </c>
      <c r="AV35" s="222">
        <f>'Phương án 1'!$H$33*AV6</f>
        <v>19.607843137254903</v>
      </c>
      <c r="AW35" s="222">
        <f>'Phương án 1'!$H$33*AW6</f>
        <v>19.607843137254903</v>
      </c>
      <c r="AX35" s="222">
        <f>'Phương án 1'!$H$33*AX6</f>
        <v>19.607843137254903</v>
      </c>
      <c r="AY35" s="222">
        <f>'Phương án 1'!$H$33*AY6</f>
        <v>19.607843137254903</v>
      </c>
    </row>
    <row r="36" spans="1:52" ht="15.75" x14ac:dyDescent="0.4">
      <c r="A36" s="107" t="s">
        <v>238</v>
      </c>
      <c r="B36" s="84"/>
      <c r="C36" s="85"/>
      <c r="D36" s="85"/>
      <c r="E36" s="85"/>
      <c r="F36" s="226">
        <f>'Phương án 1'!$G$28*F6</f>
        <v>2.7450980392156876E-3</v>
      </c>
      <c r="G36" s="85"/>
      <c r="H36" s="85"/>
      <c r="I36" s="85"/>
      <c r="J36" s="85"/>
      <c r="K36" s="226">
        <f>'Phương án 1'!$G$29*K6</f>
        <v>1.6666666666666718E-2</v>
      </c>
      <c r="L36" s="85"/>
      <c r="M36" s="85"/>
      <c r="N36" s="85"/>
      <c r="O36" s="85"/>
      <c r="P36" s="226">
        <f>'Phương án 1'!$G$30*P6</f>
        <v>1.1764705882352899E-2</v>
      </c>
      <c r="Q36" s="85"/>
      <c r="R36" s="85"/>
      <c r="S36" s="85"/>
      <c r="T36" s="85"/>
      <c r="U36" s="226">
        <f>'Phương án 1'!$G$31*U6</f>
        <v>4.3137254901960631E-2</v>
      </c>
      <c r="V36" s="85"/>
      <c r="W36" s="85"/>
      <c r="X36" s="85"/>
      <c r="Y36" s="85"/>
      <c r="Z36" s="226">
        <f>'Phương án 1'!$G$32*Z6</f>
        <v>6.4705882352941169E-3</v>
      </c>
      <c r="AA36" s="85"/>
      <c r="AB36" s="226">
        <f>'Phương án 1'!$G$33*AB6</f>
        <v>0.39215686274509665</v>
      </c>
      <c r="AC36" s="226">
        <f>'Phương án 1'!$G$33*AC6</f>
        <v>0.39215686274509665</v>
      </c>
      <c r="AD36" s="226">
        <f>'Phương án 1'!$G$33*AD6</f>
        <v>0.39215686274509665</v>
      </c>
      <c r="AE36" s="226">
        <f>'Phương án 1'!$G$33*AE6</f>
        <v>0.39215686274509665</v>
      </c>
      <c r="AF36" s="226">
        <f>'Phương án 1'!$G$33*AF6</f>
        <v>0.39215686274509665</v>
      </c>
      <c r="AG36" s="226">
        <f>'Phương án 1'!$G$33*AG6</f>
        <v>0.39215686274509665</v>
      </c>
      <c r="AH36" s="226">
        <f>'Phương án 1'!$G$33*AH6</f>
        <v>0.39215686274509665</v>
      </c>
      <c r="AI36" s="226">
        <f>'Phương án 1'!$G$33*AI6</f>
        <v>0.39215686274509665</v>
      </c>
      <c r="AJ36" s="226">
        <f>'Phương án 1'!$G$33*AJ6</f>
        <v>0.39215686274509665</v>
      </c>
      <c r="AK36" s="226">
        <f>'Phương án 1'!$G$33*AK6</f>
        <v>0.39215686274509665</v>
      </c>
      <c r="AL36" s="226">
        <f>'Phương án 1'!$G$33*AL6</f>
        <v>0.39215686274509665</v>
      </c>
      <c r="AM36" s="226">
        <f>'Phương án 1'!$G$33*AM6</f>
        <v>0.39215686274509665</v>
      </c>
      <c r="AN36" s="226">
        <f>'Phương án 1'!$G$33*AN6</f>
        <v>0.39215686274509665</v>
      </c>
      <c r="AO36" s="226">
        <f>'Phương án 1'!$G$33*AO6</f>
        <v>0.39215686274509665</v>
      </c>
      <c r="AP36" s="226">
        <f>'Phương án 1'!$G$33*AP6</f>
        <v>0.39215686274509665</v>
      </c>
      <c r="AQ36" s="226">
        <f>'Phương án 1'!$G$33*AQ6</f>
        <v>0.39215686274509665</v>
      </c>
      <c r="AR36" s="226">
        <f>'Phương án 1'!$G$33*AR6</f>
        <v>0.39215686274509665</v>
      </c>
      <c r="AS36" s="226">
        <f>'Phương án 1'!$G$33*AS6</f>
        <v>0.39215686274509665</v>
      </c>
      <c r="AT36" s="226">
        <f>'Phương án 1'!$G$33*AT6</f>
        <v>0.39215686274509665</v>
      </c>
      <c r="AU36" s="226">
        <f>'Phương án 1'!$G$33*AU6</f>
        <v>0.39215686274509665</v>
      </c>
      <c r="AV36" s="226">
        <f>'Phương án 1'!$G$33*AV6</f>
        <v>0.39215686274509665</v>
      </c>
      <c r="AW36" s="226">
        <f>'Phương án 1'!$G$33*AW6</f>
        <v>0.39215686274509665</v>
      </c>
      <c r="AX36" s="226">
        <f>'Phương án 1'!$G$33*AX6</f>
        <v>0.39215686274509665</v>
      </c>
      <c r="AY36" s="226">
        <f>'Phương án 1'!$G$33*AY6</f>
        <v>0.39215686274509665</v>
      </c>
    </row>
    <row r="37" spans="1:52" s="178" customFormat="1" ht="15.75" x14ac:dyDescent="0.4">
      <c r="A37" s="110" t="s">
        <v>48</v>
      </c>
      <c r="B37" s="274">
        <f t="shared" ref="B37:E37" si="4">SUM(B19:B20,B21,B28,B35:B36)</f>
        <v>0</v>
      </c>
      <c r="C37" s="274">
        <f t="shared" si="4"/>
        <v>0</v>
      </c>
      <c r="D37" s="274">
        <f t="shared" si="4"/>
        <v>0</v>
      </c>
      <c r="E37" s="274">
        <f t="shared" si="4"/>
        <v>0</v>
      </c>
      <c r="F37" s="274">
        <f>SUM(F19:F20,F21,F28,F35:F36)</f>
        <v>0.14000000000000001</v>
      </c>
      <c r="G37" s="274">
        <f t="shared" ref="G37:AY37" si="5">SUM(G19:G20,G21,G28,G35:G36)</f>
        <v>0</v>
      </c>
      <c r="H37" s="274">
        <f t="shared" si="5"/>
        <v>0</v>
      </c>
      <c r="I37" s="274">
        <f t="shared" si="5"/>
        <v>0</v>
      </c>
      <c r="J37" s="274">
        <f t="shared" si="5"/>
        <v>0</v>
      </c>
      <c r="K37" s="274">
        <f t="shared" si="5"/>
        <v>0.85</v>
      </c>
      <c r="L37" s="274">
        <f t="shared" si="5"/>
        <v>0</v>
      </c>
      <c r="M37" s="274">
        <f t="shared" si="5"/>
        <v>0</v>
      </c>
      <c r="N37" s="274">
        <f t="shared" si="5"/>
        <v>0</v>
      </c>
      <c r="O37" s="274">
        <f t="shared" si="5"/>
        <v>0</v>
      </c>
      <c r="P37" s="274">
        <f t="shared" si="5"/>
        <v>0.6</v>
      </c>
      <c r="Q37" s="274">
        <f t="shared" si="5"/>
        <v>0</v>
      </c>
      <c r="R37" s="274">
        <f t="shared" si="5"/>
        <v>0</v>
      </c>
      <c r="S37" s="274">
        <f t="shared" si="5"/>
        <v>0</v>
      </c>
      <c r="T37" s="274">
        <f t="shared" si="5"/>
        <v>0</v>
      </c>
      <c r="U37" s="274">
        <f t="shared" si="5"/>
        <v>2.2000000000000002</v>
      </c>
      <c r="V37" s="274">
        <f t="shared" si="5"/>
        <v>0</v>
      </c>
      <c r="W37" s="274">
        <f t="shared" si="5"/>
        <v>0</v>
      </c>
      <c r="X37" s="274">
        <f t="shared" si="5"/>
        <v>0</v>
      </c>
      <c r="Y37" s="274">
        <f t="shared" si="5"/>
        <v>0</v>
      </c>
      <c r="Z37" s="274">
        <f t="shared" si="5"/>
        <v>0.33</v>
      </c>
      <c r="AA37" s="274">
        <f t="shared" si="5"/>
        <v>0</v>
      </c>
      <c r="AB37" s="274">
        <f t="shared" si="5"/>
        <v>20</v>
      </c>
      <c r="AC37" s="274">
        <f t="shared" si="5"/>
        <v>20</v>
      </c>
      <c r="AD37" s="274">
        <f t="shared" si="5"/>
        <v>20</v>
      </c>
      <c r="AE37" s="274">
        <f t="shared" si="5"/>
        <v>20</v>
      </c>
      <c r="AF37" s="274">
        <f t="shared" si="5"/>
        <v>20</v>
      </c>
      <c r="AG37" s="274">
        <f t="shared" si="5"/>
        <v>20</v>
      </c>
      <c r="AH37" s="274">
        <f t="shared" si="5"/>
        <v>20</v>
      </c>
      <c r="AI37" s="274">
        <f t="shared" si="5"/>
        <v>20</v>
      </c>
      <c r="AJ37" s="274">
        <f t="shared" si="5"/>
        <v>20</v>
      </c>
      <c r="AK37" s="274">
        <f t="shared" si="5"/>
        <v>20</v>
      </c>
      <c r="AL37" s="274">
        <f t="shared" si="5"/>
        <v>20</v>
      </c>
      <c r="AM37" s="274">
        <f t="shared" si="5"/>
        <v>20</v>
      </c>
      <c r="AN37" s="274">
        <f t="shared" si="5"/>
        <v>20</v>
      </c>
      <c r="AO37" s="274">
        <f t="shared" si="5"/>
        <v>20</v>
      </c>
      <c r="AP37" s="274">
        <f t="shared" si="5"/>
        <v>20</v>
      </c>
      <c r="AQ37" s="274">
        <f t="shared" si="5"/>
        <v>20</v>
      </c>
      <c r="AR37" s="274">
        <f t="shared" si="5"/>
        <v>20</v>
      </c>
      <c r="AS37" s="274">
        <f t="shared" si="5"/>
        <v>20</v>
      </c>
      <c r="AT37" s="274">
        <f t="shared" si="5"/>
        <v>20</v>
      </c>
      <c r="AU37" s="274">
        <f t="shared" si="5"/>
        <v>20</v>
      </c>
      <c r="AV37" s="274">
        <f t="shared" si="5"/>
        <v>20</v>
      </c>
      <c r="AW37" s="274">
        <f t="shared" si="5"/>
        <v>20</v>
      </c>
      <c r="AX37" s="274">
        <f t="shared" si="5"/>
        <v>20</v>
      </c>
      <c r="AY37" s="274">
        <f t="shared" si="5"/>
        <v>20</v>
      </c>
      <c r="AZ37" s="89"/>
    </row>
    <row r="38" spans="1:52" ht="15.75" x14ac:dyDescent="0.4">
      <c r="A38" s="107"/>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row>
    <row r="39" spans="1:52" ht="15.75" x14ac:dyDescent="0.4">
      <c r="A39" s="116" t="s">
        <v>51</v>
      </c>
      <c r="B39" s="176"/>
      <c r="C39" s="176"/>
      <c r="D39" s="176"/>
      <c r="E39" s="176"/>
      <c r="F39" s="176"/>
      <c r="G39" s="176"/>
      <c r="H39" s="176"/>
      <c r="I39" s="176"/>
      <c r="J39" s="176"/>
      <c r="K39" s="176"/>
      <c r="L39" s="176"/>
      <c r="M39" s="246"/>
      <c r="N39" s="246"/>
      <c r="O39" s="246"/>
      <c r="P39" s="246"/>
      <c r="Q39" s="246"/>
      <c r="R39" s="246"/>
      <c r="S39" s="246"/>
      <c r="T39" s="246"/>
      <c r="U39" s="246"/>
      <c r="V39" s="246"/>
      <c r="W39" s="246"/>
      <c r="X39" s="246"/>
      <c r="Y39" s="246"/>
      <c r="Z39" s="246"/>
      <c r="AA39" s="246"/>
      <c r="AB39" s="246"/>
      <c r="AC39" s="246"/>
      <c r="AD39" s="246"/>
      <c r="AE39" s="246"/>
      <c r="AF39" s="246"/>
      <c r="AG39" s="246"/>
      <c r="AH39" s="246"/>
      <c r="AI39" s="246"/>
      <c r="AJ39" s="246"/>
      <c r="AK39" s="246"/>
      <c r="AL39" s="246"/>
      <c r="AM39" s="246"/>
      <c r="AN39" s="246"/>
      <c r="AO39" s="246"/>
      <c r="AP39" s="246"/>
      <c r="AQ39" s="246"/>
      <c r="AR39" s="246"/>
      <c r="AS39" s="246"/>
      <c r="AT39" s="246"/>
      <c r="AU39" s="246"/>
      <c r="AV39" s="246"/>
      <c r="AW39" s="246"/>
      <c r="AX39" s="246"/>
      <c r="AY39" s="246"/>
    </row>
    <row r="40" spans="1:52" ht="15.75" x14ac:dyDescent="0.4">
      <c r="A40" s="117" t="s">
        <v>52</v>
      </c>
      <c r="B40" s="176">
        <f>-SUM(B20,B25,B27,B32,B34,B36)+SUM(B23,B30)</f>
        <v>0</v>
      </c>
      <c r="C40" s="176">
        <f t="shared" ref="C40:AY40" si="6">-SUM(C20,C25,C27,C32,C34,C36)+SUM(C23,C30)</f>
        <v>0</v>
      </c>
      <c r="D40" s="176">
        <f t="shared" si="6"/>
        <v>0</v>
      </c>
      <c r="E40" s="176">
        <f t="shared" si="6"/>
        <v>0</v>
      </c>
      <c r="F40" s="176">
        <f t="shared" si="6"/>
        <v>-2.7450980392156876E-3</v>
      </c>
      <c r="G40" s="176">
        <f t="shared" si="6"/>
        <v>0</v>
      </c>
      <c r="H40" s="176">
        <f t="shared" si="6"/>
        <v>0</v>
      </c>
      <c r="I40" s="176">
        <f t="shared" si="6"/>
        <v>0</v>
      </c>
      <c r="J40" s="176">
        <f t="shared" si="6"/>
        <v>0</v>
      </c>
      <c r="K40" s="176">
        <f t="shared" si="6"/>
        <v>-1.6666666666666718E-2</v>
      </c>
      <c r="L40" s="176">
        <f t="shared" si="6"/>
        <v>0</v>
      </c>
      <c r="M40" s="176">
        <f t="shared" si="6"/>
        <v>0</v>
      </c>
      <c r="N40" s="176">
        <f t="shared" si="6"/>
        <v>0</v>
      </c>
      <c r="O40" s="176">
        <f t="shared" si="6"/>
        <v>0</v>
      </c>
      <c r="P40" s="176">
        <f t="shared" si="6"/>
        <v>-1.1764705882352899E-2</v>
      </c>
      <c r="Q40" s="176">
        <f t="shared" si="6"/>
        <v>0</v>
      </c>
      <c r="R40" s="176">
        <f t="shared" si="6"/>
        <v>0</v>
      </c>
      <c r="S40" s="176">
        <f t="shared" si="6"/>
        <v>0</v>
      </c>
      <c r="T40" s="176">
        <f t="shared" si="6"/>
        <v>0</v>
      </c>
      <c r="U40" s="176">
        <f t="shared" si="6"/>
        <v>-4.3137254901960631E-2</v>
      </c>
      <c r="V40" s="176">
        <f t="shared" si="6"/>
        <v>0</v>
      </c>
      <c r="W40" s="176">
        <f t="shared" si="6"/>
        <v>0</v>
      </c>
      <c r="X40" s="176">
        <f t="shared" si="6"/>
        <v>0</v>
      </c>
      <c r="Y40" s="176">
        <f t="shared" si="6"/>
        <v>0</v>
      </c>
      <c r="Z40" s="176">
        <f t="shared" si="6"/>
        <v>-6.4705882352941169E-3</v>
      </c>
      <c r="AA40" s="176">
        <f t="shared" si="6"/>
        <v>0</v>
      </c>
      <c r="AB40" s="176">
        <f t="shared" si="6"/>
        <v>-0.39215686274509665</v>
      </c>
      <c r="AC40" s="176">
        <f t="shared" si="6"/>
        <v>-0.39215686274509665</v>
      </c>
      <c r="AD40" s="176">
        <f t="shared" si="6"/>
        <v>-0.39215686274509665</v>
      </c>
      <c r="AE40" s="176">
        <f t="shared" si="6"/>
        <v>-0.39215686274509665</v>
      </c>
      <c r="AF40" s="176">
        <f t="shared" si="6"/>
        <v>-0.39215686274509665</v>
      </c>
      <c r="AG40" s="176">
        <f t="shared" si="6"/>
        <v>-0.39215686274509665</v>
      </c>
      <c r="AH40" s="176">
        <f t="shared" si="6"/>
        <v>-0.39215686274509665</v>
      </c>
      <c r="AI40" s="176">
        <f t="shared" si="6"/>
        <v>-0.39215686274509665</v>
      </c>
      <c r="AJ40" s="176">
        <f t="shared" si="6"/>
        <v>-0.39215686274509665</v>
      </c>
      <c r="AK40" s="176">
        <f t="shared" si="6"/>
        <v>-0.39215686274509665</v>
      </c>
      <c r="AL40" s="176">
        <f t="shared" si="6"/>
        <v>-0.39215686274509665</v>
      </c>
      <c r="AM40" s="176">
        <f t="shared" si="6"/>
        <v>-0.39215686274509665</v>
      </c>
      <c r="AN40" s="176">
        <f t="shared" si="6"/>
        <v>-0.39215686274509665</v>
      </c>
      <c r="AO40" s="176">
        <f t="shared" si="6"/>
        <v>-0.39215686274509665</v>
      </c>
      <c r="AP40" s="176">
        <f t="shared" si="6"/>
        <v>-0.39215686274509665</v>
      </c>
      <c r="AQ40" s="176">
        <f t="shared" si="6"/>
        <v>-0.39215686274509665</v>
      </c>
      <c r="AR40" s="176">
        <f t="shared" si="6"/>
        <v>-0.39215686274509665</v>
      </c>
      <c r="AS40" s="176">
        <f t="shared" si="6"/>
        <v>-0.39215686274509665</v>
      </c>
      <c r="AT40" s="176">
        <f t="shared" si="6"/>
        <v>-0.39215686274509665</v>
      </c>
      <c r="AU40" s="176">
        <f t="shared" si="6"/>
        <v>-0.39215686274509665</v>
      </c>
      <c r="AV40" s="176">
        <f t="shared" si="6"/>
        <v>-0.39215686274509665</v>
      </c>
      <c r="AW40" s="176">
        <f t="shared" si="6"/>
        <v>-0.39215686274509665</v>
      </c>
      <c r="AX40" s="176">
        <f t="shared" si="6"/>
        <v>-0.39215686274509665</v>
      </c>
      <c r="AY40" s="176">
        <f t="shared" si="6"/>
        <v>-0.39215686274509665</v>
      </c>
    </row>
    <row r="41" spans="1:52" ht="15.75" x14ac:dyDescent="0.4">
      <c r="A41" s="107"/>
      <c r="B41" s="176"/>
      <c r="C41" s="176"/>
      <c r="D41" s="176"/>
      <c r="E41" s="176"/>
      <c r="F41" s="176"/>
      <c r="G41" s="176"/>
      <c r="H41" s="176"/>
      <c r="I41" s="176"/>
      <c r="J41" s="176"/>
      <c r="K41" s="176"/>
      <c r="L41" s="176"/>
      <c r="M41" s="176"/>
      <c r="N41" s="176"/>
      <c r="O41" s="176"/>
      <c r="P41" s="176"/>
      <c r="Q41" s="176"/>
      <c r="R41" s="246"/>
      <c r="S41" s="246"/>
      <c r="T41" s="246"/>
      <c r="U41" s="246"/>
      <c r="V41" s="246"/>
      <c r="W41" s="246"/>
      <c r="X41" s="246"/>
      <c r="Y41" s="246"/>
      <c r="Z41" s="246"/>
      <c r="AA41" s="246"/>
      <c r="AB41" s="246"/>
      <c r="AC41" s="246"/>
      <c r="AD41" s="246"/>
      <c r="AE41" s="246"/>
      <c r="AF41" s="246"/>
      <c r="AG41" s="246"/>
      <c r="AH41" s="246"/>
      <c r="AI41" s="246"/>
      <c r="AJ41" s="246"/>
      <c r="AK41" s="246"/>
      <c r="AL41" s="246"/>
      <c r="AM41" s="246"/>
      <c r="AN41" s="246"/>
      <c r="AO41" s="246"/>
      <c r="AP41" s="246"/>
      <c r="AQ41" s="246"/>
      <c r="AR41" s="246"/>
      <c r="AS41" s="246"/>
      <c r="AT41" s="246"/>
      <c r="AU41" s="246"/>
      <c r="AV41" s="246"/>
      <c r="AW41" s="246"/>
      <c r="AX41" s="246"/>
      <c r="AY41" s="246"/>
    </row>
    <row r="42" spans="1:52" ht="15.75" x14ac:dyDescent="0.4">
      <c r="A42" s="96" t="s">
        <v>311</v>
      </c>
      <c r="B42" s="247">
        <f>B37+B40</f>
        <v>0</v>
      </c>
      <c r="C42" s="247">
        <f t="shared" ref="C42:AY42" si="7">C37+C40</f>
        <v>0</v>
      </c>
      <c r="D42" s="247">
        <f t="shared" si="7"/>
        <v>0</v>
      </c>
      <c r="E42" s="247">
        <f t="shared" si="7"/>
        <v>0</v>
      </c>
      <c r="F42" s="247">
        <f t="shared" si="7"/>
        <v>0.13725490196078433</v>
      </c>
      <c r="G42" s="247">
        <f t="shared" si="7"/>
        <v>0</v>
      </c>
      <c r="H42" s="247">
        <f t="shared" si="7"/>
        <v>0</v>
      </c>
      <c r="I42" s="247">
        <f t="shared" si="7"/>
        <v>0</v>
      </c>
      <c r="J42" s="247">
        <f t="shared" si="7"/>
        <v>0</v>
      </c>
      <c r="K42" s="247">
        <f t="shared" si="7"/>
        <v>0.83333333333333326</v>
      </c>
      <c r="L42" s="247">
        <f t="shared" si="7"/>
        <v>0</v>
      </c>
      <c r="M42" s="247">
        <f t="shared" si="7"/>
        <v>0</v>
      </c>
      <c r="N42" s="247">
        <f t="shared" si="7"/>
        <v>0</v>
      </c>
      <c r="O42" s="247">
        <f t="shared" si="7"/>
        <v>0</v>
      </c>
      <c r="P42" s="247">
        <f t="shared" si="7"/>
        <v>0.58823529411764708</v>
      </c>
      <c r="Q42" s="247">
        <f t="shared" si="7"/>
        <v>0</v>
      </c>
      <c r="R42" s="247">
        <f t="shared" si="7"/>
        <v>0</v>
      </c>
      <c r="S42" s="247">
        <f t="shared" si="7"/>
        <v>0</v>
      </c>
      <c r="T42" s="247">
        <f t="shared" si="7"/>
        <v>0</v>
      </c>
      <c r="U42" s="247">
        <f t="shared" si="7"/>
        <v>2.1568627450980395</v>
      </c>
      <c r="V42" s="247">
        <f t="shared" si="7"/>
        <v>0</v>
      </c>
      <c r="W42" s="247">
        <f t="shared" si="7"/>
        <v>0</v>
      </c>
      <c r="X42" s="247">
        <f t="shared" si="7"/>
        <v>0</v>
      </c>
      <c r="Y42" s="247">
        <f t="shared" si="7"/>
        <v>0</v>
      </c>
      <c r="Z42" s="247">
        <f t="shared" si="7"/>
        <v>0.3235294117647059</v>
      </c>
      <c r="AA42" s="247">
        <f t="shared" si="7"/>
        <v>0</v>
      </c>
      <c r="AB42" s="247">
        <f t="shared" si="7"/>
        <v>19.607843137254903</v>
      </c>
      <c r="AC42" s="247">
        <f t="shared" si="7"/>
        <v>19.607843137254903</v>
      </c>
      <c r="AD42" s="247">
        <f t="shared" si="7"/>
        <v>19.607843137254903</v>
      </c>
      <c r="AE42" s="247">
        <f t="shared" si="7"/>
        <v>19.607843137254903</v>
      </c>
      <c r="AF42" s="247">
        <f t="shared" si="7"/>
        <v>19.607843137254903</v>
      </c>
      <c r="AG42" s="247">
        <f t="shared" si="7"/>
        <v>19.607843137254903</v>
      </c>
      <c r="AH42" s="247">
        <f t="shared" si="7"/>
        <v>19.607843137254903</v>
      </c>
      <c r="AI42" s="247">
        <f t="shared" si="7"/>
        <v>19.607843137254903</v>
      </c>
      <c r="AJ42" s="247">
        <f t="shared" si="7"/>
        <v>19.607843137254903</v>
      </c>
      <c r="AK42" s="247">
        <f t="shared" si="7"/>
        <v>19.607843137254903</v>
      </c>
      <c r="AL42" s="247">
        <f t="shared" si="7"/>
        <v>19.607843137254903</v>
      </c>
      <c r="AM42" s="247">
        <f t="shared" si="7"/>
        <v>19.607843137254903</v>
      </c>
      <c r="AN42" s="247">
        <f t="shared" si="7"/>
        <v>19.607843137254903</v>
      </c>
      <c r="AO42" s="247">
        <f t="shared" si="7"/>
        <v>19.607843137254903</v>
      </c>
      <c r="AP42" s="247">
        <f t="shared" si="7"/>
        <v>19.607843137254903</v>
      </c>
      <c r="AQ42" s="247">
        <f t="shared" si="7"/>
        <v>19.607843137254903</v>
      </c>
      <c r="AR42" s="247">
        <f t="shared" si="7"/>
        <v>19.607843137254903</v>
      </c>
      <c r="AS42" s="247">
        <f t="shared" si="7"/>
        <v>19.607843137254903</v>
      </c>
      <c r="AT42" s="247">
        <f t="shared" si="7"/>
        <v>19.607843137254903</v>
      </c>
      <c r="AU42" s="247">
        <f t="shared" si="7"/>
        <v>19.607843137254903</v>
      </c>
      <c r="AV42" s="247">
        <f t="shared" si="7"/>
        <v>19.607843137254903</v>
      </c>
      <c r="AW42" s="247">
        <f t="shared" si="7"/>
        <v>19.607843137254903</v>
      </c>
      <c r="AX42" s="247">
        <f t="shared" si="7"/>
        <v>19.607843137254903</v>
      </c>
      <c r="AY42" s="247">
        <f t="shared" si="7"/>
        <v>19.607843137254903</v>
      </c>
    </row>
    <row r="43" spans="1:52" ht="15.75" x14ac:dyDescent="0.4">
      <c r="A43" s="118"/>
      <c r="B43" s="119"/>
      <c r="C43" s="119"/>
      <c r="D43" s="119"/>
      <c r="E43" s="119"/>
      <c r="F43" s="119"/>
      <c r="G43" s="119"/>
      <c r="H43" s="119"/>
      <c r="I43" s="119"/>
      <c r="J43" s="119"/>
      <c r="K43" s="119"/>
      <c r="L43" s="119"/>
      <c r="M43" s="119"/>
      <c r="N43" s="119"/>
      <c r="O43" s="119"/>
      <c r="P43" s="119"/>
      <c r="Q43" s="119"/>
    </row>
    <row r="44" spans="1:52" ht="15.75" x14ac:dyDescent="0.5">
      <c r="A44" s="120" t="s">
        <v>0</v>
      </c>
      <c r="B44" s="121">
        <f>'Phương án 1'!B28</f>
        <v>0.06</v>
      </c>
      <c r="C44" s="119"/>
      <c r="D44" s="119"/>
      <c r="E44" s="119"/>
      <c r="F44" s="119"/>
      <c r="G44" s="119"/>
      <c r="H44" s="119"/>
      <c r="I44" s="119"/>
      <c r="J44" s="119"/>
      <c r="K44" s="119"/>
      <c r="L44" s="119"/>
      <c r="M44" s="119"/>
      <c r="N44" s="119"/>
      <c r="O44" s="119"/>
      <c r="P44" s="119"/>
      <c r="Q44" s="119"/>
    </row>
    <row r="45" spans="1:52" ht="15.75" x14ac:dyDescent="0.4">
      <c r="A45" s="266" t="s">
        <v>312</v>
      </c>
      <c r="B45" s="267">
        <f>NPV($B$44,$C$42:$AA$42)+$B$42</f>
        <v>1.6549205191473129</v>
      </c>
      <c r="C45" s="119"/>
      <c r="D45" s="119"/>
      <c r="E45" s="273"/>
      <c r="F45" s="119"/>
      <c r="G45" s="119"/>
      <c r="H45" s="119"/>
      <c r="I45" s="119"/>
      <c r="J45" s="119"/>
      <c r="K45" s="119"/>
      <c r="L45" s="119"/>
      <c r="M45" s="119"/>
      <c r="N45" s="119"/>
      <c r="O45" s="119"/>
      <c r="P45" s="119"/>
      <c r="Q45" s="119"/>
    </row>
    <row r="46" spans="1:52" ht="15.75" x14ac:dyDescent="0.4">
      <c r="A46" s="122" t="s">
        <v>239</v>
      </c>
      <c r="B46" s="123">
        <f>B45/SUM(B12:AA12)*'Phương án 1'!B29</f>
        <v>0.61293352561011583</v>
      </c>
      <c r="C46" s="125"/>
      <c r="D46" s="253"/>
      <c r="E46" s="125"/>
      <c r="F46" s="125"/>
      <c r="G46" s="125"/>
      <c r="H46" s="125"/>
      <c r="I46" s="125"/>
      <c r="J46" s="125"/>
      <c r="K46" s="125"/>
      <c r="L46" s="125"/>
    </row>
    <row r="47" spans="1:52" x14ac:dyDescent="0.4">
      <c r="A47"/>
      <c r="B47"/>
      <c r="C47"/>
      <c r="D47"/>
      <c r="E47"/>
      <c r="F47"/>
      <c r="G47"/>
      <c r="H47"/>
      <c r="I47"/>
      <c r="J47"/>
      <c r="K47"/>
      <c r="L47"/>
      <c r="M47"/>
      <c r="N47"/>
      <c r="O47"/>
      <c r="P47"/>
      <c r="Q47"/>
      <c r="R47"/>
    </row>
    <row r="48" spans="1:52" x14ac:dyDescent="0.4">
      <c r="A48"/>
      <c r="B48" s="227"/>
      <c r="C48"/>
      <c r="D48"/>
      <c r="E48"/>
      <c r="F48"/>
      <c r="G48"/>
      <c r="H48"/>
      <c r="I48"/>
      <c r="J48"/>
      <c r="K48"/>
      <c r="L48"/>
      <c r="M48"/>
      <c r="N48"/>
      <c r="O48"/>
      <c r="P48"/>
      <c r="Q48"/>
      <c r="R48"/>
    </row>
    <row r="49" spans="1:52" ht="15.75" x14ac:dyDescent="0.4">
      <c r="A49" s="321" t="s">
        <v>275</v>
      </c>
      <c r="B49" s="321"/>
      <c r="C49" s="321"/>
      <c r="D49"/>
      <c r="E49"/>
      <c r="F49"/>
      <c r="G49"/>
      <c r="H49"/>
      <c r="I49"/>
      <c r="J49"/>
      <c r="K49"/>
      <c r="L49"/>
      <c r="M49"/>
      <c r="N49"/>
      <c r="O49"/>
      <c r="P49"/>
      <c r="Q49"/>
      <c r="R49"/>
      <c r="AZ49" s="89" t="s">
        <v>186</v>
      </c>
    </row>
    <row r="50" spans="1:52" x14ac:dyDescent="0.4">
      <c r="A50"/>
      <c r="B50"/>
      <c r="C50"/>
      <c r="D50"/>
      <c r="E50"/>
      <c r="F50"/>
      <c r="G50"/>
      <c r="H50"/>
      <c r="I50"/>
      <c r="J50"/>
      <c r="K50"/>
      <c r="L50"/>
      <c r="M50"/>
      <c r="N50"/>
      <c r="O50"/>
      <c r="P50"/>
      <c r="Q50"/>
      <c r="R50"/>
      <c r="AZ50" s="89" t="s">
        <v>186</v>
      </c>
    </row>
    <row r="51" spans="1:52" ht="15.75" x14ac:dyDescent="0.4">
      <c r="A51" s="93" t="s">
        <v>2</v>
      </c>
      <c r="B51" s="112">
        <f>B5</f>
        <v>0</v>
      </c>
      <c r="C51" s="112">
        <f t="shared" ref="C51:AY51" si="8">C5</f>
        <v>1</v>
      </c>
      <c r="D51" s="112">
        <f t="shared" si="8"/>
        <v>2</v>
      </c>
      <c r="E51" s="112">
        <f t="shared" si="8"/>
        <v>3</v>
      </c>
      <c r="F51" s="112">
        <f t="shared" si="8"/>
        <v>4</v>
      </c>
      <c r="G51" s="112">
        <f t="shared" si="8"/>
        <v>5</v>
      </c>
      <c r="H51" s="112">
        <f t="shared" si="8"/>
        <v>6</v>
      </c>
      <c r="I51" s="112">
        <f t="shared" si="8"/>
        <v>7</v>
      </c>
      <c r="J51" s="112">
        <f t="shared" si="8"/>
        <v>8</v>
      </c>
      <c r="K51" s="112">
        <f t="shared" si="8"/>
        <v>9</v>
      </c>
      <c r="L51" s="112">
        <f t="shared" si="8"/>
        <v>10</v>
      </c>
      <c r="M51" s="112">
        <f t="shared" si="8"/>
        <v>11</v>
      </c>
      <c r="N51" s="112">
        <f t="shared" si="8"/>
        <v>12</v>
      </c>
      <c r="O51" s="112">
        <f t="shared" si="8"/>
        <v>13</v>
      </c>
      <c r="P51" s="112">
        <f t="shared" si="8"/>
        <v>14</v>
      </c>
      <c r="Q51" s="112">
        <f t="shared" si="8"/>
        <v>15</v>
      </c>
      <c r="R51" s="112">
        <f t="shared" si="8"/>
        <v>16</v>
      </c>
      <c r="S51" s="112">
        <f t="shared" si="8"/>
        <v>17</v>
      </c>
      <c r="T51" s="112">
        <f t="shared" si="8"/>
        <v>18</v>
      </c>
      <c r="U51" s="112">
        <f t="shared" si="8"/>
        <v>19</v>
      </c>
      <c r="V51" s="112">
        <f t="shared" si="8"/>
        <v>20</v>
      </c>
      <c r="W51" s="112">
        <f t="shared" si="8"/>
        <v>21</v>
      </c>
      <c r="X51" s="112">
        <f t="shared" si="8"/>
        <v>22</v>
      </c>
      <c r="Y51" s="112">
        <f t="shared" si="8"/>
        <v>23</v>
      </c>
      <c r="Z51" s="112">
        <f t="shared" si="8"/>
        <v>24</v>
      </c>
      <c r="AA51" s="112">
        <f t="shared" si="8"/>
        <v>25</v>
      </c>
      <c r="AB51" s="112">
        <f t="shared" si="8"/>
        <v>26</v>
      </c>
      <c r="AC51" s="112">
        <f t="shared" si="8"/>
        <v>27</v>
      </c>
      <c r="AD51" s="112">
        <f t="shared" si="8"/>
        <v>28</v>
      </c>
      <c r="AE51" s="112">
        <f t="shared" si="8"/>
        <v>29</v>
      </c>
      <c r="AF51" s="112">
        <f t="shared" si="8"/>
        <v>30</v>
      </c>
      <c r="AG51" s="112">
        <f t="shared" si="8"/>
        <v>31</v>
      </c>
      <c r="AH51" s="112">
        <f t="shared" si="8"/>
        <v>32</v>
      </c>
      <c r="AI51" s="112">
        <f t="shared" si="8"/>
        <v>33</v>
      </c>
      <c r="AJ51" s="112">
        <f t="shared" si="8"/>
        <v>34</v>
      </c>
      <c r="AK51" s="112">
        <f t="shared" si="8"/>
        <v>35</v>
      </c>
      <c r="AL51" s="112">
        <f t="shared" si="8"/>
        <v>36</v>
      </c>
      <c r="AM51" s="112">
        <f t="shared" si="8"/>
        <v>37</v>
      </c>
      <c r="AN51" s="112">
        <f t="shared" si="8"/>
        <v>38</v>
      </c>
      <c r="AO51" s="112">
        <f t="shared" si="8"/>
        <v>39</v>
      </c>
      <c r="AP51" s="112">
        <f t="shared" si="8"/>
        <v>40</v>
      </c>
      <c r="AQ51" s="112">
        <f t="shared" si="8"/>
        <v>41</v>
      </c>
      <c r="AR51" s="112">
        <f t="shared" si="8"/>
        <v>42</v>
      </c>
      <c r="AS51" s="112">
        <f t="shared" si="8"/>
        <v>43</v>
      </c>
      <c r="AT51" s="112">
        <f t="shared" si="8"/>
        <v>44</v>
      </c>
      <c r="AU51" s="112">
        <f t="shared" si="8"/>
        <v>45</v>
      </c>
      <c r="AV51" s="112">
        <f t="shared" si="8"/>
        <v>46</v>
      </c>
      <c r="AW51" s="112">
        <f t="shared" si="8"/>
        <v>47</v>
      </c>
      <c r="AX51" s="112">
        <f t="shared" si="8"/>
        <v>48</v>
      </c>
      <c r="AY51" s="112">
        <f t="shared" si="8"/>
        <v>49</v>
      </c>
      <c r="AZ51" s="89" t="s">
        <v>186</v>
      </c>
    </row>
    <row r="52" spans="1:52" ht="15.75" x14ac:dyDescent="0.4">
      <c r="A52" s="116" t="s">
        <v>23</v>
      </c>
      <c r="B52" s="84"/>
      <c r="C52" s="84"/>
      <c r="D52" s="84"/>
      <c r="E52" s="84"/>
      <c r="F52" s="84"/>
      <c r="G52" s="84"/>
      <c r="H52" s="84"/>
      <c r="I52" s="84"/>
      <c r="J52" s="84"/>
      <c r="K52" s="84"/>
      <c r="L52" s="84"/>
      <c r="AZ52" s="89" t="s">
        <v>186</v>
      </c>
    </row>
    <row r="53" spans="1:52" ht="15.75" x14ac:dyDescent="0.4">
      <c r="A53" s="243" t="s">
        <v>187</v>
      </c>
      <c r="B53" s="337"/>
      <c r="C53" s="337"/>
      <c r="D53" s="176"/>
      <c r="E53" s="176"/>
      <c r="F53" s="176"/>
      <c r="G53" s="176"/>
      <c r="H53" s="176"/>
      <c r="I53" s="176"/>
      <c r="J53" s="176"/>
      <c r="K53" s="176"/>
      <c r="L53" s="176"/>
      <c r="M53" s="246"/>
      <c r="N53" s="246"/>
      <c r="O53" s="246"/>
      <c r="P53" s="246"/>
      <c r="Q53" s="246"/>
      <c r="R53" s="246"/>
      <c r="S53" s="246"/>
      <c r="T53" s="246"/>
      <c r="U53" s="246"/>
      <c r="V53" s="246"/>
      <c r="W53" s="246"/>
      <c r="X53" s="246"/>
      <c r="Y53" s="246"/>
      <c r="Z53" s="246"/>
      <c r="AA53" s="246"/>
      <c r="AB53" s="246"/>
      <c r="AC53" s="246"/>
      <c r="AD53" s="246"/>
      <c r="AE53" s="246"/>
      <c r="AF53" s="246"/>
      <c r="AG53" s="246"/>
      <c r="AH53" s="246"/>
      <c r="AI53" s="246"/>
      <c r="AJ53" s="246"/>
      <c r="AK53" s="246"/>
      <c r="AL53" s="246"/>
      <c r="AM53" s="246"/>
      <c r="AN53" s="246"/>
      <c r="AO53" s="246"/>
      <c r="AP53" s="246"/>
      <c r="AQ53" s="246"/>
      <c r="AR53" s="246"/>
      <c r="AS53" s="246"/>
      <c r="AT53" s="246"/>
      <c r="AU53" s="246"/>
      <c r="AV53" s="246"/>
      <c r="AW53" s="246"/>
      <c r="AX53" s="246"/>
      <c r="AY53" s="246"/>
      <c r="AZ53" s="89" t="s">
        <v>186</v>
      </c>
    </row>
    <row r="54" spans="1:52" ht="15.75" x14ac:dyDescent="0.4">
      <c r="A54" s="243" t="s">
        <v>90</v>
      </c>
      <c r="B54" s="176"/>
      <c r="C54" s="176"/>
      <c r="D54" s="337"/>
      <c r="E54" s="337"/>
      <c r="F54" s="337"/>
      <c r="G54" s="337"/>
      <c r="H54" s="337"/>
      <c r="I54" s="337"/>
      <c r="J54" s="337"/>
      <c r="K54" s="337"/>
      <c r="L54" s="337"/>
      <c r="M54" s="337"/>
      <c r="N54" s="337"/>
      <c r="O54" s="337"/>
      <c r="P54" s="337"/>
      <c r="Q54" s="337"/>
      <c r="R54" s="337"/>
      <c r="S54" s="337"/>
      <c r="T54" s="337"/>
      <c r="U54" s="337"/>
      <c r="V54" s="337"/>
      <c r="W54" s="337"/>
      <c r="X54" s="337"/>
      <c r="Y54" s="337"/>
      <c r="Z54" s="33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89" t="s">
        <v>186</v>
      </c>
    </row>
    <row r="55" spans="1:52" ht="15.75" x14ac:dyDescent="0.4">
      <c r="A55" s="107" t="s">
        <v>174</v>
      </c>
      <c r="B55" s="105"/>
      <c r="C55" s="106"/>
      <c r="D55" s="337"/>
      <c r="E55" s="337"/>
      <c r="F55" s="337"/>
      <c r="G55" s="337"/>
      <c r="H55" s="337"/>
      <c r="I55" s="337"/>
      <c r="J55" s="337"/>
      <c r="K55" s="337"/>
      <c r="L55" s="337"/>
      <c r="M55" s="337"/>
      <c r="N55" s="337"/>
      <c r="O55" s="337"/>
      <c r="P55" s="337"/>
      <c r="Q55" s="337"/>
      <c r="R55" s="337"/>
      <c r="S55" s="337"/>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89" t="s">
        <v>186</v>
      </c>
    </row>
    <row r="56" spans="1:52" ht="15.75" x14ac:dyDescent="0.4">
      <c r="A56" s="107" t="s">
        <v>175</v>
      </c>
      <c r="B56" s="105"/>
      <c r="C56" s="95"/>
      <c r="D56" s="337"/>
      <c r="E56" s="337"/>
      <c r="F56" s="337"/>
      <c r="G56" s="337"/>
      <c r="H56" s="337"/>
      <c r="I56" s="337"/>
      <c r="J56" s="337"/>
      <c r="K56" s="337"/>
      <c r="L56" s="337"/>
      <c r="M56" s="337"/>
      <c r="N56" s="337"/>
      <c r="O56" s="337"/>
      <c r="P56" s="337"/>
      <c r="Q56" s="337"/>
      <c r="R56" s="337"/>
      <c r="S56" s="337"/>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89" t="s">
        <v>186</v>
      </c>
    </row>
    <row r="57" spans="1:52" ht="15.75" x14ac:dyDescent="0.4">
      <c r="A57" s="107" t="s">
        <v>176</v>
      </c>
      <c r="B57" s="105"/>
      <c r="C57" s="95"/>
      <c r="D57" s="337"/>
      <c r="E57" s="337"/>
      <c r="F57" s="337"/>
      <c r="G57" s="337"/>
      <c r="H57" s="337"/>
      <c r="I57" s="337"/>
      <c r="J57" s="337"/>
      <c r="K57" s="337"/>
      <c r="L57" s="337"/>
      <c r="M57" s="337"/>
      <c r="N57" s="337"/>
      <c r="O57" s="337"/>
      <c r="P57" s="337"/>
      <c r="Q57" s="337"/>
      <c r="R57" s="337"/>
      <c r="S57" s="337"/>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89" t="s">
        <v>186</v>
      </c>
    </row>
    <row r="58" spans="1:52" ht="15.75" x14ac:dyDescent="0.4">
      <c r="A58" s="83" t="s">
        <v>183</v>
      </c>
      <c r="B58" s="105"/>
      <c r="C58" s="95"/>
      <c r="D58" s="337"/>
      <c r="E58" s="337"/>
      <c r="F58" s="337"/>
      <c r="G58" s="337"/>
      <c r="H58" s="337"/>
      <c r="I58" s="337"/>
      <c r="J58" s="337"/>
      <c r="K58" s="337"/>
      <c r="L58" s="337"/>
      <c r="M58" s="337"/>
      <c r="N58" s="337"/>
      <c r="O58" s="337"/>
      <c r="P58" s="337"/>
      <c r="Q58" s="337"/>
      <c r="R58" s="337"/>
      <c r="S58" s="337"/>
      <c r="T58" s="337"/>
      <c r="U58" s="337"/>
      <c r="V58" s="337"/>
      <c r="W58" s="337"/>
      <c r="X58" s="337"/>
      <c r="Y58" s="337"/>
      <c r="Z58" s="337"/>
      <c r="AA58" s="337"/>
      <c r="AB58" s="337"/>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89" t="s">
        <v>186</v>
      </c>
    </row>
    <row r="59" spans="1:52" ht="15.75" x14ac:dyDescent="0.4">
      <c r="A59" s="107" t="s">
        <v>174</v>
      </c>
      <c r="B59" s="105"/>
      <c r="C59" s="95"/>
      <c r="D59" s="337"/>
      <c r="E59" s="337"/>
      <c r="F59" s="337"/>
      <c r="G59" s="337"/>
      <c r="H59" s="337"/>
      <c r="I59" s="337"/>
      <c r="J59" s="337"/>
      <c r="K59" s="337"/>
      <c r="L59" s="337"/>
      <c r="M59" s="337"/>
      <c r="N59" s="337"/>
      <c r="O59" s="337"/>
      <c r="P59" s="337"/>
      <c r="Q59" s="337"/>
      <c r="R59" s="337"/>
      <c r="S59" s="337"/>
      <c r="T59" s="337"/>
      <c r="U59" s="337"/>
      <c r="V59" s="337"/>
      <c r="W59" s="337"/>
      <c r="X59" s="337"/>
      <c r="Y59" s="337"/>
      <c r="Z59" s="337"/>
      <c r="AA59" s="337"/>
      <c r="AB59" s="337"/>
      <c r="AC59" s="337"/>
      <c r="AD59" s="337"/>
      <c r="AE59" s="337"/>
      <c r="AF59" s="337"/>
      <c r="AG59" s="337"/>
      <c r="AH59" s="337"/>
      <c r="AI59" s="337"/>
      <c r="AJ59" s="337"/>
      <c r="AK59" s="337"/>
      <c r="AL59" s="337"/>
      <c r="AM59" s="337"/>
      <c r="AN59" s="337"/>
      <c r="AO59" s="337"/>
      <c r="AP59" s="337"/>
      <c r="AQ59" s="337"/>
      <c r="AR59" s="337"/>
      <c r="AS59" s="337"/>
      <c r="AT59" s="337"/>
      <c r="AU59" s="337"/>
      <c r="AV59" s="337"/>
      <c r="AW59" s="337"/>
      <c r="AX59" s="337"/>
      <c r="AY59" s="337"/>
      <c r="AZ59" s="89" t="s">
        <v>186</v>
      </c>
    </row>
    <row r="60" spans="1:52" ht="15.75" x14ac:dyDescent="0.4">
      <c r="A60" s="107" t="s">
        <v>175</v>
      </c>
      <c r="B60" s="105"/>
      <c r="C60" s="95"/>
      <c r="D60" s="337"/>
      <c r="E60" s="337"/>
      <c r="F60" s="337"/>
      <c r="G60" s="337"/>
      <c r="H60" s="337"/>
      <c r="I60" s="337"/>
      <c r="J60" s="337"/>
      <c r="K60" s="337"/>
      <c r="L60" s="337"/>
      <c r="M60" s="337"/>
      <c r="N60" s="337"/>
      <c r="O60" s="337"/>
      <c r="P60" s="337"/>
      <c r="Q60" s="337"/>
      <c r="R60" s="337"/>
      <c r="S60" s="337"/>
      <c r="T60" s="337"/>
      <c r="U60" s="337"/>
      <c r="V60" s="337"/>
      <c r="W60" s="337"/>
      <c r="X60" s="337"/>
      <c r="Y60" s="337"/>
      <c r="Z60" s="337"/>
      <c r="AA60" s="337"/>
      <c r="AB60" s="337"/>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89" t="s">
        <v>186</v>
      </c>
    </row>
    <row r="61" spans="1:52" ht="15.75" x14ac:dyDescent="0.4">
      <c r="A61" s="107" t="s">
        <v>176</v>
      </c>
      <c r="B61" s="105"/>
      <c r="C61" s="95"/>
      <c r="D61" s="337"/>
      <c r="E61" s="337"/>
      <c r="F61" s="337"/>
      <c r="G61" s="337"/>
      <c r="H61" s="337"/>
      <c r="I61" s="337"/>
      <c r="J61" s="337"/>
      <c r="K61" s="337"/>
      <c r="L61" s="337"/>
      <c r="M61" s="337"/>
      <c r="N61" s="337"/>
      <c r="O61" s="337"/>
      <c r="P61" s="337"/>
      <c r="Q61" s="337"/>
      <c r="R61" s="337"/>
      <c r="S61" s="337"/>
      <c r="T61" s="337"/>
      <c r="U61" s="337"/>
      <c r="V61" s="337"/>
      <c r="W61" s="337"/>
      <c r="X61" s="337"/>
      <c r="Y61" s="337"/>
      <c r="Z61" s="337"/>
      <c r="AA61" s="337"/>
      <c r="AB61" s="337"/>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89" t="s">
        <v>186</v>
      </c>
    </row>
    <row r="62" spans="1:52" ht="15.75" x14ac:dyDescent="0.5">
      <c r="A62" s="107" t="s">
        <v>190</v>
      </c>
      <c r="B62" s="84"/>
      <c r="C62" s="85"/>
      <c r="D62" s="85"/>
      <c r="E62" s="85"/>
      <c r="F62" s="222">
        <f>'Phương án 1'!$I$28*F6</f>
        <v>0.13725490196078433</v>
      </c>
      <c r="G62" s="222"/>
      <c r="H62" s="222"/>
      <c r="I62" s="222"/>
      <c r="J62" s="222"/>
      <c r="K62" s="222">
        <f>'Phương án 1'!$I$29*K6</f>
        <v>0.83333333333333326</v>
      </c>
      <c r="L62" s="222"/>
      <c r="M62" s="222"/>
      <c r="N62" s="222"/>
      <c r="O62" s="222"/>
      <c r="P62" s="222">
        <f>'Phương án 1'!$I$30*P6</f>
        <v>0.58823529411764708</v>
      </c>
      <c r="Q62" s="222"/>
      <c r="R62" s="222"/>
      <c r="S62" s="222"/>
      <c r="T62" s="222"/>
      <c r="U62" s="222">
        <f>'Phương án 1'!$H$31*U6</f>
        <v>2.1568627450980395</v>
      </c>
      <c r="V62" s="222"/>
      <c r="W62" s="222"/>
      <c r="X62" s="222"/>
      <c r="Y62" s="222"/>
      <c r="Z62" s="222">
        <f>'Phương án 1'!$H$32*Z6</f>
        <v>0.3235294117647059</v>
      </c>
      <c r="AA62" s="222"/>
      <c r="AB62" s="222">
        <f>'Phương án 1'!$H$33*AB6</f>
        <v>19.607843137254903</v>
      </c>
      <c r="AC62" s="222">
        <f>'Phương án 1'!$H$33*AC6</f>
        <v>19.607843137254903</v>
      </c>
      <c r="AD62" s="222">
        <f>'Phương án 1'!$H$33*AD6</f>
        <v>19.607843137254903</v>
      </c>
      <c r="AE62" s="222">
        <f>'Phương án 1'!$H$33*AE6</f>
        <v>19.607843137254903</v>
      </c>
      <c r="AF62" s="222">
        <f>'Phương án 1'!$H$33*AF6</f>
        <v>19.607843137254903</v>
      </c>
      <c r="AG62" s="222">
        <f>'Phương án 1'!$H$33*AG6</f>
        <v>19.607843137254903</v>
      </c>
      <c r="AH62" s="222">
        <f>'Phương án 1'!$H$33*AH6</f>
        <v>19.607843137254903</v>
      </c>
      <c r="AI62" s="222">
        <f>'Phương án 1'!$H$33*AI6</f>
        <v>19.607843137254903</v>
      </c>
      <c r="AJ62" s="222">
        <f>'Phương án 1'!$H$33*AJ6</f>
        <v>19.607843137254903</v>
      </c>
      <c r="AK62" s="222">
        <f>'Phương án 1'!$H$33*AK6</f>
        <v>19.607843137254903</v>
      </c>
      <c r="AL62" s="222">
        <f>'Phương án 1'!$H$33*AL6</f>
        <v>19.607843137254903</v>
      </c>
      <c r="AM62" s="222">
        <f>'Phương án 1'!$H$33*AM6</f>
        <v>19.607843137254903</v>
      </c>
      <c r="AN62" s="222">
        <f>'Phương án 1'!$H$33*AN6</f>
        <v>19.607843137254903</v>
      </c>
      <c r="AO62" s="222">
        <f>'Phương án 1'!$H$33*AO6</f>
        <v>19.607843137254903</v>
      </c>
      <c r="AP62" s="222">
        <f>'Phương án 1'!$H$33*AP6</f>
        <v>19.607843137254903</v>
      </c>
      <c r="AQ62" s="222">
        <f>'Phương án 1'!$H$33*AQ6</f>
        <v>19.607843137254903</v>
      </c>
      <c r="AR62" s="222">
        <f>'Phương án 1'!$H$33*AR6</f>
        <v>19.607843137254903</v>
      </c>
      <c r="AS62" s="222">
        <f>'Phương án 1'!$H$33*AS6</f>
        <v>19.607843137254903</v>
      </c>
      <c r="AT62" s="222">
        <f>'Phương án 1'!$H$33*AT6</f>
        <v>19.607843137254903</v>
      </c>
      <c r="AU62" s="222">
        <f>'Phương án 1'!$H$33*AU6</f>
        <v>19.607843137254903</v>
      </c>
      <c r="AV62" s="222">
        <f>'Phương án 1'!$H$33*AV6</f>
        <v>19.607843137254903</v>
      </c>
      <c r="AW62" s="222">
        <f>'Phương án 1'!$H$33*AW6</f>
        <v>19.607843137254903</v>
      </c>
      <c r="AX62" s="222">
        <f>'Phương án 1'!$H$33*AX6</f>
        <v>19.607843137254903</v>
      </c>
      <c r="AY62" s="222">
        <f>'Phương án 1'!$H$33*AY6</f>
        <v>19.607843137254903</v>
      </c>
    </row>
    <row r="63" spans="1:52" ht="15.75" x14ac:dyDescent="0.4">
      <c r="A63" s="83" t="s">
        <v>276</v>
      </c>
      <c r="B63" s="105"/>
      <c r="C63" s="95"/>
      <c r="D63" s="176">
        <f>'Phương án 1'!$B$24*D6</f>
        <v>40</v>
      </c>
      <c r="E63" s="176">
        <f>'Phương án 1'!$B$24*E6</f>
        <v>40</v>
      </c>
      <c r="F63" s="176">
        <f>'Phương án 1'!$B$24*F6</f>
        <v>40</v>
      </c>
      <c r="G63" s="176">
        <f>'Phương án 1'!$B$24*G6</f>
        <v>40</v>
      </c>
      <c r="H63" s="176">
        <f>'Phương án 1'!$B$24*H6</f>
        <v>40</v>
      </c>
      <c r="I63" s="176">
        <f>'Phương án 1'!$B$24*I6</f>
        <v>40</v>
      </c>
      <c r="J63" s="176">
        <f>'Phương án 1'!$B$24*J6</f>
        <v>40</v>
      </c>
      <c r="K63" s="176">
        <f>'Phương án 1'!$B$24*K6</f>
        <v>40</v>
      </c>
      <c r="L63" s="176">
        <f>'Phương án 1'!$B$24*L6</f>
        <v>40</v>
      </c>
      <c r="M63" s="176">
        <f>'Phương án 1'!$B$24*M6</f>
        <v>40</v>
      </c>
      <c r="N63" s="176">
        <f>'Phương án 1'!$B$24*N6</f>
        <v>40</v>
      </c>
      <c r="O63" s="176">
        <f>'Phương án 1'!$B$24*O6</f>
        <v>40</v>
      </c>
      <c r="P63" s="176">
        <f>'Phương án 1'!$B$24*P6</f>
        <v>40</v>
      </c>
      <c r="Q63" s="176">
        <f>'Phương án 1'!$B$24*Q6</f>
        <v>40</v>
      </c>
      <c r="R63" s="176">
        <f>'Phương án 1'!$B$24*R6</f>
        <v>40</v>
      </c>
      <c r="S63" s="176">
        <f>'Phương án 1'!$B$24*S6</f>
        <v>40</v>
      </c>
      <c r="T63" s="176">
        <f>'Phương án 1'!$B$24*T6</f>
        <v>40</v>
      </c>
      <c r="U63" s="176">
        <f>'Phương án 1'!$B$24*U6</f>
        <v>40</v>
      </c>
      <c r="V63" s="176">
        <f>'Phương án 1'!$B$24*V6</f>
        <v>40</v>
      </c>
      <c r="W63" s="176">
        <f>'Phương án 1'!$B$24*W6</f>
        <v>40</v>
      </c>
      <c r="X63" s="176">
        <f>'Phương án 1'!$B$24*X6</f>
        <v>40</v>
      </c>
      <c r="Y63" s="176">
        <f>'Phương án 1'!$B$24*Y6</f>
        <v>40</v>
      </c>
      <c r="Z63" s="176">
        <f>'Phương án 1'!$B$24*Z6</f>
        <v>40</v>
      </c>
      <c r="AA63" s="176">
        <f>'Phương án 1'!$B$24*AA6</f>
        <v>40</v>
      </c>
      <c r="AB63" s="176">
        <f>'Phương án 1'!$B$24*AB6</f>
        <v>40</v>
      </c>
      <c r="AC63" s="176">
        <f>'Phương án 1'!$B$24*AC6</f>
        <v>40</v>
      </c>
      <c r="AD63" s="176">
        <f>'Phương án 1'!$B$24*AD6</f>
        <v>40</v>
      </c>
      <c r="AE63" s="176">
        <f>'Phương án 1'!$B$24*AE6</f>
        <v>40</v>
      </c>
      <c r="AF63" s="176">
        <f>'Phương án 1'!$B$24*AF6</f>
        <v>40</v>
      </c>
      <c r="AG63" s="176">
        <f>'Phương án 1'!$B$24*AG6</f>
        <v>40</v>
      </c>
      <c r="AH63" s="176">
        <f>'Phương án 1'!$B$24*AH6</f>
        <v>40</v>
      </c>
      <c r="AI63" s="176">
        <f>'Phương án 1'!$B$24*AI6</f>
        <v>40</v>
      </c>
      <c r="AJ63" s="176">
        <f>'Phương án 1'!$B$24*AJ6</f>
        <v>40</v>
      </c>
      <c r="AK63" s="176">
        <f>'Phương án 1'!$B$24*AK6</f>
        <v>40</v>
      </c>
      <c r="AL63" s="176">
        <f>'Phương án 1'!$B$24*AL6</f>
        <v>40</v>
      </c>
      <c r="AM63" s="176">
        <f>'Phương án 1'!$B$24*AM6</f>
        <v>40</v>
      </c>
      <c r="AN63" s="176">
        <f>'Phương án 1'!$B$24*AN6</f>
        <v>40</v>
      </c>
      <c r="AO63" s="176">
        <f>'Phương án 1'!$B$24*AO6</f>
        <v>40</v>
      </c>
      <c r="AP63" s="176">
        <f>'Phương án 1'!$B$24*AP6</f>
        <v>40</v>
      </c>
      <c r="AQ63" s="176">
        <f>'Phương án 1'!$B$24*AQ6</f>
        <v>40</v>
      </c>
      <c r="AR63" s="176">
        <f>'Phương án 1'!$B$24*AR6</f>
        <v>40</v>
      </c>
      <c r="AS63" s="176">
        <f>'Phương án 1'!$B$24*AS6</f>
        <v>40</v>
      </c>
      <c r="AT63" s="176">
        <f>'Phương án 1'!$B$24*AT6</f>
        <v>40</v>
      </c>
      <c r="AU63" s="176">
        <f>'Phương án 1'!$B$24*AU6</f>
        <v>40</v>
      </c>
      <c r="AV63" s="176">
        <f>'Phương án 1'!$B$24*AV6</f>
        <v>40</v>
      </c>
      <c r="AW63" s="176">
        <f>'Phương án 1'!$B$24*AW6</f>
        <v>40</v>
      </c>
      <c r="AX63" s="176">
        <f>'Phương án 1'!$B$24*AX6</f>
        <v>40</v>
      </c>
      <c r="AY63" s="176">
        <f>'Phương án 1'!$B$24*AY6</f>
        <v>40</v>
      </c>
      <c r="AZ63" s="89" t="s">
        <v>186</v>
      </c>
    </row>
    <row r="64" spans="1:52" ht="15.75" x14ac:dyDescent="0.4">
      <c r="A64" s="97" t="s">
        <v>279</v>
      </c>
      <c r="B64" s="247">
        <f>SUM(B53,B54,B58,B62,B63)</f>
        <v>0</v>
      </c>
      <c r="C64" s="247">
        <f t="shared" ref="C64:AY64" si="9">SUM(C53,C54,C58,C62,C63)</f>
        <v>0</v>
      </c>
      <c r="D64" s="247">
        <f t="shared" si="9"/>
        <v>40</v>
      </c>
      <c r="E64" s="247">
        <f t="shared" si="9"/>
        <v>40</v>
      </c>
      <c r="F64" s="247">
        <f t="shared" si="9"/>
        <v>40.137254901960787</v>
      </c>
      <c r="G64" s="247">
        <f t="shared" si="9"/>
        <v>40</v>
      </c>
      <c r="H64" s="247">
        <f t="shared" si="9"/>
        <v>40</v>
      </c>
      <c r="I64" s="247">
        <f t="shared" si="9"/>
        <v>40</v>
      </c>
      <c r="J64" s="247">
        <f t="shared" si="9"/>
        <v>40</v>
      </c>
      <c r="K64" s="247">
        <f t="shared" si="9"/>
        <v>40.833333333333336</v>
      </c>
      <c r="L64" s="247">
        <f t="shared" si="9"/>
        <v>40</v>
      </c>
      <c r="M64" s="247">
        <f t="shared" si="9"/>
        <v>40</v>
      </c>
      <c r="N64" s="247">
        <f t="shared" si="9"/>
        <v>40</v>
      </c>
      <c r="O64" s="247">
        <f t="shared" si="9"/>
        <v>40</v>
      </c>
      <c r="P64" s="247">
        <f t="shared" si="9"/>
        <v>40.588235294117645</v>
      </c>
      <c r="Q64" s="247">
        <f t="shared" si="9"/>
        <v>40</v>
      </c>
      <c r="R64" s="247">
        <f t="shared" si="9"/>
        <v>40</v>
      </c>
      <c r="S64" s="247">
        <f t="shared" si="9"/>
        <v>40</v>
      </c>
      <c r="T64" s="247">
        <f t="shared" si="9"/>
        <v>40</v>
      </c>
      <c r="U64" s="247">
        <f t="shared" si="9"/>
        <v>42.156862745098039</v>
      </c>
      <c r="V64" s="247">
        <f t="shared" si="9"/>
        <v>40</v>
      </c>
      <c r="W64" s="247">
        <f t="shared" si="9"/>
        <v>40</v>
      </c>
      <c r="X64" s="247">
        <f t="shared" si="9"/>
        <v>40</v>
      </c>
      <c r="Y64" s="247">
        <f t="shared" si="9"/>
        <v>40</v>
      </c>
      <c r="Z64" s="247">
        <f t="shared" si="9"/>
        <v>40.323529411764703</v>
      </c>
      <c r="AA64" s="247">
        <f t="shared" si="9"/>
        <v>40</v>
      </c>
      <c r="AB64" s="247">
        <f t="shared" si="9"/>
        <v>59.607843137254903</v>
      </c>
      <c r="AC64" s="247">
        <f t="shared" si="9"/>
        <v>59.607843137254903</v>
      </c>
      <c r="AD64" s="247">
        <f t="shared" si="9"/>
        <v>59.607843137254903</v>
      </c>
      <c r="AE64" s="247">
        <f t="shared" si="9"/>
        <v>59.607843137254903</v>
      </c>
      <c r="AF64" s="247">
        <f t="shared" si="9"/>
        <v>59.607843137254903</v>
      </c>
      <c r="AG64" s="247">
        <f t="shared" si="9"/>
        <v>59.607843137254903</v>
      </c>
      <c r="AH64" s="247">
        <f t="shared" si="9"/>
        <v>59.607843137254903</v>
      </c>
      <c r="AI64" s="247">
        <f t="shared" si="9"/>
        <v>59.607843137254903</v>
      </c>
      <c r="AJ64" s="247">
        <f t="shared" si="9"/>
        <v>59.607843137254903</v>
      </c>
      <c r="AK64" s="247">
        <f t="shared" si="9"/>
        <v>59.607843137254903</v>
      </c>
      <c r="AL64" s="247">
        <f t="shared" si="9"/>
        <v>59.607843137254903</v>
      </c>
      <c r="AM64" s="247">
        <f t="shared" si="9"/>
        <v>59.607843137254903</v>
      </c>
      <c r="AN64" s="247">
        <f t="shared" si="9"/>
        <v>59.607843137254903</v>
      </c>
      <c r="AO64" s="247">
        <f t="shared" si="9"/>
        <v>59.607843137254903</v>
      </c>
      <c r="AP64" s="247">
        <f t="shared" si="9"/>
        <v>59.607843137254903</v>
      </c>
      <c r="AQ64" s="247">
        <f t="shared" si="9"/>
        <v>59.607843137254903</v>
      </c>
      <c r="AR64" s="247">
        <f t="shared" si="9"/>
        <v>59.607843137254903</v>
      </c>
      <c r="AS64" s="247">
        <f t="shared" si="9"/>
        <v>59.607843137254903</v>
      </c>
      <c r="AT64" s="247">
        <f t="shared" si="9"/>
        <v>59.607843137254903</v>
      </c>
      <c r="AU64" s="247">
        <f t="shared" si="9"/>
        <v>59.607843137254903</v>
      </c>
      <c r="AV64" s="247">
        <f t="shared" si="9"/>
        <v>59.607843137254903</v>
      </c>
      <c r="AW64" s="247">
        <f t="shared" si="9"/>
        <v>59.607843137254903</v>
      </c>
      <c r="AX64" s="247">
        <f t="shared" si="9"/>
        <v>59.607843137254903</v>
      </c>
      <c r="AY64" s="247">
        <f t="shared" si="9"/>
        <v>59.607843137254903</v>
      </c>
      <c r="AZ64" s="246" t="s">
        <v>186</v>
      </c>
    </row>
    <row r="65" spans="1:52" ht="15.75" x14ac:dyDescent="0.4">
      <c r="A65"/>
      <c r="B65" s="85"/>
      <c r="C65" s="95"/>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89" t="s">
        <v>186</v>
      </c>
    </row>
    <row r="66" spans="1:52" ht="15.75" x14ac:dyDescent="0.5">
      <c r="A66" s="120" t="s">
        <v>277</v>
      </c>
      <c r="B66" s="121">
        <f>'Phương án 1'!B28</f>
        <v>0.06</v>
      </c>
      <c r="C66" s="179"/>
      <c r="D66" s="176"/>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89" t="s">
        <v>186</v>
      </c>
    </row>
    <row r="67" spans="1:52" ht="15.75" x14ac:dyDescent="0.4">
      <c r="A67" s="266" t="s">
        <v>314</v>
      </c>
      <c r="B67" s="267">
        <f>NPV(B66,C64:AA64)+B64</f>
        <v>475.25331779327951</v>
      </c>
      <c r="C67" s="115"/>
      <c r="D67" s="17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89" t="s">
        <v>186</v>
      </c>
    </row>
    <row r="68" spans="1:52" ht="15.75" x14ac:dyDescent="0.4">
      <c r="A68" s="266" t="s">
        <v>239</v>
      </c>
      <c r="B68" s="267">
        <f>B67/SUM(B12:AA12)*'Phương án 1'!B29</f>
        <v>176.01974733084427</v>
      </c>
      <c r="C68" s="115"/>
      <c r="D68" s="176"/>
      <c r="E68" s="176"/>
      <c r="F68" s="176"/>
      <c r="G68" s="176"/>
      <c r="H68" s="176"/>
      <c r="I68" s="176"/>
      <c r="J68" s="176"/>
      <c r="K68" s="176"/>
      <c r="L68" s="176"/>
      <c r="M68" s="176"/>
      <c r="N68" s="176"/>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row>
    <row r="69" spans="1:52" ht="15.75" x14ac:dyDescent="0.4">
      <c r="A69" s="266" t="s">
        <v>316</v>
      </c>
      <c r="B69" s="267">
        <f>NPV(B66,AC64:AY64)+AB64</f>
        <v>792.98572740134011</v>
      </c>
      <c r="C69" s="115"/>
      <c r="D69" s="176"/>
      <c r="E69" s="176"/>
      <c r="F69" s="176"/>
      <c r="G69" s="176"/>
      <c r="H69" s="176"/>
      <c r="I69" s="176"/>
      <c r="J69" s="176"/>
      <c r="K69" s="176"/>
      <c r="L69" s="176"/>
      <c r="M69" s="176"/>
      <c r="N69" s="176"/>
      <c r="O69" s="176"/>
      <c r="P69" s="176"/>
      <c r="Q69" s="176"/>
      <c r="R69" s="176"/>
      <c r="S69" s="176"/>
      <c r="T69" s="176"/>
      <c r="U69" s="176"/>
      <c r="V69" s="176"/>
      <c r="W69" s="176"/>
      <c r="X69" s="176"/>
      <c r="Y69" s="176"/>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176"/>
      <c r="AX69" s="176"/>
      <c r="AY69" s="176"/>
    </row>
    <row r="70" spans="1:52" ht="15.75" x14ac:dyDescent="0.4">
      <c r="A70"/>
      <c r="B70" s="84"/>
      <c r="C70" s="85"/>
      <c r="D70" s="176"/>
      <c r="E70" s="176"/>
      <c r="F70" s="176"/>
      <c r="G70" s="176"/>
      <c r="H70" s="176"/>
      <c r="I70" s="176"/>
      <c r="J70" s="176"/>
      <c r="K70" s="176"/>
      <c r="L70" s="176"/>
      <c r="M70" s="176"/>
      <c r="N70" s="176"/>
      <c r="O70" s="176"/>
      <c r="P70" s="176"/>
      <c r="Q70" s="176"/>
      <c r="R70" s="176"/>
      <c r="S70" s="176"/>
      <c r="T70" s="176"/>
      <c r="U70" s="176"/>
      <c r="V70" s="176"/>
      <c r="W70" s="176"/>
      <c r="X70" s="176"/>
      <c r="Y70" s="176"/>
      <c r="Z70" s="176"/>
      <c r="AA70" s="176"/>
      <c r="AB70" s="176"/>
      <c r="AC70" s="176"/>
      <c r="AD70" s="176"/>
      <c r="AE70" s="176"/>
      <c r="AF70" s="176"/>
      <c r="AG70" s="176"/>
      <c r="AH70" s="176"/>
      <c r="AI70" s="176"/>
      <c r="AJ70" s="176"/>
      <c r="AK70" s="176"/>
      <c r="AL70" s="176"/>
      <c r="AM70" s="176"/>
      <c r="AN70" s="176"/>
      <c r="AO70" s="176"/>
      <c r="AP70" s="176"/>
      <c r="AQ70" s="176"/>
      <c r="AR70" s="176"/>
      <c r="AS70" s="176"/>
      <c r="AT70" s="176"/>
      <c r="AU70" s="176"/>
      <c r="AV70" s="176"/>
      <c r="AW70" s="176"/>
      <c r="AX70" s="176"/>
      <c r="AY70" s="176"/>
      <c r="AZ70" s="89" t="s">
        <v>186</v>
      </c>
    </row>
    <row r="71" spans="1:52" ht="15.75" x14ac:dyDescent="0.5">
      <c r="A71"/>
      <c r="B71" s="84"/>
      <c r="C71" s="85"/>
      <c r="D71" s="85"/>
      <c r="E71" s="85"/>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c r="AW71" s="222"/>
      <c r="AX71" s="222"/>
      <c r="AY71" s="222"/>
      <c r="AZ71" s="89" t="s">
        <v>186</v>
      </c>
    </row>
    <row r="72" spans="1:52" ht="15.75" x14ac:dyDescent="0.4">
      <c r="A72" s="321" t="s">
        <v>282</v>
      </c>
      <c r="B72" s="321"/>
      <c r="C72" s="321"/>
      <c r="D72" s="111"/>
      <c r="E72" s="111"/>
      <c r="F72" s="84"/>
      <c r="G72" s="84"/>
      <c r="H72" s="84"/>
      <c r="I72" s="84"/>
      <c r="J72" s="84"/>
      <c r="K72" s="84"/>
      <c r="L72" s="84"/>
      <c r="AZ72" s="89" t="s">
        <v>186</v>
      </c>
    </row>
    <row r="73" spans="1:52" ht="15.75" x14ac:dyDescent="0.4">
      <c r="A73" s="92"/>
      <c r="B73" s="92"/>
      <c r="C73" s="92"/>
      <c r="D73" s="92"/>
      <c r="E73" s="92"/>
      <c r="F73" s="84"/>
      <c r="G73" s="84"/>
      <c r="H73" s="84"/>
      <c r="I73" s="84"/>
      <c r="J73" s="84"/>
      <c r="K73" s="84"/>
      <c r="L73" s="84"/>
      <c r="AY73" s="131" t="s">
        <v>28</v>
      </c>
      <c r="AZ73" s="89" t="s">
        <v>186</v>
      </c>
    </row>
    <row r="74" spans="1:52" ht="15.75" x14ac:dyDescent="0.4">
      <c r="A74" s="93" t="s">
        <v>2</v>
      </c>
      <c r="B74" s="112">
        <f>B5</f>
        <v>0</v>
      </c>
      <c r="C74" s="112">
        <f t="shared" ref="C74:AY74" si="10">C5</f>
        <v>1</v>
      </c>
      <c r="D74" s="112">
        <f t="shared" si="10"/>
        <v>2</v>
      </c>
      <c r="E74" s="112">
        <f t="shared" si="10"/>
        <v>3</v>
      </c>
      <c r="F74" s="112">
        <f t="shared" si="10"/>
        <v>4</v>
      </c>
      <c r="G74" s="112">
        <f t="shared" si="10"/>
        <v>5</v>
      </c>
      <c r="H74" s="112">
        <f t="shared" si="10"/>
        <v>6</v>
      </c>
      <c r="I74" s="112">
        <f t="shared" si="10"/>
        <v>7</v>
      </c>
      <c r="J74" s="112">
        <f t="shared" si="10"/>
        <v>8</v>
      </c>
      <c r="K74" s="112">
        <f t="shared" si="10"/>
        <v>9</v>
      </c>
      <c r="L74" s="112">
        <f t="shared" si="10"/>
        <v>10</v>
      </c>
      <c r="M74" s="112">
        <f t="shared" si="10"/>
        <v>11</v>
      </c>
      <c r="N74" s="112">
        <f t="shared" si="10"/>
        <v>12</v>
      </c>
      <c r="O74" s="112">
        <f t="shared" si="10"/>
        <v>13</v>
      </c>
      <c r="P74" s="112">
        <f t="shared" si="10"/>
        <v>14</v>
      </c>
      <c r="Q74" s="112">
        <f t="shared" si="10"/>
        <v>15</v>
      </c>
      <c r="R74" s="112">
        <f t="shared" si="10"/>
        <v>16</v>
      </c>
      <c r="S74" s="112">
        <f t="shared" si="10"/>
        <v>17</v>
      </c>
      <c r="T74" s="112">
        <f t="shared" si="10"/>
        <v>18</v>
      </c>
      <c r="U74" s="112">
        <f t="shared" si="10"/>
        <v>19</v>
      </c>
      <c r="V74" s="112">
        <f t="shared" si="10"/>
        <v>20</v>
      </c>
      <c r="W74" s="112">
        <f t="shared" si="10"/>
        <v>21</v>
      </c>
      <c r="X74" s="112">
        <f t="shared" si="10"/>
        <v>22</v>
      </c>
      <c r="Y74" s="112">
        <f t="shared" si="10"/>
        <v>23</v>
      </c>
      <c r="Z74" s="112">
        <f t="shared" si="10"/>
        <v>24</v>
      </c>
      <c r="AA74" s="112">
        <f t="shared" si="10"/>
        <v>25</v>
      </c>
      <c r="AB74" s="112">
        <f t="shared" si="10"/>
        <v>26</v>
      </c>
      <c r="AC74" s="112">
        <f t="shared" si="10"/>
        <v>27</v>
      </c>
      <c r="AD74" s="112">
        <f t="shared" si="10"/>
        <v>28</v>
      </c>
      <c r="AE74" s="112">
        <f t="shared" si="10"/>
        <v>29</v>
      </c>
      <c r="AF74" s="112">
        <f t="shared" si="10"/>
        <v>30</v>
      </c>
      <c r="AG74" s="112">
        <f t="shared" si="10"/>
        <v>31</v>
      </c>
      <c r="AH74" s="112">
        <f t="shared" si="10"/>
        <v>32</v>
      </c>
      <c r="AI74" s="112">
        <f t="shared" si="10"/>
        <v>33</v>
      </c>
      <c r="AJ74" s="112">
        <f t="shared" si="10"/>
        <v>34</v>
      </c>
      <c r="AK74" s="112">
        <f t="shared" si="10"/>
        <v>35</v>
      </c>
      <c r="AL74" s="112">
        <f t="shared" si="10"/>
        <v>36</v>
      </c>
      <c r="AM74" s="112">
        <f t="shared" si="10"/>
        <v>37</v>
      </c>
      <c r="AN74" s="112">
        <f t="shared" si="10"/>
        <v>38</v>
      </c>
      <c r="AO74" s="112">
        <f t="shared" si="10"/>
        <v>39</v>
      </c>
      <c r="AP74" s="112">
        <f t="shared" si="10"/>
        <v>40</v>
      </c>
      <c r="AQ74" s="112">
        <f t="shared" si="10"/>
        <v>41</v>
      </c>
      <c r="AR74" s="112">
        <f t="shared" si="10"/>
        <v>42</v>
      </c>
      <c r="AS74" s="112">
        <f t="shared" si="10"/>
        <v>43</v>
      </c>
      <c r="AT74" s="112">
        <f t="shared" si="10"/>
        <v>44</v>
      </c>
      <c r="AU74" s="112">
        <f t="shared" si="10"/>
        <v>45</v>
      </c>
      <c r="AV74" s="112">
        <f t="shared" si="10"/>
        <v>46</v>
      </c>
      <c r="AW74" s="112">
        <f t="shared" si="10"/>
        <v>47</v>
      </c>
      <c r="AX74" s="112">
        <f t="shared" si="10"/>
        <v>48</v>
      </c>
      <c r="AY74" s="112">
        <f t="shared" si="10"/>
        <v>49</v>
      </c>
      <c r="AZ74" s="89" t="s">
        <v>186</v>
      </c>
    </row>
    <row r="75" spans="1:52" ht="15.75" x14ac:dyDescent="0.4">
      <c r="A75" s="116" t="s">
        <v>283</v>
      </c>
      <c r="B75" s="84"/>
      <c r="C75" s="84"/>
      <c r="D75" s="84"/>
      <c r="E75" s="84"/>
      <c r="F75" s="84"/>
      <c r="G75" s="84"/>
      <c r="H75" s="84"/>
      <c r="I75" s="84"/>
      <c r="J75" s="84"/>
      <c r="K75" s="84"/>
      <c r="L75" s="84"/>
      <c r="AZ75" s="89" t="s">
        <v>186</v>
      </c>
    </row>
    <row r="76" spans="1:52" ht="15.75" x14ac:dyDescent="0.4">
      <c r="A76" s="83"/>
      <c r="B76" s="176"/>
      <c r="C76" s="176"/>
      <c r="D76" s="176"/>
      <c r="E76" s="176"/>
      <c r="F76" s="176"/>
      <c r="G76" s="176"/>
      <c r="H76" s="176"/>
      <c r="I76" s="176"/>
      <c r="J76" s="176"/>
      <c r="K76" s="176"/>
      <c r="L76" s="176"/>
      <c r="M76" s="246"/>
      <c r="N76" s="246"/>
      <c r="O76" s="246"/>
      <c r="P76" s="246"/>
      <c r="Q76" s="246"/>
      <c r="R76" s="246"/>
      <c r="S76" s="246"/>
      <c r="T76" s="246"/>
      <c r="U76" s="246"/>
      <c r="V76" s="246"/>
      <c r="W76" s="246"/>
      <c r="X76" s="246"/>
      <c r="Y76" s="246"/>
      <c r="Z76" s="246"/>
      <c r="AA76" s="246"/>
      <c r="AB76" s="246"/>
      <c r="AC76" s="246"/>
      <c r="AD76" s="246"/>
      <c r="AE76" s="246"/>
      <c r="AF76" s="246"/>
      <c r="AG76" s="246"/>
      <c r="AH76" s="246"/>
      <c r="AI76" s="246"/>
      <c r="AJ76" s="246"/>
      <c r="AK76" s="246"/>
      <c r="AL76" s="246"/>
      <c r="AM76" s="246"/>
      <c r="AN76" s="246"/>
      <c r="AO76" s="246"/>
      <c r="AP76" s="246"/>
      <c r="AQ76" s="246"/>
      <c r="AR76" s="246"/>
      <c r="AS76" s="246"/>
      <c r="AT76" s="246"/>
      <c r="AU76" s="246"/>
      <c r="AV76" s="246"/>
      <c r="AW76" s="246"/>
      <c r="AX76" s="246"/>
      <c r="AY76" s="246"/>
      <c r="AZ76" s="246" t="s">
        <v>186</v>
      </c>
    </row>
    <row r="77" spans="1:52" ht="15.75" x14ac:dyDescent="0.4">
      <c r="A77" s="107" t="s">
        <v>284</v>
      </c>
      <c r="B77" s="176">
        <f>B64</f>
        <v>0</v>
      </c>
      <c r="C77" s="176">
        <f t="shared" ref="C77:AY77" si="11">C64</f>
        <v>0</v>
      </c>
      <c r="D77" s="176">
        <f t="shared" si="11"/>
        <v>40</v>
      </c>
      <c r="E77" s="176">
        <f t="shared" si="11"/>
        <v>40</v>
      </c>
      <c r="F77" s="176">
        <f t="shared" si="11"/>
        <v>40.137254901960787</v>
      </c>
      <c r="G77" s="176">
        <f t="shared" si="11"/>
        <v>40</v>
      </c>
      <c r="H77" s="176">
        <f t="shared" si="11"/>
        <v>40</v>
      </c>
      <c r="I77" s="176">
        <f t="shared" si="11"/>
        <v>40</v>
      </c>
      <c r="J77" s="176">
        <f t="shared" si="11"/>
        <v>40</v>
      </c>
      <c r="K77" s="176">
        <f t="shared" si="11"/>
        <v>40.833333333333336</v>
      </c>
      <c r="L77" s="176">
        <f t="shared" si="11"/>
        <v>40</v>
      </c>
      <c r="M77" s="176">
        <f t="shared" si="11"/>
        <v>40</v>
      </c>
      <c r="N77" s="176">
        <f t="shared" si="11"/>
        <v>40</v>
      </c>
      <c r="O77" s="176">
        <f t="shared" si="11"/>
        <v>40</v>
      </c>
      <c r="P77" s="176">
        <f t="shared" si="11"/>
        <v>40.588235294117645</v>
      </c>
      <c r="Q77" s="176">
        <f t="shared" si="11"/>
        <v>40</v>
      </c>
      <c r="R77" s="176">
        <f t="shared" si="11"/>
        <v>40</v>
      </c>
      <c r="S77" s="176">
        <f t="shared" si="11"/>
        <v>40</v>
      </c>
      <c r="T77" s="176">
        <f t="shared" si="11"/>
        <v>40</v>
      </c>
      <c r="U77" s="176">
        <f t="shared" si="11"/>
        <v>42.156862745098039</v>
      </c>
      <c r="V77" s="176">
        <f t="shared" si="11"/>
        <v>40</v>
      </c>
      <c r="W77" s="176">
        <f t="shared" si="11"/>
        <v>40</v>
      </c>
      <c r="X77" s="176">
        <f t="shared" si="11"/>
        <v>40</v>
      </c>
      <c r="Y77" s="176">
        <f t="shared" si="11"/>
        <v>40</v>
      </c>
      <c r="Z77" s="176">
        <f t="shared" si="11"/>
        <v>40.323529411764703</v>
      </c>
      <c r="AA77" s="176">
        <f t="shared" si="11"/>
        <v>40</v>
      </c>
      <c r="AB77" s="176">
        <f t="shared" si="11"/>
        <v>59.607843137254903</v>
      </c>
      <c r="AC77" s="176">
        <f t="shared" si="11"/>
        <v>59.607843137254903</v>
      </c>
      <c r="AD77" s="176">
        <f t="shared" si="11"/>
        <v>59.607843137254903</v>
      </c>
      <c r="AE77" s="176">
        <f t="shared" si="11"/>
        <v>59.607843137254903</v>
      </c>
      <c r="AF77" s="176">
        <f t="shared" si="11"/>
        <v>59.607843137254903</v>
      </c>
      <c r="AG77" s="176">
        <f t="shared" si="11"/>
        <v>59.607843137254903</v>
      </c>
      <c r="AH77" s="176">
        <f t="shared" si="11"/>
        <v>59.607843137254903</v>
      </c>
      <c r="AI77" s="176">
        <f t="shared" si="11"/>
        <v>59.607843137254903</v>
      </c>
      <c r="AJ77" s="176">
        <f t="shared" si="11"/>
        <v>59.607843137254903</v>
      </c>
      <c r="AK77" s="176">
        <f t="shared" si="11"/>
        <v>59.607843137254903</v>
      </c>
      <c r="AL77" s="176">
        <f t="shared" si="11"/>
        <v>59.607843137254903</v>
      </c>
      <c r="AM77" s="176">
        <f t="shared" si="11"/>
        <v>59.607843137254903</v>
      </c>
      <c r="AN77" s="176">
        <f t="shared" si="11"/>
        <v>59.607843137254903</v>
      </c>
      <c r="AO77" s="176">
        <f t="shared" si="11"/>
        <v>59.607843137254903</v>
      </c>
      <c r="AP77" s="176">
        <f t="shared" si="11"/>
        <v>59.607843137254903</v>
      </c>
      <c r="AQ77" s="176">
        <f t="shared" si="11"/>
        <v>59.607843137254903</v>
      </c>
      <c r="AR77" s="176">
        <f t="shared" si="11"/>
        <v>59.607843137254903</v>
      </c>
      <c r="AS77" s="176">
        <f t="shared" si="11"/>
        <v>59.607843137254903</v>
      </c>
      <c r="AT77" s="176">
        <f t="shared" si="11"/>
        <v>59.607843137254903</v>
      </c>
      <c r="AU77" s="176">
        <f t="shared" si="11"/>
        <v>59.607843137254903</v>
      </c>
      <c r="AV77" s="176">
        <f t="shared" si="11"/>
        <v>59.607843137254903</v>
      </c>
      <c r="AW77" s="176">
        <f t="shared" si="11"/>
        <v>59.607843137254903</v>
      </c>
      <c r="AX77" s="176">
        <f t="shared" si="11"/>
        <v>59.607843137254903</v>
      </c>
      <c r="AY77" s="176">
        <f t="shared" si="11"/>
        <v>59.607843137254903</v>
      </c>
      <c r="AZ77" s="246" t="s">
        <v>186</v>
      </c>
    </row>
    <row r="78" spans="1:52" ht="15.75" customHeight="1" x14ac:dyDescent="0.4">
      <c r="A78" s="84" t="s">
        <v>285</v>
      </c>
      <c r="B78" s="225"/>
      <c r="C78" s="225"/>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c r="AW78" s="176"/>
      <c r="AX78" s="176"/>
      <c r="AY78" s="176"/>
      <c r="AZ78" s="246" t="s">
        <v>186</v>
      </c>
    </row>
    <row r="79" spans="1:52" ht="15.75" x14ac:dyDescent="0.4">
      <c r="A79" s="272" t="s">
        <v>286</v>
      </c>
      <c r="B79" s="300">
        <f>B77+B78</f>
        <v>0</v>
      </c>
      <c r="C79" s="300">
        <f t="shared" ref="C79:AY79" si="12">C77+C78</f>
        <v>0</v>
      </c>
      <c r="D79" s="300">
        <f t="shared" si="12"/>
        <v>40</v>
      </c>
      <c r="E79" s="300">
        <f t="shared" si="12"/>
        <v>40</v>
      </c>
      <c r="F79" s="300">
        <f t="shared" si="12"/>
        <v>40.137254901960787</v>
      </c>
      <c r="G79" s="300">
        <f t="shared" si="12"/>
        <v>40</v>
      </c>
      <c r="H79" s="300">
        <f t="shared" si="12"/>
        <v>40</v>
      </c>
      <c r="I79" s="300">
        <f t="shared" si="12"/>
        <v>40</v>
      </c>
      <c r="J79" s="300">
        <f t="shared" si="12"/>
        <v>40</v>
      </c>
      <c r="K79" s="300">
        <f t="shared" si="12"/>
        <v>40.833333333333336</v>
      </c>
      <c r="L79" s="300">
        <f t="shared" si="12"/>
        <v>40</v>
      </c>
      <c r="M79" s="300">
        <f t="shared" si="12"/>
        <v>40</v>
      </c>
      <c r="N79" s="300">
        <f t="shared" si="12"/>
        <v>40</v>
      </c>
      <c r="O79" s="300">
        <f t="shared" si="12"/>
        <v>40</v>
      </c>
      <c r="P79" s="300">
        <f t="shared" si="12"/>
        <v>40.588235294117645</v>
      </c>
      <c r="Q79" s="300">
        <f t="shared" si="12"/>
        <v>40</v>
      </c>
      <c r="R79" s="300">
        <f t="shared" si="12"/>
        <v>40</v>
      </c>
      <c r="S79" s="300">
        <f t="shared" si="12"/>
        <v>40</v>
      </c>
      <c r="T79" s="300">
        <f t="shared" si="12"/>
        <v>40</v>
      </c>
      <c r="U79" s="300">
        <f t="shared" si="12"/>
        <v>42.156862745098039</v>
      </c>
      <c r="V79" s="300">
        <f t="shared" si="12"/>
        <v>40</v>
      </c>
      <c r="W79" s="300">
        <f t="shared" si="12"/>
        <v>40</v>
      </c>
      <c r="X79" s="300">
        <f t="shared" si="12"/>
        <v>40</v>
      </c>
      <c r="Y79" s="300">
        <f t="shared" si="12"/>
        <v>40</v>
      </c>
      <c r="Z79" s="300">
        <f t="shared" si="12"/>
        <v>40.323529411764703</v>
      </c>
      <c r="AA79" s="300">
        <f t="shared" si="12"/>
        <v>40</v>
      </c>
      <c r="AB79" s="300">
        <f t="shared" si="12"/>
        <v>59.607843137254903</v>
      </c>
      <c r="AC79" s="300">
        <f t="shared" si="12"/>
        <v>59.607843137254903</v>
      </c>
      <c r="AD79" s="300">
        <f t="shared" si="12"/>
        <v>59.607843137254903</v>
      </c>
      <c r="AE79" s="300">
        <f t="shared" si="12"/>
        <v>59.607843137254903</v>
      </c>
      <c r="AF79" s="300">
        <f t="shared" si="12"/>
        <v>59.607843137254903</v>
      </c>
      <c r="AG79" s="300">
        <f t="shared" si="12"/>
        <v>59.607843137254903</v>
      </c>
      <c r="AH79" s="300">
        <f t="shared" si="12"/>
        <v>59.607843137254903</v>
      </c>
      <c r="AI79" s="300">
        <f t="shared" si="12"/>
        <v>59.607843137254903</v>
      </c>
      <c r="AJ79" s="300">
        <f t="shared" si="12"/>
        <v>59.607843137254903</v>
      </c>
      <c r="AK79" s="300">
        <f t="shared" si="12"/>
        <v>59.607843137254903</v>
      </c>
      <c r="AL79" s="300">
        <f t="shared" si="12"/>
        <v>59.607843137254903</v>
      </c>
      <c r="AM79" s="300">
        <f t="shared" si="12"/>
        <v>59.607843137254903</v>
      </c>
      <c r="AN79" s="300">
        <f t="shared" si="12"/>
        <v>59.607843137254903</v>
      </c>
      <c r="AO79" s="300">
        <f t="shared" si="12"/>
        <v>59.607843137254903</v>
      </c>
      <c r="AP79" s="300">
        <f t="shared" si="12"/>
        <v>59.607843137254903</v>
      </c>
      <c r="AQ79" s="300">
        <f t="shared" si="12"/>
        <v>59.607843137254903</v>
      </c>
      <c r="AR79" s="300">
        <f t="shared" si="12"/>
        <v>59.607843137254903</v>
      </c>
      <c r="AS79" s="300">
        <f t="shared" si="12"/>
        <v>59.607843137254903</v>
      </c>
      <c r="AT79" s="300">
        <f t="shared" si="12"/>
        <v>59.607843137254903</v>
      </c>
      <c r="AU79" s="300">
        <f t="shared" si="12"/>
        <v>59.607843137254903</v>
      </c>
      <c r="AV79" s="300">
        <f t="shared" si="12"/>
        <v>59.607843137254903</v>
      </c>
      <c r="AW79" s="300">
        <f t="shared" si="12"/>
        <v>59.607843137254903</v>
      </c>
      <c r="AX79" s="300">
        <f t="shared" si="12"/>
        <v>59.607843137254903</v>
      </c>
      <c r="AY79" s="300">
        <f t="shared" si="12"/>
        <v>59.607843137254903</v>
      </c>
      <c r="AZ79" s="302" t="s">
        <v>186</v>
      </c>
    </row>
    <row r="80" spans="1:52" ht="15.75" customHeight="1" x14ac:dyDescent="0.4">
      <c r="A80" s="107"/>
      <c r="B80" s="225"/>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6"/>
      <c r="AX80" s="176"/>
      <c r="AY80" s="176"/>
      <c r="AZ80" s="246" t="s">
        <v>186</v>
      </c>
    </row>
    <row r="81" spans="1:52" ht="15.75" customHeight="1" x14ac:dyDescent="0.4">
      <c r="A81" s="116" t="s">
        <v>283</v>
      </c>
      <c r="B81" s="225"/>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6"/>
      <c r="AX81" s="176"/>
      <c r="AY81" s="176"/>
      <c r="AZ81" s="246" t="s">
        <v>186</v>
      </c>
    </row>
    <row r="82" spans="1:52" ht="15.75" x14ac:dyDescent="0.4">
      <c r="A82" s="107"/>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6"/>
      <c r="AX82" s="176"/>
      <c r="AY82" s="176"/>
      <c r="AZ82" s="246" t="s">
        <v>186</v>
      </c>
    </row>
    <row r="83" spans="1:52" ht="15.75" customHeight="1" x14ac:dyDescent="0.4">
      <c r="A83" s="280" t="s">
        <v>287</v>
      </c>
      <c r="B83" s="337"/>
      <c r="C83" s="337"/>
      <c r="D83" s="337"/>
      <c r="E83" s="337"/>
      <c r="F83" s="337"/>
      <c r="G83" s="337"/>
      <c r="H83" s="337"/>
      <c r="I83" s="337"/>
      <c r="J83" s="337"/>
      <c r="K83" s="337"/>
      <c r="L83" s="337"/>
      <c r="M83" s="337"/>
      <c r="N83" s="337"/>
      <c r="O83" s="337"/>
      <c r="P83" s="337"/>
      <c r="Q83" s="337"/>
      <c r="R83" s="337"/>
      <c r="S83" s="337"/>
      <c r="T83" s="337"/>
      <c r="U83" s="337"/>
      <c r="V83" s="337"/>
      <c r="W83" s="337"/>
      <c r="X83" s="337"/>
      <c r="Y83" s="337"/>
      <c r="Z83" s="337"/>
      <c r="AA83" s="337"/>
      <c r="AB83" s="337"/>
      <c r="AC83" s="337"/>
      <c r="AD83" s="337"/>
      <c r="AE83" s="337"/>
      <c r="AF83" s="337"/>
      <c r="AG83" s="337"/>
      <c r="AH83" s="337"/>
      <c r="AI83" s="337"/>
      <c r="AJ83" s="337"/>
      <c r="AK83" s="337"/>
      <c r="AL83" s="337"/>
      <c r="AM83" s="337"/>
      <c r="AN83" s="337"/>
      <c r="AO83" s="337"/>
      <c r="AP83" s="337"/>
      <c r="AQ83" s="337"/>
      <c r="AR83" s="337"/>
      <c r="AS83" s="337"/>
      <c r="AT83" s="337"/>
      <c r="AU83" s="337"/>
      <c r="AV83" s="337"/>
      <c r="AW83" s="337"/>
      <c r="AX83" s="337"/>
      <c r="AY83" s="337"/>
      <c r="AZ83" s="246" t="s">
        <v>186</v>
      </c>
    </row>
    <row r="84" spans="1:52" ht="15.75" customHeight="1" x14ac:dyDescent="0.4">
      <c r="A84" s="107"/>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c r="AA84" s="176"/>
      <c r="AB84" s="176"/>
      <c r="AC84" s="176"/>
      <c r="AD84" s="176"/>
      <c r="AE84" s="176"/>
      <c r="AF84" s="176"/>
      <c r="AG84" s="176"/>
      <c r="AH84" s="176"/>
      <c r="AI84" s="176"/>
      <c r="AJ84" s="176"/>
      <c r="AK84" s="176"/>
      <c r="AL84" s="176"/>
      <c r="AM84" s="176"/>
      <c r="AN84" s="176"/>
      <c r="AO84" s="176"/>
      <c r="AP84" s="176"/>
      <c r="AQ84" s="176"/>
      <c r="AR84" s="176"/>
      <c r="AS84" s="176"/>
      <c r="AT84" s="176"/>
      <c r="AU84" s="176"/>
      <c r="AV84" s="176"/>
      <c r="AW84" s="176"/>
      <c r="AX84" s="176"/>
      <c r="AY84" s="176"/>
      <c r="AZ84" s="246" t="s">
        <v>186</v>
      </c>
    </row>
    <row r="85" spans="1:52" ht="15.75" x14ac:dyDescent="0.4">
      <c r="A85" s="280" t="s">
        <v>288</v>
      </c>
      <c r="B85" s="176">
        <f>-SUM(B20,B25,B27,B32,B34,B36)</f>
        <v>0</v>
      </c>
      <c r="C85" s="176">
        <f t="shared" ref="C85:AY85" si="13">-SUM(C20,C25,C27,C32,C34,C36)</f>
        <v>0</v>
      </c>
      <c r="D85" s="176">
        <f t="shared" si="13"/>
        <v>0</v>
      </c>
      <c r="E85" s="176">
        <f t="shared" si="13"/>
        <v>0</v>
      </c>
      <c r="F85" s="176">
        <f t="shared" si="13"/>
        <v>-2.7450980392156876E-3</v>
      </c>
      <c r="G85" s="176">
        <f t="shared" si="13"/>
        <v>0</v>
      </c>
      <c r="H85" s="176">
        <f t="shared" si="13"/>
        <v>0</v>
      </c>
      <c r="I85" s="176">
        <f t="shared" si="13"/>
        <v>0</v>
      </c>
      <c r="J85" s="176">
        <f t="shared" si="13"/>
        <v>0</v>
      </c>
      <c r="K85" s="176">
        <f t="shared" si="13"/>
        <v>-1.6666666666666718E-2</v>
      </c>
      <c r="L85" s="176">
        <f t="shared" si="13"/>
        <v>0</v>
      </c>
      <c r="M85" s="176">
        <f t="shared" si="13"/>
        <v>0</v>
      </c>
      <c r="N85" s="176">
        <f t="shared" si="13"/>
        <v>0</v>
      </c>
      <c r="O85" s="176">
        <f t="shared" si="13"/>
        <v>0</v>
      </c>
      <c r="P85" s="176">
        <f t="shared" si="13"/>
        <v>-1.1764705882352899E-2</v>
      </c>
      <c r="Q85" s="176">
        <f t="shared" si="13"/>
        <v>0</v>
      </c>
      <c r="R85" s="176">
        <f t="shared" si="13"/>
        <v>0</v>
      </c>
      <c r="S85" s="176">
        <f t="shared" si="13"/>
        <v>0</v>
      </c>
      <c r="T85" s="176">
        <f t="shared" si="13"/>
        <v>0</v>
      </c>
      <c r="U85" s="176">
        <f t="shared" si="13"/>
        <v>-4.3137254901960631E-2</v>
      </c>
      <c r="V85" s="176">
        <f t="shared" si="13"/>
        <v>0</v>
      </c>
      <c r="W85" s="176">
        <f t="shared" si="13"/>
        <v>0</v>
      </c>
      <c r="X85" s="176">
        <f t="shared" si="13"/>
        <v>0</v>
      </c>
      <c r="Y85" s="176">
        <f t="shared" si="13"/>
        <v>0</v>
      </c>
      <c r="Z85" s="176">
        <f t="shared" si="13"/>
        <v>-6.4705882352941169E-3</v>
      </c>
      <c r="AA85" s="176">
        <f t="shared" si="13"/>
        <v>0</v>
      </c>
      <c r="AB85" s="176">
        <f t="shared" si="13"/>
        <v>-0.39215686274509665</v>
      </c>
      <c r="AC85" s="176">
        <f t="shared" si="13"/>
        <v>-0.39215686274509665</v>
      </c>
      <c r="AD85" s="176">
        <f t="shared" si="13"/>
        <v>-0.39215686274509665</v>
      </c>
      <c r="AE85" s="176">
        <f t="shared" si="13"/>
        <v>-0.39215686274509665</v>
      </c>
      <c r="AF85" s="176">
        <f t="shared" si="13"/>
        <v>-0.39215686274509665</v>
      </c>
      <c r="AG85" s="176">
        <f t="shared" si="13"/>
        <v>-0.39215686274509665</v>
      </c>
      <c r="AH85" s="176">
        <f t="shared" si="13"/>
        <v>-0.39215686274509665</v>
      </c>
      <c r="AI85" s="176">
        <f t="shared" si="13"/>
        <v>-0.39215686274509665</v>
      </c>
      <c r="AJ85" s="176">
        <f t="shared" si="13"/>
        <v>-0.39215686274509665</v>
      </c>
      <c r="AK85" s="176">
        <f t="shared" si="13"/>
        <v>-0.39215686274509665</v>
      </c>
      <c r="AL85" s="176">
        <f t="shared" si="13"/>
        <v>-0.39215686274509665</v>
      </c>
      <c r="AM85" s="176">
        <f t="shared" si="13"/>
        <v>-0.39215686274509665</v>
      </c>
      <c r="AN85" s="176">
        <f t="shared" si="13"/>
        <v>-0.39215686274509665</v>
      </c>
      <c r="AO85" s="176">
        <f t="shared" si="13"/>
        <v>-0.39215686274509665</v>
      </c>
      <c r="AP85" s="176">
        <f t="shared" si="13"/>
        <v>-0.39215686274509665</v>
      </c>
      <c r="AQ85" s="176">
        <f t="shared" si="13"/>
        <v>-0.39215686274509665</v>
      </c>
      <c r="AR85" s="176">
        <f t="shared" si="13"/>
        <v>-0.39215686274509665</v>
      </c>
      <c r="AS85" s="176">
        <f t="shared" si="13"/>
        <v>-0.39215686274509665</v>
      </c>
      <c r="AT85" s="176">
        <f t="shared" si="13"/>
        <v>-0.39215686274509665</v>
      </c>
      <c r="AU85" s="176">
        <f t="shared" si="13"/>
        <v>-0.39215686274509665</v>
      </c>
      <c r="AV85" s="176">
        <f t="shared" si="13"/>
        <v>-0.39215686274509665</v>
      </c>
      <c r="AW85" s="176">
        <f t="shared" si="13"/>
        <v>-0.39215686274509665</v>
      </c>
      <c r="AX85" s="176">
        <f t="shared" si="13"/>
        <v>-0.39215686274509665</v>
      </c>
      <c r="AY85" s="176">
        <f t="shared" si="13"/>
        <v>-0.39215686274509665</v>
      </c>
      <c r="AZ85" s="246" t="s">
        <v>186</v>
      </c>
    </row>
    <row r="86" spans="1:52" ht="15.75" x14ac:dyDescent="0.4">
      <c r="A86" s="107"/>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c r="AB86" s="176"/>
      <c r="AC86" s="176"/>
      <c r="AD86" s="176"/>
      <c r="AE86" s="176"/>
      <c r="AF86" s="176"/>
      <c r="AG86" s="176"/>
      <c r="AH86" s="176"/>
      <c r="AI86" s="176"/>
      <c r="AJ86" s="176"/>
      <c r="AK86" s="176"/>
      <c r="AL86" s="176"/>
      <c r="AM86" s="176"/>
      <c r="AN86" s="176"/>
      <c r="AO86" s="176"/>
      <c r="AP86" s="176"/>
      <c r="AQ86" s="176"/>
      <c r="AR86" s="176"/>
      <c r="AS86" s="176"/>
      <c r="AT86" s="176"/>
      <c r="AU86" s="176"/>
      <c r="AV86" s="176"/>
      <c r="AW86" s="176"/>
      <c r="AX86" s="176"/>
      <c r="AY86" s="176"/>
      <c r="AZ86" s="246"/>
    </row>
    <row r="87" spans="1:52" ht="15.75" x14ac:dyDescent="0.4">
      <c r="A87" s="280" t="s">
        <v>289</v>
      </c>
      <c r="B87" s="176">
        <f>SUM(B88,B89)</f>
        <v>0</v>
      </c>
      <c r="C87" s="176">
        <f t="shared" ref="C87:AY87" si="14">SUM(C88,C89)</f>
        <v>0</v>
      </c>
      <c r="D87" s="176">
        <f t="shared" si="14"/>
        <v>0</v>
      </c>
      <c r="E87" s="176">
        <f t="shared" si="14"/>
        <v>0</v>
      </c>
      <c r="F87" s="176">
        <f t="shared" si="14"/>
        <v>0</v>
      </c>
      <c r="G87" s="176">
        <f t="shared" si="14"/>
        <v>0</v>
      </c>
      <c r="H87" s="176">
        <f t="shared" si="14"/>
        <v>0</v>
      </c>
      <c r="I87" s="176">
        <f t="shared" si="14"/>
        <v>0</v>
      </c>
      <c r="J87" s="176">
        <f t="shared" si="14"/>
        <v>0</v>
      </c>
      <c r="K87" s="176">
        <f t="shared" si="14"/>
        <v>0</v>
      </c>
      <c r="L87" s="176">
        <f t="shared" si="14"/>
        <v>0</v>
      </c>
      <c r="M87" s="176">
        <f t="shared" si="14"/>
        <v>0</v>
      </c>
      <c r="N87" s="176">
        <f t="shared" si="14"/>
        <v>0</v>
      </c>
      <c r="O87" s="176">
        <f t="shared" si="14"/>
        <v>0</v>
      </c>
      <c r="P87" s="176">
        <f t="shared" si="14"/>
        <v>0</v>
      </c>
      <c r="Q87" s="176">
        <f t="shared" si="14"/>
        <v>0</v>
      </c>
      <c r="R87" s="176">
        <f t="shared" si="14"/>
        <v>0</v>
      </c>
      <c r="S87" s="176">
        <f t="shared" si="14"/>
        <v>0</v>
      </c>
      <c r="T87" s="176">
        <f t="shared" si="14"/>
        <v>0</v>
      </c>
      <c r="U87" s="176">
        <f t="shared" si="14"/>
        <v>0</v>
      </c>
      <c r="V87" s="176">
        <f t="shared" si="14"/>
        <v>0</v>
      </c>
      <c r="W87" s="176">
        <f t="shared" si="14"/>
        <v>0</v>
      </c>
      <c r="X87" s="176">
        <f t="shared" si="14"/>
        <v>0</v>
      </c>
      <c r="Y87" s="176">
        <f t="shared" si="14"/>
        <v>0</v>
      </c>
      <c r="Z87" s="176">
        <f t="shared" si="14"/>
        <v>0</v>
      </c>
      <c r="AA87" s="176">
        <f t="shared" si="14"/>
        <v>0</v>
      </c>
      <c r="AB87" s="176">
        <f t="shared" si="14"/>
        <v>0</v>
      </c>
      <c r="AC87" s="176">
        <f t="shared" si="14"/>
        <v>0</v>
      </c>
      <c r="AD87" s="176">
        <f t="shared" si="14"/>
        <v>0</v>
      </c>
      <c r="AE87" s="176">
        <f t="shared" si="14"/>
        <v>0</v>
      </c>
      <c r="AF87" s="176">
        <f t="shared" si="14"/>
        <v>0</v>
      </c>
      <c r="AG87" s="176">
        <f t="shared" si="14"/>
        <v>0</v>
      </c>
      <c r="AH87" s="176">
        <f t="shared" si="14"/>
        <v>0</v>
      </c>
      <c r="AI87" s="176">
        <f t="shared" si="14"/>
        <v>0</v>
      </c>
      <c r="AJ87" s="176">
        <f t="shared" si="14"/>
        <v>0</v>
      </c>
      <c r="AK87" s="176">
        <f t="shared" si="14"/>
        <v>0</v>
      </c>
      <c r="AL87" s="176">
        <f t="shared" si="14"/>
        <v>0</v>
      </c>
      <c r="AM87" s="176">
        <f t="shared" si="14"/>
        <v>0</v>
      </c>
      <c r="AN87" s="176">
        <f t="shared" si="14"/>
        <v>0</v>
      </c>
      <c r="AO87" s="176">
        <f t="shared" si="14"/>
        <v>0</v>
      </c>
      <c r="AP87" s="176">
        <f t="shared" si="14"/>
        <v>0</v>
      </c>
      <c r="AQ87" s="176">
        <f t="shared" si="14"/>
        <v>0</v>
      </c>
      <c r="AR87" s="176">
        <f t="shared" si="14"/>
        <v>0</v>
      </c>
      <c r="AS87" s="176">
        <f t="shared" si="14"/>
        <v>0</v>
      </c>
      <c r="AT87" s="176">
        <f t="shared" si="14"/>
        <v>0</v>
      </c>
      <c r="AU87" s="176">
        <f t="shared" si="14"/>
        <v>0</v>
      </c>
      <c r="AV87" s="176">
        <f t="shared" si="14"/>
        <v>0</v>
      </c>
      <c r="AW87" s="176">
        <f t="shared" si="14"/>
        <v>0</v>
      </c>
      <c r="AX87" s="176">
        <f t="shared" si="14"/>
        <v>0</v>
      </c>
      <c r="AY87" s="176">
        <f t="shared" si="14"/>
        <v>0</v>
      </c>
      <c r="AZ87" s="246" t="s">
        <v>186</v>
      </c>
    </row>
    <row r="88" spans="1:52" ht="15.75" x14ac:dyDescent="0.4">
      <c r="A88" s="107" t="s">
        <v>7</v>
      </c>
      <c r="B88" s="337"/>
      <c r="C88" s="337"/>
      <c r="D88" s="337"/>
      <c r="E88" s="337"/>
      <c r="F88" s="337"/>
      <c r="G88" s="337"/>
      <c r="H88" s="337"/>
      <c r="I88" s="337"/>
      <c r="J88" s="337"/>
      <c r="K88" s="337"/>
      <c r="L88" s="337"/>
      <c r="M88" s="337"/>
      <c r="N88" s="337"/>
      <c r="O88" s="337"/>
      <c r="P88" s="337"/>
      <c r="Q88" s="337"/>
      <c r="R88" s="337"/>
      <c r="S88" s="337"/>
      <c r="T88" s="337"/>
      <c r="U88" s="337"/>
      <c r="V88" s="337"/>
      <c r="W88" s="337"/>
      <c r="X88" s="337"/>
      <c r="Y88" s="337"/>
      <c r="Z88" s="337"/>
      <c r="AA88" s="337"/>
      <c r="AB88" s="337"/>
      <c r="AC88" s="337"/>
      <c r="AD88" s="337"/>
      <c r="AE88" s="337"/>
      <c r="AF88" s="337"/>
      <c r="AG88" s="337"/>
      <c r="AH88" s="337"/>
      <c r="AI88" s="337"/>
      <c r="AJ88" s="337"/>
      <c r="AK88" s="337"/>
      <c r="AL88" s="337"/>
      <c r="AM88" s="337"/>
      <c r="AN88" s="337"/>
      <c r="AO88" s="337"/>
      <c r="AP88" s="337"/>
      <c r="AQ88" s="337"/>
      <c r="AR88" s="337"/>
      <c r="AS88" s="337"/>
      <c r="AT88" s="337"/>
      <c r="AU88" s="337"/>
      <c r="AV88" s="337"/>
      <c r="AW88" s="337"/>
      <c r="AX88" s="337"/>
      <c r="AY88" s="337"/>
      <c r="AZ88" s="246" t="s">
        <v>186</v>
      </c>
    </row>
    <row r="89" spans="1:52" ht="15.75" x14ac:dyDescent="0.4">
      <c r="A89" s="107" t="s">
        <v>179</v>
      </c>
      <c r="B89" s="337"/>
      <c r="C89" s="337"/>
      <c r="D89" s="337"/>
      <c r="E89" s="337"/>
      <c r="F89" s="337"/>
      <c r="G89" s="337"/>
      <c r="H89" s="337"/>
      <c r="I89" s="337"/>
      <c r="J89" s="337"/>
      <c r="K89" s="337"/>
      <c r="L89" s="337"/>
      <c r="M89" s="337"/>
      <c r="N89" s="337"/>
      <c r="O89" s="337"/>
      <c r="P89" s="337"/>
      <c r="Q89" s="337"/>
      <c r="R89" s="337"/>
      <c r="S89" s="337"/>
      <c r="T89" s="337"/>
      <c r="U89" s="337"/>
      <c r="V89" s="337"/>
      <c r="W89" s="337"/>
      <c r="X89" s="337"/>
      <c r="Y89" s="337"/>
      <c r="Z89" s="337"/>
      <c r="AA89" s="337"/>
      <c r="AB89" s="337"/>
      <c r="AC89" s="337"/>
      <c r="AD89" s="337"/>
      <c r="AE89" s="337"/>
      <c r="AF89" s="337"/>
      <c r="AG89" s="337"/>
      <c r="AH89" s="337"/>
      <c r="AI89" s="337"/>
      <c r="AJ89" s="337"/>
      <c r="AK89" s="337"/>
      <c r="AL89" s="337"/>
      <c r="AM89" s="337"/>
      <c r="AN89" s="337"/>
      <c r="AO89" s="337"/>
      <c r="AP89" s="337"/>
      <c r="AQ89" s="337"/>
      <c r="AR89" s="337"/>
      <c r="AS89" s="337"/>
      <c r="AT89" s="337"/>
      <c r="AU89" s="337"/>
      <c r="AV89" s="337"/>
      <c r="AW89" s="337"/>
      <c r="AX89" s="337"/>
      <c r="AY89" s="337"/>
      <c r="AZ89" s="246" t="s">
        <v>186</v>
      </c>
    </row>
    <row r="90" spans="1:52" ht="15.75" x14ac:dyDescent="0.4">
      <c r="A90" s="107"/>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c r="AX90" s="176"/>
      <c r="AY90" s="176"/>
      <c r="AZ90" s="246" t="s">
        <v>186</v>
      </c>
    </row>
    <row r="91" spans="1:52" ht="15.75" x14ac:dyDescent="0.4">
      <c r="A91" s="280" t="s">
        <v>290</v>
      </c>
      <c r="B91" s="176">
        <f>B92</f>
        <v>0</v>
      </c>
      <c r="C91" s="176">
        <f t="shared" ref="C91:AY91" si="15">C92</f>
        <v>0</v>
      </c>
      <c r="D91" s="176">
        <f t="shared" si="15"/>
        <v>0</v>
      </c>
      <c r="E91" s="176">
        <f t="shared" si="15"/>
        <v>0</v>
      </c>
      <c r="F91" s="176">
        <f t="shared" si="15"/>
        <v>0</v>
      </c>
      <c r="G91" s="176">
        <f t="shared" si="15"/>
        <v>0</v>
      </c>
      <c r="H91" s="176">
        <f t="shared" si="15"/>
        <v>0</v>
      </c>
      <c r="I91" s="176">
        <f t="shared" si="15"/>
        <v>0</v>
      </c>
      <c r="J91" s="176">
        <f t="shared" si="15"/>
        <v>0</v>
      </c>
      <c r="K91" s="176">
        <f t="shared" si="15"/>
        <v>0</v>
      </c>
      <c r="L91" s="176">
        <f t="shared" si="15"/>
        <v>0</v>
      </c>
      <c r="M91" s="176">
        <f t="shared" si="15"/>
        <v>0</v>
      </c>
      <c r="N91" s="176">
        <f t="shared" si="15"/>
        <v>0</v>
      </c>
      <c r="O91" s="176">
        <f t="shared" si="15"/>
        <v>0</v>
      </c>
      <c r="P91" s="176">
        <f t="shared" si="15"/>
        <v>0</v>
      </c>
      <c r="Q91" s="176">
        <f t="shared" si="15"/>
        <v>0</v>
      </c>
      <c r="R91" s="176">
        <f t="shared" si="15"/>
        <v>0</v>
      </c>
      <c r="S91" s="176">
        <f t="shared" si="15"/>
        <v>0</v>
      </c>
      <c r="T91" s="176">
        <f t="shared" si="15"/>
        <v>0</v>
      </c>
      <c r="U91" s="176">
        <f t="shared" si="15"/>
        <v>0</v>
      </c>
      <c r="V91" s="176">
        <f t="shared" si="15"/>
        <v>0</v>
      </c>
      <c r="W91" s="176">
        <f t="shared" si="15"/>
        <v>0</v>
      </c>
      <c r="X91" s="176">
        <f t="shared" si="15"/>
        <v>0</v>
      </c>
      <c r="Y91" s="176">
        <f t="shared" si="15"/>
        <v>0</v>
      </c>
      <c r="Z91" s="176">
        <f t="shared" si="15"/>
        <v>0</v>
      </c>
      <c r="AA91" s="176">
        <f t="shared" si="15"/>
        <v>0</v>
      </c>
      <c r="AB91" s="176">
        <f t="shared" si="15"/>
        <v>0</v>
      </c>
      <c r="AC91" s="176">
        <f t="shared" si="15"/>
        <v>0</v>
      </c>
      <c r="AD91" s="176">
        <f t="shared" si="15"/>
        <v>0</v>
      </c>
      <c r="AE91" s="176">
        <f t="shared" si="15"/>
        <v>0</v>
      </c>
      <c r="AF91" s="176">
        <f t="shared" si="15"/>
        <v>0</v>
      </c>
      <c r="AG91" s="176">
        <f t="shared" si="15"/>
        <v>0</v>
      </c>
      <c r="AH91" s="176">
        <f t="shared" si="15"/>
        <v>0</v>
      </c>
      <c r="AI91" s="176">
        <f t="shared" si="15"/>
        <v>0</v>
      </c>
      <c r="AJ91" s="176">
        <f t="shared" si="15"/>
        <v>0</v>
      </c>
      <c r="AK91" s="176">
        <f t="shared" si="15"/>
        <v>0</v>
      </c>
      <c r="AL91" s="176">
        <f t="shared" si="15"/>
        <v>0</v>
      </c>
      <c r="AM91" s="176">
        <f t="shared" si="15"/>
        <v>0</v>
      </c>
      <c r="AN91" s="176">
        <f t="shared" si="15"/>
        <v>0</v>
      </c>
      <c r="AO91" s="176">
        <f t="shared" si="15"/>
        <v>0</v>
      </c>
      <c r="AP91" s="176">
        <f t="shared" si="15"/>
        <v>0</v>
      </c>
      <c r="AQ91" s="176">
        <f t="shared" si="15"/>
        <v>0</v>
      </c>
      <c r="AR91" s="176">
        <f t="shared" si="15"/>
        <v>0</v>
      </c>
      <c r="AS91" s="176">
        <f t="shared" si="15"/>
        <v>0</v>
      </c>
      <c r="AT91" s="176">
        <f t="shared" si="15"/>
        <v>0</v>
      </c>
      <c r="AU91" s="176">
        <f t="shared" si="15"/>
        <v>0</v>
      </c>
      <c r="AV91" s="176">
        <f t="shared" si="15"/>
        <v>0</v>
      </c>
      <c r="AW91" s="176">
        <f t="shared" si="15"/>
        <v>0</v>
      </c>
      <c r="AX91" s="176">
        <f t="shared" si="15"/>
        <v>0</v>
      </c>
      <c r="AY91" s="176">
        <f t="shared" si="15"/>
        <v>0</v>
      </c>
      <c r="AZ91" s="246" t="s">
        <v>186</v>
      </c>
    </row>
    <row r="92" spans="1:52" ht="15.75" x14ac:dyDescent="0.4">
      <c r="A92" s="107" t="s">
        <v>276</v>
      </c>
      <c r="B92" s="337"/>
      <c r="C92" s="337"/>
      <c r="D92" s="337"/>
      <c r="E92" s="337"/>
      <c r="F92" s="337"/>
      <c r="G92" s="337"/>
      <c r="H92" s="337"/>
      <c r="I92" s="337"/>
      <c r="J92" s="337"/>
      <c r="K92" s="337"/>
      <c r="L92" s="337"/>
      <c r="M92" s="337"/>
      <c r="N92" s="337"/>
      <c r="O92" s="337"/>
      <c r="P92" s="337"/>
      <c r="Q92" s="337"/>
      <c r="R92" s="337"/>
      <c r="S92" s="337"/>
      <c r="T92" s="337"/>
      <c r="U92" s="337"/>
      <c r="V92" s="337"/>
      <c r="W92" s="337"/>
      <c r="X92" s="337"/>
      <c r="Y92" s="337"/>
      <c r="Z92" s="337"/>
      <c r="AA92" s="337"/>
      <c r="AB92" s="337"/>
      <c r="AC92" s="337"/>
      <c r="AD92" s="337"/>
      <c r="AE92" s="337"/>
      <c r="AF92" s="337"/>
      <c r="AG92" s="337"/>
      <c r="AH92" s="337"/>
      <c r="AI92" s="337"/>
      <c r="AJ92" s="337"/>
      <c r="AK92" s="337"/>
      <c r="AL92" s="337"/>
      <c r="AM92" s="337"/>
      <c r="AN92" s="337"/>
      <c r="AO92" s="337"/>
      <c r="AP92" s="337"/>
      <c r="AQ92" s="337"/>
      <c r="AR92" s="337"/>
      <c r="AS92" s="337"/>
      <c r="AT92" s="337"/>
      <c r="AU92" s="337"/>
      <c r="AV92" s="337"/>
      <c r="AW92" s="337"/>
      <c r="AX92" s="337"/>
      <c r="AY92" s="337"/>
      <c r="AZ92" s="246" t="s">
        <v>186</v>
      </c>
    </row>
    <row r="93" spans="1:52" ht="15.75" x14ac:dyDescent="0.4">
      <c r="A93" s="107"/>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c r="AA93" s="176"/>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176"/>
      <c r="AX93" s="176"/>
      <c r="AY93" s="176"/>
      <c r="AZ93" s="246"/>
    </row>
    <row r="94" spans="1:52" ht="15.75" x14ac:dyDescent="0.4">
      <c r="A94" s="275" t="s">
        <v>286</v>
      </c>
      <c r="B94" s="303">
        <f t="shared" ref="B94:AG94" si="16">SUM(B83,B85,B87,B91)</f>
        <v>0</v>
      </c>
      <c r="C94" s="303">
        <f t="shared" si="16"/>
        <v>0</v>
      </c>
      <c r="D94" s="303">
        <f t="shared" si="16"/>
        <v>0</v>
      </c>
      <c r="E94" s="303">
        <f t="shared" si="16"/>
        <v>0</v>
      </c>
      <c r="F94" s="303">
        <f t="shared" si="16"/>
        <v>-2.7450980392156876E-3</v>
      </c>
      <c r="G94" s="303">
        <f t="shared" si="16"/>
        <v>0</v>
      </c>
      <c r="H94" s="303">
        <f t="shared" si="16"/>
        <v>0</v>
      </c>
      <c r="I94" s="303">
        <f t="shared" si="16"/>
        <v>0</v>
      </c>
      <c r="J94" s="303">
        <f t="shared" si="16"/>
        <v>0</v>
      </c>
      <c r="K94" s="303">
        <f t="shared" si="16"/>
        <v>-1.6666666666666718E-2</v>
      </c>
      <c r="L94" s="303">
        <f t="shared" si="16"/>
        <v>0</v>
      </c>
      <c r="M94" s="303">
        <f t="shared" si="16"/>
        <v>0</v>
      </c>
      <c r="N94" s="303">
        <f t="shared" si="16"/>
        <v>0</v>
      </c>
      <c r="O94" s="303">
        <f t="shared" si="16"/>
        <v>0</v>
      </c>
      <c r="P94" s="303">
        <f t="shared" si="16"/>
        <v>-1.1764705882352899E-2</v>
      </c>
      <c r="Q94" s="303">
        <f t="shared" si="16"/>
        <v>0</v>
      </c>
      <c r="R94" s="303">
        <f t="shared" si="16"/>
        <v>0</v>
      </c>
      <c r="S94" s="303">
        <f t="shared" si="16"/>
        <v>0</v>
      </c>
      <c r="T94" s="303">
        <f t="shared" si="16"/>
        <v>0</v>
      </c>
      <c r="U94" s="303">
        <f t="shared" si="16"/>
        <v>-4.3137254901960631E-2</v>
      </c>
      <c r="V94" s="303">
        <f t="shared" si="16"/>
        <v>0</v>
      </c>
      <c r="W94" s="303">
        <f t="shared" si="16"/>
        <v>0</v>
      </c>
      <c r="X94" s="303">
        <f t="shared" si="16"/>
        <v>0</v>
      </c>
      <c r="Y94" s="303">
        <f t="shared" si="16"/>
        <v>0</v>
      </c>
      <c r="Z94" s="303">
        <f t="shared" si="16"/>
        <v>-6.4705882352941169E-3</v>
      </c>
      <c r="AA94" s="303">
        <f t="shared" si="16"/>
        <v>0</v>
      </c>
      <c r="AB94" s="303">
        <f t="shared" si="16"/>
        <v>-0.39215686274509665</v>
      </c>
      <c r="AC94" s="303">
        <f t="shared" si="16"/>
        <v>-0.39215686274509665</v>
      </c>
      <c r="AD94" s="303">
        <f t="shared" si="16"/>
        <v>-0.39215686274509665</v>
      </c>
      <c r="AE94" s="303">
        <f t="shared" si="16"/>
        <v>-0.39215686274509665</v>
      </c>
      <c r="AF94" s="303">
        <f t="shared" si="16"/>
        <v>-0.39215686274509665</v>
      </c>
      <c r="AG94" s="303">
        <f t="shared" si="16"/>
        <v>-0.39215686274509665</v>
      </c>
      <c r="AH94" s="303">
        <f t="shared" ref="AH94:AY94" si="17">SUM(AH83,AH85,AH87,AH91)</f>
        <v>-0.39215686274509665</v>
      </c>
      <c r="AI94" s="303">
        <f t="shared" si="17"/>
        <v>-0.39215686274509665</v>
      </c>
      <c r="AJ94" s="303">
        <f t="shared" si="17"/>
        <v>-0.39215686274509665</v>
      </c>
      <c r="AK94" s="303">
        <f t="shared" si="17"/>
        <v>-0.39215686274509665</v>
      </c>
      <c r="AL94" s="303">
        <f t="shared" si="17"/>
        <v>-0.39215686274509665</v>
      </c>
      <c r="AM94" s="303">
        <f t="shared" si="17"/>
        <v>-0.39215686274509665</v>
      </c>
      <c r="AN94" s="303">
        <f t="shared" si="17"/>
        <v>-0.39215686274509665</v>
      </c>
      <c r="AO94" s="303">
        <f t="shared" si="17"/>
        <v>-0.39215686274509665</v>
      </c>
      <c r="AP94" s="303">
        <f t="shared" si="17"/>
        <v>-0.39215686274509665</v>
      </c>
      <c r="AQ94" s="303">
        <f t="shared" si="17"/>
        <v>-0.39215686274509665</v>
      </c>
      <c r="AR94" s="303">
        <f t="shared" si="17"/>
        <v>-0.39215686274509665</v>
      </c>
      <c r="AS94" s="303">
        <f t="shared" si="17"/>
        <v>-0.39215686274509665</v>
      </c>
      <c r="AT94" s="303">
        <f t="shared" si="17"/>
        <v>-0.39215686274509665</v>
      </c>
      <c r="AU94" s="303">
        <f t="shared" si="17"/>
        <v>-0.39215686274509665</v>
      </c>
      <c r="AV94" s="303">
        <f t="shared" si="17"/>
        <v>-0.39215686274509665</v>
      </c>
      <c r="AW94" s="303">
        <f t="shared" si="17"/>
        <v>-0.39215686274509665</v>
      </c>
      <c r="AX94" s="303">
        <f t="shared" si="17"/>
        <v>-0.39215686274509665</v>
      </c>
      <c r="AY94" s="303">
        <f t="shared" si="17"/>
        <v>-0.39215686274509665</v>
      </c>
      <c r="AZ94" s="302" t="s">
        <v>186</v>
      </c>
    </row>
    <row r="95" spans="1:52" ht="15.75" x14ac:dyDescent="0.4">
      <c r="A95" s="107"/>
      <c r="B95" s="84"/>
      <c r="C95" s="85"/>
      <c r="D95" s="85"/>
      <c r="E95" s="85"/>
      <c r="F95" s="226"/>
      <c r="G95" s="85"/>
      <c r="H95" s="85"/>
      <c r="I95" s="85"/>
      <c r="J95" s="85"/>
      <c r="K95" s="226"/>
      <c r="L95" s="85"/>
      <c r="M95" s="85"/>
      <c r="N95" s="85"/>
      <c r="O95" s="85"/>
      <c r="P95" s="226"/>
      <c r="Q95" s="85"/>
      <c r="R95" s="85"/>
      <c r="S95" s="85"/>
      <c r="T95" s="85"/>
      <c r="U95" s="226"/>
      <c r="V95" s="85"/>
      <c r="W95" s="85"/>
      <c r="X95" s="85"/>
      <c r="Y95" s="85"/>
      <c r="Z95" s="226"/>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9" t="s">
        <v>186</v>
      </c>
    </row>
    <row r="96" spans="1:52" s="178" customFormat="1" ht="15.75" x14ac:dyDescent="0.4">
      <c r="A96" s="276" t="s">
        <v>291</v>
      </c>
      <c r="B96" s="277">
        <f>B79-B94</f>
        <v>0</v>
      </c>
      <c r="C96" s="277">
        <f t="shared" ref="C96:AY96" si="18">C79-C94</f>
        <v>0</v>
      </c>
      <c r="D96" s="277">
        <f t="shared" si="18"/>
        <v>40</v>
      </c>
      <c r="E96" s="277">
        <f t="shared" si="18"/>
        <v>40</v>
      </c>
      <c r="F96" s="277">
        <f t="shared" si="18"/>
        <v>40.14</v>
      </c>
      <c r="G96" s="277">
        <f t="shared" si="18"/>
        <v>40</v>
      </c>
      <c r="H96" s="277">
        <f t="shared" si="18"/>
        <v>40</v>
      </c>
      <c r="I96" s="277">
        <f t="shared" si="18"/>
        <v>40</v>
      </c>
      <c r="J96" s="277">
        <f t="shared" si="18"/>
        <v>40</v>
      </c>
      <c r="K96" s="277">
        <f t="shared" si="18"/>
        <v>40.85</v>
      </c>
      <c r="L96" s="277">
        <f t="shared" si="18"/>
        <v>40</v>
      </c>
      <c r="M96" s="277">
        <f t="shared" si="18"/>
        <v>40</v>
      </c>
      <c r="N96" s="277">
        <f t="shared" si="18"/>
        <v>40</v>
      </c>
      <c r="O96" s="277">
        <f t="shared" si="18"/>
        <v>40</v>
      </c>
      <c r="P96" s="277">
        <f t="shared" si="18"/>
        <v>40.599999999999994</v>
      </c>
      <c r="Q96" s="277">
        <f t="shared" si="18"/>
        <v>40</v>
      </c>
      <c r="R96" s="277">
        <f t="shared" si="18"/>
        <v>40</v>
      </c>
      <c r="S96" s="277">
        <f t="shared" si="18"/>
        <v>40</v>
      </c>
      <c r="T96" s="277">
        <f t="shared" si="18"/>
        <v>40</v>
      </c>
      <c r="U96" s="277">
        <f t="shared" si="18"/>
        <v>42.2</v>
      </c>
      <c r="V96" s="277">
        <f t="shared" si="18"/>
        <v>40</v>
      </c>
      <c r="W96" s="277">
        <f t="shared" si="18"/>
        <v>40</v>
      </c>
      <c r="X96" s="277">
        <f t="shared" si="18"/>
        <v>40</v>
      </c>
      <c r="Y96" s="277">
        <f t="shared" si="18"/>
        <v>40</v>
      </c>
      <c r="Z96" s="277">
        <f t="shared" si="18"/>
        <v>40.33</v>
      </c>
      <c r="AA96" s="277">
        <f t="shared" si="18"/>
        <v>40</v>
      </c>
      <c r="AB96" s="277">
        <f t="shared" si="18"/>
        <v>60</v>
      </c>
      <c r="AC96" s="277">
        <f t="shared" si="18"/>
        <v>60</v>
      </c>
      <c r="AD96" s="277">
        <f t="shared" si="18"/>
        <v>60</v>
      </c>
      <c r="AE96" s="277">
        <f t="shared" si="18"/>
        <v>60</v>
      </c>
      <c r="AF96" s="277">
        <f t="shared" si="18"/>
        <v>60</v>
      </c>
      <c r="AG96" s="277">
        <f t="shared" si="18"/>
        <v>60</v>
      </c>
      <c r="AH96" s="277">
        <f t="shared" si="18"/>
        <v>60</v>
      </c>
      <c r="AI96" s="277">
        <f t="shared" si="18"/>
        <v>60</v>
      </c>
      <c r="AJ96" s="277">
        <f t="shared" si="18"/>
        <v>60</v>
      </c>
      <c r="AK96" s="277">
        <f t="shared" si="18"/>
        <v>60</v>
      </c>
      <c r="AL96" s="277">
        <f t="shared" si="18"/>
        <v>60</v>
      </c>
      <c r="AM96" s="277">
        <f t="shared" si="18"/>
        <v>60</v>
      </c>
      <c r="AN96" s="277">
        <f t="shared" si="18"/>
        <v>60</v>
      </c>
      <c r="AO96" s="277">
        <f t="shared" si="18"/>
        <v>60</v>
      </c>
      <c r="AP96" s="277">
        <f t="shared" si="18"/>
        <v>60</v>
      </c>
      <c r="AQ96" s="277">
        <f t="shared" si="18"/>
        <v>60</v>
      </c>
      <c r="AR96" s="277">
        <f t="shared" si="18"/>
        <v>60</v>
      </c>
      <c r="AS96" s="277">
        <f t="shared" si="18"/>
        <v>60</v>
      </c>
      <c r="AT96" s="277">
        <f t="shared" si="18"/>
        <v>60</v>
      </c>
      <c r="AU96" s="277">
        <f t="shared" si="18"/>
        <v>60</v>
      </c>
      <c r="AV96" s="277">
        <f t="shared" si="18"/>
        <v>60</v>
      </c>
      <c r="AW96" s="277">
        <f t="shared" si="18"/>
        <v>60</v>
      </c>
      <c r="AX96" s="277">
        <f t="shared" si="18"/>
        <v>60</v>
      </c>
      <c r="AY96" s="277">
        <f t="shared" si="18"/>
        <v>60</v>
      </c>
      <c r="AZ96" s="89" t="s">
        <v>186</v>
      </c>
    </row>
    <row r="97" spans="1:52" ht="15.75" x14ac:dyDescent="0.4">
      <c r="A97" s="107"/>
      <c r="B97" s="84"/>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9" t="s">
        <v>186</v>
      </c>
    </row>
    <row r="98" spans="1:52" ht="15.75" x14ac:dyDescent="0.5">
      <c r="A98" s="120" t="s">
        <v>277</v>
      </c>
      <c r="B98" s="121">
        <f>'Phương án 1'!B28</f>
        <v>0.06</v>
      </c>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9" t="s">
        <v>186</v>
      </c>
    </row>
    <row r="99" spans="1:52" ht="15.75" x14ac:dyDescent="0.4">
      <c r="A99" s="122" t="s">
        <v>292</v>
      </c>
      <c r="B99" s="123">
        <f>NPV(B98,C79:AA79)+B79</f>
        <v>475.25331779327951</v>
      </c>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c r="AY99" s="85"/>
      <c r="AZ99" s="89" t="s">
        <v>186</v>
      </c>
    </row>
    <row r="100" spans="1:52" ht="15.75" x14ac:dyDescent="0.4">
      <c r="A100" s="266" t="s">
        <v>293</v>
      </c>
      <c r="B100" s="279">
        <f>SUM(B101:B104)</f>
        <v>-3.3098410382946211E-2</v>
      </c>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9" t="s">
        <v>186</v>
      </c>
    </row>
    <row r="101" spans="1:52" ht="15.75" x14ac:dyDescent="0.4">
      <c r="A101" s="266" t="s">
        <v>297</v>
      </c>
      <c r="B101" s="279">
        <f>NPV($B$98,C83:AA83)+B83</f>
        <v>0</v>
      </c>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c r="AY101" s="85"/>
      <c r="AZ101" s="89" t="s">
        <v>186</v>
      </c>
    </row>
    <row r="102" spans="1:52" s="127" customFormat="1" ht="15.75" x14ac:dyDescent="0.4">
      <c r="A102" s="266" t="s">
        <v>294</v>
      </c>
      <c r="B102" s="279">
        <f>NPV(B98,C85:AA85)+B85</f>
        <v>-3.3098410382946211E-2</v>
      </c>
      <c r="C102"/>
      <c r="D102"/>
      <c r="E102"/>
      <c r="F102"/>
      <c r="G102"/>
      <c r="H102"/>
      <c r="I102"/>
      <c r="J102"/>
      <c r="K102"/>
      <c r="L102"/>
      <c r="M102"/>
      <c r="N102"/>
      <c r="O102"/>
      <c r="P102"/>
      <c r="Q102"/>
      <c r="R102"/>
      <c r="AZ102" s="89" t="s">
        <v>186</v>
      </c>
    </row>
    <row r="103" spans="1:52" s="127" customFormat="1" ht="15.75" x14ac:dyDescent="0.4">
      <c r="A103" s="266" t="s">
        <v>298</v>
      </c>
      <c r="B103" s="279">
        <f>NPV(B98,C87:AA87)+B87</f>
        <v>0</v>
      </c>
      <c r="C103"/>
      <c r="D103"/>
      <c r="E103"/>
      <c r="F103"/>
      <c r="G103"/>
      <c r="H103"/>
      <c r="I103"/>
      <c r="J103"/>
      <c r="K103"/>
      <c r="L103"/>
      <c r="M103"/>
      <c r="N103"/>
      <c r="O103"/>
      <c r="P103"/>
      <c r="Q103"/>
      <c r="R103"/>
      <c r="AZ103" s="89" t="s">
        <v>186</v>
      </c>
    </row>
    <row r="104" spans="1:52" s="127" customFormat="1" ht="15.75" x14ac:dyDescent="0.4">
      <c r="A104" s="122" t="s">
        <v>299</v>
      </c>
      <c r="B104" s="278">
        <f>NPV(B98,C91:AA91)+B91</f>
        <v>0</v>
      </c>
      <c r="C104"/>
      <c r="D104"/>
      <c r="E104"/>
      <c r="F104"/>
      <c r="G104"/>
      <c r="H104"/>
      <c r="I104"/>
      <c r="J104"/>
      <c r="K104"/>
      <c r="L104"/>
      <c r="M104"/>
      <c r="N104"/>
      <c r="O104"/>
      <c r="P104"/>
      <c r="Q104"/>
      <c r="R104"/>
      <c r="AZ104" s="89" t="s">
        <v>186</v>
      </c>
    </row>
    <row r="105" spans="1:52" s="127" customFormat="1" x14ac:dyDescent="0.4">
      <c r="A105"/>
      <c r="B105"/>
      <c r="C105"/>
      <c r="D105"/>
      <c r="E105"/>
      <c r="F105"/>
      <c r="G105"/>
      <c r="H105"/>
      <c r="I105"/>
      <c r="J105"/>
      <c r="K105"/>
      <c r="L105"/>
      <c r="M105"/>
      <c r="N105"/>
      <c r="O105"/>
      <c r="P105"/>
      <c r="Q105"/>
      <c r="R105"/>
      <c r="AZ105" s="89"/>
    </row>
    <row r="106" spans="1:52" s="127" customFormat="1" x14ac:dyDescent="0.4">
      <c r="A106"/>
      <c r="B106"/>
      <c r="C106"/>
      <c r="D106"/>
      <c r="E106"/>
      <c r="F106"/>
      <c r="G106"/>
      <c r="H106"/>
      <c r="I106"/>
      <c r="J106"/>
      <c r="K106"/>
      <c r="L106"/>
      <c r="M106"/>
      <c r="N106"/>
      <c r="O106"/>
      <c r="P106"/>
      <c r="Q106"/>
      <c r="R106"/>
      <c r="AZ106" s="89"/>
    </row>
    <row r="107" spans="1:52" s="127" customFormat="1" ht="15.75" x14ac:dyDescent="0.4">
      <c r="A107" s="321" t="s">
        <v>308</v>
      </c>
      <c r="B107" s="321"/>
      <c r="C107" s="321"/>
      <c r="D107" s="309"/>
      <c r="E107"/>
      <c r="F107"/>
      <c r="G107"/>
      <c r="H107"/>
      <c r="I107"/>
      <c r="J107"/>
      <c r="K107"/>
      <c r="L107"/>
      <c r="M107"/>
      <c r="N107"/>
      <c r="O107"/>
      <c r="P107"/>
      <c r="Q107"/>
      <c r="R107"/>
      <c r="AZ107" s="89"/>
    </row>
    <row r="108" spans="1:52" x14ac:dyDescent="0.4">
      <c r="A108" s="309"/>
      <c r="B108" s="309"/>
      <c r="C108" s="309"/>
      <c r="D108" s="309"/>
      <c r="E108"/>
      <c r="F108"/>
      <c r="G108"/>
      <c r="H108"/>
      <c r="I108"/>
      <c r="J108"/>
      <c r="K108"/>
      <c r="L108"/>
      <c r="M108"/>
      <c r="N108"/>
      <c r="O108"/>
      <c r="P108"/>
      <c r="Q108"/>
      <c r="R108"/>
    </row>
    <row r="109" spans="1:52" s="127" customFormat="1" ht="15.75" x14ac:dyDescent="0.5">
      <c r="A109" s="310" t="s">
        <v>0</v>
      </c>
      <c r="B109" s="311">
        <v>0.04</v>
      </c>
      <c r="C109" s="311">
        <v>0.06</v>
      </c>
      <c r="D109" s="311">
        <v>0.08</v>
      </c>
      <c r="E109" s="243"/>
      <c r="F109"/>
      <c r="G109"/>
      <c r="H109"/>
      <c r="I109"/>
      <c r="J109"/>
      <c r="K109"/>
      <c r="L109"/>
      <c r="M109"/>
      <c r="N109"/>
      <c r="O109"/>
      <c r="P109"/>
      <c r="Q109"/>
      <c r="R109"/>
      <c r="AZ109" s="89"/>
    </row>
    <row r="110" spans="1:52" s="127" customFormat="1" ht="15.75" x14ac:dyDescent="0.5">
      <c r="A110" s="312" t="str">
        <f>A45</f>
        <v>NPV_Chi phí DWR</v>
      </c>
      <c r="B110" s="313">
        <f>NPV(B109,$C$42:$AA$42)+$B$42</f>
        <v>2.1924605697268316</v>
      </c>
      <c r="C110" s="313">
        <f t="shared" ref="C110:D110" si="19">NPV(C109,$C$42:$AA$42)+$B$42</f>
        <v>1.6549205191473129</v>
      </c>
      <c r="D110" s="313">
        <f t="shared" si="19"/>
        <v>1.2688232827197461</v>
      </c>
      <c r="E110"/>
      <c r="F110"/>
      <c r="G110"/>
      <c r="H110"/>
      <c r="I110"/>
      <c r="J110"/>
      <c r="K110"/>
      <c r="L110"/>
      <c r="M110"/>
      <c r="N110"/>
      <c r="O110"/>
      <c r="P110"/>
      <c r="Q110"/>
      <c r="R110"/>
      <c r="AZ110" s="89"/>
    </row>
    <row r="111" spans="1:52" s="127" customFormat="1" ht="15.75" x14ac:dyDescent="0.5">
      <c r="A111" s="312" t="str">
        <f>A67</f>
        <v>NPV_Chi phí Kinh tế (2009-2034)</v>
      </c>
      <c r="B111" s="313">
        <f>NPV(B109,$C$64:$AA$64)+$B$64</f>
        <v>588.61411985422376</v>
      </c>
      <c r="C111" s="313">
        <f t="shared" ref="C111:D111" si="20">NPV(C109,$C$64:$AA$64)+$B$64</f>
        <v>475.25331779327951</v>
      </c>
      <c r="D111" s="313">
        <f t="shared" si="20"/>
        <v>391.22283378922549</v>
      </c>
      <c r="E111"/>
      <c r="F111"/>
      <c r="G111"/>
      <c r="H111"/>
      <c r="I111"/>
      <c r="J111"/>
      <c r="K111"/>
      <c r="L111"/>
      <c r="M111"/>
      <c r="N111"/>
      <c r="O111"/>
      <c r="P111"/>
      <c r="Q111"/>
      <c r="R111"/>
      <c r="AZ111" s="89"/>
    </row>
    <row r="112" spans="1:52" s="127" customFormat="1" ht="15.75" x14ac:dyDescent="0.5">
      <c r="A112" s="314" t="s">
        <v>309</v>
      </c>
      <c r="B112" s="315">
        <f>NPV(B109,$C$94:$AA$94)+$B$94</f>
        <v>-4.3849211394536569E-2</v>
      </c>
      <c r="C112" s="315">
        <f t="shared" ref="C112:D112" si="21">NPV(C109,$C$94:$AA$94)+$B$94</f>
        <v>-3.3098410382946211E-2</v>
      </c>
      <c r="D112" s="315">
        <f t="shared" si="21"/>
        <v>-2.5376465654394897E-2</v>
      </c>
      <c r="E112"/>
      <c r="F112"/>
      <c r="G112"/>
      <c r="H112"/>
      <c r="I112"/>
      <c r="J112"/>
      <c r="K112"/>
      <c r="L112"/>
      <c r="M112"/>
      <c r="N112"/>
      <c r="O112"/>
      <c r="P112"/>
      <c r="Q112"/>
      <c r="R112"/>
      <c r="AZ112" s="89"/>
    </row>
    <row r="113" spans="1:52" s="127" customFormat="1" x14ac:dyDescent="0.4">
      <c r="A113"/>
      <c r="B113"/>
      <c r="C113"/>
      <c r="D113"/>
      <c r="E113"/>
      <c r="F113"/>
      <c r="G113"/>
      <c r="H113"/>
      <c r="I113"/>
      <c r="J113"/>
      <c r="K113"/>
      <c r="L113"/>
      <c r="M113"/>
      <c r="N113"/>
      <c r="AV113" s="89"/>
    </row>
    <row r="114" spans="1:52" s="127" customFormat="1" ht="15.75" x14ac:dyDescent="0.5">
      <c r="A114" s="128"/>
      <c r="B114" s="128"/>
      <c r="C114" s="128"/>
      <c r="D114" s="128"/>
      <c r="E114"/>
      <c r="F114"/>
      <c r="G114"/>
      <c r="H114"/>
      <c r="I114"/>
      <c r="J114"/>
      <c r="K114"/>
      <c r="L114"/>
      <c r="M114"/>
      <c r="N114"/>
      <c r="O114"/>
      <c r="P114"/>
      <c r="Q114"/>
      <c r="R114"/>
      <c r="AZ114" s="89"/>
    </row>
    <row r="115" spans="1:52" s="127" customFormat="1" x14ac:dyDescent="0.4">
      <c r="A115"/>
      <c r="B115"/>
      <c r="C115"/>
      <c r="D115"/>
      <c r="E115"/>
      <c r="F115"/>
      <c r="G115"/>
      <c r="H115"/>
      <c r="I115"/>
      <c r="J115"/>
      <c r="K115"/>
      <c r="L115"/>
      <c r="M115"/>
      <c r="N115"/>
      <c r="O115"/>
      <c r="P115"/>
      <c r="Q115"/>
      <c r="R115"/>
      <c r="AZ115" s="89"/>
    </row>
    <row r="116" spans="1:52" s="127" customFormat="1" x14ac:dyDescent="0.4">
      <c r="A116"/>
      <c r="B116"/>
      <c r="C116"/>
      <c r="D116"/>
      <c r="E116"/>
      <c r="F116"/>
      <c r="G116"/>
      <c r="H116"/>
      <c r="I116"/>
      <c r="J116"/>
      <c r="K116"/>
      <c r="L116"/>
      <c r="M116"/>
      <c r="N116"/>
      <c r="O116"/>
      <c r="P116"/>
      <c r="Q116"/>
      <c r="R116"/>
      <c r="AZ116" s="89"/>
    </row>
    <row r="117" spans="1:52" s="127" customFormat="1" x14ac:dyDescent="0.4">
      <c r="A117"/>
      <c r="B117"/>
      <c r="C117"/>
      <c r="D117"/>
      <c r="E117"/>
      <c r="F117"/>
      <c r="G117"/>
      <c r="H117"/>
      <c r="I117"/>
      <c r="J117"/>
      <c r="K117"/>
      <c r="L117"/>
      <c r="M117"/>
      <c r="N117"/>
      <c r="O117"/>
      <c r="P117"/>
      <c r="Q117"/>
      <c r="R117"/>
      <c r="AZ117" s="89"/>
    </row>
    <row r="118" spans="1:52" s="127" customFormat="1" x14ac:dyDescent="0.4">
      <c r="A118"/>
      <c r="B118"/>
      <c r="C118"/>
      <c r="D118"/>
      <c r="E118"/>
      <c r="F118"/>
      <c r="G118"/>
      <c r="H118"/>
      <c r="I118"/>
      <c r="J118"/>
      <c r="K118"/>
      <c r="L118"/>
      <c r="M118"/>
      <c r="N118"/>
      <c r="O118"/>
      <c r="P118"/>
      <c r="Q118"/>
      <c r="R118"/>
      <c r="AZ118" s="89"/>
    </row>
    <row r="119" spans="1:52" s="127" customFormat="1" x14ac:dyDescent="0.4">
      <c r="A119"/>
      <c r="B119"/>
      <c r="C119"/>
      <c r="D119"/>
      <c r="E119"/>
      <c r="F119"/>
      <c r="G119"/>
      <c r="H119"/>
      <c r="I119"/>
      <c r="J119"/>
      <c r="K119"/>
      <c r="L119"/>
      <c r="M119"/>
      <c r="N119"/>
      <c r="O119"/>
      <c r="P119"/>
      <c r="Q119"/>
      <c r="R119"/>
      <c r="AZ119" s="89"/>
    </row>
    <row r="120" spans="1:52" s="127" customFormat="1" x14ac:dyDescent="0.4">
      <c r="A120"/>
      <c r="B120"/>
      <c r="C120"/>
      <c r="D120"/>
      <c r="E120"/>
      <c r="F120"/>
      <c r="G120"/>
      <c r="H120"/>
      <c r="I120"/>
      <c r="J120"/>
      <c r="K120"/>
      <c r="L120"/>
      <c r="M120"/>
      <c r="N120"/>
      <c r="O120"/>
      <c r="P120"/>
      <c r="Q120"/>
      <c r="R120"/>
      <c r="AZ120" s="89"/>
    </row>
    <row r="121" spans="1:52" s="127" customFormat="1" x14ac:dyDescent="0.4">
      <c r="A121"/>
      <c r="B121"/>
      <c r="C121"/>
      <c r="D121"/>
      <c r="E121"/>
      <c r="F121"/>
      <c r="G121"/>
      <c r="H121"/>
      <c r="I121"/>
      <c r="J121"/>
      <c r="K121"/>
      <c r="L121"/>
      <c r="M121"/>
      <c r="N121"/>
      <c r="O121"/>
      <c r="P121"/>
      <c r="Q121"/>
      <c r="R121"/>
      <c r="AZ121" s="89"/>
    </row>
    <row r="122" spans="1:52" s="127" customFormat="1" x14ac:dyDescent="0.4">
      <c r="A122"/>
      <c r="B122"/>
      <c r="C122"/>
      <c r="D122"/>
      <c r="E122"/>
      <c r="F122"/>
      <c r="G122"/>
      <c r="H122"/>
      <c r="I122"/>
      <c r="J122"/>
      <c r="K122"/>
      <c r="L122"/>
      <c r="M122"/>
      <c r="N122"/>
      <c r="O122"/>
      <c r="P122"/>
      <c r="Q122"/>
      <c r="R122"/>
      <c r="AZ122" s="89"/>
    </row>
    <row r="123" spans="1:52" s="127" customFormat="1" x14ac:dyDescent="0.4">
      <c r="A123"/>
      <c r="B123"/>
      <c r="C123"/>
      <c r="D123"/>
      <c r="E123"/>
      <c r="F123"/>
      <c r="G123"/>
      <c r="H123"/>
      <c r="I123"/>
      <c r="J123"/>
      <c r="K123"/>
      <c r="L123"/>
      <c r="M123"/>
      <c r="N123"/>
      <c r="O123"/>
      <c r="P123"/>
      <c r="Q123"/>
      <c r="R123"/>
      <c r="AZ123" s="89"/>
    </row>
    <row r="124" spans="1:52" s="127" customFormat="1" x14ac:dyDescent="0.4">
      <c r="A124"/>
      <c r="B124"/>
      <c r="C124"/>
      <c r="D124"/>
      <c r="E124"/>
      <c r="F124"/>
      <c r="G124"/>
      <c r="H124"/>
      <c r="I124"/>
      <c r="J124"/>
      <c r="K124"/>
      <c r="L124"/>
      <c r="M124"/>
      <c r="N124"/>
      <c r="O124"/>
      <c r="P124"/>
      <c r="Q124"/>
      <c r="R124"/>
      <c r="AZ124" s="89"/>
    </row>
    <row r="125" spans="1:52" s="127" customFormat="1" x14ac:dyDescent="0.4">
      <c r="A125"/>
      <c r="B125"/>
      <c r="C125"/>
      <c r="D125"/>
      <c r="E125"/>
      <c r="F125"/>
      <c r="G125"/>
      <c r="H125"/>
      <c r="I125"/>
      <c r="J125"/>
      <c r="K125"/>
      <c r="L125"/>
      <c r="M125"/>
      <c r="N125"/>
      <c r="O125"/>
      <c r="P125"/>
      <c r="Q125"/>
      <c r="R125"/>
      <c r="AZ125" s="89"/>
    </row>
    <row r="126" spans="1:52" s="127" customFormat="1" x14ac:dyDescent="0.4">
      <c r="A126"/>
      <c r="B126"/>
      <c r="C126"/>
      <c r="D126"/>
      <c r="E126"/>
      <c r="F126"/>
      <c r="G126"/>
      <c r="H126"/>
      <c r="I126"/>
      <c r="J126"/>
      <c r="K126"/>
      <c r="L126"/>
      <c r="M126"/>
      <c r="N126"/>
      <c r="O126"/>
      <c r="P126"/>
      <c r="Q126"/>
      <c r="R126"/>
      <c r="AZ126" s="89"/>
    </row>
    <row r="127" spans="1:52" s="127" customFormat="1" x14ac:dyDescent="0.4">
      <c r="A127"/>
      <c r="B127"/>
      <c r="C127"/>
      <c r="D127"/>
      <c r="E127"/>
      <c r="F127"/>
      <c r="G127"/>
      <c r="H127"/>
      <c r="I127"/>
      <c r="J127"/>
      <c r="K127"/>
      <c r="L127"/>
      <c r="M127"/>
      <c r="N127"/>
      <c r="O127"/>
      <c r="P127"/>
      <c r="Q127"/>
      <c r="R127"/>
      <c r="AZ127" s="89"/>
    </row>
    <row r="128" spans="1:52" s="127" customFormat="1" x14ac:dyDescent="0.4">
      <c r="A128"/>
      <c r="B128"/>
      <c r="C128"/>
      <c r="D128"/>
      <c r="E128"/>
      <c r="F128"/>
      <c r="G128"/>
      <c r="H128"/>
      <c r="I128"/>
      <c r="J128"/>
      <c r="K128"/>
      <c r="L128"/>
      <c r="M128"/>
      <c r="N128"/>
      <c r="O128"/>
      <c r="P128"/>
      <c r="Q128"/>
      <c r="R128"/>
      <c r="AZ128" s="89"/>
    </row>
    <row r="129" spans="1:52" s="127" customFormat="1" x14ac:dyDescent="0.4">
      <c r="A129"/>
      <c r="B129"/>
      <c r="C129"/>
      <c r="D129"/>
      <c r="E129"/>
      <c r="F129"/>
      <c r="G129"/>
      <c r="H129"/>
      <c r="I129"/>
      <c r="J129"/>
      <c r="K129"/>
      <c r="L129"/>
      <c r="M129"/>
      <c r="N129"/>
      <c r="O129"/>
      <c r="P129"/>
      <c r="Q129"/>
      <c r="R129"/>
      <c r="AZ129" s="89"/>
    </row>
    <row r="130" spans="1:52" s="127" customFormat="1" x14ac:dyDescent="0.4">
      <c r="A130"/>
      <c r="B130"/>
      <c r="C130"/>
      <c r="D130"/>
      <c r="E130"/>
      <c r="F130"/>
      <c r="G130"/>
      <c r="H130"/>
      <c r="I130"/>
      <c r="J130"/>
      <c r="K130"/>
      <c r="L130"/>
      <c r="M130"/>
      <c r="N130"/>
      <c r="O130"/>
      <c r="P130"/>
      <c r="Q130"/>
      <c r="R130"/>
      <c r="AZ130" s="89"/>
    </row>
    <row r="131" spans="1:52" s="127" customFormat="1" x14ac:dyDescent="0.4">
      <c r="A131"/>
      <c r="B131"/>
      <c r="C131"/>
      <c r="D131"/>
      <c r="E131"/>
      <c r="F131"/>
      <c r="G131"/>
      <c r="H131"/>
      <c r="I131"/>
      <c r="J131"/>
      <c r="K131"/>
      <c r="L131"/>
      <c r="M131"/>
      <c r="N131"/>
      <c r="O131"/>
      <c r="P131"/>
      <c r="Q131"/>
      <c r="R131"/>
      <c r="AZ131" s="89"/>
    </row>
    <row r="132" spans="1:52" x14ac:dyDescent="0.4">
      <c r="A132"/>
      <c r="B132"/>
      <c r="C132"/>
      <c r="D132"/>
      <c r="E132"/>
      <c r="F132"/>
      <c r="G132"/>
      <c r="H132"/>
      <c r="I132"/>
      <c r="J132"/>
      <c r="K132"/>
      <c r="L132"/>
      <c r="M132"/>
      <c r="N132"/>
      <c r="O132"/>
      <c r="P132"/>
      <c r="Q132"/>
      <c r="R132"/>
    </row>
    <row r="133" spans="1:52" x14ac:dyDescent="0.4">
      <c r="A133"/>
      <c r="B133"/>
      <c r="C133"/>
      <c r="D133"/>
      <c r="E133"/>
      <c r="F133"/>
      <c r="G133"/>
      <c r="H133"/>
      <c r="I133"/>
      <c r="J133"/>
      <c r="K133"/>
      <c r="L133"/>
      <c r="M133"/>
      <c r="N133"/>
      <c r="O133"/>
      <c r="P133"/>
      <c r="Q133"/>
      <c r="R133"/>
    </row>
    <row r="134" spans="1:52" x14ac:dyDescent="0.4">
      <c r="A134"/>
      <c r="B134"/>
      <c r="C134"/>
      <c r="D134"/>
      <c r="E134"/>
      <c r="F134"/>
      <c r="G134"/>
      <c r="H134"/>
      <c r="I134"/>
      <c r="J134"/>
      <c r="K134"/>
      <c r="L134"/>
      <c r="M134"/>
      <c r="N134"/>
      <c r="O134"/>
      <c r="P134"/>
      <c r="Q134"/>
      <c r="R134"/>
    </row>
    <row r="135" spans="1:52" x14ac:dyDescent="0.4">
      <c r="A135"/>
      <c r="B135"/>
      <c r="C135"/>
      <c r="D135"/>
      <c r="E135"/>
      <c r="F135"/>
      <c r="G135"/>
      <c r="H135"/>
      <c r="I135"/>
      <c r="J135"/>
      <c r="K135"/>
      <c r="L135"/>
      <c r="M135"/>
      <c r="N135"/>
      <c r="O135"/>
      <c r="P135"/>
      <c r="Q135"/>
      <c r="R135"/>
    </row>
    <row r="136" spans="1:52" x14ac:dyDescent="0.4">
      <c r="A136"/>
      <c r="B136"/>
      <c r="C136"/>
      <c r="D136"/>
      <c r="E136"/>
      <c r="F136"/>
      <c r="G136"/>
      <c r="H136"/>
      <c r="I136"/>
      <c r="J136"/>
      <c r="K136"/>
      <c r="L136"/>
      <c r="M136"/>
      <c r="N136"/>
      <c r="O136"/>
      <c r="P136"/>
      <c r="Q136"/>
      <c r="R136"/>
    </row>
    <row r="137" spans="1:52" x14ac:dyDescent="0.4">
      <c r="A137"/>
      <c r="B137"/>
      <c r="C137"/>
      <c r="D137"/>
      <c r="E137"/>
      <c r="F137"/>
      <c r="G137"/>
      <c r="H137"/>
      <c r="I137"/>
      <c r="J137"/>
      <c r="K137"/>
      <c r="L137"/>
      <c r="M137"/>
      <c r="N137"/>
      <c r="O137"/>
      <c r="P137"/>
      <c r="Q137"/>
      <c r="R137"/>
    </row>
    <row r="138" spans="1:52" x14ac:dyDescent="0.4">
      <c r="A138"/>
      <c r="B138"/>
      <c r="C138"/>
      <c r="D138"/>
      <c r="E138"/>
      <c r="F138"/>
      <c r="G138"/>
      <c r="H138"/>
      <c r="I138"/>
      <c r="J138"/>
      <c r="K138"/>
      <c r="L138"/>
      <c r="M138"/>
      <c r="N138"/>
      <c r="O138"/>
      <c r="P138"/>
      <c r="Q138"/>
      <c r="R138"/>
    </row>
    <row r="139" spans="1:52" x14ac:dyDescent="0.4">
      <c r="A139"/>
      <c r="B139"/>
      <c r="C139"/>
      <c r="D139"/>
      <c r="E139"/>
      <c r="F139"/>
      <c r="G139"/>
      <c r="H139"/>
      <c r="I139"/>
      <c r="J139"/>
      <c r="K139"/>
      <c r="L139"/>
      <c r="M139"/>
      <c r="N139"/>
      <c r="O139"/>
      <c r="P139"/>
      <c r="Q139"/>
      <c r="R139"/>
    </row>
    <row r="140" spans="1:52" x14ac:dyDescent="0.4">
      <c r="A140"/>
      <c r="B140"/>
      <c r="C140"/>
      <c r="D140"/>
      <c r="E140"/>
      <c r="F140"/>
      <c r="G140"/>
      <c r="H140"/>
      <c r="I140"/>
      <c r="J140"/>
      <c r="K140"/>
      <c r="L140"/>
      <c r="M140"/>
      <c r="N140"/>
      <c r="O140"/>
      <c r="P140"/>
      <c r="Q140"/>
      <c r="R140"/>
    </row>
    <row r="141" spans="1:52" x14ac:dyDescent="0.4">
      <c r="A141"/>
      <c r="B141"/>
      <c r="C141"/>
      <c r="D141"/>
      <c r="E141"/>
      <c r="F141"/>
      <c r="G141"/>
      <c r="H141"/>
      <c r="I141"/>
      <c r="J141"/>
      <c r="K141"/>
      <c r="L141"/>
      <c r="M141"/>
      <c r="N141"/>
      <c r="O141"/>
      <c r="P141"/>
      <c r="Q141"/>
      <c r="R141"/>
    </row>
    <row r="142" spans="1:52" x14ac:dyDescent="0.4">
      <c r="A142"/>
      <c r="B142"/>
      <c r="C142"/>
      <c r="D142"/>
      <c r="E142"/>
      <c r="F142"/>
      <c r="G142"/>
      <c r="H142"/>
      <c r="I142"/>
      <c r="J142"/>
      <c r="K142"/>
      <c r="L142"/>
      <c r="M142"/>
      <c r="N142"/>
      <c r="O142"/>
      <c r="P142"/>
      <c r="Q142"/>
      <c r="R142"/>
    </row>
    <row r="143" spans="1:52" x14ac:dyDescent="0.4">
      <c r="A143"/>
      <c r="B143"/>
      <c r="C143"/>
      <c r="D143"/>
      <c r="E143"/>
      <c r="F143"/>
      <c r="G143"/>
      <c r="H143"/>
      <c r="I143"/>
      <c r="J143"/>
      <c r="K143"/>
      <c r="L143"/>
      <c r="M143"/>
      <c r="N143"/>
      <c r="O143"/>
      <c r="P143"/>
      <c r="Q143"/>
      <c r="R143"/>
    </row>
    <row r="144" spans="1:52" x14ac:dyDescent="0.4">
      <c r="A144"/>
      <c r="B144"/>
      <c r="C144"/>
      <c r="D144"/>
      <c r="E144"/>
      <c r="F144"/>
      <c r="G144"/>
      <c r="H144"/>
      <c r="I144"/>
      <c r="J144"/>
      <c r="K144"/>
      <c r="L144"/>
      <c r="M144"/>
      <c r="N144"/>
      <c r="O144"/>
      <c r="P144"/>
      <c r="Q144"/>
      <c r="R144"/>
    </row>
    <row r="145" spans="1:18" x14ac:dyDescent="0.4">
      <c r="A145"/>
      <c r="B145"/>
      <c r="C145"/>
      <c r="D145"/>
      <c r="E145"/>
      <c r="F145"/>
      <c r="G145"/>
      <c r="H145"/>
      <c r="I145"/>
      <c r="J145"/>
      <c r="K145"/>
      <c r="L145"/>
      <c r="M145"/>
      <c r="N145"/>
      <c r="O145"/>
      <c r="P145"/>
      <c r="Q145"/>
      <c r="R145"/>
    </row>
    <row r="146" spans="1:18" x14ac:dyDescent="0.4">
      <c r="A146"/>
      <c r="B146"/>
      <c r="C146"/>
      <c r="D146"/>
      <c r="E146"/>
      <c r="F146"/>
      <c r="G146"/>
      <c r="H146"/>
      <c r="I146"/>
      <c r="J146"/>
      <c r="K146"/>
      <c r="L146"/>
      <c r="M146"/>
      <c r="N146"/>
      <c r="O146"/>
      <c r="P146"/>
      <c r="Q146"/>
      <c r="R146"/>
    </row>
    <row r="147" spans="1:18" x14ac:dyDescent="0.4">
      <c r="A147"/>
      <c r="B147"/>
      <c r="C147"/>
      <c r="D147"/>
      <c r="E147"/>
      <c r="F147"/>
      <c r="G147"/>
      <c r="H147"/>
      <c r="I147"/>
      <c r="J147"/>
      <c r="K147"/>
      <c r="L147"/>
      <c r="M147"/>
      <c r="N147"/>
      <c r="O147"/>
      <c r="P147"/>
      <c r="Q147"/>
      <c r="R147"/>
    </row>
    <row r="148" spans="1:18" x14ac:dyDescent="0.4">
      <c r="A148"/>
      <c r="B148"/>
      <c r="C148"/>
      <c r="D148"/>
      <c r="E148"/>
      <c r="F148"/>
      <c r="G148"/>
      <c r="H148"/>
      <c r="I148"/>
      <c r="J148"/>
      <c r="K148"/>
      <c r="L148"/>
      <c r="M148"/>
      <c r="N148"/>
      <c r="O148"/>
      <c r="P148"/>
      <c r="Q148"/>
      <c r="R148"/>
    </row>
    <row r="149" spans="1:18" x14ac:dyDescent="0.4">
      <c r="A149"/>
      <c r="B149"/>
      <c r="C149"/>
      <c r="D149"/>
      <c r="E149"/>
      <c r="F149"/>
      <c r="G149"/>
      <c r="H149"/>
      <c r="I149"/>
      <c r="J149"/>
      <c r="K149"/>
      <c r="L149"/>
      <c r="M149"/>
      <c r="N149"/>
      <c r="O149"/>
      <c r="P149"/>
      <c r="Q149"/>
      <c r="R149"/>
    </row>
    <row r="150" spans="1:18" x14ac:dyDescent="0.4">
      <c r="A150"/>
      <c r="B150"/>
      <c r="C150"/>
      <c r="D150"/>
      <c r="E150"/>
      <c r="F150"/>
      <c r="G150"/>
      <c r="H150"/>
      <c r="I150"/>
      <c r="J150"/>
      <c r="K150"/>
      <c r="L150"/>
      <c r="M150"/>
      <c r="N150"/>
      <c r="O150"/>
      <c r="P150"/>
      <c r="Q150"/>
      <c r="R150"/>
    </row>
    <row r="151" spans="1:18" x14ac:dyDescent="0.4">
      <c r="A151"/>
      <c r="B151"/>
      <c r="C151"/>
      <c r="D151"/>
      <c r="E151"/>
      <c r="F151"/>
      <c r="G151"/>
      <c r="H151"/>
      <c r="I151"/>
      <c r="J151"/>
      <c r="K151"/>
      <c r="L151"/>
      <c r="M151"/>
      <c r="N151"/>
      <c r="O151"/>
      <c r="P151"/>
      <c r="Q151"/>
      <c r="R151"/>
    </row>
    <row r="152" spans="1:18" x14ac:dyDescent="0.4">
      <c r="A152"/>
      <c r="B152"/>
      <c r="C152"/>
      <c r="D152"/>
      <c r="E152"/>
      <c r="F152"/>
      <c r="G152"/>
      <c r="H152"/>
      <c r="I152"/>
      <c r="J152"/>
      <c r="K152"/>
      <c r="L152"/>
      <c r="M152"/>
      <c r="N152"/>
      <c r="O152"/>
      <c r="P152"/>
      <c r="Q152"/>
      <c r="R152"/>
    </row>
    <row r="153" spans="1:18" x14ac:dyDescent="0.4">
      <c r="A153"/>
      <c r="B153"/>
      <c r="C153"/>
      <c r="D153"/>
      <c r="E153"/>
      <c r="F153"/>
      <c r="G153"/>
      <c r="H153"/>
      <c r="I153"/>
      <c r="J153"/>
      <c r="K153"/>
      <c r="L153"/>
      <c r="M153"/>
      <c r="N153"/>
      <c r="O153"/>
      <c r="P153"/>
      <c r="Q153"/>
      <c r="R153"/>
    </row>
    <row r="154" spans="1:18" x14ac:dyDescent="0.4">
      <c r="A154"/>
      <c r="B154"/>
      <c r="C154"/>
      <c r="D154"/>
      <c r="E154"/>
      <c r="F154"/>
      <c r="G154"/>
      <c r="H154"/>
      <c r="I154"/>
      <c r="J154"/>
      <c r="K154"/>
      <c r="L154"/>
      <c r="M154"/>
      <c r="N154"/>
      <c r="O154"/>
      <c r="P154"/>
      <c r="Q154"/>
      <c r="R154"/>
    </row>
    <row r="155" spans="1:18" x14ac:dyDescent="0.4">
      <c r="A155"/>
      <c r="B155"/>
      <c r="C155"/>
      <c r="D155"/>
      <c r="E155"/>
      <c r="F155"/>
      <c r="G155"/>
      <c r="H155"/>
      <c r="I155"/>
      <c r="J155"/>
      <c r="K155"/>
      <c r="L155"/>
      <c r="M155"/>
      <c r="N155"/>
      <c r="O155"/>
      <c r="P155"/>
      <c r="Q155"/>
      <c r="R155"/>
    </row>
    <row r="156" spans="1:18" x14ac:dyDescent="0.4">
      <c r="A156"/>
      <c r="B156"/>
      <c r="C156"/>
      <c r="D156"/>
      <c r="E156"/>
      <c r="F156"/>
      <c r="G156"/>
      <c r="H156"/>
      <c r="I156"/>
      <c r="J156"/>
      <c r="K156"/>
      <c r="L156"/>
      <c r="M156"/>
      <c r="N156"/>
      <c r="O156"/>
      <c r="P156"/>
      <c r="Q156"/>
      <c r="R156"/>
    </row>
    <row r="157" spans="1:18" x14ac:dyDescent="0.4">
      <c r="A157"/>
      <c r="B157"/>
      <c r="C157"/>
      <c r="D157"/>
      <c r="E157"/>
      <c r="F157"/>
      <c r="G157"/>
      <c r="H157"/>
      <c r="I157"/>
      <c r="J157"/>
      <c r="K157"/>
      <c r="L157"/>
      <c r="M157"/>
      <c r="N157"/>
      <c r="O157"/>
      <c r="P157"/>
      <c r="Q157"/>
      <c r="R157"/>
    </row>
    <row r="158" spans="1:18" x14ac:dyDescent="0.4">
      <c r="A158"/>
      <c r="B158"/>
      <c r="C158"/>
      <c r="D158"/>
      <c r="E158"/>
      <c r="F158"/>
      <c r="G158"/>
      <c r="H158"/>
      <c r="I158"/>
      <c r="J158"/>
      <c r="K158"/>
      <c r="L158"/>
      <c r="M158"/>
      <c r="N158"/>
      <c r="O158"/>
      <c r="P158"/>
      <c r="Q158"/>
      <c r="R158"/>
    </row>
    <row r="159" spans="1:18" x14ac:dyDescent="0.4">
      <c r="A159"/>
      <c r="B159"/>
      <c r="C159"/>
      <c r="D159"/>
      <c r="E159"/>
      <c r="F159"/>
      <c r="G159"/>
      <c r="H159"/>
      <c r="I159"/>
      <c r="J159"/>
      <c r="K159"/>
      <c r="L159"/>
      <c r="M159"/>
      <c r="N159"/>
      <c r="O159"/>
      <c r="P159"/>
      <c r="Q159"/>
      <c r="R159"/>
    </row>
    <row r="160" spans="1:18" x14ac:dyDescent="0.4">
      <c r="A160"/>
      <c r="B160"/>
      <c r="C160"/>
      <c r="D160"/>
      <c r="E160"/>
      <c r="F160"/>
      <c r="G160"/>
      <c r="H160"/>
      <c r="I160"/>
      <c r="J160"/>
      <c r="K160"/>
      <c r="L160"/>
      <c r="M160"/>
      <c r="N160"/>
      <c r="O160"/>
      <c r="P160"/>
      <c r="Q160"/>
      <c r="R160"/>
    </row>
    <row r="161" spans="1:52" x14ac:dyDescent="0.4">
      <c r="A161"/>
      <c r="B161"/>
      <c r="C161"/>
      <c r="D161"/>
      <c r="E161"/>
      <c r="F161"/>
      <c r="G161"/>
      <c r="H161"/>
      <c r="I161"/>
      <c r="J161"/>
      <c r="K161"/>
      <c r="L161"/>
      <c r="M161"/>
      <c r="N161"/>
      <c r="O161"/>
      <c r="P161"/>
      <c r="Q161"/>
      <c r="R161"/>
    </row>
    <row r="162" spans="1:52" x14ac:dyDescent="0.4">
      <c r="A162"/>
      <c r="B162"/>
      <c r="C162"/>
      <c r="D162"/>
      <c r="E162"/>
      <c r="F162"/>
      <c r="G162"/>
      <c r="H162"/>
      <c r="I162"/>
      <c r="J162"/>
      <c r="K162"/>
      <c r="L162"/>
      <c r="M162"/>
      <c r="N162"/>
      <c r="O162"/>
      <c r="P162"/>
      <c r="Q162"/>
      <c r="R162"/>
    </row>
    <row r="163" spans="1:52" s="128" customFormat="1" ht="15.75" x14ac:dyDescent="0.5">
      <c r="A163"/>
      <c r="B163"/>
      <c r="C163"/>
      <c r="D163"/>
      <c r="E163"/>
      <c r="F163"/>
      <c r="G163"/>
      <c r="H163"/>
      <c r="I163"/>
      <c r="J163"/>
      <c r="K163"/>
      <c r="L163"/>
      <c r="M163"/>
      <c r="N163"/>
      <c r="O163"/>
      <c r="P163"/>
      <c r="Q163"/>
      <c r="R163"/>
      <c r="AZ163" s="89"/>
    </row>
    <row r="164" spans="1:52" s="128" customFormat="1" ht="15.75" x14ac:dyDescent="0.5">
      <c r="A164"/>
      <c r="B164"/>
      <c r="C164"/>
      <c r="D164"/>
      <c r="E164"/>
      <c r="F164"/>
      <c r="G164"/>
      <c r="H164"/>
      <c r="I164"/>
      <c r="J164"/>
      <c r="K164"/>
      <c r="L164"/>
      <c r="M164"/>
      <c r="N164"/>
      <c r="O164"/>
      <c r="P164"/>
      <c r="Q164"/>
      <c r="R164"/>
      <c r="AZ164" s="89"/>
    </row>
    <row r="165" spans="1:52" s="128" customFormat="1" ht="15.75" x14ac:dyDescent="0.5">
      <c r="A165"/>
      <c r="B165"/>
      <c r="C165"/>
      <c r="D165"/>
      <c r="E165"/>
      <c r="F165"/>
      <c r="G165"/>
      <c r="H165"/>
      <c r="I165"/>
      <c r="J165"/>
      <c r="K165"/>
      <c r="L165"/>
      <c r="M165"/>
      <c r="N165"/>
      <c r="O165"/>
      <c r="P165"/>
      <c r="Q165"/>
      <c r="R165"/>
      <c r="AZ165" s="89"/>
    </row>
    <row r="166" spans="1:52" s="128" customFormat="1" ht="15.75" x14ac:dyDescent="0.5">
      <c r="A166"/>
      <c r="B166"/>
      <c r="C166"/>
      <c r="D166"/>
      <c r="E166"/>
      <c r="F166"/>
      <c r="G166"/>
      <c r="H166"/>
      <c r="I166"/>
      <c r="J166"/>
      <c r="K166"/>
      <c r="L166"/>
      <c r="M166"/>
      <c r="N166"/>
      <c r="O166"/>
      <c r="P166"/>
      <c r="Q166"/>
      <c r="R166"/>
      <c r="AZ166" s="89"/>
    </row>
    <row r="167" spans="1:52" s="128" customFormat="1" ht="15.75" x14ac:dyDescent="0.5">
      <c r="A167"/>
      <c r="B167"/>
      <c r="C167"/>
      <c r="D167"/>
      <c r="E167"/>
      <c r="F167"/>
      <c r="G167"/>
      <c r="H167"/>
      <c r="I167"/>
      <c r="J167"/>
      <c r="K167"/>
      <c r="L167"/>
      <c r="M167"/>
      <c r="N167"/>
      <c r="O167"/>
      <c r="P167"/>
      <c r="Q167"/>
      <c r="R167"/>
      <c r="AZ167" s="89"/>
    </row>
    <row r="168" spans="1:52" s="128" customFormat="1" ht="15.75" x14ac:dyDescent="0.5">
      <c r="A168"/>
      <c r="B168"/>
      <c r="C168"/>
      <c r="D168"/>
      <c r="E168"/>
      <c r="F168"/>
      <c r="G168"/>
      <c r="H168"/>
      <c r="I168"/>
      <c r="J168"/>
      <c r="K168"/>
      <c r="L168"/>
      <c r="M168"/>
      <c r="N168"/>
      <c r="O168"/>
      <c r="P168"/>
      <c r="Q168"/>
      <c r="R168"/>
      <c r="AZ168" s="89"/>
    </row>
    <row r="169" spans="1:52" s="128" customFormat="1" ht="15.75" x14ac:dyDescent="0.5">
      <c r="A169"/>
      <c r="B169"/>
      <c r="C169"/>
      <c r="D169"/>
      <c r="E169"/>
      <c r="F169"/>
      <c r="G169"/>
      <c r="H169"/>
      <c r="I169"/>
      <c r="J169"/>
      <c r="K169"/>
      <c r="L169"/>
      <c r="M169"/>
      <c r="N169"/>
      <c r="O169"/>
      <c r="P169"/>
      <c r="Q169"/>
      <c r="R169"/>
      <c r="AZ169" s="89"/>
    </row>
    <row r="170" spans="1:52" s="128" customFormat="1" ht="15.75" x14ac:dyDescent="0.5">
      <c r="A170"/>
      <c r="B170"/>
      <c r="C170"/>
      <c r="D170"/>
      <c r="E170"/>
      <c r="F170"/>
      <c r="G170"/>
      <c r="H170"/>
      <c r="I170"/>
      <c r="J170"/>
      <c r="K170"/>
      <c r="L170"/>
      <c r="M170"/>
      <c r="N170"/>
      <c r="O170"/>
      <c r="P170"/>
      <c r="Q170"/>
      <c r="R170"/>
      <c r="AZ170" s="89"/>
    </row>
    <row r="171" spans="1:52" s="128" customFormat="1" ht="15.75" x14ac:dyDescent="0.5">
      <c r="A171"/>
      <c r="B171"/>
      <c r="C171"/>
      <c r="D171"/>
      <c r="E171"/>
      <c r="F171"/>
      <c r="G171"/>
      <c r="H171"/>
      <c r="I171"/>
      <c r="J171"/>
      <c r="K171"/>
      <c r="L171"/>
      <c r="M171"/>
      <c r="N171"/>
      <c r="O171"/>
      <c r="P171"/>
      <c r="Q171"/>
      <c r="R171"/>
      <c r="AZ171" s="89"/>
    </row>
    <row r="172" spans="1:52" s="128" customFormat="1" ht="15.75" x14ac:dyDescent="0.5">
      <c r="A172"/>
      <c r="B172"/>
      <c r="C172"/>
      <c r="D172"/>
      <c r="E172"/>
      <c r="F172"/>
      <c r="G172"/>
      <c r="H172"/>
      <c r="I172"/>
      <c r="J172"/>
      <c r="K172"/>
      <c r="L172"/>
      <c r="M172"/>
      <c r="N172"/>
      <c r="O172"/>
      <c r="P172"/>
      <c r="Q172"/>
      <c r="R172"/>
      <c r="AZ172" s="89"/>
    </row>
    <row r="173" spans="1:52" s="128" customFormat="1" ht="15.75" x14ac:dyDescent="0.5">
      <c r="A173"/>
      <c r="B173"/>
      <c r="C173"/>
      <c r="D173"/>
      <c r="E173"/>
      <c r="F173"/>
      <c r="G173"/>
      <c r="H173"/>
      <c r="I173"/>
      <c r="J173"/>
      <c r="K173"/>
      <c r="L173"/>
      <c r="M173"/>
      <c r="N173"/>
      <c r="O173"/>
      <c r="P173"/>
      <c r="Q173"/>
      <c r="R173"/>
      <c r="AZ173" s="89"/>
    </row>
    <row r="174" spans="1:52" s="128" customFormat="1" ht="15.75" x14ac:dyDescent="0.5">
      <c r="A174"/>
      <c r="B174"/>
      <c r="C174"/>
      <c r="D174"/>
      <c r="E174"/>
      <c r="F174"/>
      <c r="G174"/>
      <c r="H174"/>
      <c r="I174"/>
      <c r="J174"/>
      <c r="K174"/>
      <c r="L174"/>
      <c r="M174"/>
      <c r="N174"/>
      <c r="O174"/>
      <c r="P174"/>
      <c r="Q174"/>
      <c r="R174"/>
      <c r="AZ174" s="89"/>
    </row>
    <row r="175" spans="1:52" s="128" customFormat="1" ht="15.75" x14ac:dyDescent="0.5">
      <c r="A175"/>
      <c r="B175"/>
      <c r="C175"/>
      <c r="D175"/>
      <c r="E175"/>
      <c r="F175"/>
      <c r="G175"/>
      <c r="H175"/>
      <c r="I175"/>
      <c r="J175"/>
      <c r="K175"/>
      <c r="L175"/>
      <c r="M175"/>
      <c r="N175"/>
      <c r="O175"/>
      <c r="P175"/>
      <c r="Q175"/>
      <c r="R175"/>
      <c r="S175" s="90"/>
      <c r="AZ175" s="89"/>
    </row>
    <row r="176" spans="1:52" s="128" customFormat="1" ht="15.75" x14ac:dyDescent="0.5">
      <c r="A176"/>
      <c r="B176"/>
      <c r="C176"/>
      <c r="D176"/>
      <c r="E176"/>
      <c r="F176"/>
      <c r="G176"/>
      <c r="H176"/>
      <c r="I176"/>
      <c r="J176"/>
      <c r="K176"/>
      <c r="L176"/>
      <c r="M176"/>
      <c r="N176"/>
      <c r="O176"/>
      <c r="P176"/>
      <c r="Q176"/>
      <c r="R176"/>
      <c r="S176" s="129"/>
      <c r="AZ176" s="89"/>
    </row>
    <row r="177" spans="1:52" s="128" customFormat="1" ht="15.75" x14ac:dyDescent="0.5">
      <c r="A177"/>
      <c r="B177"/>
      <c r="C177"/>
      <c r="D177"/>
      <c r="E177"/>
      <c r="F177"/>
      <c r="G177"/>
      <c r="H177"/>
      <c r="I177"/>
      <c r="J177"/>
      <c r="K177"/>
      <c r="L177"/>
      <c r="M177"/>
      <c r="N177"/>
      <c r="O177"/>
      <c r="P177"/>
      <c r="Q177"/>
      <c r="R177"/>
      <c r="S177" s="129"/>
      <c r="AZ177" s="89"/>
    </row>
    <row r="178" spans="1:52" s="128" customFormat="1" ht="15.75" x14ac:dyDescent="0.5">
      <c r="A178"/>
      <c r="B178"/>
      <c r="C178"/>
      <c r="D178"/>
      <c r="E178"/>
      <c r="F178"/>
      <c r="G178"/>
      <c r="H178"/>
      <c r="I178"/>
      <c r="J178"/>
      <c r="K178"/>
      <c r="L178"/>
      <c r="M178"/>
      <c r="N178"/>
      <c r="O178"/>
      <c r="P178"/>
      <c r="Q178"/>
      <c r="R178"/>
      <c r="S178" s="129"/>
      <c r="AZ178" s="89"/>
    </row>
    <row r="179" spans="1:52" s="128" customFormat="1" ht="15.75" x14ac:dyDescent="0.5">
      <c r="A179"/>
      <c r="B179"/>
      <c r="C179"/>
      <c r="D179"/>
      <c r="E179"/>
      <c r="F179"/>
      <c r="G179"/>
      <c r="H179"/>
      <c r="I179"/>
      <c r="J179"/>
      <c r="K179"/>
      <c r="L179"/>
      <c r="M179"/>
      <c r="N179"/>
      <c r="O179"/>
      <c r="P179"/>
      <c r="Q179"/>
      <c r="R179"/>
      <c r="S179" s="129"/>
      <c r="AZ179" s="89"/>
    </row>
    <row r="180" spans="1:52" s="128" customFormat="1" ht="15.75" x14ac:dyDescent="0.5">
      <c r="A180"/>
      <c r="B180"/>
      <c r="C180"/>
      <c r="D180"/>
      <c r="E180"/>
      <c r="F180"/>
      <c r="G180"/>
      <c r="H180"/>
      <c r="I180"/>
      <c r="J180"/>
      <c r="K180"/>
      <c r="L180"/>
      <c r="M180"/>
      <c r="N180"/>
      <c r="O180"/>
      <c r="P180"/>
      <c r="Q180"/>
      <c r="R180"/>
      <c r="S180" s="129"/>
      <c r="AZ180" s="89"/>
    </row>
    <row r="181" spans="1:52" s="128" customFormat="1" ht="15.75" x14ac:dyDescent="0.5">
      <c r="A181"/>
      <c r="B181"/>
      <c r="C181"/>
      <c r="D181"/>
      <c r="E181"/>
      <c r="F181"/>
      <c r="G181"/>
      <c r="H181"/>
      <c r="I181"/>
      <c r="J181"/>
      <c r="K181"/>
      <c r="L181"/>
      <c r="M181"/>
      <c r="N181"/>
      <c r="O181"/>
      <c r="P181"/>
      <c r="Q181"/>
      <c r="R181"/>
      <c r="S181" s="129"/>
      <c r="AZ181" s="89"/>
    </row>
    <row r="182" spans="1:52" s="128" customFormat="1" ht="15.75" x14ac:dyDescent="0.5">
      <c r="A182"/>
      <c r="B182"/>
      <c r="C182"/>
      <c r="D182"/>
      <c r="E182"/>
      <c r="F182"/>
      <c r="G182"/>
      <c r="H182"/>
      <c r="I182"/>
      <c r="J182"/>
      <c r="K182"/>
      <c r="L182"/>
      <c r="M182"/>
      <c r="N182"/>
      <c r="O182"/>
      <c r="P182"/>
      <c r="Q182"/>
      <c r="R182"/>
      <c r="S182" s="129"/>
      <c r="AZ182" s="89"/>
    </row>
    <row r="183" spans="1:52" s="128" customFormat="1" ht="15.75" x14ac:dyDescent="0.5">
      <c r="A183"/>
      <c r="B183"/>
      <c r="C183"/>
      <c r="D183"/>
      <c r="E183"/>
      <c r="F183"/>
      <c r="G183"/>
      <c r="H183"/>
      <c r="I183"/>
      <c r="J183"/>
      <c r="K183"/>
      <c r="L183"/>
      <c r="M183"/>
      <c r="N183"/>
      <c r="O183"/>
      <c r="P183"/>
      <c r="Q183"/>
      <c r="R183"/>
      <c r="S183" s="129"/>
      <c r="AZ183" s="89"/>
    </row>
    <row r="184" spans="1:52" s="128" customFormat="1" ht="15.75" x14ac:dyDescent="0.5">
      <c r="A184"/>
      <c r="B184"/>
      <c r="C184"/>
      <c r="D184"/>
      <c r="E184"/>
      <c r="F184"/>
      <c r="G184"/>
      <c r="H184"/>
      <c r="I184"/>
      <c r="J184"/>
      <c r="K184"/>
      <c r="L184"/>
      <c r="M184"/>
      <c r="N184"/>
      <c r="O184"/>
      <c r="P184"/>
      <c r="Q184"/>
      <c r="R184"/>
      <c r="S184" s="129"/>
      <c r="AZ184" s="89"/>
    </row>
    <row r="185" spans="1:52" s="128" customFormat="1" ht="15.75" x14ac:dyDescent="0.5">
      <c r="A185"/>
      <c r="B185"/>
      <c r="C185"/>
      <c r="D185"/>
      <c r="E185"/>
      <c r="F185"/>
      <c r="G185"/>
      <c r="H185"/>
      <c r="I185"/>
      <c r="J185"/>
      <c r="K185"/>
      <c r="L185"/>
      <c r="M185"/>
      <c r="N185"/>
      <c r="O185"/>
      <c r="P185"/>
      <c r="Q185"/>
      <c r="R185"/>
      <c r="S185" s="129"/>
      <c r="AZ185" s="89"/>
    </row>
    <row r="186" spans="1:52" s="128" customFormat="1" ht="15.75" x14ac:dyDescent="0.5">
      <c r="A186"/>
      <c r="B186"/>
      <c r="C186"/>
      <c r="D186"/>
      <c r="E186"/>
      <c r="F186"/>
      <c r="G186"/>
      <c r="H186"/>
      <c r="I186"/>
      <c r="J186"/>
      <c r="K186"/>
      <c r="L186"/>
      <c r="M186"/>
      <c r="N186"/>
      <c r="O186"/>
      <c r="P186"/>
      <c r="Q186"/>
      <c r="R186"/>
      <c r="AZ186" s="89"/>
    </row>
    <row r="187" spans="1:52" s="128" customFormat="1" ht="15.75" x14ac:dyDescent="0.5">
      <c r="A187"/>
      <c r="B187"/>
      <c r="C187"/>
      <c r="D187"/>
      <c r="E187"/>
      <c r="F187"/>
      <c r="G187"/>
      <c r="H187"/>
      <c r="I187"/>
      <c r="J187"/>
      <c r="K187"/>
      <c r="L187"/>
      <c r="M187"/>
      <c r="N187"/>
      <c r="O187"/>
      <c r="P187"/>
      <c r="Q187"/>
      <c r="R187"/>
      <c r="AZ187" s="89"/>
    </row>
    <row r="188" spans="1:52" s="128" customFormat="1" ht="15.75" x14ac:dyDescent="0.5">
      <c r="A188"/>
      <c r="B188"/>
      <c r="C188"/>
      <c r="D188"/>
      <c r="E188"/>
      <c r="F188"/>
      <c r="G188"/>
      <c r="H188"/>
      <c r="I188"/>
      <c r="J188"/>
      <c r="K188"/>
      <c r="L188"/>
      <c r="M188"/>
      <c r="N188"/>
      <c r="O188"/>
      <c r="P188"/>
      <c r="Q188"/>
      <c r="R188"/>
      <c r="AZ188" s="89"/>
    </row>
    <row r="189" spans="1:52" s="128" customFormat="1" ht="15.75" x14ac:dyDescent="0.5">
      <c r="A189"/>
      <c r="B189"/>
      <c r="C189"/>
      <c r="D189"/>
      <c r="E189"/>
      <c r="F189"/>
      <c r="G189"/>
      <c r="H189"/>
      <c r="I189"/>
      <c r="J189"/>
      <c r="K189"/>
      <c r="L189"/>
      <c r="M189"/>
      <c r="N189"/>
      <c r="O189"/>
      <c r="P189"/>
      <c r="Q189"/>
      <c r="R189"/>
      <c r="AZ189" s="89"/>
    </row>
    <row r="190" spans="1:52" s="128" customFormat="1" ht="15.75" x14ac:dyDescent="0.5">
      <c r="A190"/>
      <c r="B190"/>
      <c r="C190"/>
      <c r="D190"/>
      <c r="E190"/>
      <c r="F190"/>
      <c r="G190"/>
      <c r="H190"/>
      <c r="I190"/>
      <c r="J190"/>
      <c r="K190"/>
      <c r="L190"/>
      <c r="M190"/>
      <c r="N190"/>
      <c r="O190"/>
      <c r="P190"/>
      <c r="Q190"/>
      <c r="R190"/>
      <c r="AZ190" s="89"/>
    </row>
    <row r="191" spans="1:52" s="128" customFormat="1" ht="15.75" x14ac:dyDescent="0.5">
      <c r="A191"/>
      <c r="B191"/>
      <c r="C191"/>
      <c r="D191"/>
      <c r="E191"/>
      <c r="F191"/>
      <c r="G191"/>
      <c r="H191"/>
      <c r="I191"/>
      <c r="J191"/>
      <c r="K191"/>
      <c r="L191"/>
      <c r="M191"/>
      <c r="N191"/>
      <c r="O191"/>
      <c r="P191"/>
      <c r="Q191"/>
      <c r="R191"/>
      <c r="AZ191" s="89"/>
    </row>
    <row r="192" spans="1:52" s="128" customFormat="1" ht="15.75" x14ac:dyDescent="0.5">
      <c r="A192"/>
      <c r="B192"/>
      <c r="C192"/>
      <c r="D192"/>
      <c r="E192"/>
      <c r="F192"/>
      <c r="G192"/>
      <c r="H192"/>
      <c r="I192"/>
      <c r="J192"/>
      <c r="K192"/>
      <c r="L192"/>
      <c r="M192"/>
      <c r="N192"/>
      <c r="O192"/>
      <c r="P192"/>
      <c r="Q192"/>
      <c r="R192"/>
      <c r="AZ192" s="89"/>
    </row>
    <row r="193" spans="52:52" s="128" customFormat="1" ht="15.75" x14ac:dyDescent="0.5">
      <c r="AZ193" s="89"/>
    </row>
    <row r="194" spans="52:52" s="128" customFormat="1" ht="15.75" x14ac:dyDescent="0.5">
      <c r="AZ194" s="89"/>
    </row>
    <row r="195" spans="52:52" s="128" customFormat="1" ht="15.75" x14ac:dyDescent="0.5">
      <c r="AZ195" s="89"/>
    </row>
    <row r="196" spans="52:52" s="128" customFormat="1" ht="15.75" x14ac:dyDescent="0.5">
      <c r="AZ196" s="89"/>
    </row>
    <row r="197" spans="52:52" s="128" customFormat="1" ht="15.75" x14ac:dyDescent="0.5">
      <c r="AZ197" s="89"/>
    </row>
    <row r="198" spans="52:52" s="128" customFormat="1" ht="15.75" x14ac:dyDescent="0.5">
      <c r="AZ198" s="89"/>
    </row>
    <row r="199" spans="52:52" s="128" customFormat="1" ht="15.75" x14ac:dyDescent="0.5">
      <c r="AZ199" s="89"/>
    </row>
    <row r="200" spans="52:52" s="128" customFormat="1" ht="15.75" x14ac:dyDescent="0.5">
      <c r="AZ200" s="89"/>
    </row>
    <row r="201" spans="52:52" s="128" customFormat="1" ht="15.75" x14ac:dyDescent="0.5">
      <c r="AZ201" s="89"/>
    </row>
    <row r="202" spans="52:52" s="128" customFormat="1" ht="15.75" x14ac:dyDescent="0.5">
      <c r="AZ202" s="89"/>
    </row>
    <row r="203" spans="52:52" s="128" customFormat="1" ht="15.75" x14ac:dyDescent="0.5">
      <c r="AZ203" s="89"/>
    </row>
    <row r="204" spans="52:52" s="128" customFormat="1" ht="15.75" x14ac:dyDescent="0.5">
      <c r="AZ204" s="89"/>
    </row>
    <row r="205" spans="52:52" s="128" customFormat="1" ht="15.75" x14ac:dyDescent="0.5">
      <c r="AZ205" s="89"/>
    </row>
    <row r="206" spans="52:52" s="128" customFormat="1" ht="15.75" x14ac:dyDescent="0.5">
      <c r="AZ206" s="89"/>
    </row>
    <row r="207" spans="52:52" s="128" customFormat="1" ht="15.75" x14ac:dyDescent="0.5">
      <c r="AZ207" s="89"/>
    </row>
    <row r="208" spans="52:52" s="128" customFormat="1" ht="15.75" x14ac:dyDescent="0.5">
      <c r="AZ208" s="89"/>
    </row>
    <row r="209" spans="52:52" s="128" customFormat="1" ht="15.75" x14ac:dyDescent="0.5">
      <c r="AZ209" s="89"/>
    </row>
    <row r="210" spans="52:52" s="128" customFormat="1" ht="15.75" x14ac:dyDescent="0.5">
      <c r="AZ210" s="89"/>
    </row>
    <row r="211" spans="52:52" s="128" customFormat="1" ht="15.75" x14ac:dyDescent="0.5">
      <c r="AZ211" s="89"/>
    </row>
    <row r="212" spans="52:52" s="128" customFormat="1" ht="15.75" x14ac:dyDescent="0.5">
      <c r="AZ212" s="89"/>
    </row>
    <row r="213" spans="52:52" s="128" customFormat="1" ht="15.75" x14ac:dyDescent="0.5">
      <c r="AZ213" s="89"/>
    </row>
    <row r="214" spans="52:52" s="128" customFormat="1" ht="15.75" x14ac:dyDescent="0.5">
      <c r="AZ214" s="89"/>
    </row>
    <row r="215" spans="52:52" s="128" customFormat="1" ht="15.75" x14ac:dyDescent="0.5">
      <c r="AZ215" s="89"/>
    </row>
    <row r="216" spans="52:52" s="128" customFormat="1" ht="15.75" x14ac:dyDescent="0.5">
      <c r="AZ216" s="89"/>
    </row>
    <row r="217" spans="52:52" s="128" customFormat="1" ht="15.75" x14ac:dyDescent="0.5">
      <c r="AZ217" s="89"/>
    </row>
    <row r="218" spans="52:52" s="128" customFormat="1" ht="15.75" x14ac:dyDescent="0.5">
      <c r="AZ218" s="89"/>
    </row>
    <row r="219" spans="52:52" s="128" customFormat="1" ht="15.75" x14ac:dyDescent="0.5">
      <c r="AZ219" s="89"/>
    </row>
    <row r="220" spans="52:52" s="128" customFormat="1" ht="15.75" x14ac:dyDescent="0.5">
      <c r="AZ220" s="89"/>
    </row>
    <row r="221" spans="52:52" s="128" customFormat="1" ht="15.75" x14ac:dyDescent="0.5">
      <c r="AZ221" s="89"/>
    </row>
    <row r="222" spans="52:52" s="128" customFormat="1" ht="15.75" x14ac:dyDescent="0.5">
      <c r="AZ222" s="89"/>
    </row>
    <row r="223" spans="52:52" s="128" customFormat="1" ht="15.75" x14ac:dyDescent="0.5">
      <c r="AZ223" s="89"/>
    </row>
    <row r="224" spans="52:52" s="128" customFormat="1" ht="15.75" x14ac:dyDescent="0.5">
      <c r="AZ224" s="89"/>
    </row>
    <row r="225" spans="52:52" s="128" customFormat="1" ht="15.75" x14ac:dyDescent="0.5">
      <c r="AZ225" s="89"/>
    </row>
    <row r="226" spans="52:52" s="128" customFormat="1" ht="15.75" x14ac:dyDescent="0.5">
      <c r="AZ226" s="89"/>
    </row>
    <row r="227" spans="52:52" s="128" customFormat="1" ht="15.75" x14ac:dyDescent="0.5">
      <c r="AZ227" s="89"/>
    </row>
    <row r="228" spans="52:52" s="128" customFormat="1" ht="15.75" x14ac:dyDescent="0.5">
      <c r="AZ228" s="89"/>
    </row>
    <row r="229" spans="52:52" s="128" customFormat="1" ht="15.75" x14ac:dyDescent="0.5">
      <c r="AZ229" s="89"/>
    </row>
    <row r="230" spans="52:52" s="128" customFormat="1" ht="15.75" x14ac:dyDescent="0.5">
      <c r="AZ230" s="89"/>
    </row>
    <row r="231" spans="52:52" s="128" customFormat="1" ht="15.75" x14ac:dyDescent="0.5">
      <c r="AZ231" s="89"/>
    </row>
    <row r="232" spans="52:52" s="128" customFormat="1" ht="15.75" x14ac:dyDescent="0.5">
      <c r="AZ232" s="89"/>
    </row>
    <row r="233" spans="52:52" s="128" customFormat="1" ht="15.75" x14ac:dyDescent="0.5">
      <c r="AZ233" s="89"/>
    </row>
    <row r="234" spans="52:52" s="128" customFormat="1" ht="15.75" x14ac:dyDescent="0.5">
      <c r="AZ234" s="89"/>
    </row>
    <row r="235" spans="52:52" s="128" customFormat="1" ht="15.75" x14ac:dyDescent="0.5">
      <c r="AZ235" s="89"/>
    </row>
    <row r="236" spans="52:52" s="128" customFormat="1" ht="15.75" x14ac:dyDescent="0.5">
      <c r="AZ236" s="89"/>
    </row>
    <row r="237" spans="52:52" s="128" customFormat="1" ht="15.75" x14ac:dyDescent="0.5">
      <c r="AZ237" s="89"/>
    </row>
    <row r="238" spans="52:52" s="128" customFormat="1" ht="15.75" x14ac:dyDescent="0.5">
      <c r="AZ238" s="89"/>
    </row>
    <row r="239" spans="52:52" s="128" customFormat="1" ht="15.75" x14ac:dyDescent="0.5">
      <c r="AZ239" s="89"/>
    </row>
    <row r="240" spans="52:52" s="128" customFormat="1" ht="15.75" x14ac:dyDescent="0.5">
      <c r="AZ240" s="89"/>
    </row>
    <row r="241" spans="52:52" s="128" customFormat="1" ht="15.75" x14ac:dyDescent="0.5">
      <c r="AZ241" s="89"/>
    </row>
    <row r="242" spans="52:52" s="128" customFormat="1" ht="15.75" x14ac:dyDescent="0.5">
      <c r="AZ242" s="89"/>
    </row>
    <row r="243" spans="52:52" s="128" customFormat="1" ht="15.75" x14ac:dyDescent="0.5">
      <c r="AZ243" s="89"/>
    </row>
    <row r="244" spans="52:52" s="128" customFormat="1" ht="15.75" x14ac:dyDescent="0.5">
      <c r="AZ244" s="89"/>
    </row>
    <row r="245" spans="52:52" s="128" customFormat="1" ht="15.75" x14ac:dyDescent="0.5">
      <c r="AZ245" s="89"/>
    </row>
    <row r="246" spans="52:52" s="128" customFormat="1" ht="15.75" x14ac:dyDescent="0.5">
      <c r="AZ246" s="89"/>
    </row>
    <row r="247" spans="52:52" s="128" customFormat="1" ht="15.75" x14ac:dyDescent="0.5">
      <c r="AZ247" s="89"/>
    </row>
    <row r="248" spans="52:52" s="128" customFormat="1" ht="15.75" x14ac:dyDescent="0.5">
      <c r="AZ248" s="89"/>
    </row>
    <row r="249" spans="52:52" s="128" customFormat="1" ht="15.75" x14ac:dyDescent="0.5">
      <c r="AZ249" s="89"/>
    </row>
    <row r="250" spans="52:52" s="128" customFormat="1" ht="15.75" x14ac:dyDescent="0.5">
      <c r="AZ250" s="89"/>
    </row>
  </sheetData>
  <mergeCells count="6">
    <mergeCell ref="A107:C107"/>
    <mergeCell ref="A3:C3"/>
    <mergeCell ref="A9:C9"/>
    <mergeCell ref="A15:C15"/>
    <mergeCell ref="A49:C49"/>
    <mergeCell ref="A72:C7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1040"/>
  <sheetViews>
    <sheetView topLeftCell="A18" zoomScale="82" zoomScaleNormal="65" workbookViewId="0">
      <selection activeCell="A73" sqref="A73"/>
    </sheetView>
  </sheetViews>
  <sheetFormatPr defaultColWidth="14.46484375" defaultRowHeight="12.75" x14ac:dyDescent="0.35"/>
  <cols>
    <col min="1" max="1" width="31" bestFit="1" customWidth="1"/>
    <col min="2" max="2" width="15.6640625" customWidth="1"/>
    <col min="3" max="3" width="20.33203125" customWidth="1"/>
    <col min="4" max="4" width="17.86328125" customWidth="1"/>
    <col min="5" max="5" width="16.6640625" customWidth="1"/>
    <col min="6" max="6" width="17.46484375" customWidth="1"/>
    <col min="7" max="7" width="16.1328125" customWidth="1"/>
    <col min="8" max="8" width="14.53125" customWidth="1"/>
    <col min="9" max="9" width="13.86328125" customWidth="1"/>
    <col min="10" max="10" width="14.6640625" customWidth="1"/>
    <col min="11" max="11" width="15.6640625" customWidth="1"/>
    <col min="12" max="12" width="11" customWidth="1"/>
    <col min="13" max="13" width="15.1328125" customWidth="1"/>
    <col min="14" max="14" width="11" customWidth="1"/>
    <col min="15" max="15" width="18.1328125" customWidth="1"/>
    <col min="16" max="16" width="14.86328125" bestFit="1" customWidth="1"/>
    <col min="17" max="17" width="11.53125" customWidth="1"/>
    <col min="18" max="18" width="13.33203125" customWidth="1"/>
    <col min="19" max="19" width="13.1328125" customWidth="1"/>
    <col min="20" max="20" width="13.6640625" customWidth="1"/>
    <col min="21" max="21" width="12.33203125" customWidth="1"/>
    <col min="22" max="22" width="12.86328125" customWidth="1"/>
    <col min="23" max="23" width="13" customWidth="1"/>
    <col min="24" max="24" width="12.53125" customWidth="1"/>
    <col min="25" max="25" width="13.33203125" customWidth="1"/>
    <col min="26" max="26" width="13" customWidth="1"/>
    <col min="27" max="27" width="13.33203125" customWidth="1"/>
  </cols>
  <sheetData>
    <row r="1" spans="1:30" s="70" customFormat="1" ht="14.25" x14ac:dyDescent="0.45">
      <c r="A1" s="53"/>
      <c r="B1" s="54"/>
      <c r="C1" s="55"/>
      <c r="D1" s="55"/>
      <c r="E1" s="53"/>
      <c r="F1" s="55"/>
      <c r="G1" s="56"/>
      <c r="H1" s="56"/>
      <c r="I1" s="55"/>
      <c r="J1" s="55"/>
      <c r="K1" s="55"/>
      <c r="L1" s="55"/>
      <c r="M1" s="55"/>
      <c r="N1" s="55"/>
      <c r="O1" s="55"/>
      <c r="P1" s="55"/>
      <c r="Q1" s="55"/>
      <c r="R1" s="55"/>
      <c r="S1" s="55"/>
      <c r="T1" s="55"/>
      <c r="U1" s="55"/>
      <c r="V1" s="55"/>
      <c r="W1" s="55"/>
      <c r="X1" s="55"/>
      <c r="Y1" s="55"/>
      <c r="Z1" s="55"/>
      <c r="AA1" s="55"/>
      <c r="AB1" s="55"/>
      <c r="AC1" s="55"/>
      <c r="AD1" s="55"/>
    </row>
    <row r="2" spans="1:30" s="70" customFormat="1" ht="30.75" x14ac:dyDescent="0.45">
      <c r="A2" s="317" t="s">
        <v>171</v>
      </c>
      <c r="B2" s="317"/>
      <c r="C2" s="317"/>
      <c r="D2" s="317"/>
      <c r="E2" s="317"/>
      <c r="F2" s="317"/>
      <c r="G2" s="317"/>
      <c r="H2" s="317"/>
      <c r="I2" s="317"/>
      <c r="J2" s="317"/>
      <c r="K2" s="57"/>
      <c r="L2" s="55"/>
      <c r="M2" s="55"/>
      <c r="N2" s="55"/>
      <c r="O2" s="55"/>
      <c r="P2" s="55"/>
      <c r="Q2" s="55"/>
      <c r="R2" s="55"/>
      <c r="S2" s="55"/>
      <c r="T2" s="55"/>
      <c r="U2" s="55"/>
      <c r="V2" s="55"/>
      <c r="W2" s="55"/>
      <c r="X2" s="55"/>
      <c r="Y2" s="55"/>
      <c r="Z2" s="55"/>
      <c r="AA2" s="55"/>
      <c r="AB2" s="55"/>
      <c r="AC2" s="55"/>
      <c r="AD2" s="55"/>
    </row>
    <row r="3" spans="1:30" s="70" customFormat="1" ht="57" customHeight="1" x14ac:dyDescent="0.45">
      <c r="A3" s="318" t="s">
        <v>170</v>
      </c>
      <c r="B3" s="319"/>
      <c r="C3" s="319"/>
      <c r="D3" s="319"/>
      <c r="E3" s="319"/>
      <c r="F3" s="319"/>
      <c r="G3" s="319"/>
      <c r="H3" s="319"/>
      <c r="I3" s="319"/>
      <c r="J3" s="319"/>
      <c r="K3" s="73"/>
    </row>
    <row r="4" spans="1:30" s="70" customFormat="1" ht="14.25" x14ac:dyDescent="0.45">
      <c r="A4" s="58"/>
      <c r="B4" s="59"/>
      <c r="C4" s="57"/>
      <c r="D4" s="73"/>
      <c r="E4" s="73"/>
      <c r="F4" s="73"/>
      <c r="G4" s="73"/>
      <c r="H4" s="60"/>
      <c r="I4" s="57"/>
      <c r="J4" s="57"/>
      <c r="K4" s="57"/>
      <c r="L4" s="55"/>
      <c r="M4" s="55"/>
      <c r="N4" s="55"/>
      <c r="O4" s="55"/>
      <c r="P4" s="55"/>
      <c r="Q4" s="55"/>
      <c r="R4" s="55"/>
      <c r="S4" s="55"/>
      <c r="T4" s="55"/>
      <c r="U4" s="55"/>
      <c r="V4" s="55"/>
      <c r="W4" s="55"/>
      <c r="X4" s="55"/>
      <c r="Y4" s="55"/>
      <c r="Z4" s="55"/>
      <c r="AA4" s="55"/>
      <c r="AB4" s="55"/>
      <c r="AC4" s="55"/>
      <c r="AD4" s="55"/>
    </row>
    <row r="5" spans="1:30" s="70" customFormat="1" ht="14.25" x14ac:dyDescent="0.45">
      <c r="A5" s="65" t="s">
        <v>1</v>
      </c>
      <c r="B5" s="66" t="s">
        <v>2</v>
      </c>
      <c r="C5" s="57"/>
      <c r="D5" s="65" t="s">
        <v>15</v>
      </c>
      <c r="E5" s="66" t="s">
        <v>12</v>
      </c>
      <c r="G5" s="65" t="s">
        <v>13</v>
      </c>
      <c r="J5"/>
      <c r="R5" s="55"/>
      <c r="S5" s="55"/>
      <c r="T5" s="55"/>
      <c r="U5" s="55"/>
      <c r="V5" s="55"/>
      <c r="W5" s="55"/>
      <c r="X5" s="55"/>
      <c r="Y5" s="55"/>
      <c r="Z5" s="55"/>
      <c r="AA5" s="55"/>
      <c r="AB5" s="55"/>
      <c r="AC5" s="55"/>
    </row>
    <row r="6" spans="1:30" s="70" customFormat="1" ht="14.25" x14ac:dyDescent="0.45">
      <c r="A6" s="58" t="s">
        <v>3</v>
      </c>
      <c r="B6" s="59">
        <v>49</v>
      </c>
      <c r="C6" s="57"/>
      <c r="D6" s="70" t="s">
        <v>16</v>
      </c>
      <c r="E6" s="72">
        <v>0.26</v>
      </c>
      <c r="G6" s="58" t="s">
        <v>20</v>
      </c>
      <c r="H6" s="259">
        <v>0</v>
      </c>
      <c r="K6" s="82"/>
      <c r="R6" s="55"/>
      <c r="S6" s="55"/>
      <c r="T6" s="55"/>
      <c r="U6" s="55"/>
      <c r="V6" s="55"/>
      <c r="W6" s="55"/>
      <c r="X6" s="55"/>
      <c r="Y6" s="55"/>
      <c r="Z6" s="55"/>
      <c r="AA6" s="55"/>
      <c r="AB6" s="55"/>
      <c r="AC6" s="55"/>
    </row>
    <row r="7" spans="1:30" s="70" customFormat="1" ht="14.25" x14ac:dyDescent="0.45">
      <c r="A7" s="58" t="s">
        <v>204</v>
      </c>
      <c r="B7" s="60">
        <v>40</v>
      </c>
      <c r="C7" s="57"/>
      <c r="D7" s="70" t="s">
        <v>17</v>
      </c>
      <c r="E7" s="72">
        <v>0.3</v>
      </c>
      <c r="G7" s="70" t="s">
        <v>0</v>
      </c>
      <c r="H7" s="260">
        <v>0.06</v>
      </c>
      <c r="K7" s="81"/>
      <c r="Q7" s="55"/>
      <c r="R7" s="55"/>
      <c r="S7" s="55"/>
      <c r="T7" s="55"/>
      <c r="U7" s="55"/>
      <c r="V7" s="55"/>
      <c r="W7" s="55"/>
      <c r="X7" s="55"/>
      <c r="Y7" s="55"/>
      <c r="Z7" s="55"/>
      <c r="AA7" s="55"/>
      <c r="AB7" s="55"/>
      <c r="AC7" s="55"/>
    </row>
    <row r="8" spans="1:30" s="70" customFormat="1" ht="14.25" x14ac:dyDescent="0.45">
      <c r="A8" s="58" t="s">
        <v>167</v>
      </c>
      <c r="B8" s="60">
        <v>30</v>
      </c>
      <c r="C8" s="61"/>
      <c r="D8" s="70" t="s">
        <v>7</v>
      </c>
      <c r="E8" s="72">
        <v>0.1</v>
      </c>
      <c r="G8" s="70" t="s">
        <v>21</v>
      </c>
      <c r="H8" s="70">
        <v>1000000</v>
      </c>
      <c r="Q8" s="55"/>
      <c r="R8" s="55"/>
      <c r="S8" s="55"/>
      <c r="T8" s="55"/>
      <c r="U8" s="55"/>
      <c r="V8" s="55"/>
      <c r="W8" s="55"/>
      <c r="X8" s="55"/>
      <c r="Y8" s="55"/>
      <c r="Z8" s="55"/>
      <c r="AA8" s="55"/>
      <c r="AB8" s="55"/>
      <c r="AC8" s="55"/>
    </row>
    <row r="9" spans="1:30" s="70" customFormat="1" ht="14.25" x14ac:dyDescent="0.45">
      <c r="A9" s="58" t="s">
        <v>250</v>
      </c>
      <c r="B9" s="60">
        <v>25</v>
      </c>
      <c r="C9" s="62"/>
      <c r="D9" s="70" t="s">
        <v>208</v>
      </c>
      <c r="E9" s="156">
        <v>0.02</v>
      </c>
      <c r="M9" s="55"/>
      <c r="N9" s="55"/>
      <c r="O9" s="55"/>
      <c r="P9" s="55"/>
      <c r="Q9" s="55"/>
      <c r="R9" s="55"/>
      <c r="S9" s="55"/>
      <c r="T9" s="55"/>
      <c r="U9" s="55"/>
      <c r="V9" s="55"/>
      <c r="W9" s="55"/>
      <c r="X9" s="55"/>
      <c r="Y9" s="55"/>
      <c r="Z9" s="55"/>
      <c r="AA9" s="55"/>
      <c r="AB9" s="55"/>
      <c r="AC9" s="55"/>
    </row>
    <row r="10" spans="1:30" s="70" customFormat="1" ht="14.25" x14ac:dyDescent="0.45">
      <c r="C10" s="62"/>
      <c r="D10" s="70" t="s">
        <v>179</v>
      </c>
      <c r="E10" s="156">
        <v>0.03</v>
      </c>
      <c r="G10" s="164" t="s">
        <v>181</v>
      </c>
      <c r="H10" s="160" t="s">
        <v>214</v>
      </c>
      <c r="K10" s="80"/>
      <c r="M10" s="55"/>
      <c r="N10" s="55"/>
      <c r="O10" s="55"/>
      <c r="P10" s="55"/>
      <c r="Q10" s="55"/>
      <c r="R10" s="55"/>
      <c r="S10" s="55"/>
      <c r="T10" s="55"/>
      <c r="U10" s="55"/>
      <c r="V10" s="55"/>
      <c r="W10" s="55"/>
      <c r="X10" s="55"/>
      <c r="Y10" s="55"/>
      <c r="Z10" s="55"/>
      <c r="AA10" s="55"/>
      <c r="AB10" s="55"/>
      <c r="AC10" s="55"/>
    </row>
    <row r="11" spans="1:30" s="70" customFormat="1" ht="14.25" x14ac:dyDescent="0.45">
      <c r="A11" s="65" t="s">
        <v>11</v>
      </c>
      <c r="B11" s="66" t="s">
        <v>272</v>
      </c>
      <c r="C11" s="62"/>
      <c r="G11" s="58" t="s">
        <v>189</v>
      </c>
      <c r="H11" s="257">
        <v>400</v>
      </c>
      <c r="K11" s="80"/>
      <c r="M11" s="55"/>
      <c r="N11" s="55"/>
      <c r="O11" s="55"/>
      <c r="P11" s="55"/>
      <c r="Q11" s="55"/>
      <c r="R11" s="55"/>
      <c r="S11" s="55"/>
      <c r="T11" s="55"/>
      <c r="U11" s="55"/>
      <c r="V11" s="55"/>
      <c r="W11" s="55"/>
      <c r="X11" s="55"/>
      <c r="Y11" s="55"/>
      <c r="Z11" s="55"/>
      <c r="AA11" s="55"/>
      <c r="AB11" s="55"/>
      <c r="AC11" s="55"/>
    </row>
    <row r="12" spans="1:30" s="70" customFormat="1" ht="14.25" x14ac:dyDescent="0.45">
      <c r="A12" s="58" t="s">
        <v>192</v>
      </c>
      <c r="B12" s="163">
        <v>36000</v>
      </c>
      <c r="C12" s="62"/>
      <c r="D12" s="65" t="s">
        <v>14</v>
      </c>
      <c r="E12" s="199">
        <f>E13+E17</f>
        <v>510</v>
      </c>
      <c r="K12" s="80"/>
      <c r="M12" s="55"/>
      <c r="N12" s="55"/>
      <c r="O12" s="55"/>
      <c r="P12" s="55"/>
      <c r="Q12" s="55"/>
      <c r="R12" s="55"/>
      <c r="S12" s="55"/>
      <c r="T12" s="55"/>
      <c r="U12" s="55"/>
      <c r="V12" s="55"/>
      <c r="W12" s="55"/>
      <c r="X12" s="55"/>
      <c r="Y12" s="55"/>
      <c r="Z12" s="55"/>
      <c r="AA12" s="55"/>
      <c r="AB12" s="55"/>
      <c r="AC12" s="55"/>
    </row>
    <row r="13" spans="1:30" s="70" customFormat="1" ht="28.5" x14ac:dyDescent="0.45">
      <c r="A13" s="58" t="s">
        <v>193</v>
      </c>
      <c r="B13" s="163">
        <f>B12*2</f>
        <v>72000</v>
      </c>
      <c r="C13" s="62"/>
      <c r="D13" s="58" t="s">
        <v>58</v>
      </c>
      <c r="E13" s="163">
        <v>500</v>
      </c>
      <c r="G13" s="202" t="s">
        <v>225</v>
      </c>
      <c r="H13" s="229" t="s">
        <v>6</v>
      </c>
      <c r="I13" s="229" t="s">
        <v>7</v>
      </c>
      <c r="J13" s="229" t="s">
        <v>8</v>
      </c>
      <c r="K13" s="195" t="s">
        <v>9</v>
      </c>
      <c r="M13" s="55"/>
      <c r="N13" s="55"/>
      <c r="O13" s="55"/>
      <c r="P13" s="55"/>
      <c r="Q13" s="55"/>
      <c r="R13" s="55"/>
      <c r="S13" s="55"/>
      <c r="T13" s="55"/>
      <c r="U13" s="55"/>
      <c r="V13" s="55"/>
      <c r="W13" s="55"/>
      <c r="X13" s="55"/>
      <c r="Y13" s="55"/>
      <c r="Z13" s="55"/>
      <c r="AA13" s="55"/>
      <c r="AB13" s="55"/>
      <c r="AC13" s="55"/>
    </row>
    <row r="14" spans="1:30" s="70" customFormat="1" ht="14.25" x14ac:dyDescent="0.45">
      <c r="A14" s="58" t="s">
        <v>194</v>
      </c>
      <c r="B14" s="163">
        <f>B12*3</f>
        <v>108000</v>
      </c>
      <c r="C14" s="62"/>
      <c r="D14" s="58" t="s">
        <v>213</v>
      </c>
      <c r="E14" s="261">
        <v>0.08</v>
      </c>
      <c r="G14" s="73" t="s">
        <v>166</v>
      </c>
      <c r="H14" s="60">
        <v>20</v>
      </c>
      <c r="I14" s="169">
        <f>H14-J14</f>
        <v>0.39215686274509665</v>
      </c>
      <c r="J14" s="221">
        <f>H14/(1+E9)</f>
        <v>19.607843137254903</v>
      </c>
      <c r="K14" s="230">
        <f>J14</f>
        <v>19.607843137254903</v>
      </c>
      <c r="L14" s="80" t="s">
        <v>188</v>
      </c>
      <c r="M14" s="55"/>
      <c r="N14" s="55"/>
      <c r="O14" s="55"/>
      <c r="P14" s="55"/>
      <c r="Q14" s="55"/>
      <c r="R14" s="55"/>
      <c r="S14" s="55"/>
      <c r="T14" s="55"/>
      <c r="U14" s="55"/>
      <c r="V14" s="55"/>
      <c r="W14" s="55"/>
      <c r="X14" s="55"/>
      <c r="Y14" s="55"/>
      <c r="Z14" s="55"/>
      <c r="AA14" s="55"/>
      <c r="AB14" s="55"/>
      <c r="AC14" s="55"/>
    </row>
    <row r="15" spans="1:30" s="70" customFormat="1" ht="14.25" x14ac:dyDescent="0.45">
      <c r="A15" s="58" t="s">
        <v>243</v>
      </c>
      <c r="B15" s="163">
        <f>B12*4</f>
        <v>144000</v>
      </c>
      <c r="C15" s="62"/>
      <c r="D15" s="58" t="s">
        <v>216</v>
      </c>
      <c r="E15" s="204">
        <f>(E14+1)*(H6+1)-1</f>
        <v>8.0000000000000071E-2</v>
      </c>
      <c r="F15" s="205"/>
      <c r="K15" s="81"/>
      <c r="Q15" s="55"/>
      <c r="R15" s="55"/>
      <c r="S15" s="55"/>
      <c r="T15" s="55"/>
      <c r="U15" s="55"/>
      <c r="V15" s="55"/>
      <c r="W15" s="55"/>
      <c r="X15" s="55"/>
      <c r="Y15" s="55"/>
      <c r="Z15" s="55"/>
      <c r="AA15" s="55"/>
      <c r="AB15" s="55"/>
      <c r="AC15" s="55"/>
    </row>
    <row r="16" spans="1:30" s="70" customFormat="1" ht="14.25" x14ac:dyDescent="0.45">
      <c r="B16" s="180"/>
      <c r="C16" s="62"/>
      <c r="D16" s="58" t="s">
        <v>212</v>
      </c>
      <c r="E16" s="163">
        <v>15</v>
      </c>
      <c r="G16" s="202" t="s">
        <v>215</v>
      </c>
      <c r="H16" s="160"/>
      <c r="I16" s="160" t="s">
        <v>112</v>
      </c>
      <c r="J16" s="160" t="s">
        <v>222</v>
      </c>
      <c r="Q16" s="55"/>
      <c r="R16" s="55"/>
      <c r="S16" s="55"/>
      <c r="T16" s="55"/>
      <c r="U16" s="55"/>
      <c r="V16" s="55"/>
      <c r="W16" s="55"/>
      <c r="X16" s="55"/>
      <c r="Y16" s="55"/>
      <c r="Z16" s="55"/>
      <c r="AA16" s="55"/>
      <c r="AB16" s="55"/>
      <c r="AC16" s="55"/>
    </row>
    <row r="17" spans="1:29" s="70" customFormat="1" ht="14.25" x14ac:dyDescent="0.45">
      <c r="A17"/>
      <c r="B17"/>
      <c r="C17" s="62"/>
      <c r="D17" s="70" t="s">
        <v>211</v>
      </c>
      <c r="E17" s="180">
        <f>B29-E13</f>
        <v>10</v>
      </c>
      <c r="G17" s="203" t="s">
        <v>217</v>
      </c>
      <c r="H17" s="262">
        <v>5250</v>
      </c>
      <c r="I17" s="153" t="s">
        <v>219</v>
      </c>
      <c r="J17" s="153" t="s">
        <v>244</v>
      </c>
      <c r="O17" s="55"/>
      <c r="P17" s="55"/>
      <c r="Q17" s="55"/>
      <c r="R17" s="55"/>
      <c r="S17" s="55"/>
      <c r="T17" s="55"/>
      <c r="U17" s="55"/>
      <c r="V17" s="55"/>
      <c r="W17" s="55"/>
      <c r="X17" s="55"/>
      <c r="Y17" s="55"/>
      <c r="Z17" s="55"/>
      <c r="AA17" s="55"/>
      <c r="AB17" s="55"/>
      <c r="AC17" s="55"/>
    </row>
    <row r="18" spans="1:29" ht="14.25" x14ac:dyDescent="0.45">
      <c r="A18" s="164" t="s">
        <v>180</v>
      </c>
      <c r="B18" s="159"/>
      <c r="D18" s="70" t="s">
        <v>224</v>
      </c>
      <c r="E18" s="72">
        <v>0.09</v>
      </c>
      <c r="G18" s="203" t="s">
        <v>218</v>
      </c>
      <c r="H18" s="60">
        <v>100</v>
      </c>
      <c r="I18" s="206" t="s">
        <v>220</v>
      </c>
      <c r="J18" s="70">
        <v>2034</v>
      </c>
    </row>
    <row r="19" spans="1:29" s="70" customFormat="1" ht="14.25" x14ac:dyDescent="0.45">
      <c r="A19" s="58" t="s">
        <v>169</v>
      </c>
      <c r="B19" s="88">
        <v>0.01</v>
      </c>
      <c r="C19" s="62"/>
      <c r="D19" s="151" t="s">
        <v>55</v>
      </c>
      <c r="E19" s="201">
        <f>(E13/E12*E14)+(E17/E12*E18)</f>
        <v>8.0196078431372553E-2</v>
      </c>
      <c r="K19" s="80"/>
      <c r="M19" s="55"/>
      <c r="N19" s="55"/>
      <c r="O19" s="55"/>
      <c r="P19" s="55"/>
      <c r="Q19" s="55"/>
      <c r="R19" s="55"/>
      <c r="S19" s="55"/>
      <c r="T19" s="55"/>
      <c r="U19" s="55"/>
      <c r="V19" s="55"/>
      <c r="W19" s="55"/>
      <c r="X19" s="55"/>
      <c r="Y19" s="55"/>
      <c r="Z19" s="55"/>
      <c r="AA19" s="55"/>
      <c r="AB19" s="55"/>
      <c r="AC19" s="55"/>
    </row>
    <row r="20" spans="1:29" s="70" customFormat="1" ht="14.25" x14ac:dyDescent="0.45">
      <c r="A20" s="58" t="s">
        <v>166</v>
      </c>
      <c r="B20" s="60">
        <v>0</v>
      </c>
      <c r="C20" s="62"/>
      <c r="D20" s="151"/>
      <c r="E20" s="201"/>
      <c r="K20" s="80"/>
      <c r="M20" s="55"/>
      <c r="N20" s="55"/>
      <c r="O20" s="55"/>
      <c r="P20" s="55"/>
      <c r="Q20" s="55"/>
      <c r="R20" s="55"/>
      <c r="S20" s="55"/>
      <c r="T20" s="55"/>
      <c r="U20" s="55"/>
      <c r="V20" s="55"/>
      <c r="W20" s="55"/>
      <c r="X20" s="55"/>
      <c r="Y20" s="55"/>
      <c r="Z20" s="55"/>
      <c r="AA20" s="55"/>
      <c r="AB20" s="55"/>
      <c r="AC20" s="55"/>
    </row>
    <row r="21" spans="1:29" s="70" customFormat="1" ht="14.25" x14ac:dyDescent="0.45">
      <c r="C21" s="62"/>
      <c r="K21" s="80"/>
      <c r="M21" s="55"/>
      <c r="N21" s="55"/>
      <c r="O21" s="55"/>
      <c r="P21" s="55"/>
      <c r="Q21" s="55"/>
      <c r="R21" s="55"/>
      <c r="S21" s="55"/>
      <c r="T21" s="55"/>
      <c r="U21" s="55"/>
      <c r="V21" s="55"/>
      <c r="W21" s="55"/>
      <c r="X21" s="55"/>
      <c r="Y21" s="55"/>
      <c r="Z21" s="55"/>
      <c r="AA21" s="55"/>
      <c r="AB21" s="55"/>
      <c r="AC21" s="55"/>
    </row>
    <row r="22" spans="1:29" s="70" customFormat="1" ht="14.25" x14ac:dyDescent="0.45">
      <c r="A22" s="322" t="s">
        <v>198</v>
      </c>
      <c r="B22" s="322"/>
      <c r="C22" s="322"/>
      <c r="D22" s="322"/>
      <c r="E22" s="322"/>
      <c r="F22" s="322"/>
      <c r="G22" s="322"/>
      <c r="H22" s="322"/>
      <c r="I22" s="322"/>
      <c r="K22" s="80"/>
      <c r="M22" s="55"/>
      <c r="N22" s="55"/>
      <c r="O22" s="55"/>
      <c r="P22" s="55"/>
      <c r="Q22" s="55"/>
      <c r="R22" s="55"/>
      <c r="S22" s="55"/>
      <c r="T22" s="55"/>
      <c r="U22" s="55"/>
      <c r="V22" s="55"/>
      <c r="W22" s="55"/>
      <c r="X22" s="55"/>
      <c r="Y22" s="55"/>
      <c r="Z22" s="55"/>
      <c r="AA22" s="55"/>
      <c r="AB22" s="55"/>
      <c r="AC22" s="55"/>
    </row>
    <row r="23" spans="1:29" s="70" customFormat="1" ht="14.25" x14ac:dyDescent="0.45">
      <c r="A23" s="185" t="s">
        <v>2</v>
      </c>
      <c r="B23" s="186">
        <v>2009</v>
      </c>
      <c r="C23" s="186">
        <v>2010</v>
      </c>
      <c r="D23" s="186">
        <v>2015</v>
      </c>
      <c r="E23" s="186">
        <v>2016</v>
      </c>
      <c r="F23" s="186">
        <v>2021</v>
      </c>
      <c r="G23" s="186">
        <v>2022</v>
      </c>
      <c r="H23" s="186">
        <v>2027</v>
      </c>
      <c r="I23" s="186">
        <v>2028</v>
      </c>
      <c r="K23" s="80"/>
      <c r="M23" s="55"/>
      <c r="N23" s="55"/>
      <c r="O23" s="55"/>
      <c r="Y23" s="55"/>
      <c r="Z23" s="55"/>
      <c r="AA23" s="55"/>
      <c r="AB23" s="55"/>
      <c r="AC23" s="55"/>
    </row>
    <row r="24" spans="1:29" s="70" customFormat="1" ht="14.25" x14ac:dyDescent="0.45">
      <c r="A24" s="181" t="s">
        <v>199</v>
      </c>
      <c r="B24" s="323" t="s">
        <v>200</v>
      </c>
      <c r="C24" s="323"/>
      <c r="D24" s="324" t="s">
        <v>201</v>
      </c>
      <c r="E24" s="324"/>
      <c r="F24" s="325" t="s">
        <v>202</v>
      </c>
      <c r="G24" s="325"/>
      <c r="H24" s="325" t="s">
        <v>203</v>
      </c>
      <c r="I24" s="325"/>
      <c r="J24" s="195"/>
      <c r="K24" s="80"/>
      <c r="M24" s="55"/>
      <c r="N24" s="55"/>
      <c r="O24" s="55"/>
      <c r="P24" s="55"/>
      <c r="Q24" s="55"/>
      <c r="R24" s="55"/>
      <c r="S24" s="55"/>
      <c r="T24" s="55"/>
      <c r="U24" s="55"/>
      <c r="V24" s="55"/>
      <c r="W24" s="55"/>
      <c r="X24" s="55"/>
      <c r="Y24" s="55"/>
      <c r="Z24" s="55"/>
      <c r="AA24" s="55"/>
      <c r="AB24" s="55"/>
      <c r="AC24" s="55"/>
    </row>
    <row r="25" spans="1:29" s="70" customFormat="1" ht="14.25" x14ac:dyDescent="0.45">
      <c r="A25" s="57" t="s">
        <v>204</v>
      </c>
      <c r="B25" s="262">
        <v>160</v>
      </c>
      <c r="C25" s="60">
        <v>160</v>
      </c>
      <c r="D25" s="60"/>
      <c r="E25" s="60"/>
      <c r="F25" s="60">
        <v>160</v>
      </c>
      <c r="G25" s="60">
        <v>160</v>
      </c>
      <c r="H25" s="60"/>
      <c r="I25" s="60"/>
      <c r="J25" s="198">
        <f>SUM(B25:I25)</f>
        <v>640</v>
      </c>
      <c r="K25" s="80"/>
      <c r="M25" s="55"/>
      <c r="N25" s="55"/>
      <c r="O25" s="55"/>
      <c r="P25" s="55"/>
      <c r="Q25" s="55"/>
      <c r="R25" s="55"/>
      <c r="S25" s="55"/>
      <c r="T25" s="55"/>
      <c r="U25" s="55"/>
      <c r="V25" s="55"/>
      <c r="W25" s="55"/>
      <c r="X25" s="55"/>
      <c r="Y25" s="55"/>
      <c r="Z25" s="55"/>
      <c r="AA25" s="55"/>
      <c r="AB25" s="55"/>
      <c r="AC25" s="55"/>
    </row>
    <row r="26" spans="1:29" s="70" customFormat="1" ht="14.25" x14ac:dyDescent="0.45">
      <c r="A26" s="58" t="s">
        <v>205</v>
      </c>
      <c r="B26" s="60">
        <v>250</v>
      </c>
      <c r="C26" s="60">
        <v>250</v>
      </c>
      <c r="D26" s="60">
        <v>176</v>
      </c>
      <c r="E26" s="60">
        <v>176</v>
      </c>
      <c r="F26" s="60">
        <v>250</v>
      </c>
      <c r="G26" s="60">
        <v>250</v>
      </c>
      <c r="H26" s="60">
        <v>176</v>
      </c>
      <c r="I26" s="60">
        <v>176</v>
      </c>
      <c r="J26" s="198">
        <f t="shared" ref="J26:J34" si="0">SUM(B26:I26)</f>
        <v>1704</v>
      </c>
      <c r="K26" s="80"/>
      <c r="M26" s="55"/>
      <c r="N26" s="55"/>
      <c r="O26" s="55"/>
      <c r="P26" s="55"/>
      <c r="Q26" s="55"/>
      <c r="R26" s="55"/>
      <c r="S26" s="55"/>
      <c r="T26" s="55"/>
      <c r="U26" s="55"/>
      <c r="V26" s="55"/>
      <c r="W26" s="55"/>
      <c r="X26" s="55"/>
      <c r="Y26" s="55"/>
      <c r="Z26" s="55"/>
      <c r="AA26" s="55"/>
      <c r="AB26" s="55"/>
      <c r="AC26" s="55"/>
    </row>
    <row r="27" spans="1:29" s="70" customFormat="1" ht="14.25" x14ac:dyDescent="0.45">
      <c r="A27" s="58" t="s">
        <v>245</v>
      </c>
      <c r="B27" s="60">
        <v>5</v>
      </c>
      <c r="C27" s="60"/>
      <c r="D27" s="60"/>
      <c r="E27" s="60"/>
      <c r="F27" s="60">
        <v>5</v>
      </c>
      <c r="G27" s="60"/>
      <c r="H27" s="60"/>
      <c r="I27" s="60"/>
      <c r="J27" s="198">
        <f t="shared" si="0"/>
        <v>10</v>
      </c>
      <c r="K27" s="80"/>
      <c r="M27" s="55"/>
      <c r="N27" s="55"/>
      <c r="O27" s="55"/>
      <c r="P27" s="55"/>
      <c r="Q27" s="55"/>
      <c r="R27" s="55"/>
      <c r="S27" s="55"/>
      <c r="T27" s="55"/>
      <c r="U27" s="55"/>
      <c r="V27" s="55"/>
      <c r="W27" s="55"/>
      <c r="X27" s="55"/>
      <c r="Y27" s="55"/>
      <c r="Z27" s="55"/>
      <c r="AA27" s="55"/>
      <c r="AB27" s="55"/>
      <c r="AC27" s="55"/>
    </row>
    <row r="28" spans="1:29" s="70" customFormat="1" ht="14.25" x14ac:dyDescent="0.45">
      <c r="A28" s="57" t="s">
        <v>249</v>
      </c>
      <c r="B28" s="60">
        <v>95</v>
      </c>
      <c r="C28" s="60">
        <v>95</v>
      </c>
      <c r="D28" s="60"/>
      <c r="E28" s="60"/>
      <c r="F28" s="60">
        <v>95</v>
      </c>
      <c r="G28" s="60">
        <v>95</v>
      </c>
      <c r="H28" s="60"/>
      <c r="I28" s="60"/>
      <c r="J28" s="198">
        <f t="shared" si="0"/>
        <v>380</v>
      </c>
      <c r="K28"/>
      <c r="M28" s="55"/>
      <c r="N28" s="55"/>
      <c r="O28" s="55"/>
      <c r="P28" s="55"/>
      <c r="Q28" s="55"/>
      <c r="R28" s="55"/>
      <c r="S28" s="55"/>
      <c r="T28" s="55"/>
      <c r="U28" s="55"/>
      <c r="V28" s="55"/>
      <c r="W28" s="55"/>
      <c r="X28" s="55"/>
      <c r="Y28" s="55"/>
      <c r="Z28" s="55"/>
      <c r="AA28" s="55"/>
      <c r="AB28" s="55"/>
      <c r="AC28" s="55"/>
    </row>
    <row r="29" spans="1:29" s="70" customFormat="1" ht="14.25" x14ac:dyDescent="0.45">
      <c r="A29" s="183" t="s">
        <v>48</v>
      </c>
      <c r="B29" s="182">
        <f t="shared" ref="B29:J29" si="1">SUM(B25:B28)</f>
        <v>510</v>
      </c>
      <c r="C29" s="182">
        <f t="shared" si="1"/>
        <v>505</v>
      </c>
      <c r="D29" s="182">
        <f t="shared" si="1"/>
        <v>176</v>
      </c>
      <c r="E29" s="182">
        <f t="shared" si="1"/>
        <v>176</v>
      </c>
      <c r="F29" s="182">
        <f t="shared" si="1"/>
        <v>510</v>
      </c>
      <c r="G29" s="182">
        <f t="shared" si="1"/>
        <v>505</v>
      </c>
      <c r="H29" s="196">
        <f t="shared" si="1"/>
        <v>176</v>
      </c>
      <c r="I29" s="196">
        <f t="shared" si="1"/>
        <v>176</v>
      </c>
      <c r="J29" s="196">
        <f t="shared" si="1"/>
        <v>2734</v>
      </c>
      <c r="Q29" s="55"/>
      <c r="R29" s="55"/>
      <c r="S29" s="55"/>
      <c r="T29" s="55"/>
      <c r="U29" s="55"/>
      <c r="V29" s="55"/>
      <c r="W29" s="55"/>
      <c r="X29" s="55"/>
      <c r="Y29" s="55"/>
      <c r="Z29" s="55"/>
      <c r="AA29" s="55"/>
      <c r="AB29" s="55"/>
      <c r="AC29" s="55"/>
    </row>
    <row r="30" spans="1:29" s="70" customFormat="1" ht="14.25" x14ac:dyDescent="0.45">
      <c r="A30" s="181" t="s">
        <v>206</v>
      </c>
      <c r="B30" s="326" t="s">
        <v>200</v>
      </c>
      <c r="C30" s="326"/>
      <c r="D30" s="327" t="s">
        <v>201</v>
      </c>
      <c r="E30" s="327"/>
      <c r="F30" s="328" t="s">
        <v>202</v>
      </c>
      <c r="G30" s="328"/>
      <c r="H30" s="328" t="s">
        <v>203</v>
      </c>
      <c r="I30" s="328"/>
      <c r="J30" s="197"/>
      <c r="Q30" s="55"/>
      <c r="R30" s="55"/>
      <c r="S30" s="55"/>
      <c r="T30" s="55"/>
      <c r="U30" s="55"/>
      <c r="V30" s="55"/>
      <c r="W30" s="55"/>
      <c r="X30" s="55"/>
      <c r="Y30" s="55"/>
      <c r="Z30" s="55"/>
      <c r="AA30" s="55"/>
      <c r="AB30" s="55"/>
      <c r="AC30" s="55"/>
    </row>
    <row r="31" spans="1:29" s="70" customFormat="1" ht="14.25" x14ac:dyDescent="0.45">
      <c r="A31" s="57" t="s">
        <v>204</v>
      </c>
      <c r="B31" s="166">
        <f>B25/(1+$E$9)</f>
        <v>156.86274509803923</v>
      </c>
      <c r="C31" s="166">
        <f>C25/(1+$E$9)</f>
        <v>156.86274509803923</v>
      </c>
      <c r="D31" s="166"/>
      <c r="E31" s="166"/>
      <c r="F31" s="166">
        <f>F25/(1+$E$9)</f>
        <v>156.86274509803923</v>
      </c>
      <c r="G31" s="166">
        <f>G25/(1+$E$9)</f>
        <v>156.86274509803923</v>
      </c>
      <c r="H31" s="166"/>
      <c r="I31" s="166"/>
      <c r="J31" s="198">
        <f t="shared" si="0"/>
        <v>627.45098039215691</v>
      </c>
      <c r="Q31" s="55"/>
      <c r="R31" s="55"/>
      <c r="S31" s="55"/>
      <c r="T31" s="55"/>
      <c r="U31" s="55"/>
      <c r="V31" s="55"/>
      <c r="W31" s="55"/>
      <c r="X31" s="55"/>
      <c r="Y31" s="55"/>
      <c r="Z31" s="55"/>
      <c r="AA31" s="55"/>
      <c r="AB31" s="55"/>
      <c r="AC31" s="55"/>
    </row>
    <row r="32" spans="1:29" s="70" customFormat="1" ht="14.25" x14ac:dyDescent="0.45">
      <c r="A32" s="58" t="s">
        <v>205</v>
      </c>
      <c r="B32" s="166">
        <f>B26/(1+$E$9)</f>
        <v>245.09803921568627</v>
      </c>
      <c r="C32" s="166">
        <f>C26/(1+$E$9)</f>
        <v>245.09803921568627</v>
      </c>
      <c r="D32" s="166">
        <f>D26/(1+$E$9)</f>
        <v>172.54901960784312</v>
      </c>
      <c r="E32" s="166">
        <f>E26/(1+$E$9)</f>
        <v>172.54901960784312</v>
      </c>
      <c r="F32" s="166">
        <f>F26/(1+$E$9)</f>
        <v>245.09803921568627</v>
      </c>
      <c r="G32" s="166">
        <f>G26/(1+$E$9)</f>
        <v>245.09803921568627</v>
      </c>
      <c r="H32" s="166">
        <f>H26/(1+$E$9)</f>
        <v>172.54901960784312</v>
      </c>
      <c r="I32" s="166">
        <f>I26/(1+$E$9)</f>
        <v>172.54901960784312</v>
      </c>
      <c r="J32" s="198">
        <f t="shared" si="0"/>
        <v>1670.5882352941173</v>
      </c>
      <c r="Q32" s="55"/>
      <c r="R32" s="55"/>
      <c r="S32" s="55"/>
      <c r="T32" s="55"/>
      <c r="U32" s="55"/>
      <c r="V32" s="55"/>
      <c r="W32" s="55"/>
      <c r="X32" s="55"/>
      <c r="Y32" s="55"/>
      <c r="Z32" s="55"/>
      <c r="AA32" s="55"/>
      <c r="AB32" s="55"/>
      <c r="AC32" s="55"/>
    </row>
    <row r="33" spans="1:30" s="70" customFormat="1" ht="14.25" x14ac:dyDescent="0.45">
      <c r="A33" s="58" t="s">
        <v>245</v>
      </c>
      <c r="B33" s="166">
        <f>B27/(1+$E$9)</f>
        <v>4.9019607843137258</v>
      </c>
      <c r="C33" s="166"/>
      <c r="D33" s="166"/>
      <c r="E33" s="166"/>
      <c r="F33" s="166">
        <f>F27/(1+$E$9)</f>
        <v>4.9019607843137258</v>
      </c>
      <c r="G33" s="166"/>
      <c r="H33" s="166"/>
      <c r="I33" s="166"/>
      <c r="J33" s="198">
        <f t="shared" si="0"/>
        <v>9.8039215686274517</v>
      </c>
      <c r="Q33" s="55"/>
      <c r="R33" s="55"/>
      <c r="S33" s="55"/>
      <c r="T33" s="55"/>
      <c r="U33" s="55"/>
      <c r="V33" s="55"/>
      <c r="W33" s="55"/>
      <c r="X33" s="55"/>
      <c r="Y33" s="55"/>
      <c r="Z33" s="55"/>
      <c r="AA33" s="55"/>
      <c r="AB33" s="55"/>
      <c r="AC33" s="55"/>
    </row>
    <row r="34" spans="1:30" s="70" customFormat="1" ht="14.25" x14ac:dyDescent="0.45">
      <c r="A34" s="57" t="s">
        <v>249</v>
      </c>
      <c r="B34" s="166">
        <f>B28/(1+$E$9)</f>
        <v>93.137254901960787</v>
      </c>
      <c r="C34" s="166">
        <f>C28/(1+$E$9)</f>
        <v>93.137254901960787</v>
      </c>
      <c r="D34" s="166"/>
      <c r="E34" s="166"/>
      <c r="F34" s="166">
        <f>F28/(1+$E$9)</f>
        <v>93.137254901960787</v>
      </c>
      <c r="G34" s="166">
        <f>G28/(1+$E$9)</f>
        <v>93.137254901960787</v>
      </c>
      <c r="H34" s="166"/>
      <c r="I34" s="166"/>
      <c r="J34" s="198">
        <f t="shared" si="0"/>
        <v>372.54901960784315</v>
      </c>
      <c r="Q34" s="55"/>
      <c r="R34" s="55"/>
      <c r="S34" s="55"/>
      <c r="T34" s="55"/>
      <c r="U34" s="55"/>
      <c r="V34" s="55"/>
      <c r="W34" s="55"/>
      <c r="X34" s="55"/>
      <c r="Y34" s="55"/>
      <c r="Z34" s="55"/>
      <c r="AA34" s="55"/>
      <c r="AB34" s="55"/>
      <c r="AC34" s="55"/>
      <c r="AD34" s="55"/>
    </row>
    <row r="35" spans="1:30" ht="14.25" x14ac:dyDescent="0.45">
      <c r="A35" s="183" t="s">
        <v>48</v>
      </c>
      <c r="B35" s="269">
        <f t="shared" ref="B35:J35" si="2">SUM(B31:B34)</f>
        <v>500</v>
      </c>
      <c r="C35" s="269">
        <f t="shared" si="2"/>
        <v>495.0980392156863</v>
      </c>
      <c r="D35" s="269">
        <f t="shared" si="2"/>
        <v>172.54901960784312</v>
      </c>
      <c r="E35" s="269">
        <f t="shared" si="2"/>
        <v>172.54901960784312</v>
      </c>
      <c r="F35" s="269">
        <f t="shared" si="2"/>
        <v>500</v>
      </c>
      <c r="G35" s="269">
        <f t="shared" si="2"/>
        <v>495.0980392156863</v>
      </c>
      <c r="H35" s="269">
        <f t="shared" si="2"/>
        <v>172.54901960784312</v>
      </c>
      <c r="I35" s="269">
        <f t="shared" si="2"/>
        <v>172.54901960784312</v>
      </c>
      <c r="J35" s="182">
        <f t="shared" si="2"/>
        <v>2680.3921568627452</v>
      </c>
    </row>
    <row r="36" spans="1:30" ht="14.25" x14ac:dyDescent="0.45">
      <c r="A36" s="193" t="s">
        <v>207</v>
      </c>
      <c r="B36" s="194">
        <f t="shared" ref="B36:I36" si="3">B29-B35</f>
        <v>10</v>
      </c>
      <c r="C36" s="194">
        <f t="shared" si="3"/>
        <v>9.901960784313701</v>
      </c>
      <c r="D36" s="194">
        <f t="shared" si="3"/>
        <v>3.4509803921568789</v>
      </c>
      <c r="E36" s="194">
        <f t="shared" si="3"/>
        <v>3.4509803921568789</v>
      </c>
      <c r="F36" s="194">
        <f t="shared" si="3"/>
        <v>10</v>
      </c>
      <c r="G36" s="194">
        <f t="shared" si="3"/>
        <v>9.901960784313701</v>
      </c>
      <c r="H36" s="194">
        <f t="shared" si="3"/>
        <v>3.4509803921568789</v>
      </c>
      <c r="I36" s="194">
        <f t="shared" si="3"/>
        <v>3.4509803921568789</v>
      </c>
      <c r="J36" s="158"/>
    </row>
    <row r="38" spans="1:30" ht="14.25" x14ac:dyDescent="0.45">
      <c r="A38" s="320" t="s">
        <v>178</v>
      </c>
      <c r="B38" s="320"/>
      <c r="C38" s="320"/>
      <c r="D38" s="320"/>
      <c r="E38" s="320"/>
      <c r="F38" s="320"/>
    </row>
    <row r="39" spans="1:30" ht="44" customHeight="1" x14ac:dyDescent="0.45">
      <c r="A39" s="187" t="s">
        <v>209</v>
      </c>
      <c r="B39" s="165" t="s">
        <v>177</v>
      </c>
      <c r="C39" s="231" t="s">
        <v>248</v>
      </c>
      <c r="D39" s="232" t="s">
        <v>246</v>
      </c>
      <c r="E39" s="233" t="s">
        <v>247</v>
      </c>
      <c r="F39" s="69" t="s">
        <v>9</v>
      </c>
    </row>
    <row r="40" spans="1:30" ht="14.25" x14ac:dyDescent="0.45">
      <c r="A40" s="173" t="s">
        <v>182</v>
      </c>
      <c r="C40" s="256">
        <v>22</v>
      </c>
      <c r="D40" s="70"/>
      <c r="E40" s="63"/>
      <c r="F40" s="167">
        <f>SUM(F41:F43)</f>
        <v>20.8</v>
      </c>
    </row>
    <row r="41" spans="1:30" ht="14.25" x14ac:dyDescent="0.45">
      <c r="A41" s="57" t="s">
        <v>174</v>
      </c>
      <c r="B41" s="162">
        <v>0.4</v>
      </c>
      <c r="C41" s="168">
        <f>$C$40*B41</f>
        <v>8.8000000000000007</v>
      </c>
      <c r="D41" s="169"/>
      <c r="E41" s="170">
        <f>C41</f>
        <v>8.8000000000000007</v>
      </c>
      <c r="F41" s="170">
        <f>E41</f>
        <v>8.8000000000000007</v>
      </c>
    </row>
    <row r="42" spans="1:30" ht="14.25" x14ac:dyDescent="0.45">
      <c r="A42" s="57" t="s">
        <v>175</v>
      </c>
      <c r="B42" s="162">
        <v>0.3</v>
      </c>
      <c r="C42" s="168">
        <f>$C$40*B42</f>
        <v>6.6</v>
      </c>
      <c r="D42" s="169">
        <f t="shared" ref="D42:D47" si="4">C42-E42</f>
        <v>0.60000000000000053</v>
      </c>
      <c r="E42" s="170">
        <f>C42/(1+$E$8)</f>
        <v>5.9999999999999991</v>
      </c>
      <c r="F42" s="170">
        <f t="shared" ref="F42:F47" si="5">E42</f>
        <v>5.9999999999999991</v>
      </c>
    </row>
    <row r="43" spans="1:30" ht="14.25" x14ac:dyDescent="0.45">
      <c r="A43" s="57" t="s">
        <v>176</v>
      </c>
      <c r="B43" s="162">
        <v>0.3</v>
      </c>
      <c r="C43" s="168">
        <f>$C$40*B43</f>
        <v>6.6</v>
      </c>
      <c r="D43" s="169">
        <f t="shared" si="4"/>
        <v>0.60000000000000053</v>
      </c>
      <c r="E43" s="170">
        <f>C43/(1+$E$8)</f>
        <v>5.9999999999999991</v>
      </c>
      <c r="F43" s="170">
        <f t="shared" si="5"/>
        <v>5.9999999999999991</v>
      </c>
    </row>
    <row r="44" spans="1:30" ht="14.25" x14ac:dyDescent="0.45">
      <c r="A44" s="64" t="s">
        <v>185</v>
      </c>
      <c r="C44" s="255">
        <v>350</v>
      </c>
      <c r="D44" s="169"/>
      <c r="E44" s="171"/>
      <c r="F44" s="170">
        <f>SUM(F45:F47)</f>
        <v>330.90909090909088</v>
      </c>
    </row>
    <row r="45" spans="1:30" ht="14.25" x14ac:dyDescent="0.45">
      <c r="A45" s="57" t="s">
        <v>174</v>
      </c>
      <c r="B45" s="162">
        <v>0.4</v>
      </c>
      <c r="C45" s="168">
        <f>$C$44*B45</f>
        <v>140</v>
      </c>
      <c r="D45" s="169"/>
      <c r="E45" s="172">
        <f>C45</f>
        <v>140</v>
      </c>
      <c r="F45" s="170">
        <f t="shared" si="5"/>
        <v>140</v>
      </c>
    </row>
    <row r="46" spans="1:30" ht="14.25" x14ac:dyDescent="0.45">
      <c r="A46" s="57" t="s">
        <v>175</v>
      </c>
      <c r="B46" s="162">
        <v>0.3</v>
      </c>
      <c r="C46" s="168">
        <f>$C$44*B46</f>
        <v>105</v>
      </c>
      <c r="D46" s="169">
        <f t="shared" si="4"/>
        <v>9.5454545454545467</v>
      </c>
      <c r="E46" s="172">
        <f>C46/(1+E8)</f>
        <v>95.454545454545453</v>
      </c>
      <c r="F46" s="170">
        <f t="shared" si="5"/>
        <v>95.454545454545453</v>
      </c>
    </row>
    <row r="47" spans="1:30" ht="14.25" x14ac:dyDescent="0.45">
      <c r="A47" s="57" t="s">
        <v>176</v>
      </c>
      <c r="B47" s="162">
        <v>0.3</v>
      </c>
      <c r="C47" s="168">
        <f>$C$44*B47</f>
        <v>105</v>
      </c>
      <c r="D47" s="169">
        <f t="shared" si="4"/>
        <v>9.5454545454545467</v>
      </c>
      <c r="E47" s="172">
        <f>C47/(1+E8)</f>
        <v>95.454545454545453</v>
      </c>
      <c r="F47" s="170">
        <f t="shared" si="5"/>
        <v>95.454545454545453</v>
      </c>
    </row>
    <row r="48" spans="1:30" ht="14.25" x14ac:dyDescent="0.45">
      <c r="A48" s="187" t="s">
        <v>210</v>
      </c>
      <c r="B48" s="165"/>
      <c r="C48" s="244"/>
      <c r="D48" s="195"/>
      <c r="E48" s="245"/>
      <c r="F48" s="245"/>
    </row>
    <row r="49" spans="1:7" ht="14.25" x14ac:dyDescent="0.45">
      <c r="A49" s="173" t="s">
        <v>182</v>
      </c>
      <c r="C49" s="256">
        <v>10</v>
      </c>
      <c r="D49" s="70"/>
      <c r="E49" s="63"/>
      <c r="F49" s="167">
        <f>SUM(F50:F52)</f>
        <v>9.4545454545454533</v>
      </c>
    </row>
    <row r="50" spans="1:7" ht="14.25" x14ac:dyDescent="0.45">
      <c r="A50" s="57" t="s">
        <v>174</v>
      </c>
      <c r="B50" s="162">
        <v>0.4</v>
      </c>
      <c r="C50" s="168">
        <f>$C$49*B50</f>
        <v>4</v>
      </c>
      <c r="D50" s="169"/>
      <c r="E50" s="170">
        <f>C50</f>
        <v>4</v>
      </c>
      <c r="F50" s="170">
        <f>E50</f>
        <v>4</v>
      </c>
    </row>
    <row r="51" spans="1:7" ht="14.25" x14ac:dyDescent="0.45">
      <c r="A51" s="57" t="s">
        <v>175</v>
      </c>
      <c r="B51" s="162">
        <v>0.3</v>
      </c>
      <c r="C51" s="168">
        <f t="shared" ref="C51:C52" si="6">$C$49*B51</f>
        <v>3</v>
      </c>
      <c r="D51" s="169">
        <f t="shared" ref="D51:D52" si="7">C51-E51</f>
        <v>0.27272727272727293</v>
      </c>
      <c r="E51" s="170">
        <f>C51/(1+$E$8)</f>
        <v>2.7272727272727271</v>
      </c>
      <c r="F51" s="170">
        <f t="shared" ref="F51:F52" si="8">E51</f>
        <v>2.7272727272727271</v>
      </c>
    </row>
    <row r="52" spans="1:7" ht="14.25" x14ac:dyDescent="0.45">
      <c r="A52" s="57" t="s">
        <v>176</v>
      </c>
      <c r="B52" s="162">
        <v>0.3</v>
      </c>
      <c r="C52" s="168">
        <f t="shared" si="6"/>
        <v>3</v>
      </c>
      <c r="D52" s="169">
        <f t="shared" si="7"/>
        <v>0.27272727272727293</v>
      </c>
      <c r="E52" s="170">
        <f>C52/(1+$E$8)</f>
        <v>2.7272727272727271</v>
      </c>
      <c r="F52" s="170">
        <f t="shared" si="8"/>
        <v>2.7272727272727271</v>
      </c>
    </row>
    <row r="53" spans="1:7" ht="14.25" x14ac:dyDescent="0.45">
      <c r="A53" s="64" t="s">
        <v>185</v>
      </c>
      <c r="C53" s="255">
        <v>350</v>
      </c>
      <c r="D53" s="169"/>
      <c r="E53" s="171"/>
      <c r="F53" s="170">
        <f>SUM(F54:F56)</f>
        <v>330.90909090909088</v>
      </c>
    </row>
    <row r="54" spans="1:7" ht="14.25" x14ac:dyDescent="0.45">
      <c r="A54" s="57" t="s">
        <v>174</v>
      </c>
      <c r="B54" s="162">
        <v>0.4</v>
      </c>
      <c r="C54" s="168">
        <f>$C$53*B54</f>
        <v>140</v>
      </c>
      <c r="D54" s="169"/>
      <c r="E54" s="172">
        <f>C54</f>
        <v>140</v>
      </c>
      <c r="F54" s="170">
        <f t="shared" ref="F54:F56" si="9">E54</f>
        <v>140</v>
      </c>
    </row>
    <row r="55" spans="1:7" ht="14.25" x14ac:dyDescent="0.45">
      <c r="A55" s="57" t="s">
        <v>175</v>
      </c>
      <c r="B55" s="162">
        <v>0.3</v>
      </c>
      <c r="C55" s="168">
        <f t="shared" ref="C55:C56" si="10">$C$53*B55</f>
        <v>105</v>
      </c>
      <c r="D55" s="169">
        <f t="shared" ref="D55:D56" si="11">C55-E55</f>
        <v>9.5454545454545467</v>
      </c>
      <c r="E55" s="172">
        <f>C55/(1+E8)</f>
        <v>95.454545454545453</v>
      </c>
      <c r="F55" s="170">
        <f t="shared" si="9"/>
        <v>95.454545454545453</v>
      </c>
    </row>
    <row r="56" spans="1:7" ht="14.25" x14ac:dyDescent="0.45">
      <c r="A56" s="71" t="s">
        <v>176</v>
      </c>
      <c r="B56" s="189">
        <v>0.3</v>
      </c>
      <c r="C56" s="188">
        <f t="shared" si="10"/>
        <v>105</v>
      </c>
      <c r="D56" s="190">
        <f t="shared" si="11"/>
        <v>9.5454545454545467</v>
      </c>
      <c r="E56" s="191">
        <f>C56/(1+E8)</f>
        <v>95.454545454545453</v>
      </c>
      <c r="F56" s="192">
        <f t="shared" si="9"/>
        <v>95.454545454545453</v>
      </c>
    </row>
    <row r="58" spans="1:7" ht="14.25" x14ac:dyDescent="0.45">
      <c r="A58" s="316" t="s">
        <v>280</v>
      </c>
      <c r="B58" s="316"/>
      <c r="C58" s="316"/>
      <c r="D58" s="316"/>
      <c r="E58" s="316"/>
      <c r="F58" s="316"/>
      <c r="G58" s="316"/>
    </row>
    <row r="59" spans="1:7" ht="14.25" x14ac:dyDescent="0.45">
      <c r="A59" s="214" t="s">
        <v>222</v>
      </c>
      <c r="B59" s="67" t="s">
        <v>11</v>
      </c>
      <c r="C59" s="68" t="s">
        <v>5</v>
      </c>
      <c r="D59" s="76" t="s">
        <v>6</v>
      </c>
      <c r="E59" s="78" t="s">
        <v>7</v>
      </c>
      <c r="F59" s="69" t="s">
        <v>8</v>
      </c>
      <c r="G59" s="69" t="s">
        <v>9</v>
      </c>
    </row>
    <row r="60" spans="1:7" ht="14.25" x14ac:dyDescent="0.45">
      <c r="A60" s="58" t="s">
        <v>192</v>
      </c>
      <c r="B60" s="163">
        <v>36000</v>
      </c>
      <c r="C60" s="163">
        <f>H17</f>
        <v>5250</v>
      </c>
      <c r="D60" s="77">
        <f>B60*$C$60</f>
        <v>189000000</v>
      </c>
      <c r="E60" s="74">
        <f>D60-F60</f>
        <v>17181818.181818187</v>
      </c>
      <c r="F60" s="74">
        <f>D60/(1+$E$8)</f>
        <v>171818181.81818181</v>
      </c>
      <c r="G60" s="63">
        <f>F60</f>
        <v>171818181.81818181</v>
      </c>
    </row>
    <row r="61" spans="1:7" ht="14.25" x14ac:dyDescent="0.45">
      <c r="A61" s="58" t="s">
        <v>193</v>
      </c>
      <c r="B61" s="163">
        <f>B60*2</f>
        <v>72000</v>
      </c>
      <c r="C61" s="163"/>
      <c r="D61" s="77">
        <f>B61*$C$60</f>
        <v>378000000</v>
      </c>
      <c r="E61" s="74">
        <f t="shared" ref="E61:E63" si="12">D61-F61</f>
        <v>34363636.363636374</v>
      </c>
      <c r="F61" s="74">
        <f t="shared" ref="F61:F63" si="13">D61/(1+$E$8)</f>
        <v>343636363.63636363</v>
      </c>
      <c r="G61" s="63">
        <f t="shared" ref="G61:G63" si="14">F61</f>
        <v>343636363.63636363</v>
      </c>
    </row>
    <row r="62" spans="1:7" ht="14.25" x14ac:dyDescent="0.45">
      <c r="A62" s="58" t="s">
        <v>194</v>
      </c>
      <c r="B62" s="163">
        <f>B60*3</f>
        <v>108000</v>
      </c>
      <c r="C62" s="163"/>
      <c r="D62" s="77">
        <f>B62*$C$60</f>
        <v>567000000</v>
      </c>
      <c r="E62" s="74">
        <f t="shared" si="12"/>
        <v>51545454.545454562</v>
      </c>
      <c r="F62" s="74">
        <f t="shared" si="13"/>
        <v>515454545.45454544</v>
      </c>
      <c r="G62" s="63">
        <f t="shared" si="14"/>
        <v>515454545.45454544</v>
      </c>
    </row>
    <row r="63" spans="1:7" ht="14.25" x14ac:dyDescent="0.45">
      <c r="A63" s="154" t="s">
        <v>195</v>
      </c>
      <c r="B63" s="212">
        <f>B60*4</f>
        <v>144000</v>
      </c>
      <c r="C63" s="212"/>
      <c r="D63" s="152">
        <f>B63*$C$60</f>
        <v>756000000</v>
      </c>
      <c r="E63" s="213">
        <f t="shared" si="12"/>
        <v>68727272.727272749</v>
      </c>
      <c r="F63" s="213">
        <f t="shared" si="13"/>
        <v>687272727.27272725</v>
      </c>
      <c r="G63" s="155">
        <f t="shared" si="14"/>
        <v>687272727.27272725</v>
      </c>
    </row>
    <row r="65" spans="1:53" ht="13.15" x14ac:dyDescent="0.4">
      <c r="D65" s="237" t="s">
        <v>252</v>
      </c>
      <c r="E65" s="237"/>
      <c r="F65" s="237"/>
      <c r="G65" s="237"/>
      <c r="H65" s="237"/>
      <c r="I65" s="237"/>
      <c r="J65" s="237" t="s">
        <v>253</v>
      </c>
      <c r="K65" s="237"/>
      <c r="L65" s="237"/>
      <c r="M65" s="237"/>
      <c r="N65" s="237"/>
      <c r="O65" s="237"/>
      <c r="P65" s="237" t="s">
        <v>254</v>
      </c>
      <c r="Q65" s="237"/>
      <c r="R65" s="237"/>
      <c r="S65" s="237"/>
      <c r="T65" s="237"/>
      <c r="U65" s="237"/>
      <c r="V65" s="237" t="s">
        <v>255</v>
      </c>
      <c r="AA65" s="243" t="s">
        <v>256</v>
      </c>
    </row>
    <row r="66" spans="1:53" ht="14.25" x14ac:dyDescent="0.45">
      <c r="A66" s="234" t="s">
        <v>22</v>
      </c>
      <c r="B66" s="234">
        <v>2009</v>
      </c>
      <c r="C66" s="234">
        <v>2010</v>
      </c>
      <c r="D66" s="234">
        <v>2011</v>
      </c>
      <c r="E66" s="234">
        <v>2012</v>
      </c>
      <c r="F66" s="234">
        <v>2013</v>
      </c>
      <c r="G66" s="234">
        <v>2014</v>
      </c>
      <c r="H66" s="234">
        <v>2015</v>
      </c>
      <c r="I66" s="234">
        <v>2016</v>
      </c>
      <c r="J66" s="234">
        <v>2017</v>
      </c>
      <c r="K66" s="234">
        <v>2018</v>
      </c>
      <c r="L66" s="234">
        <v>2019</v>
      </c>
      <c r="M66" s="234">
        <v>2020</v>
      </c>
      <c r="N66" s="234">
        <v>2021</v>
      </c>
      <c r="O66" s="234">
        <v>2022</v>
      </c>
      <c r="P66" s="234">
        <v>2023</v>
      </c>
      <c r="Q66" s="234">
        <v>2024</v>
      </c>
      <c r="R66" s="234">
        <v>2025</v>
      </c>
      <c r="S66" s="234">
        <v>2026</v>
      </c>
      <c r="T66" s="234">
        <v>2027</v>
      </c>
      <c r="U66" s="234">
        <v>2028</v>
      </c>
      <c r="V66" s="234">
        <v>2029</v>
      </c>
      <c r="W66" s="234">
        <v>2030</v>
      </c>
      <c r="X66" s="234">
        <v>2031</v>
      </c>
      <c r="Y66" s="234">
        <v>2032</v>
      </c>
      <c r="Z66" s="234">
        <v>2033</v>
      </c>
      <c r="AA66" s="238">
        <v>2034</v>
      </c>
      <c r="AB66" s="234">
        <v>2035</v>
      </c>
      <c r="AC66" s="234">
        <v>2036</v>
      </c>
      <c r="AD66" s="234">
        <v>2037</v>
      </c>
      <c r="AE66" s="234">
        <v>2038</v>
      </c>
      <c r="AF66" s="234">
        <v>2039</v>
      </c>
      <c r="AG66" s="234">
        <v>2040</v>
      </c>
      <c r="AH66" s="234">
        <v>2041</v>
      </c>
      <c r="AI66" s="234">
        <v>2042</v>
      </c>
      <c r="AJ66" s="234">
        <v>2043</v>
      </c>
      <c r="AK66" s="234">
        <v>2044</v>
      </c>
      <c r="AL66" s="234">
        <v>2045</v>
      </c>
      <c r="AM66" s="234">
        <v>2046</v>
      </c>
      <c r="AN66" s="234">
        <v>2047</v>
      </c>
      <c r="AO66" s="234">
        <v>2048</v>
      </c>
      <c r="AP66" s="234">
        <v>2049</v>
      </c>
      <c r="AQ66" s="234">
        <v>2050</v>
      </c>
      <c r="AR66" s="234">
        <v>2051</v>
      </c>
      <c r="AS66" s="234">
        <v>2052</v>
      </c>
      <c r="AT66" s="234">
        <v>2053</v>
      </c>
      <c r="AU66" s="234">
        <v>2054</v>
      </c>
      <c r="AV66" s="234">
        <v>2055</v>
      </c>
      <c r="AW66" s="234">
        <v>2056</v>
      </c>
      <c r="AX66" s="234">
        <v>2057</v>
      </c>
      <c r="AY66" s="234">
        <v>2058</v>
      </c>
    </row>
    <row r="67" spans="1:53" s="86" customFormat="1" ht="14.25" x14ac:dyDescent="0.45">
      <c r="A67" s="235" t="s">
        <v>2</v>
      </c>
      <c r="B67" s="236">
        <v>0</v>
      </c>
      <c r="C67" s="165">
        <v>1</v>
      </c>
      <c r="D67" s="236">
        <v>2</v>
      </c>
      <c r="E67" s="165">
        <v>3</v>
      </c>
      <c r="F67" s="236">
        <v>4</v>
      </c>
      <c r="G67" s="165">
        <v>5</v>
      </c>
      <c r="H67" s="236">
        <v>6</v>
      </c>
      <c r="I67" s="165">
        <v>7</v>
      </c>
      <c r="J67" s="236">
        <v>8</v>
      </c>
      <c r="K67" s="165">
        <v>9</v>
      </c>
      <c r="L67" s="236">
        <v>10</v>
      </c>
      <c r="M67" s="165">
        <v>11</v>
      </c>
      <c r="N67" s="236">
        <v>12</v>
      </c>
      <c r="O67" s="165">
        <v>13</v>
      </c>
      <c r="P67" s="236">
        <v>14</v>
      </c>
      <c r="Q67" s="165">
        <v>15</v>
      </c>
      <c r="R67" s="236">
        <v>16</v>
      </c>
      <c r="S67" s="165">
        <v>17</v>
      </c>
      <c r="T67" s="236">
        <v>18</v>
      </c>
      <c r="U67" s="165">
        <v>19</v>
      </c>
      <c r="V67" s="236">
        <v>20</v>
      </c>
      <c r="W67" s="165">
        <v>21</v>
      </c>
      <c r="X67" s="236">
        <v>22</v>
      </c>
      <c r="Y67" s="165">
        <v>23</v>
      </c>
      <c r="Z67" s="236">
        <v>24</v>
      </c>
      <c r="AA67" s="239">
        <v>25</v>
      </c>
      <c r="AB67" s="236">
        <v>26</v>
      </c>
      <c r="AC67" s="165">
        <v>27</v>
      </c>
      <c r="AD67" s="236">
        <v>28</v>
      </c>
      <c r="AE67" s="165">
        <v>29</v>
      </c>
      <c r="AF67" s="236">
        <v>30</v>
      </c>
      <c r="AG67" s="165">
        <v>31</v>
      </c>
      <c r="AH67" s="236">
        <v>32</v>
      </c>
      <c r="AI67" s="165">
        <v>33</v>
      </c>
      <c r="AJ67" s="236">
        <v>34</v>
      </c>
      <c r="AK67" s="165">
        <v>35</v>
      </c>
      <c r="AL67" s="236">
        <v>36</v>
      </c>
      <c r="AM67" s="165">
        <v>37</v>
      </c>
      <c r="AN67" s="236">
        <v>38</v>
      </c>
      <c r="AO67" s="165">
        <v>39</v>
      </c>
      <c r="AP67" s="236">
        <v>40</v>
      </c>
      <c r="AQ67" s="165">
        <v>41</v>
      </c>
      <c r="AR67" s="236">
        <v>42</v>
      </c>
      <c r="AS67" s="165">
        <v>43</v>
      </c>
      <c r="AT67" s="236">
        <v>44</v>
      </c>
      <c r="AU67" s="165">
        <v>45</v>
      </c>
      <c r="AV67" s="236">
        <v>46</v>
      </c>
      <c r="AW67" s="165">
        <v>47</v>
      </c>
      <c r="AX67" s="236">
        <v>48</v>
      </c>
      <c r="AY67" s="165">
        <v>49</v>
      </c>
    </row>
    <row r="68" spans="1:53" ht="14.25" x14ac:dyDescent="0.45">
      <c r="A68" s="58" t="s">
        <v>204</v>
      </c>
      <c r="D68" s="208">
        <f>($B$31+$C$31)/$B$7</f>
        <v>7.8431372549019613</v>
      </c>
      <c r="E68" s="208">
        <f t="shared" ref="E68:O68" si="15">($B$31+$C$31)/$B$7</f>
        <v>7.8431372549019613</v>
      </c>
      <c r="F68" s="208">
        <f t="shared" si="15"/>
        <v>7.8431372549019613</v>
      </c>
      <c r="G68" s="208">
        <f t="shared" si="15"/>
        <v>7.8431372549019613</v>
      </c>
      <c r="H68" s="208">
        <f t="shared" si="15"/>
        <v>7.8431372549019613</v>
      </c>
      <c r="I68" s="208">
        <f t="shared" si="15"/>
        <v>7.8431372549019613</v>
      </c>
      <c r="J68" s="208">
        <f t="shared" si="15"/>
        <v>7.8431372549019613</v>
      </c>
      <c r="K68" s="208">
        <f t="shared" si="15"/>
        <v>7.8431372549019613</v>
      </c>
      <c r="L68" s="208">
        <f t="shared" si="15"/>
        <v>7.8431372549019613</v>
      </c>
      <c r="M68" s="208">
        <f t="shared" si="15"/>
        <v>7.8431372549019613</v>
      </c>
      <c r="N68" s="208">
        <f t="shared" si="15"/>
        <v>7.8431372549019613</v>
      </c>
      <c r="O68" s="208">
        <f t="shared" si="15"/>
        <v>7.8431372549019613</v>
      </c>
      <c r="P68" s="208">
        <f>($B$31+$C$31+$F$31+$G$31)/$B$7</f>
        <v>15.686274509803923</v>
      </c>
      <c r="Q68" s="208">
        <f t="shared" ref="Q68:AQ68" si="16">($B$31+$C$31+$F$31+$G$31)/$B$7</f>
        <v>15.686274509803923</v>
      </c>
      <c r="R68" s="208">
        <f t="shared" si="16"/>
        <v>15.686274509803923</v>
      </c>
      <c r="S68" s="208">
        <f t="shared" si="16"/>
        <v>15.686274509803923</v>
      </c>
      <c r="T68" s="208">
        <f t="shared" si="16"/>
        <v>15.686274509803923</v>
      </c>
      <c r="U68" s="208">
        <f t="shared" si="16"/>
        <v>15.686274509803923</v>
      </c>
      <c r="V68" s="208">
        <f t="shared" si="16"/>
        <v>15.686274509803923</v>
      </c>
      <c r="W68" s="208">
        <f t="shared" si="16"/>
        <v>15.686274509803923</v>
      </c>
      <c r="X68" s="208">
        <f t="shared" si="16"/>
        <v>15.686274509803923</v>
      </c>
      <c r="Y68" s="208">
        <f t="shared" si="16"/>
        <v>15.686274509803923</v>
      </c>
      <c r="Z68" s="208">
        <f t="shared" si="16"/>
        <v>15.686274509803923</v>
      </c>
      <c r="AA68" s="240">
        <f t="shared" si="16"/>
        <v>15.686274509803923</v>
      </c>
      <c r="AB68" s="208">
        <f t="shared" si="16"/>
        <v>15.686274509803923</v>
      </c>
      <c r="AC68" s="208">
        <f t="shared" si="16"/>
        <v>15.686274509803923</v>
      </c>
      <c r="AD68" s="208">
        <f t="shared" si="16"/>
        <v>15.686274509803923</v>
      </c>
      <c r="AE68" s="208">
        <f t="shared" si="16"/>
        <v>15.686274509803923</v>
      </c>
      <c r="AF68" s="208">
        <f t="shared" si="16"/>
        <v>15.686274509803923</v>
      </c>
      <c r="AG68" s="208">
        <f t="shared" si="16"/>
        <v>15.686274509803923</v>
      </c>
      <c r="AH68" s="208">
        <f t="shared" si="16"/>
        <v>15.686274509803923</v>
      </c>
      <c r="AI68" s="208">
        <f t="shared" si="16"/>
        <v>15.686274509803923</v>
      </c>
      <c r="AJ68" s="208">
        <f t="shared" si="16"/>
        <v>15.686274509803923</v>
      </c>
      <c r="AK68" s="208">
        <f t="shared" si="16"/>
        <v>15.686274509803923</v>
      </c>
      <c r="AL68" s="208">
        <f t="shared" si="16"/>
        <v>15.686274509803923</v>
      </c>
      <c r="AM68" s="208">
        <f t="shared" si="16"/>
        <v>15.686274509803923</v>
      </c>
      <c r="AN68" s="208">
        <f t="shared" si="16"/>
        <v>15.686274509803923</v>
      </c>
      <c r="AO68" s="208">
        <f t="shared" si="16"/>
        <v>15.686274509803923</v>
      </c>
      <c r="AP68" s="208">
        <f t="shared" si="16"/>
        <v>15.686274509803923</v>
      </c>
      <c r="AQ68" s="208">
        <f t="shared" si="16"/>
        <v>15.686274509803923</v>
      </c>
      <c r="AR68" s="208">
        <f>($F$31+$G$31)/$B$7</f>
        <v>7.8431372549019613</v>
      </c>
      <c r="AS68" s="208">
        <f>($F$31+$G$31)/$B$7</f>
        <v>7.8431372549019613</v>
      </c>
      <c r="AT68" s="208">
        <f t="shared" ref="AT68:AY68" si="17">($F$31+$G$31)/$B$7</f>
        <v>7.8431372549019613</v>
      </c>
      <c r="AU68" s="208">
        <f t="shared" si="17"/>
        <v>7.8431372549019613</v>
      </c>
      <c r="AV68" s="208">
        <f t="shared" si="17"/>
        <v>7.8431372549019613</v>
      </c>
      <c r="AW68" s="208">
        <f t="shared" si="17"/>
        <v>7.8431372549019613</v>
      </c>
      <c r="AX68" s="208">
        <f t="shared" si="17"/>
        <v>7.8431372549019613</v>
      </c>
      <c r="AY68" s="208">
        <f t="shared" si="17"/>
        <v>7.8431372549019613</v>
      </c>
      <c r="BA68" s="208"/>
    </row>
    <row r="69" spans="1:53" ht="14.25" x14ac:dyDescent="0.45">
      <c r="A69" s="58" t="s">
        <v>200</v>
      </c>
      <c r="D69" s="200">
        <f>($B$32+$C$32)/$B$8</f>
        <v>16.33986928104575</v>
      </c>
      <c r="E69" s="200">
        <f t="shared" ref="E69:AG69" si="18">($B$32+$C$32)/$B$8</f>
        <v>16.33986928104575</v>
      </c>
      <c r="F69" s="200">
        <f t="shared" si="18"/>
        <v>16.33986928104575</v>
      </c>
      <c r="G69" s="200">
        <f t="shared" si="18"/>
        <v>16.33986928104575</v>
      </c>
      <c r="H69" s="200">
        <f t="shared" si="18"/>
        <v>16.33986928104575</v>
      </c>
      <c r="I69" s="200">
        <f t="shared" si="18"/>
        <v>16.33986928104575</v>
      </c>
      <c r="J69" s="200">
        <f t="shared" si="18"/>
        <v>16.33986928104575</v>
      </c>
      <c r="K69" s="200">
        <f t="shared" si="18"/>
        <v>16.33986928104575</v>
      </c>
      <c r="L69" s="200">
        <f t="shared" si="18"/>
        <v>16.33986928104575</v>
      </c>
      <c r="M69" s="200">
        <f t="shared" si="18"/>
        <v>16.33986928104575</v>
      </c>
      <c r="N69" s="200">
        <f t="shared" si="18"/>
        <v>16.33986928104575</v>
      </c>
      <c r="O69" s="200">
        <f t="shared" si="18"/>
        <v>16.33986928104575</v>
      </c>
      <c r="P69" s="200">
        <f t="shared" si="18"/>
        <v>16.33986928104575</v>
      </c>
      <c r="Q69" s="200">
        <f t="shared" si="18"/>
        <v>16.33986928104575</v>
      </c>
      <c r="R69" s="200">
        <f t="shared" si="18"/>
        <v>16.33986928104575</v>
      </c>
      <c r="S69" s="200">
        <f t="shared" si="18"/>
        <v>16.33986928104575</v>
      </c>
      <c r="T69" s="200">
        <f t="shared" si="18"/>
        <v>16.33986928104575</v>
      </c>
      <c r="U69" s="200">
        <f t="shared" si="18"/>
        <v>16.33986928104575</v>
      </c>
      <c r="V69" s="200">
        <f t="shared" si="18"/>
        <v>16.33986928104575</v>
      </c>
      <c r="W69" s="200">
        <f t="shared" si="18"/>
        <v>16.33986928104575</v>
      </c>
      <c r="X69" s="200">
        <f t="shared" si="18"/>
        <v>16.33986928104575</v>
      </c>
      <c r="Y69" s="200">
        <f t="shared" si="18"/>
        <v>16.33986928104575</v>
      </c>
      <c r="Z69" s="200">
        <f t="shared" si="18"/>
        <v>16.33986928104575</v>
      </c>
      <c r="AA69" s="241">
        <f t="shared" si="18"/>
        <v>16.33986928104575</v>
      </c>
      <c r="AB69" s="200">
        <f t="shared" si="18"/>
        <v>16.33986928104575</v>
      </c>
      <c r="AC69" s="200">
        <f t="shared" si="18"/>
        <v>16.33986928104575</v>
      </c>
      <c r="AD69" s="200">
        <f t="shared" si="18"/>
        <v>16.33986928104575</v>
      </c>
      <c r="AE69" s="200">
        <f t="shared" si="18"/>
        <v>16.33986928104575</v>
      </c>
      <c r="AF69" s="200">
        <f t="shared" si="18"/>
        <v>16.33986928104575</v>
      </c>
      <c r="AG69" s="200">
        <f t="shared" si="18"/>
        <v>16.33986928104575</v>
      </c>
      <c r="AH69" s="200"/>
      <c r="AI69" s="200"/>
      <c r="AJ69" s="200"/>
      <c r="AK69" s="200"/>
      <c r="AL69" s="200"/>
      <c r="AM69" s="200"/>
      <c r="AN69" s="200"/>
      <c r="AO69" s="200"/>
      <c r="AP69" s="200"/>
      <c r="AQ69" s="200"/>
      <c r="AR69" s="200"/>
      <c r="AS69" s="200"/>
      <c r="AT69" s="200"/>
      <c r="AU69" s="200"/>
      <c r="AV69" s="200"/>
      <c r="AW69" s="200"/>
      <c r="AX69" s="200"/>
      <c r="AY69" s="200"/>
    </row>
    <row r="70" spans="1:53" ht="14.25" x14ac:dyDescent="0.45">
      <c r="A70" s="58" t="s">
        <v>201</v>
      </c>
      <c r="D70" s="200"/>
      <c r="E70" s="200"/>
      <c r="F70" s="200"/>
      <c r="G70" s="200"/>
      <c r="H70" s="200"/>
      <c r="I70" s="200"/>
      <c r="J70" s="200">
        <f>($D$32+$E$32)/$B$8</f>
        <v>11.503267973856207</v>
      </c>
      <c r="K70" s="200">
        <f t="shared" ref="K70:AM70" si="19">($D$32+$E$32)/$B$8</f>
        <v>11.503267973856207</v>
      </c>
      <c r="L70" s="200">
        <f t="shared" si="19"/>
        <v>11.503267973856207</v>
      </c>
      <c r="M70" s="200">
        <f t="shared" si="19"/>
        <v>11.503267973856207</v>
      </c>
      <c r="N70" s="200">
        <f t="shared" si="19"/>
        <v>11.503267973856207</v>
      </c>
      <c r="O70" s="200">
        <f t="shared" si="19"/>
        <v>11.503267973856207</v>
      </c>
      <c r="P70" s="200">
        <f t="shared" si="19"/>
        <v>11.503267973856207</v>
      </c>
      <c r="Q70" s="200">
        <f t="shared" si="19"/>
        <v>11.503267973856207</v>
      </c>
      <c r="R70" s="200">
        <f t="shared" si="19"/>
        <v>11.503267973856207</v>
      </c>
      <c r="S70" s="200">
        <f t="shared" si="19"/>
        <v>11.503267973856207</v>
      </c>
      <c r="T70" s="200">
        <f t="shared" si="19"/>
        <v>11.503267973856207</v>
      </c>
      <c r="U70" s="200">
        <f t="shared" si="19"/>
        <v>11.503267973856207</v>
      </c>
      <c r="V70" s="200">
        <f t="shared" si="19"/>
        <v>11.503267973856207</v>
      </c>
      <c r="W70" s="200">
        <f t="shared" si="19"/>
        <v>11.503267973856207</v>
      </c>
      <c r="X70" s="200">
        <f t="shared" si="19"/>
        <v>11.503267973856207</v>
      </c>
      <c r="Y70" s="200">
        <f t="shared" si="19"/>
        <v>11.503267973856207</v>
      </c>
      <c r="Z70" s="200">
        <f t="shared" si="19"/>
        <v>11.503267973856207</v>
      </c>
      <c r="AA70" s="241">
        <f t="shared" si="19"/>
        <v>11.503267973856207</v>
      </c>
      <c r="AB70" s="200">
        <f t="shared" si="19"/>
        <v>11.503267973856207</v>
      </c>
      <c r="AC70" s="200">
        <f t="shared" si="19"/>
        <v>11.503267973856207</v>
      </c>
      <c r="AD70" s="200">
        <f t="shared" si="19"/>
        <v>11.503267973856207</v>
      </c>
      <c r="AE70" s="200">
        <f t="shared" si="19"/>
        <v>11.503267973856207</v>
      </c>
      <c r="AF70" s="200">
        <f t="shared" si="19"/>
        <v>11.503267973856207</v>
      </c>
      <c r="AG70" s="200">
        <f t="shared" si="19"/>
        <v>11.503267973856207</v>
      </c>
      <c r="AH70" s="200">
        <f t="shared" si="19"/>
        <v>11.503267973856207</v>
      </c>
      <c r="AI70" s="200">
        <f t="shared" si="19"/>
        <v>11.503267973856207</v>
      </c>
      <c r="AJ70" s="200">
        <f t="shared" si="19"/>
        <v>11.503267973856207</v>
      </c>
      <c r="AK70" s="200">
        <f t="shared" si="19"/>
        <v>11.503267973856207</v>
      </c>
      <c r="AL70" s="200">
        <f t="shared" si="19"/>
        <v>11.503267973856207</v>
      </c>
      <c r="AM70" s="200">
        <f t="shared" si="19"/>
        <v>11.503267973856207</v>
      </c>
      <c r="AN70" s="200"/>
      <c r="AO70" s="200"/>
      <c r="AP70" s="200"/>
      <c r="AQ70" s="200"/>
      <c r="AR70" s="200"/>
      <c r="AS70" s="200"/>
      <c r="AT70" s="200"/>
      <c r="AU70" s="200"/>
      <c r="AV70" s="200"/>
      <c r="AW70" s="200"/>
      <c r="AX70" s="200"/>
      <c r="AY70" s="200"/>
    </row>
    <row r="71" spans="1:53" ht="14.25" x14ac:dyDescent="0.45">
      <c r="A71" s="58" t="s">
        <v>251</v>
      </c>
      <c r="D71" s="200"/>
      <c r="E71" s="200"/>
      <c r="F71" s="200"/>
      <c r="G71" s="200"/>
      <c r="H71" s="200"/>
      <c r="I71" s="200"/>
      <c r="J71" s="200"/>
      <c r="K71" s="200"/>
      <c r="L71" s="200"/>
      <c r="M71" s="200"/>
      <c r="N71" s="200"/>
      <c r="O71" s="200"/>
      <c r="P71" s="200">
        <f>($F$32+$G$32)/$B$8</f>
        <v>16.33986928104575</v>
      </c>
      <c r="Q71" s="200">
        <f t="shared" ref="Q71:AS71" si="20">($F$32+$G$32)/$B$8</f>
        <v>16.33986928104575</v>
      </c>
      <c r="R71" s="200">
        <f t="shared" si="20"/>
        <v>16.33986928104575</v>
      </c>
      <c r="S71" s="200">
        <f t="shared" si="20"/>
        <v>16.33986928104575</v>
      </c>
      <c r="T71" s="200">
        <f t="shared" si="20"/>
        <v>16.33986928104575</v>
      </c>
      <c r="U71" s="200">
        <f t="shared" si="20"/>
        <v>16.33986928104575</v>
      </c>
      <c r="V71" s="200">
        <f t="shared" si="20"/>
        <v>16.33986928104575</v>
      </c>
      <c r="W71" s="200">
        <f t="shared" si="20"/>
        <v>16.33986928104575</v>
      </c>
      <c r="X71" s="200">
        <f t="shared" si="20"/>
        <v>16.33986928104575</v>
      </c>
      <c r="Y71" s="200">
        <f t="shared" si="20"/>
        <v>16.33986928104575</v>
      </c>
      <c r="Z71" s="200">
        <f t="shared" si="20"/>
        <v>16.33986928104575</v>
      </c>
      <c r="AA71" s="241">
        <f t="shared" si="20"/>
        <v>16.33986928104575</v>
      </c>
      <c r="AB71" s="200">
        <f t="shared" si="20"/>
        <v>16.33986928104575</v>
      </c>
      <c r="AC71" s="200">
        <f t="shared" si="20"/>
        <v>16.33986928104575</v>
      </c>
      <c r="AD71" s="200">
        <f t="shared" si="20"/>
        <v>16.33986928104575</v>
      </c>
      <c r="AE71" s="200">
        <f t="shared" si="20"/>
        <v>16.33986928104575</v>
      </c>
      <c r="AF71" s="200">
        <f t="shared" si="20"/>
        <v>16.33986928104575</v>
      </c>
      <c r="AG71" s="200">
        <f t="shared" si="20"/>
        <v>16.33986928104575</v>
      </c>
      <c r="AH71" s="200">
        <f t="shared" si="20"/>
        <v>16.33986928104575</v>
      </c>
      <c r="AI71" s="200">
        <f t="shared" si="20"/>
        <v>16.33986928104575</v>
      </c>
      <c r="AJ71" s="200">
        <f t="shared" si="20"/>
        <v>16.33986928104575</v>
      </c>
      <c r="AK71" s="200">
        <f t="shared" si="20"/>
        <v>16.33986928104575</v>
      </c>
      <c r="AL71" s="200">
        <f t="shared" si="20"/>
        <v>16.33986928104575</v>
      </c>
      <c r="AM71" s="200">
        <f t="shared" si="20"/>
        <v>16.33986928104575</v>
      </c>
      <c r="AN71" s="200">
        <f t="shared" si="20"/>
        <v>16.33986928104575</v>
      </c>
      <c r="AO71" s="200">
        <f t="shared" si="20"/>
        <v>16.33986928104575</v>
      </c>
      <c r="AP71" s="200">
        <f t="shared" si="20"/>
        <v>16.33986928104575</v>
      </c>
      <c r="AQ71" s="200">
        <f t="shared" si="20"/>
        <v>16.33986928104575</v>
      </c>
      <c r="AR71" s="200">
        <f t="shared" si="20"/>
        <v>16.33986928104575</v>
      </c>
      <c r="AS71" s="200">
        <f t="shared" si="20"/>
        <v>16.33986928104575</v>
      </c>
      <c r="AT71" s="200"/>
      <c r="AU71" s="200"/>
      <c r="AV71" s="200"/>
      <c r="AW71" s="200"/>
      <c r="AX71" s="200"/>
      <c r="AY71" s="200"/>
    </row>
    <row r="72" spans="1:53" ht="14.25" x14ac:dyDescent="0.45">
      <c r="A72" s="58" t="s">
        <v>203</v>
      </c>
      <c r="D72" s="200"/>
      <c r="E72" s="200"/>
      <c r="F72" s="200"/>
      <c r="G72" s="200"/>
      <c r="H72" s="200"/>
      <c r="I72" s="200"/>
      <c r="J72" s="200"/>
      <c r="K72" s="200"/>
      <c r="L72" s="200"/>
      <c r="M72" s="200"/>
      <c r="N72" s="200"/>
      <c r="O72" s="200"/>
      <c r="P72" s="200"/>
      <c r="Q72" s="200"/>
      <c r="R72" s="200"/>
      <c r="S72" s="200"/>
      <c r="T72" s="200"/>
      <c r="U72" s="200"/>
      <c r="V72" s="200">
        <f>($H$32+$I$32)/$B$8</f>
        <v>11.503267973856207</v>
      </c>
      <c r="W72" s="200">
        <f t="shared" ref="W72:AT72" si="21">($H$32+$I$32)/$B$8</f>
        <v>11.503267973856207</v>
      </c>
      <c r="X72" s="200">
        <f t="shared" si="21"/>
        <v>11.503267973856207</v>
      </c>
      <c r="Y72" s="200">
        <f t="shared" si="21"/>
        <v>11.503267973856207</v>
      </c>
      <c r="Z72" s="200">
        <f t="shared" si="21"/>
        <v>11.503267973856207</v>
      </c>
      <c r="AA72" s="241">
        <f t="shared" si="21"/>
        <v>11.503267973856207</v>
      </c>
      <c r="AB72" s="200">
        <f t="shared" si="21"/>
        <v>11.503267973856207</v>
      </c>
      <c r="AC72" s="200">
        <f t="shared" si="21"/>
        <v>11.503267973856207</v>
      </c>
      <c r="AD72" s="200">
        <f t="shared" si="21"/>
        <v>11.503267973856207</v>
      </c>
      <c r="AE72" s="200">
        <f t="shared" si="21"/>
        <v>11.503267973856207</v>
      </c>
      <c r="AF72" s="200">
        <f t="shared" si="21"/>
        <v>11.503267973856207</v>
      </c>
      <c r="AG72" s="200">
        <f t="shared" si="21"/>
        <v>11.503267973856207</v>
      </c>
      <c r="AH72" s="200">
        <f t="shared" si="21"/>
        <v>11.503267973856207</v>
      </c>
      <c r="AI72" s="200">
        <f t="shared" si="21"/>
        <v>11.503267973856207</v>
      </c>
      <c r="AJ72" s="200">
        <f t="shared" si="21"/>
        <v>11.503267973856207</v>
      </c>
      <c r="AK72" s="200">
        <f t="shared" si="21"/>
        <v>11.503267973856207</v>
      </c>
      <c r="AL72" s="200">
        <f t="shared" si="21"/>
        <v>11.503267973856207</v>
      </c>
      <c r="AM72" s="200">
        <f t="shared" si="21"/>
        <v>11.503267973856207</v>
      </c>
      <c r="AN72" s="200">
        <f t="shared" si="21"/>
        <v>11.503267973856207</v>
      </c>
      <c r="AO72" s="200">
        <f t="shared" si="21"/>
        <v>11.503267973856207</v>
      </c>
      <c r="AP72" s="200">
        <f t="shared" si="21"/>
        <v>11.503267973856207</v>
      </c>
      <c r="AQ72" s="200">
        <f t="shared" si="21"/>
        <v>11.503267973856207</v>
      </c>
      <c r="AR72" s="200">
        <f t="shared" si="21"/>
        <v>11.503267973856207</v>
      </c>
      <c r="AS72" s="200">
        <f t="shared" si="21"/>
        <v>11.503267973856207</v>
      </c>
      <c r="AT72" s="200">
        <f t="shared" si="21"/>
        <v>11.503267973856207</v>
      </c>
      <c r="AU72" s="200">
        <f t="shared" ref="AU72:AY72" si="22">($H$32+$I$32)/$B$8</f>
        <v>11.503267973856207</v>
      </c>
      <c r="AV72" s="200">
        <f t="shared" si="22"/>
        <v>11.503267973856207</v>
      </c>
      <c r="AW72" s="200">
        <f t="shared" si="22"/>
        <v>11.503267973856207</v>
      </c>
      <c r="AX72" s="200">
        <f t="shared" si="22"/>
        <v>11.503267973856207</v>
      </c>
      <c r="AY72" s="200">
        <f t="shared" si="22"/>
        <v>11.503267973856207</v>
      </c>
      <c r="AZ72" s="200"/>
      <c r="BA72" s="200"/>
    </row>
    <row r="73" spans="1:53" ht="14.25" x14ac:dyDescent="0.45">
      <c r="A73" s="58" t="s">
        <v>250</v>
      </c>
      <c r="D73" s="208">
        <f>($B$34+$C$34)/$B$9</f>
        <v>7.4509803921568629</v>
      </c>
      <c r="E73" s="208">
        <f t="shared" ref="E73:O73" si="23">($B$34+$C$34)/$B$9</f>
        <v>7.4509803921568629</v>
      </c>
      <c r="F73" s="208">
        <f t="shared" si="23"/>
        <v>7.4509803921568629</v>
      </c>
      <c r="G73" s="208">
        <f t="shared" si="23"/>
        <v>7.4509803921568629</v>
      </c>
      <c r="H73" s="208">
        <f t="shared" si="23"/>
        <v>7.4509803921568629</v>
      </c>
      <c r="I73" s="208">
        <f t="shared" si="23"/>
        <v>7.4509803921568629</v>
      </c>
      <c r="J73" s="208">
        <f t="shared" si="23"/>
        <v>7.4509803921568629</v>
      </c>
      <c r="K73" s="208">
        <f t="shared" si="23"/>
        <v>7.4509803921568629</v>
      </c>
      <c r="L73" s="208">
        <f t="shared" si="23"/>
        <v>7.4509803921568629</v>
      </c>
      <c r="M73" s="208">
        <f t="shared" si="23"/>
        <v>7.4509803921568629</v>
      </c>
      <c r="N73" s="208">
        <f>($B$34+$C$34)/$B$9</f>
        <v>7.4509803921568629</v>
      </c>
      <c r="O73" s="208">
        <f t="shared" si="23"/>
        <v>7.4509803921568629</v>
      </c>
      <c r="P73" s="208">
        <f>($B$34+$C$34+$F$34+$G$34)/$B$9</f>
        <v>14.901960784313726</v>
      </c>
      <c r="Q73" s="208">
        <f t="shared" ref="Q73:AB73" si="24">($B$34+$C$34+$F$34+$G$34)/$B$9</f>
        <v>14.901960784313726</v>
      </c>
      <c r="R73" s="208">
        <f t="shared" si="24"/>
        <v>14.901960784313726</v>
      </c>
      <c r="S73" s="208">
        <f t="shared" si="24"/>
        <v>14.901960784313726</v>
      </c>
      <c r="T73" s="208">
        <f t="shared" si="24"/>
        <v>14.901960784313726</v>
      </c>
      <c r="U73" s="208">
        <f t="shared" si="24"/>
        <v>14.901960784313726</v>
      </c>
      <c r="V73" s="208">
        <f t="shared" si="24"/>
        <v>14.901960784313726</v>
      </c>
      <c r="W73" s="208">
        <f t="shared" si="24"/>
        <v>14.901960784313726</v>
      </c>
      <c r="X73" s="208">
        <f t="shared" si="24"/>
        <v>14.901960784313726</v>
      </c>
      <c r="Y73" s="208">
        <f t="shared" si="24"/>
        <v>14.901960784313726</v>
      </c>
      <c r="Z73" s="208">
        <f t="shared" si="24"/>
        <v>14.901960784313726</v>
      </c>
      <c r="AA73" s="240">
        <f t="shared" si="24"/>
        <v>14.901960784313726</v>
      </c>
      <c r="AB73" s="208">
        <f t="shared" si="24"/>
        <v>14.901960784313726</v>
      </c>
      <c r="AC73" s="208">
        <f>($F$34+$G$34)/$B$9</f>
        <v>7.4509803921568629</v>
      </c>
      <c r="AD73" s="208">
        <f>($F$34+$G$34)/$B$9</f>
        <v>7.4509803921568629</v>
      </c>
      <c r="AE73" s="208">
        <f t="shared" ref="AE73:AN73" si="25">($F$34+$G$34)/$B$9</f>
        <v>7.4509803921568629</v>
      </c>
      <c r="AF73" s="208">
        <f t="shared" si="25"/>
        <v>7.4509803921568629</v>
      </c>
      <c r="AG73" s="208">
        <f t="shared" si="25"/>
        <v>7.4509803921568629</v>
      </c>
      <c r="AH73" s="208">
        <f t="shared" si="25"/>
        <v>7.4509803921568629</v>
      </c>
      <c r="AI73" s="208">
        <f t="shared" si="25"/>
        <v>7.4509803921568629</v>
      </c>
      <c r="AJ73" s="208">
        <f t="shared" si="25"/>
        <v>7.4509803921568629</v>
      </c>
      <c r="AK73" s="208">
        <f t="shared" si="25"/>
        <v>7.4509803921568629</v>
      </c>
      <c r="AL73" s="208">
        <f t="shared" si="25"/>
        <v>7.4509803921568629</v>
      </c>
      <c r="AM73" s="208">
        <f t="shared" si="25"/>
        <v>7.4509803921568629</v>
      </c>
      <c r="AN73" s="208">
        <f t="shared" si="25"/>
        <v>7.4509803921568629</v>
      </c>
      <c r="AO73" s="208"/>
      <c r="AP73" s="208"/>
      <c r="AQ73" s="208"/>
      <c r="AR73" s="208"/>
      <c r="AS73" s="208"/>
      <c r="AT73" s="208"/>
      <c r="AU73" s="208"/>
      <c r="AV73" s="208"/>
      <c r="AW73" s="208"/>
      <c r="AX73" s="208"/>
      <c r="AY73" s="208"/>
    </row>
    <row r="74" spans="1:53" ht="14.25" x14ac:dyDescent="0.45">
      <c r="A74" s="209" t="s">
        <v>48</v>
      </c>
      <c r="B74" s="210"/>
      <c r="C74" s="210"/>
      <c r="D74" s="211">
        <f>SUM(D68:D73)</f>
        <v>31.633986928104576</v>
      </c>
      <c r="E74" s="211">
        <f t="shared" ref="E74:AY74" si="26">SUM(E68:E73)</f>
        <v>31.633986928104576</v>
      </c>
      <c r="F74" s="211">
        <f t="shared" si="26"/>
        <v>31.633986928104576</v>
      </c>
      <c r="G74" s="211">
        <f t="shared" si="26"/>
        <v>31.633986928104576</v>
      </c>
      <c r="H74" s="211">
        <f t="shared" si="26"/>
        <v>31.633986928104576</v>
      </c>
      <c r="I74" s="211">
        <f t="shared" si="26"/>
        <v>31.633986928104576</v>
      </c>
      <c r="J74" s="211">
        <f t="shared" si="26"/>
        <v>43.137254901960787</v>
      </c>
      <c r="K74" s="211">
        <f t="shared" si="26"/>
        <v>43.137254901960787</v>
      </c>
      <c r="L74" s="211">
        <f t="shared" si="26"/>
        <v>43.137254901960787</v>
      </c>
      <c r="M74" s="211">
        <f t="shared" si="26"/>
        <v>43.137254901960787</v>
      </c>
      <c r="N74" s="211">
        <f t="shared" si="26"/>
        <v>43.137254901960787</v>
      </c>
      <c r="O74" s="211">
        <f t="shared" si="26"/>
        <v>43.137254901960787</v>
      </c>
      <c r="P74" s="211">
        <f t="shared" si="26"/>
        <v>74.771241830065364</v>
      </c>
      <c r="Q74" s="211">
        <f t="shared" si="26"/>
        <v>74.771241830065364</v>
      </c>
      <c r="R74" s="211">
        <f t="shared" si="26"/>
        <v>74.771241830065364</v>
      </c>
      <c r="S74" s="211">
        <f t="shared" si="26"/>
        <v>74.771241830065364</v>
      </c>
      <c r="T74" s="211">
        <f t="shared" si="26"/>
        <v>74.771241830065364</v>
      </c>
      <c r="U74" s="211">
        <f t="shared" si="26"/>
        <v>74.771241830065364</v>
      </c>
      <c r="V74" s="211">
        <f t="shared" si="26"/>
        <v>86.274509803921575</v>
      </c>
      <c r="W74" s="211">
        <f t="shared" si="26"/>
        <v>86.274509803921575</v>
      </c>
      <c r="X74" s="211">
        <f t="shared" si="26"/>
        <v>86.274509803921575</v>
      </c>
      <c r="Y74" s="211">
        <f t="shared" si="26"/>
        <v>86.274509803921575</v>
      </c>
      <c r="Z74" s="211">
        <f t="shared" si="26"/>
        <v>86.274509803921575</v>
      </c>
      <c r="AA74" s="242">
        <f t="shared" si="26"/>
        <v>86.274509803921575</v>
      </c>
      <c r="AB74" s="211">
        <f t="shared" si="26"/>
        <v>86.274509803921575</v>
      </c>
      <c r="AC74" s="211">
        <f t="shared" si="26"/>
        <v>78.82352941176471</v>
      </c>
      <c r="AD74" s="211">
        <f t="shared" si="26"/>
        <v>78.82352941176471</v>
      </c>
      <c r="AE74" s="211">
        <f t="shared" si="26"/>
        <v>78.82352941176471</v>
      </c>
      <c r="AF74" s="211">
        <f t="shared" si="26"/>
        <v>78.82352941176471</v>
      </c>
      <c r="AG74" s="211">
        <f t="shared" si="26"/>
        <v>78.82352941176471</v>
      </c>
      <c r="AH74" s="211">
        <f t="shared" si="26"/>
        <v>62.48366013071896</v>
      </c>
      <c r="AI74" s="211">
        <f t="shared" si="26"/>
        <v>62.48366013071896</v>
      </c>
      <c r="AJ74" s="211">
        <f t="shared" si="26"/>
        <v>62.48366013071896</v>
      </c>
      <c r="AK74" s="211">
        <f t="shared" si="26"/>
        <v>62.48366013071896</v>
      </c>
      <c r="AL74" s="211">
        <f t="shared" si="26"/>
        <v>62.48366013071896</v>
      </c>
      <c r="AM74" s="211">
        <f t="shared" si="26"/>
        <v>62.48366013071896</v>
      </c>
      <c r="AN74" s="211">
        <f t="shared" si="26"/>
        <v>50.980392156862749</v>
      </c>
      <c r="AO74" s="211">
        <f t="shared" si="26"/>
        <v>43.529411764705884</v>
      </c>
      <c r="AP74" s="211">
        <f t="shared" si="26"/>
        <v>43.529411764705884</v>
      </c>
      <c r="AQ74" s="211">
        <f t="shared" si="26"/>
        <v>43.529411764705884</v>
      </c>
      <c r="AR74" s="211">
        <f t="shared" si="26"/>
        <v>35.686274509803923</v>
      </c>
      <c r="AS74" s="211">
        <f t="shared" si="26"/>
        <v>35.686274509803923</v>
      </c>
      <c r="AT74" s="211">
        <f t="shared" si="26"/>
        <v>19.346405228758169</v>
      </c>
      <c r="AU74" s="211">
        <f t="shared" si="26"/>
        <v>19.346405228758169</v>
      </c>
      <c r="AV74" s="211">
        <f t="shared" si="26"/>
        <v>19.346405228758169</v>
      </c>
      <c r="AW74" s="211">
        <f t="shared" si="26"/>
        <v>19.346405228758169</v>
      </c>
      <c r="AX74" s="211">
        <f t="shared" si="26"/>
        <v>19.346405228758169</v>
      </c>
      <c r="AY74" s="211">
        <f t="shared" si="26"/>
        <v>19.346405228758169</v>
      </c>
      <c r="BA74" s="208"/>
    </row>
    <row r="76" spans="1:53" ht="13.5" customHeight="1" x14ac:dyDescent="0.35"/>
    <row r="77" spans="1:53" ht="13.5" customHeight="1" x14ac:dyDescent="0.35"/>
    <row r="79" spans="1:53" ht="13.5" customHeight="1" x14ac:dyDescent="0.35"/>
    <row r="84" ht="13.5" customHeight="1" x14ac:dyDescent="0.35"/>
    <row r="85" ht="35.25" customHeight="1" x14ac:dyDescent="0.35"/>
    <row r="86" ht="13.5" customHeight="1" x14ac:dyDescent="0.35"/>
    <row r="87" ht="13.5" customHeight="1" x14ac:dyDescent="0.35"/>
    <row r="88" ht="13.5" customHeight="1" x14ac:dyDescent="0.35"/>
    <row r="89" ht="13.5" customHeight="1" x14ac:dyDescent="0.35"/>
    <row r="90" ht="13.5" customHeight="1" x14ac:dyDescent="0.35"/>
    <row r="91" ht="13.5" customHeight="1" x14ac:dyDescent="0.35"/>
    <row r="92" ht="13.5" customHeight="1" x14ac:dyDescent="0.35"/>
    <row r="93" ht="51" customHeight="1" x14ac:dyDescent="0.35"/>
    <row r="94" ht="13.5" customHeight="1" x14ac:dyDescent="0.35"/>
    <row r="95" ht="13.5" customHeight="1" x14ac:dyDescent="0.35"/>
    <row r="96" ht="13.5" customHeight="1" x14ac:dyDescent="0.35"/>
    <row r="97" ht="13.5" customHeight="1" x14ac:dyDescent="0.35"/>
    <row r="98" ht="13.5" customHeight="1" x14ac:dyDescent="0.35"/>
    <row r="99" ht="13.5" customHeight="1" x14ac:dyDescent="0.35"/>
    <row r="100" ht="13.5" customHeight="1" x14ac:dyDescent="0.35"/>
    <row r="101" ht="36" customHeight="1" x14ac:dyDescent="0.35"/>
    <row r="102" ht="13.5" customHeight="1" x14ac:dyDescent="0.35"/>
    <row r="103" ht="13.5" customHeight="1" x14ac:dyDescent="0.35"/>
    <row r="104" ht="13.5" customHeight="1" x14ac:dyDescent="0.35"/>
    <row r="105" ht="13.5" customHeight="1" x14ac:dyDescent="0.35"/>
    <row r="106" ht="13.5" customHeight="1" x14ac:dyDescent="0.35"/>
    <row r="107" ht="13.5" customHeight="1" x14ac:dyDescent="0.35"/>
    <row r="108" ht="13.5" customHeight="1" x14ac:dyDescent="0.35"/>
    <row r="109" ht="36" customHeight="1" x14ac:dyDescent="0.35"/>
    <row r="110" ht="13.5" customHeight="1" x14ac:dyDescent="0.35"/>
    <row r="111" ht="13.5" customHeight="1" x14ac:dyDescent="0.35"/>
    <row r="112" ht="13.5" customHeight="1" x14ac:dyDescent="0.35"/>
    <row r="113" ht="13.5" customHeight="1" x14ac:dyDescent="0.35"/>
    <row r="114" ht="13.5" customHeight="1" x14ac:dyDescent="0.35"/>
    <row r="115" ht="13.5" customHeight="1" x14ac:dyDescent="0.35"/>
    <row r="116" ht="13.5" customHeight="1" x14ac:dyDescent="0.35"/>
    <row r="117" ht="45.75" customHeight="1" x14ac:dyDescent="0.35"/>
    <row r="118" ht="13.5" customHeight="1" x14ac:dyDescent="0.35"/>
    <row r="119" ht="13.5" customHeight="1" x14ac:dyDescent="0.35"/>
    <row r="120" ht="13.5" customHeight="1" x14ac:dyDescent="0.35"/>
    <row r="121" ht="13.5" customHeight="1" x14ac:dyDescent="0.35"/>
    <row r="122" ht="13.5" customHeight="1" x14ac:dyDescent="0.35"/>
    <row r="123" ht="13.5" customHeight="1" x14ac:dyDescent="0.35"/>
    <row r="124" ht="13.5" customHeight="1" x14ac:dyDescent="0.35"/>
    <row r="125" ht="36" customHeight="1" x14ac:dyDescent="0.35"/>
    <row r="126" ht="13.5" customHeight="1" x14ac:dyDescent="0.35"/>
    <row r="127" ht="13.5" customHeight="1" x14ac:dyDescent="0.35"/>
    <row r="128" ht="13.5" customHeight="1" x14ac:dyDescent="0.35"/>
    <row r="129" ht="13.5" customHeight="1" x14ac:dyDescent="0.35"/>
    <row r="130" ht="13.5" customHeight="1" x14ac:dyDescent="0.35"/>
    <row r="131" ht="13.5" customHeight="1" x14ac:dyDescent="0.35"/>
    <row r="132" ht="13.5" customHeight="1" x14ac:dyDescent="0.35"/>
    <row r="133" ht="36" customHeight="1" x14ac:dyDescent="0.35"/>
    <row r="134" ht="13.5" customHeight="1" x14ac:dyDescent="0.35"/>
    <row r="135" ht="13.5" customHeight="1" x14ac:dyDescent="0.35"/>
    <row r="136" ht="13.5" customHeight="1" x14ac:dyDescent="0.35"/>
    <row r="137" ht="13.5" customHeight="1" x14ac:dyDescent="0.35"/>
    <row r="138" ht="13.5" customHeight="1" x14ac:dyDescent="0.35"/>
    <row r="139" ht="13.5" customHeight="1" x14ac:dyDescent="0.35"/>
    <row r="140" ht="13.5" customHeight="1" x14ac:dyDescent="0.35"/>
    <row r="141" ht="36" customHeight="1" x14ac:dyDescent="0.35"/>
    <row r="142" ht="13.5" customHeight="1" x14ac:dyDescent="0.35"/>
    <row r="143" ht="13.5" customHeight="1" x14ac:dyDescent="0.35"/>
    <row r="144" ht="13.5" customHeight="1" x14ac:dyDescent="0.35"/>
    <row r="145" ht="13.5" customHeight="1" x14ac:dyDescent="0.35"/>
    <row r="146" ht="13.5" customHeight="1" x14ac:dyDescent="0.35"/>
    <row r="147" ht="13.5" customHeight="1" x14ac:dyDescent="0.35"/>
    <row r="148" ht="13.5" customHeight="1" x14ac:dyDescent="0.35"/>
    <row r="149" ht="36" customHeight="1" x14ac:dyDescent="0.35"/>
    <row r="150" ht="13.5" customHeight="1" x14ac:dyDescent="0.35"/>
    <row r="151" ht="13.5" customHeight="1" x14ac:dyDescent="0.35"/>
    <row r="152" ht="13.5" customHeight="1" x14ac:dyDescent="0.35"/>
    <row r="153" ht="13.5" customHeight="1" x14ac:dyDescent="0.35"/>
    <row r="154" ht="13.5" customHeight="1" x14ac:dyDescent="0.35"/>
    <row r="155" ht="13.5" customHeight="1" x14ac:dyDescent="0.35"/>
    <row r="156" ht="13.5" customHeight="1" x14ac:dyDescent="0.35"/>
    <row r="157" ht="36" customHeight="1" x14ac:dyDescent="0.35"/>
    <row r="158" ht="13.5" customHeight="1" x14ac:dyDescent="0.35"/>
    <row r="159" ht="13.5" customHeight="1" x14ac:dyDescent="0.35"/>
    <row r="160" ht="13.5" customHeight="1" x14ac:dyDescent="0.35"/>
    <row r="161" ht="13.5" customHeight="1" x14ac:dyDescent="0.35"/>
    <row r="162" ht="13.5" customHeight="1" x14ac:dyDescent="0.35"/>
    <row r="163" ht="13.5" customHeight="1" x14ac:dyDescent="0.35"/>
    <row r="164" ht="13.5" customHeight="1" x14ac:dyDescent="0.35"/>
    <row r="165" ht="36" customHeight="1" x14ac:dyDescent="0.35"/>
    <row r="166" ht="13.5" customHeight="1" x14ac:dyDescent="0.35"/>
    <row r="167" ht="13.5" customHeight="1" x14ac:dyDescent="0.35"/>
    <row r="168" ht="13.5" customHeight="1" x14ac:dyDescent="0.35"/>
    <row r="169" ht="13.5" customHeight="1" x14ac:dyDescent="0.35"/>
    <row r="170" ht="13.5" customHeight="1" x14ac:dyDescent="0.35"/>
    <row r="171" ht="13.5" customHeight="1" x14ac:dyDescent="0.35"/>
    <row r="172" ht="13.5" customHeight="1" x14ac:dyDescent="0.35"/>
    <row r="173" ht="36" customHeight="1" x14ac:dyDescent="0.35"/>
    <row r="174" ht="13.5" customHeight="1" x14ac:dyDescent="0.35"/>
    <row r="175" ht="13.5" customHeight="1" x14ac:dyDescent="0.35"/>
    <row r="176" ht="13.5" customHeight="1" x14ac:dyDescent="0.35"/>
    <row r="177" ht="13.5" customHeight="1" x14ac:dyDescent="0.35"/>
    <row r="178" ht="13.5" customHeight="1" x14ac:dyDescent="0.35"/>
    <row r="179" ht="13.5" customHeight="1" x14ac:dyDescent="0.35"/>
    <row r="180" ht="13.5" customHeight="1" x14ac:dyDescent="0.35"/>
    <row r="181" ht="36" customHeight="1" x14ac:dyDescent="0.35"/>
    <row r="182" ht="13.5" customHeight="1" x14ac:dyDescent="0.35"/>
    <row r="183" ht="13.5" customHeight="1" x14ac:dyDescent="0.35"/>
    <row r="184" ht="13.5" customHeight="1" x14ac:dyDescent="0.35"/>
    <row r="185" ht="13.5" customHeight="1" x14ac:dyDescent="0.35"/>
    <row r="186" ht="13.5" customHeight="1" x14ac:dyDescent="0.35"/>
    <row r="187" ht="13.5" customHeight="1" x14ac:dyDescent="0.35"/>
    <row r="188" ht="13.5" customHeight="1" x14ac:dyDescent="0.35"/>
    <row r="189" ht="36" customHeight="1" x14ac:dyDescent="0.35"/>
    <row r="190" ht="13.5" customHeight="1" x14ac:dyDescent="0.35"/>
    <row r="191" ht="13.5" customHeight="1" x14ac:dyDescent="0.35"/>
    <row r="192" ht="13.5" customHeight="1" x14ac:dyDescent="0.35"/>
    <row r="193" ht="13.5" customHeight="1" x14ac:dyDescent="0.35"/>
    <row r="194" ht="13.5" customHeight="1" x14ac:dyDescent="0.35"/>
    <row r="195" ht="13.5" customHeight="1" x14ac:dyDescent="0.35"/>
    <row r="196" ht="13.5" customHeight="1" x14ac:dyDescent="0.35"/>
    <row r="197" ht="13.5" customHeight="1" x14ac:dyDescent="0.35"/>
    <row r="198" ht="13.5" customHeight="1" x14ac:dyDescent="0.35"/>
    <row r="199" ht="13.5" customHeight="1" x14ac:dyDescent="0.35"/>
    <row r="200" ht="13.5" customHeight="1" x14ac:dyDescent="0.35"/>
    <row r="201" ht="13.5" customHeight="1" x14ac:dyDescent="0.35"/>
    <row r="202" ht="13.5" customHeight="1" x14ac:dyDescent="0.35"/>
    <row r="203" ht="13.5" customHeight="1" x14ac:dyDescent="0.35"/>
    <row r="204" ht="13.5" customHeight="1" x14ac:dyDescent="0.35"/>
    <row r="205" ht="36" customHeight="1" x14ac:dyDescent="0.35"/>
    <row r="206" ht="13.5" customHeight="1" x14ac:dyDescent="0.35"/>
    <row r="207" ht="13.5" customHeight="1" x14ac:dyDescent="0.35"/>
    <row r="208" ht="13.5" customHeight="1" x14ac:dyDescent="0.35"/>
    <row r="209" ht="13.5" customHeight="1" x14ac:dyDescent="0.35"/>
    <row r="210" ht="13.5" customHeight="1" x14ac:dyDescent="0.35"/>
    <row r="211" ht="13.5" customHeight="1" x14ac:dyDescent="0.35"/>
    <row r="212" ht="13.5" customHeight="1" x14ac:dyDescent="0.35"/>
    <row r="213" ht="36" customHeight="1" x14ac:dyDescent="0.35"/>
    <row r="214" ht="13.5" customHeight="1" x14ac:dyDescent="0.35"/>
    <row r="215" ht="13.5" customHeight="1" x14ac:dyDescent="0.35"/>
    <row r="216" ht="13.5" customHeight="1" x14ac:dyDescent="0.35"/>
    <row r="217" ht="13.5" customHeight="1" x14ac:dyDescent="0.35"/>
    <row r="218" ht="13.5" customHeight="1" x14ac:dyDescent="0.35"/>
    <row r="219" ht="13.5" customHeight="1" x14ac:dyDescent="0.35"/>
    <row r="220" ht="13.5" customHeight="1" x14ac:dyDescent="0.35"/>
    <row r="221" ht="36" customHeight="1" x14ac:dyDescent="0.35"/>
    <row r="222" ht="13.5" customHeight="1" x14ac:dyDescent="0.35"/>
    <row r="223" ht="13.5" customHeight="1" x14ac:dyDescent="0.35"/>
    <row r="224" ht="13.5" customHeight="1" x14ac:dyDescent="0.35"/>
    <row r="225" ht="13.5" customHeight="1" x14ac:dyDescent="0.35"/>
    <row r="226" ht="13.5" customHeight="1" x14ac:dyDescent="0.35"/>
    <row r="227" ht="13.5" customHeight="1" x14ac:dyDescent="0.35"/>
    <row r="228" ht="13.5" customHeight="1" x14ac:dyDescent="0.35"/>
    <row r="229" ht="36" customHeight="1" x14ac:dyDescent="0.35"/>
    <row r="230" ht="13.5" customHeight="1" x14ac:dyDescent="0.35"/>
    <row r="231" ht="13.5" customHeight="1" x14ac:dyDescent="0.35"/>
    <row r="232" ht="13.5" customHeight="1" x14ac:dyDescent="0.35"/>
    <row r="233" ht="13.5" customHeight="1" x14ac:dyDescent="0.35"/>
    <row r="234" ht="13.5" customHeight="1" x14ac:dyDescent="0.35"/>
    <row r="235" ht="13.5" customHeight="1" x14ac:dyDescent="0.35"/>
    <row r="236" ht="13.5" customHeight="1" x14ac:dyDescent="0.35"/>
    <row r="237" ht="13.5" customHeight="1" x14ac:dyDescent="0.35"/>
    <row r="238" ht="13.5" customHeight="1" x14ac:dyDescent="0.35"/>
    <row r="239" ht="13.5" customHeight="1" x14ac:dyDescent="0.35"/>
    <row r="240" ht="13.5" customHeight="1" x14ac:dyDescent="0.35"/>
    <row r="241" ht="13.5" customHeight="1" x14ac:dyDescent="0.35"/>
    <row r="242" ht="13.5" customHeight="1" x14ac:dyDescent="0.35"/>
    <row r="243" ht="13.5" customHeight="1" x14ac:dyDescent="0.35"/>
    <row r="244" ht="13.5" customHeight="1" x14ac:dyDescent="0.35"/>
    <row r="245" ht="13.5" customHeight="1" x14ac:dyDescent="0.35"/>
    <row r="246" ht="13.5" customHeight="1" x14ac:dyDescent="0.35"/>
    <row r="247" ht="13.5" customHeight="1" x14ac:dyDescent="0.35"/>
    <row r="248" ht="13.5" customHeight="1" x14ac:dyDescent="0.35"/>
    <row r="249" ht="13.5" customHeight="1" x14ac:dyDescent="0.35"/>
    <row r="250" ht="13.5" customHeight="1" x14ac:dyDescent="0.35"/>
    <row r="251" ht="13.5" customHeight="1" x14ac:dyDescent="0.35"/>
    <row r="252" ht="13.5" customHeight="1" x14ac:dyDescent="0.35"/>
    <row r="253" ht="13.5" customHeight="1" x14ac:dyDescent="0.35"/>
    <row r="254" ht="13.5" customHeight="1" x14ac:dyDescent="0.35"/>
    <row r="255" ht="13.5" customHeight="1" x14ac:dyDescent="0.35"/>
    <row r="256" ht="13.5" customHeight="1" x14ac:dyDescent="0.35"/>
    <row r="257" ht="13.5" customHeight="1" x14ac:dyDescent="0.35"/>
    <row r="258" ht="13.5" customHeight="1" x14ac:dyDescent="0.35"/>
    <row r="259" ht="13.5" customHeight="1" x14ac:dyDescent="0.35"/>
    <row r="260" ht="13.5" customHeight="1" x14ac:dyDescent="0.35"/>
    <row r="261" ht="13.5" customHeight="1" x14ac:dyDescent="0.35"/>
    <row r="262" ht="13.5" customHeight="1" x14ac:dyDescent="0.35"/>
    <row r="263" ht="13.5" customHeight="1" x14ac:dyDescent="0.35"/>
    <row r="264" ht="13.5" customHeight="1" x14ac:dyDescent="0.35"/>
    <row r="265" ht="13.5" customHeight="1" x14ac:dyDescent="0.35"/>
    <row r="266" ht="13.5" customHeight="1" x14ac:dyDescent="0.35"/>
    <row r="267" ht="13.5" customHeight="1" x14ac:dyDescent="0.35"/>
    <row r="268" ht="13.5" customHeight="1" x14ac:dyDescent="0.35"/>
    <row r="269" ht="13.5" customHeight="1" x14ac:dyDescent="0.35"/>
    <row r="270" ht="13.5" customHeight="1" x14ac:dyDescent="0.35"/>
    <row r="271" ht="13.5" customHeight="1" x14ac:dyDescent="0.35"/>
    <row r="272" ht="13.5" customHeight="1" x14ac:dyDescent="0.35"/>
    <row r="273" ht="13.5" customHeight="1" x14ac:dyDescent="0.35"/>
    <row r="274" ht="13.5" customHeight="1" x14ac:dyDescent="0.35"/>
    <row r="275" ht="13.5" customHeight="1" x14ac:dyDescent="0.35"/>
    <row r="276" ht="13.5" customHeight="1" x14ac:dyDescent="0.35"/>
    <row r="277" ht="13.5" customHeight="1" x14ac:dyDescent="0.35"/>
    <row r="278" ht="13.5" customHeight="1" x14ac:dyDescent="0.35"/>
    <row r="279" ht="13.5" customHeight="1" x14ac:dyDescent="0.35"/>
    <row r="280" ht="13.5" customHeight="1" x14ac:dyDescent="0.35"/>
    <row r="281" ht="13.5" customHeight="1" x14ac:dyDescent="0.35"/>
    <row r="282" ht="13.5" customHeight="1" x14ac:dyDescent="0.35"/>
    <row r="283" ht="13.5" customHeight="1" x14ac:dyDescent="0.35"/>
    <row r="284" ht="13.5" customHeight="1" x14ac:dyDescent="0.35"/>
    <row r="285" ht="13.5" customHeight="1" x14ac:dyDescent="0.35"/>
    <row r="286" ht="13.5" customHeight="1" x14ac:dyDescent="0.35"/>
    <row r="287" ht="13.5" customHeight="1" x14ac:dyDescent="0.35"/>
    <row r="288" ht="13.5" customHeight="1" x14ac:dyDescent="0.35"/>
    <row r="289" ht="13.5" customHeight="1" x14ac:dyDescent="0.35"/>
    <row r="290" ht="13.5" customHeight="1" x14ac:dyDescent="0.35"/>
    <row r="291" ht="13.5" customHeight="1" x14ac:dyDescent="0.35"/>
    <row r="292" ht="13.5" customHeight="1" x14ac:dyDescent="0.35"/>
    <row r="293" ht="13.5" customHeight="1" x14ac:dyDescent="0.35"/>
    <row r="294" ht="13.5" customHeight="1" x14ac:dyDescent="0.35"/>
    <row r="295" ht="13.5" customHeight="1" x14ac:dyDescent="0.35"/>
    <row r="296" ht="13.5" customHeight="1" x14ac:dyDescent="0.35"/>
    <row r="297" ht="13.5" customHeight="1" x14ac:dyDescent="0.35"/>
    <row r="298" ht="13.5" customHeight="1" x14ac:dyDescent="0.35"/>
    <row r="299" ht="13.5" customHeight="1" x14ac:dyDescent="0.35"/>
    <row r="300" ht="13.5" customHeight="1" x14ac:dyDescent="0.35"/>
    <row r="301" ht="13.5" customHeight="1" x14ac:dyDescent="0.35"/>
    <row r="302" ht="13.5" customHeight="1" x14ac:dyDescent="0.35"/>
    <row r="303" ht="13.5" customHeight="1" x14ac:dyDescent="0.35"/>
    <row r="304" ht="13.5" customHeight="1" x14ac:dyDescent="0.35"/>
    <row r="305" ht="13.5" customHeight="1" x14ac:dyDescent="0.35"/>
    <row r="306" ht="13.5" customHeight="1" x14ac:dyDescent="0.35"/>
    <row r="307" ht="13.5" customHeight="1" x14ac:dyDescent="0.35"/>
    <row r="308" ht="13.5" customHeight="1" x14ac:dyDescent="0.35"/>
    <row r="309" ht="13.5" customHeight="1" x14ac:dyDescent="0.35"/>
    <row r="310" ht="13.5" customHeight="1" x14ac:dyDescent="0.35"/>
    <row r="311" ht="13.5" customHeight="1" x14ac:dyDescent="0.35"/>
    <row r="312" ht="13.5" customHeight="1" x14ac:dyDescent="0.35"/>
    <row r="313" ht="13.5" customHeight="1" x14ac:dyDescent="0.35"/>
    <row r="314" ht="13.5" customHeight="1" x14ac:dyDescent="0.35"/>
    <row r="315" ht="13.5" customHeight="1" x14ac:dyDescent="0.35"/>
    <row r="316" ht="13.5" customHeight="1" x14ac:dyDescent="0.35"/>
    <row r="317" ht="13.5" customHeight="1" x14ac:dyDescent="0.35"/>
    <row r="318" ht="13.5" customHeight="1" x14ac:dyDescent="0.35"/>
    <row r="319" ht="13.5" customHeight="1" x14ac:dyDescent="0.35"/>
    <row r="320" ht="13.5" customHeight="1" x14ac:dyDescent="0.35"/>
    <row r="321" ht="13.5" customHeight="1" x14ac:dyDescent="0.35"/>
    <row r="322" ht="13.5" customHeight="1" x14ac:dyDescent="0.35"/>
    <row r="323" ht="13.5" customHeight="1" x14ac:dyDescent="0.35"/>
    <row r="324" ht="13.5" customHeight="1" x14ac:dyDescent="0.35"/>
    <row r="325" ht="13.5" customHeight="1" x14ac:dyDescent="0.35"/>
    <row r="326" ht="13.5" customHeight="1" x14ac:dyDescent="0.35"/>
    <row r="327" ht="13.5" customHeight="1" x14ac:dyDescent="0.35"/>
    <row r="328" ht="13.5" customHeight="1" x14ac:dyDescent="0.35"/>
    <row r="329" ht="13.5" customHeight="1" x14ac:dyDescent="0.35"/>
    <row r="330" ht="13.5" customHeight="1" x14ac:dyDescent="0.35"/>
    <row r="331" ht="13.5" customHeight="1" x14ac:dyDescent="0.35"/>
    <row r="332" ht="13.5" customHeight="1" x14ac:dyDescent="0.35"/>
    <row r="333" ht="13.5" customHeight="1" x14ac:dyDescent="0.35"/>
    <row r="334" ht="13.5" customHeight="1" x14ac:dyDescent="0.35"/>
    <row r="335" ht="13.5" customHeight="1" x14ac:dyDescent="0.35"/>
    <row r="336" ht="13.5" customHeight="1" x14ac:dyDescent="0.35"/>
    <row r="337" ht="13.5" customHeight="1" x14ac:dyDescent="0.35"/>
    <row r="338" ht="13.5" customHeight="1" x14ac:dyDescent="0.35"/>
    <row r="339" ht="13.5" customHeight="1" x14ac:dyDescent="0.35"/>
    <row r="340" ht="13.5" customHeight="1" x14ac:dyDescent="0.35"/>
    <row r="341" ht="13.5" customHeight="1" x14ac:dyDescent="0.35"/>
    <row r="342" ht="13.5" customHeight="1" x14ac:dyDescent="0.35"/>
    <row r="343" ht="13.5" customHeight="1" x14ac:dyDescent="0.35"/>
    <row r="344" ht="13.5" customHeight="1" x14ac:dyDescent="0.35"/>
    <row r="345" ht="13.5" customHeight="1" x14ac:dyDescent="0.35"/>
    <row r="346" ht="13.5" customHeight="1" x14ac:dyDescent="0.35"/>
    <row r="347" ht="13.5" customHeight="1" x14ac:dyDescent="0.35"/>
    <row r="348" ht="13.5" customHeight="1" x14ac:dyDescent="0.35"/>
    <row r="349" ht="13.5" customHeight="1" x14ac:dyDescent="0.35"/>
    <row r="350" ht="13.5" customHeight="1" x14ac:dyDescent="0.35"/>
    <row r="351" ht="13.5" customHeight="1" x14ac:dyDescent="0.35"/>
    <row r="352" ht="13.5" customHeight="1" x14ac:dyDescent="0.35"/>
    <row r="353" ht="13.5" customHeight="1" x14ac:dyDescent="0.35"/>
    <row r="354" ht="13.5" customHeight="1" x14ac:dyDescent="0.35"/>
    <row r="355" ht="13.5" customHeight="1" x14ac:dyDescent="0.35"/>
    <row r="356" ht="13.5" customHeight="1" x14ac:dyDescent="0.35"/>
    <row r="357" ht="13.5" customHeight="1" x14ac:dyDescent="0.35"/>
    <row r="358" ht="13.5" customHeight="1" x14ac:dyDescent="0.35"/>
    <row r="359" ht="13.5" customHeight="1" x14ac:dyDescent="0.35"/>
    <row r="360" ht="13.5" customHeight="1" x14ac:dyDescent="0.35"/>
    <row r="361" ht="13.5" customHeight="1" x14ac:dyDescent="0.35"/>
    <row r="362" ht="13.5" customHeight="1" x14ac:dyDescent="0.35"/>
    <row r="363" ht="13.5" customHeight="1" x14ac:dyDescent="0.35"/>
    <row r="364" ht="13.5" customHeight="1" x14ac:dyDescent="0.35"/>
    <row r="365" ht="13.5" customHeight="1" x14ac:dyDescent="0.35"/>
    <row r="366" ht="13.5" customHeight="1" x14ac:dyDescent="0.35"/>
    <row r="367" ht="13.5" customHeight="1" x14ac:dyDescent="0.35"/>
    <row r="368" ht="13.5" customHeight="1" x14ac:dyDescent="0.35"/>
    <row r="369" ht="13.5" customHeight="1" x14ac:dyDescent="0.35"/>
    <row r="370" ht="13.5" customHeight="1" x14ac:dyDescent="0.35"/>
    <row r="371" ht="13.5" customHeight="1" x14ac:dyDescent="0.35"/>
    <row r="372" ht="13.5" customHeight="1" x14ac:dyDescent="0.35"/>
    <row r="373" ht="13.5" customHeight="1" x14ac:dyDescent="0.35"/>
    <row r="374" ht="13.5" customHeight="1" x14ac:dyDescent="0.35"/>
    <row r="375" ht="13.5" customHeight="1" x14ac:dyDescent="0.35"/>
    <row r="376" ht="13.5" customHeight="1" x14ac:dyDescent="0.35"/>
    <row r="377" ht="13.5" customHeight="1" x14ac:dyDescent="0.35"/>
    <row r="378" ht="13.5" customHeight="1" x14ac:dyDescent="0.35"/>
    <row r="379" ht="13.5" customHeight="1" x14ac:dyDescent="0.35"/>
    <row r="380" ht="13.5" customHeight="1" x14ac:dyDescent="0.35"/>
    <row r="381" ht="13.5" customHeight="1" x14ac:dyDescent="0.35"/>
    <row r="382" ht="13.5" customHeight="1" x14ac:dyDescent="0.35"/>
    <row r="383" ht="13.5" customHeight="1" x14ac:dyDescent="0.35"/>
    <row r="384" ht="13.5" customHeight="1" x14ac:dyDescent="0.35"/>
    <row r="385" ht="13.5" customHeight="1" x14ac:dyDescent="0.35"/>
    <row r="386" ht="13.5" customHeight="1" x14ac:dyDescent="0.35"/>
    <row r="387" ht="13.5" customHeight="1" x14ac:dyDescent="0.35"/>
    <row r="388" ht="13.5" customHeight="1" x14ac:dyDescent="0.35"/>
    <row r="389" ht="13.5" customHeight="1" x14ac:dyDescent="0.35"/>
    <row r="390" ht="13.5" customHeight="1" x14ac:dyDescent="0.35"/>
    <row r="391" ht="13.5" customHeight="1" x14ac:dyDescent="0.35"/>
    <row r="392" ht="13.5" customHeight="1" x14ac:dyDescent="0.35"/>
    <row r="393" ht="13.5" customHeight="1" x14ac:dyDescent="0.35"/>
    <row r="394" ht="13.5" customHeight="1" x14ac:dyDescent="0.35"/>
    <row r="395" ht="13.5" customHeight="1" x14ac:dyDescent="0.35"/>
    <row r="396" ht="13.5" customHeight="1" x14ac:dyDescent="0.35"/>
    <row r="397" ht="13.5" customHeight="1" x14ac:dyDescent="0.35"/>
    <row r="398" ht="13.5" customHeight="1" x14ac:dyDescent="0.35"/>
    <row r="399" ht="13.5" customHeight="1" x14ac:dyDescent="0.35"/>
    <row r="400" ht="13.5" customHeight="1" x14ac:dyDescent="0.35"/>
    <row r="401" ht="13.5" customHeight="1" x14ac:dyDescent="0.35"/>
    <row r="402" ht="13.5" customHeight="1" x14ac:dyDescent="0.35"/>
    <row r="403" ht="13.5" customHeight="1" x14ac:dyDescent="0.35"/>
    <row r="404" ht="13.5" customHeight="1" x14ac:dyDescent="0.35"/>
    <row r="405" ht="13.5" customHeight="1" x14ac:dyDescent="0.35"/>
    <row r="406" ht="13.5" customHeight="1" x14ac:dyDescent="0.35"/>
    <row r="407" ht="13.5" customHeight="1" x14ac:dyDescent="0.35"/>
    <row r="408" ht="13.5" customHeight="1" x14ac:dyDescent="0.35"/>
    <row r="409" ht="13.5" customHeight="1" x14ac:dyDescent="0.35"/>
    <row r="410" ht="13.5" customHeight="1" x14ac:dyDescent="0.35"/>
    <row r="411" ht="13.5" customHeight="1" x14ac:dyDescent="0.35"/>
    <row r="412" ht="13.5" customHeight="1" x14ac:dyDescent="0.35"/>
    <row r="413" ht="13.5" customHeight="1" x14ac:dyDescent="0.35"/>
    <row r="414" ht="13.5" customHeight="1" x14ac:dyDescent="0.35"/>
    <row r="415" ht="13.5" customHeight="1" x14ac:dyDescent="0.35"/>
    <row r="416" ht="13.5" customHeight="1" x14ac:dyDescent="0.35"/>
    <row r="417" ht="13.5" customHeight="1" x14ac:dyDescent="0.35"/>
    <row r="418" ht="13.5" customHeight="1" x14ac:dyDescent="0.35"/>
    <row r="419" ht="13.5" customHeight="1" x14ac:dyDescent="0.35"/>
    <row r="420" ht="13.5" customHeight="1" x14ac:dyDescent="0.35"/>
    <row r="421" ht="13.5" customHeight="1" x14ac:dyDescent="0.35"/>
    <row r="422" ht="13.5" customHeight="1" x14ac:dyDescent="0.35"/>
    <row r="423" ht="13.5" customHeight="1" x14ac:dyDescent="0.35"/>
    <row r="424" ht="13.5" customHeight="1" x14ac:dyDescent="0.35"/>
    <row r="425" ht="13.5" customHeight="1" x14ac:dyDescent="0.35"/>
    <row r="426" ht="13.5" customHeight="1" x14ac:dyDescent="0.35"/>
    <row r="427" ht="13.5" customHeight="1" x14ac:dyDescent="0.35"/>
    <row r="428" ht="13.5" customHeight="1" x14ac:dyDescent="0.35"/>
    <row r="429" ht="13.5" customHeight="1" x14ac:dyDescent="0.35"/>
    <row r="430" ht="13.5" customHeight="1" x14ac:dyDescent="0.35"/>
    <row r="431" ht="13.5" customHeight="1" x14ac:dyDescent="0.35"/>
    <row r="432" ht="13.5" customHeight="1" x14ac:dyDescent="0.35"/>
    <row r="433" ht="13.5" customHeight="1" x14ac:dyDescent="0.35"/>
    <row r="434" ht="13.5" customHeight="1" x14ac:dyDescent="0.35"/>
    <row r="435" ht="13.5" customHeight="1" x14ac:dyDescent="0.35"/>
    <row r="436" ht="13.5" customHeight="1" x14ac:dyDescent="0.35"/>
    <row r="437" ht="13.5" customHeight="1" x14ac:dyDescent="0.35"/>
    <row r="438" ht="13.5" customHeight="1" x14ac:dyDescent="0.35"/>
    <row r="439" ht="13.5" customHeight="1" x14ac:dyDescent="0.35"/>
    <row r="440" ht="13.5" customHeight="1" x14ac:dyDescent="0.35"/>
    <row r="441" ht="13.5" customHeight="1" x14ac:dyDescent="0.35"/>
    <row r="442" ht="13.5" customHeight="1" x14ac:dyDescent="0.35"/>
    <row r="443" ht="13.5" customHeight="1" x14ac:dyDescent="0.35"/>
    <row r="444" ht="13.5" customHeight="1" x14ac:dyDescent="0.35"/>
    <row r="445" ht="13.5" customHeight="1" x14ac:dyDescent="0.35"/>
    <row r="446" ht="13.5" customHeight="1" x14ac:dyDescent="0.35"/>
    <row r="447" ht="13.5" customHeight="1" x14ac:dyDescent="0.35"/>
    <row r="448" ht="13.5" customHeight="1" x14ac:dyDescent="0.35"/>
    <row r="449" ht="13.5" customHeight="1" x14ac:dyDescent="0.35"/>
    <row r="450" ht="13.5" customHeight="1" x14ac:dyDescent="0.35"/>
    <row r="451" ht="13.5" customHeight="1" x14ac:dyDescent="0.35"/>
    <row r="452" ht="13.5" customHeight="1" x14ac:dyDescent="0.35"/>
    <row r="453" ht="13.5" customHeight="1" x14ac:dyDescent="0.35"/>
    <row r="454" ht="13.5" customHeight="1" x14ac:dyDescent="0.35"/>
    <row r="455" ht="13.5" customHeight="1" x14ac:dyDescent="0.35"/>
    <row r="456" ht="13.5" customHeight="1" x14ac:dyDescent="0.35"/>
    <row r="457" ht="13.5" customHeight="1" x14ac:dyDescent="0.35"/>
    <row r="458" ht="13.5" customHeight="1" x14ac:dyDescent="0.35"/>
    <row r="459" ht="13.5" customHeight="1" x14ac:dyDescent="0.35"/>
    <row r="460" ht="13.5" customHeight="1" x14ac:dyDescent="0.35"/>
    <row r="461" ht="13.5" customHeight="1" x14ac:dyDescent="0.35"/>
    <row r="462" ht="13.5" customHeight="1" x14ac:dyDescent="0.35"/>
    <row r="463" ht="13.5" customHeight="1" x14ac:dyDescent="0.35"/>
    <row r="464" ht="13.5" customHeight="1" x14ac:dyDescent="0.35"/>
    <row r="465" ht="13.5" customHeight="1" x14ac:dyDescent="0.35"/>
    <row r="466" ht="13.5" customHeight="1" x14ac:dyDescent="0.35"/>
    <row r="467" ht="13.5" customHeight="1" x14ac:dyDescent="0.35"/>
    <row r="468" ht="13.5" customHeight="1" x14ac:dyDescent="0.35"/>
    <row r="469" ht="13.5" customHeight="1" x14ac:dyDescent="0.35"/>
    <row r="470" ht="13.5" customHeight="1" x14ac:dyDescent="0.35"/>
    <row r="471" ht="13.5" customHeight="1" x14ac:dyDescent="0.35"/>
    <row r="472" ht="13.5" customHeight="1" x14ac:dyDescent="0.35"/>
    <row r="473" ht="13.5" customHeight="1" x14ac:dyDescent="0.35"/>
    <row r="474" ht="13.5" customHeight="1" x14ac:dyDescent="0.35"/>
    <row r="475" ht="13.5" customHeight="1" x14ac:dyDescent="0.35"/>
    <row r="476" ht="13.5" customHeight="1" x14ac:dyDescent="0.35"/>
    <row r="477" ht="13.5" customHeight="1" x14ac:dyDescent="0.35"/>
    <row r="478" ht="13.5" customHeight="1" x14ac:dyDescent="0.35"/>
    <row r="479" ht="13.5" customHeight="1" x14ac:dyDescent="0.35"/>
    <row r="480" ht="13.5" customHeight="1" x14ac:dyDescent="0.35"/>
    <row r="481" ht="13.5" customHeight="1" x14ac:dyDescent="0.35"/>
    <row r="482" ht="13.5" customHeight="1" x14ac:dyDescent="0.35"/>
    <row r="483" ht="13.5" customHeight="1" x14ac:dyDescent="0.35"/>
    <row r="484" ht="13.5" customHeight="1" x14ac:dyDescent="0.35"/>
    <row r="485" ht="13.5" customHeight="1" x14ac:dyDescent="0.35"/>
    <row r="486" ht="13.5" customHeight="1" x14ac:dyDescent="0.35"/>
    <row r="487" ht="13.5" customHeight="1" x14ac:dyDescent="0.35"/>
    <row r="488" ht="13.5" customHeight="1" x14ac:dyDescent="0.35"/>
    <row r="489" ht="13.5" customHeight="1" x14ac:dyDescent="0.35"/>
    <row r="490" ht="13.5" customHeight="1" x14ac:dyDescent="0.35"/>
    <row r="491" ht="13.5" customHeight="1" x14ac:dyDescent="0.35"/>
    <row r="492" ht="13.5" customHeight="1" x14ac:dyDescent="0.35"/>
    <row r="493" ht="13.5" customHeight="1" x14ac:dyDescent="0.35"/>
    <row r="494" ht="13.5" customHeight="1" x14ac:dyDescent="0.35"/>
    <row r="495" ht="13.5" customHeight="1" x14ac:dyDescent="0.35"/>
    <row r="496" ht="13.5" customHeight="1" x14ac:dyDescent="0.35"/>
    <row r="497" ht="13.5" customHeight="1" x14ac:dyDescent="0.35"/>
    <row r="498" ht="13.5" customHeight="1" x14ac:dyDescent="0.35"/>
    <row r="499" ht="13.5" customHeight="1" x14ac:dyDescent="0.35"/>
    <row r="500" ht="13.5" customHeight="1" x14ac:dyDescent="0.35"/>
    <row r="501" ht="13.5" customHeight="1" x14ac:dyDescent="0.35"/>
    <row r="502" ht="13.5" customHeight="1" x14ac:dyDescent="0.35"/>
    <row r="503" ht="13.5" customHeight="1" x14ac:dyDescent="0.35"/>
    <row r="504" ht="13.5" customHeight="1" x14ac:dyDescent="0.35"/>
    <row r="505" ht="13.5" customHeight="1" x14ac:dyDescent="0.35"/>
    <row r="506" ht="13.5" customHeight="1" x14ac:dyDescent="0.35"/>
    <row r="507" ht="13.5" customHeight="1" x14ac:dyDescent="0.35"/>
    <row r="508" ht="13.5" customHeight="1" x14ac:dyDescent="0.35"/>
    <row r="509" ht="13.5" customHeight="1" x14ac:dyDescent="0.35"/>
    <row r="510" ht="13.5" customHeight="1" x14ac:dyDescent="0.35"/>
    <row r="511" ht="13.5" customHeight="1" x14ac:dyDescent="0.35"/>
    <row r="512" ht="13.5" customHeight="1" x14ac:dyDescent="0.35"/>
    <row r="513" ht="13.5" customHeight="1" x14ac:dyDescent="0.35"/>
    <row r="514" ht="13.5" customHeight="1" x14ac:dyDescent="0.35"/>
    <row r="515" ht="13.5" customHeight="1" x14ac:dyDescent="0.35"/>
    <row r="516" ht="13.5" customHeight="1" x14ac:dyDescent="0.35"/>
    <row r="517" ht="13.5" customHeight="1" x14ac:dyDescent="0.35"/>
    <row r="518" ht="13.5" customHeight="1" x14ac:dyDescent="0.35"/>
    <row r="519" ht="13.5" customHeight="1" x14ac:dyDescent="0.35"/>
    <row r="520" ht="13.5" customHeight="1" x14ac:dyDescent="0.35"/>
    <row r="521" ht="13.5" customHeight="1" x14ac:dyDescent="0.35"/>
    <row r="522" ht="13.5" customHeight="1" x14ac:dyDescent="0.35"/>
    <row r="523" ht="13.5" customHeight="1" x14ac:dyDescent="0.35"/>
    <row r="524" ht="13.5" customHeight="1" x14ac:dyDescent="0.35"/>
    <row r="525" ht="13.5" customHeight="1" x14ac:dyDescent="0.35"/>
    <row r="526" ht="13.5" customHeight="1" x14ac:dyDescent="0.35"/>
    <row r="527" ht="13.5" customHeight="1" x14ac:dyDescent="0.35"/>
    <row r="528" ht="13.5" customHeight="1" x14ac:dyDescent="0.35"/>
    <row r="529" ht="13.5" customHeight="1" x14ac:dyDescent="0.35"/>
    <row r="530" ht="13.5" customHeight="1" x14ac:dyDescent="0.35"/>
    <row r="531" ht="13.5" customHeight="1" x14ac:dyDescent="0.35"/>
    <row r="532" ht="13.5" customHeight="1" x14ac:dyDescent="0.35"/>
    <row r="533" ht="13.5" customHeight="1" x14ac:dyDescent="0.35"/>
    <row r="534" ht="13.5" customHeight="1" x14ac:dyDescent="0.35"/>
    <row r="535" ht="13.5" customHeight="1" x14ac:dyDescent="0.35"/>
    <row r="536" ht="13.5" customHeight="1" x14ac:dyDescent="0.35"/>
    <row r="537" ht="13.5" customHeight="1" x14ac:dyDescent="0.35"/>
    <row r="538" ht="13.5" customHeight="1" x14ac:dyDescent="0.35"/>
    <row r="539" ht="13.5" customHeight="1" x14ac:dyDescent="0.35"/>
    <row r="540" ht="13.5" customHeight="1" x14ac:dyDescent="0.35"/>
    <row r="541" ht="13.5" customHeight="1" x14ac:dyDescent="0.35"/>
    <row r="542" ht="13.5" customHeight="1" x14ac:dyDescent="0.35"/>
    <row r="543" ht="13.5" customHeight="1" x14ac:dyDescent="0.35"/>
    <row r="544" ht="13.5" customHeight="1" x14ac:dyDescent="0.35"/>
    <row r="545" ht="13.5" customHeight="1" x14ac:dyDescent="0.35"/>
    <row r="546" ht="13.5" customHeight="1" x14ac:dyDescent="0.35"/>
    <row r="547" ht="13.5" customHeight="1" x14ac:dyDescent="0.35"/>
    <row r="548" ht="13.5" customHeight="1" x14ac:dyDescent="0.35"/>
    <row r="549" ht="13.5" customHeight="1" x14ac:dyDescent="0.35"/>
    <row r="550" ht="13.5" customHeight="1" x14ac:dyDescent="0.35"/>
    <row r="551" ht="13.5" customHeight="1" x14ac:dyDescent="0.35"/>
    <row r="552" ht="13.5" customHeight="1" x14ac:dyDescent="0.35"/>
    <row r="553" ht="13.5" customHeight="1" x14ac:dyDescent="0.35"/>
    <row r="554" ht="13.5" customHeight="1" x14ac:dyDescent="0.35"/>
    <row r="555" ht="13.5" customHeight="1" x14ac:dyDescent="0.35"/>
    <row r="556" ht="13.5" customHeight="1" x14ac:dyDescent="0.35"/>
    <row r="557" ht="13.5" customHeight="1" x14ac:dyDescent="0.35"/>
    <row r="558" ht="13.5" customHeight="1" x14ac:dyDescent="0.35"/>
    <row r="559" ht="13.5" customHeight="1" x14ac:dyDescent="0.35"/>
    <row r="560" ht="13.5" customHeight="1" x14ac:dyDescent="0.35"/>
    <row r="561" ht="13.5" customHeight="1" x14ac:dyDescent="0.35"/>
    <row r="562" ht="13.5" customHeight="1" x14ac:dyDescent="0.35"/>
    <row r="563" ht="13.5" customHeight="1" x14ac:dyDescent="0.35"/>
    <row r="564" ht="13.5" customHeight="1" x14ac:dyDescent="0.35"/>
    <row r="565" ht="13.5" customHeight="1" x14ac:dyDescent="0.35"/>
    <row r="566" ht="13.5" customHeight="1" x14ac:dyDescent="0.35"/>
    <row r="567" ht="13.5" customHeight="1" x14ac:dyDescent="0.35"/>
    <row r="568" ht="13.5" customHeight="1" x14ac:dyDescent="0.35"/>
    <row r="569" ht="13.5" customHeight="1" x14ac:dyDescent="0.35"/>
    <row r="570" ht="13.5" customHeight="1" x14ac:dyDescent="0.35"/>
    <row r="571" ht="13.5" customHeight="1" x14ac:dyDescent="0.35"/>
    <row r="572" ht="13.5" customHeight="1" x14ac:dyDescent="0.35"/>
    <row r="573" ht="13.5" customHeight="1" x14ac:dyDescent="0.35"/>
    <row r="574" ht="13.5" customHeight="1" x14ac:dyDescent="0.35"/>
    <row r="575" ht="13.5" customHeight="1" x14ac:dyDescent="0.35"/>
    <row r="576" ht="13.5" customHeight="1" x14ac:dyDescent="0.35"/>
    <row r="577" ht="13.5" customHeight="1" x14ac:dyDescent="0.35"/>
    <row r="578" ht="13.5" customHeight="1" x14ac:dyDescent="0.35"/>
    <row r="579" ht="13.5" customHeight="1" x14ac:dyDescent="0.35"/>
    <row r="580" ht="13.5" customHeight="1" x14ac:dyDescent="0.35"/>
    <row r="581" ht="13.5" customHeight="1" x14ac:dyDescent="0.35"/>
    <row r="582" ht="13.5" customHeight="1" x14ac:dyDescent="0.35"/>
    <row r="583" ht="13.5" customHeight="1" x14ac:dyDescent="0.35"/>
    <row r="584" ht="13.5" customHeight="1" x14ac:dyDescent="0.35"/>
    <row r="585" ht="13.5" customHeight="1" x14ac:dyDescent="0.35"/>
    <row r="586" ht="13.5" customHeight="1" x14ac:dyDescent="0.35"/>
    <row r="587" ht="13.5" customHeight="1" x14ac:dyDescent="0.35"/>
    <row r="588" ht="13.5" customHeight="1" x14ac:dyDescent="0.35"/>
    <row r="589" ht="13.5" customHeight="1" x14ac:dyDescent="0.35"/>
    <row r="590" ht="13.5" customHeight="1" x14ac:dyDescent="0.35"/>
    <row r="591" ht="13.5" customHeight="1" x14ac:dyDescent="0.35"/>
    <row r="592" ht="13.5" customHeight="1" x14ac:dyDescent="0.35"/>
    <row r="593" ht="13.5" customHeight="1" x14ac:dyDescent="0.35"/>
    <row r="594" ht="13.5" customHeight="1" x14ac:dyDescent="0.35"/>
    <row r="595" ht="13.5" customHeight="1" x14ac:dyDescent="0.35"/>
    <row r="596" ht="13.5" customHeight="1" x14ac:dyDescent="0.35"/>
    <row r="597" ht="13.5" customHeight="1" x14ac:dyDescent="0.35"/>
    <row r="598" ht="13.5" customHeight="1" x14ac:dyDescent="0.35"/>
    <row r="599" ht="13.5" customHeight="1" x14ac:dyDescent="0.35"/>
    <row r="600" ht="13.5" customHeight="1" x14ac:dyDescent="0.35"/>
    <row r="601" ht="13.5" customHeight="1" x14ac:dyDescent="0.35"/>
    <row r="602" ht="13.5" customHeight="1" x14ac:dyDescent="0.35"/>
    <row r="603" ht="13.5" customHeight="1" x14ac:dyDescent="0.35"/>
    <row r="604" ht="13.5" customHeight="1" x14ac:dyDescent="0.35"/>
    <row r="605" ht="13.5" customHeight="1" x14ac:dyDescent="0.35"/>
    <row r="606" ht="13.5" customHeight="1" x14ac:dyDescent="0.35"/>
    <row r="607" ht="13.5" customHeight="1" x14ac:dyDescent="0.35"/>
    <row r="608" ht="13.5" customHeight="1" x14ac:dyDescent="0.35"/>
    <row r="609" ht="13.5" customHeight="1" x14ac:dyDescent="0.35"/>
    <row r="610" ht="13.5" customHeight="1" x14ac:dyDescent="0.35"/>
    <row r="611" ht="13.5" customHeight="1" x14ac:dyDescent="0.35"/>
    <row r="612" ht="13.5" customHeight="1" x14ac:dyDescent="0.35"/>
    <row r="613" ht="13.5" customHeight="1" x14ac:dyDescent="0.35"/>
    <row r="614" ht="13.5" customHeight="1" x14ac:dyDescent="0.35"/>
    <row r="615" ht="13.5" customHeight="1" x14ac:dyDescent="0.35"/>
    <row r="616" ht="13.5" customHeight="1" x14ac:dyDescent="0.35"/>
    <row r="617" ht="13.5" customHeight="1" x14ac:dyDescent="0.35"/>
    <row r="618" ht="13.5" customHeight="1" x14ac:dyDescent="0.35"/>
    <row r="619" ht="13.5" customHeight="1" x14ac:dyDescent="0.35"/>
    <row r="620" ht="13.5" customHeight="1" x14ac:dyDescent="0.35"/>
    <row r="621" ht="13.5" customHeight="1" x14ac:dyDescent="0.35"/>
    <row r="622" ht="13.5" customHeight="1" x14ac:dyDescent="0.35"/>
    <row r="623" ht="13.5" customHeight="1" x14ac:dyDescent="0.35"/>
    <row r="624" ht="13.5" customHeight="1" x14ac:dyDescent="0.35"/>
    <row r="625" ht="13.5" customHeight="1" x14ac:dyDescent="0.35"/>
    <row r="626" ht="13.5" customHeight="1" x14ac:dyDescent="0.35"/>
    <row r="627" ht="13.5" customHeight="1" x14ac:dyDescent="0.35"/>
    <row r="628" ht="13.5" customHeight="1" x14ac:dyDescent="0.35"/>
    <row r="629" ht="13.5" customHeight="1" x14ac:dyDescent="0.35"/>
    <row r="630" ht="13.5" customHeight="1" x14ac:dyDescent="0.35"/>
    <row r="631" ht="13.5" customHeight="1" x14ac:dyDescent="0.35"/>
    <row r="632" ht="13.5" customHeight="1" x14ac:dyDescent="0.35"/>
    <row r="633" ht="13.5" customHeight="1" x14ac:dyDescent="0.35"/>
    <row r="634" ht="13.5" customHeight="1" x14ac:dyDescent="0.35"/>
    <row r="635" ht="13.5" customHeight="1" x14ac:dyDescent="0.35"/>
    <row r="636" ht="13.5" customHeight="1" x14ac:dyDescent="0.35"/>
    <row r="637" ht="13.5" customHeight="1" x14ac:dyDescent="0.35"/>
    <row r="638" ht="13.5" customHeight="1" x14ac:dyDescent="0.35"/>
    <row r="639" ht="13.5" customHeight="1" x14ac:dyDescent="0.35"/>
    <row r="640" ht="13.5" customHeight="1" x14ac:dyDescent="0.35"/>
    <row r="641" ht="13.5" customHeight="1" x14ac:dyDescent="0.35"/>
    <row r="642" ht="13.5" customHeight="1" x14ac:dyDescent="0.35"/>
    <row r="643" ht="13.5" customHeight="1" x14ac:dyDescent="0.35"/>
    <row r="644" ht="13.5" customHeight="1" x14ac:dyDescent="0.35"/>
    <row r="645" ht="13.5" customHeight="1" x14ac:dyDescent="0.35"/>
    <row r="646" ht="13.5" customHeight="1" x14ac:dyDescent="0.35"/>
    <row r="647" ht="13.5" customHeight="1" x14ac:dyDescent="0.35"/>
    <row r="648" ht="13.5" customHeight="1" x14ac:dyDescent="0.35"/>
    <row r="649" ht="13.5" customHeight="1" x14ac:dyDescent="0.35"/>
    <row r="650" ht="13.5" customHeight="1" x14ac:dyDescent="0.35"/>
    <row r="651" ht="13.5" customHeight="1" x14ac:dyDescent="0.35"/>
    <row r="652" ht="13.5" customHeight="1" x14ac:dyDescent="0.35"/>
    <row r="653" ht="13.5" customHeight="1" x14ac:dyDescent="0.35"/>
    <row r="654" ht="13.5" customHeight="1" x14ac:dyDescent="0.35"/>
    <row r="655" ht="13.5" customHeight="1" x14ac:dyDescent="0.35"/>
    <row r="656" ht="13.5" customHeight="1" x14ac:dyDescent="0.35"/>
    <row r="657" ht="13.5" customHeight="1" x14ac:dyDescent="0.35"/>
    <row r="658" ht="13.5" customHeight="1" x14ac:dyDescent="0.35"/>
    <row r="659" ht="13.5" customHeight="1" x14ac:dyDescent="0.35"/>
    <row r="660" ht="13.5" customHeight="1" x14ac:dyDescent="0.35"/>
    <row r="661" ht="13.5" customHeight="1" x14ac:dyDescent="0.35"/>
    <row r="662" ht="13.5" customHeight="1" x14ac:dyDescent="0.35"/>
    <row r="663" ht="13.5" customHeight="1" x14ac:dyDescent="0.35"/>
    <row r="664" ht="13.5" customHeight="1" x14ac:dyDescent="0.35"/>
    <row r="665" ht="13.5" customHeight="1" x14ac:dyDescent="0.35"/>
    <row r="666" ht="13.5" customHeight="1" x14ac:dyDescent="0.35"/>
    <row r="667" ht="13.5" customHeight="1" x14ac:dyDescent="0.35"/>
    <row r="668" ht="13.5" customHeight="1" x14ac:dyDescent="0.35"/>
    <row r="669" ht="13.5" customHeight="1" x14ac:dyDescent="0.35"/>
    <row r="670" ht="13.5" customHeight="1" x14ac:dyDescent="0.35"/>
    <row r="671" ht="13.5" customHeight="1" x14ac:dyDescent="0.35"/>
    <row r="672" ht="13.5" customHeight="1" x14ac:dyDescent="0.35"/>
    <row r="673" ht="13.5" customHeight="1" x14ac:dyDescent="0.35"/>
    <row r="674" ht="13.5" customHeight="1" x14ac:dyDescent="0.35"/>
    <row r="675" ht="13.5" customHeight="1" x14ac:dyDescent="0.35"/>
    <row r="676" ht="13.5" customHeight="1" x14ac:dyDescent="0.35"/>
    <row r="677" ht="13.5" customHeight="1" x14ac:dyDescent="0.35"/>
    <row r="678" ht="13.5" customHeight="1" x14ac:dyDescent="0.35"/>
    <row r="679" ht="13.5" customHeight="1" x14ac:dyDescent="0.35"/>
    <row r="680" ht="13.5" customHeight="1" x14ac:dyDescent="0.35"/>
    <row r="681" ht="13.5" customHeight="1" x14ac:dyDescent="0.35"/>
    <row r="682" ht="13.5" customHeight="1" x14ac:dyDescent="0.35"/>
    <row r="683" ht="13.5" customHeight="1" x14ac:dyDescent="0.35"/>
    <row r="684" ht="13.5" customHeight="1" x14ac:dyDescent="0.35"/>
    <row r="685" ht="13.5" customHeight="1" x14ac:dyDescent="0.35"/>
    <row r="686" ht="13.5" customHeight="1" x14ac:dyDescent="0.35"/>
    <row r="687" ht="13.5" customHeight="1" x14ac:dyDescent="0.35"/>
    <row r="688" ht="13.5" customHeight="1" x14ac:dyDescent="0.35"/>
    <row r="689" ht="13.5" customHeight="1" x14ac:dyDescent="0.35"/>
    <row r="690" ht="13.5" customHeight="1" x14ac:dyDescent="0.35"/>
    <row r="691" ht="13.5" customHeight="1" x14ac:dyDescent="0.35"/>
    <row r="692" ht="13.5" customHeight="1" x14ac:dyDescent="0.35"/>
    <row r="693" ht="13.5" customHeight="1" x14ac:dyDescent="0.35"/>
    <row r="694" ht="13.5" customHeight="1" x14ac:dyDescent="0.35"/>
    <row r="695" ht="13.5" customHeight="1" x14ac:dyDescent="0.35"/>
    <row r="696" ht="13.5" customHeight="1" x14ac:dyDescent="0.35"/>
    <row r="697" ht="13.5" customHeight="1" x14ac:dyDescent="0.35"/>
    <row r="698" ht="13.5" customHeight="1" x14ac:dyDescent="0.35"/>
    <row r="699" ht="13.5" customHeight="1" x14ac:dyDescent="0.35"/>
    <row r="700" ht="13.5" customHeight="1" x14ac:dyDescent="0.35"/>
    <row r="701" ht="13.5" customHeight="1" x14ac:dyDescent="0.35"/>
    <row r="702" ht="13.5" customHeight="1" x14ac:dyDescent="0.35"/>
    <row r="703" ht="13.5" customHeight="1" x14ac:dyDescent="0.35"/>
    <row r="704" ht="13.5" customHeight="1" x14ac:dyDescent="0.35"/>
    <row r="705" ht="13.5" customHeight="1" x14ac:dyDescent="0.35"/>
    <row r="706" ht="13.5" customHeight="1" x14ac:dyDescent="0.35"/>
    <row r="707" ht="13.5" customHeight="1" x14ac:dyDescent="0.35"/>
    <row r="708" ht="13.5" customHeight="1" x14ac:dyDescent="0.35"/>
    <row r="709" ht="13.5" customHeight="1" x14ac:dyDescent="0.35"/>
    <row r="710" ht="13.5" customHeight="1" x14ac:dyDescent="0.35"/>
    <row r="711" ht="13.5" customHeight="1" x14ac:dyDescent="0.35"/>
    <row r="712" ht="13.5" customHeight="1" x14ac:dyDescent="0.35"/>
    <row r="713" ht="13.5" customHeight="1" x14ac:dyDescent="0.35"/>
    <row r="714" ht="13.5" customHeight="1" x14ac:dyDescent="0.35"/>
    <row r="715" ht="13.5" customHeight="1" x14ac:dyDescent="0.35"/>
    <row r="716" ht="13.5" customHeight="1" x14ac:dyDescent="0.35"/>
    <row r="717" ht="13.5" customHeight="1" x14ac:dyDescent="0.35"/>
    <row r="718" ht="13.5" customHeight="1" x14ac:dyDescent="0.35"/>
    <row r="719" ht="13.5" customHeight="1" x14ac:dyDescent="0.35"/>
    <row r="720" ht="13.5" customHeight="1" x14ac:dyDescent="0.35"/>
    <row r="721" ht="13.5" customHeight="1" x14ac:dyDescent="0.35"/>
    <row r="722" ht="13.5" customHeight="1" x14ac:dyDescent="0.35"/>
    <row r="723" ht="13.5" customHeight="1" x14ac:dyDescent="0.35"/>
    <row r="724" ht="13.5" customHeight="1" x14ac:dyDescent="0.35"/>
    <row r="725" ht="13.5" customHeight="1" x14ac:dyDescent="0.35"/>
    <row r="726" ht="13.5" customHeight="1" x14ac:dyDescent="0.35"/>
    <row r="727" ht="13.5" customHeight="1" x14ac:dyDescent="0.35"/>
    <row r="728" ht="13.5" customHeight="1" x14ac:dyDescent="0.35"/>
    <row r="729" ht="13.5" customHeight="1" x14ac:dyDescent="0.35"/>
    <row r="730" ht="13.5" customHeight="1" x14ac:dyDescent="0.35"/>
    <row r="731" ht="13.5" customHeight="1" x14ac:dyDescent="0.35"/>
    <row r="732" ht="13.5" customHeight="1" x14ac:dyDescent="0.35"/>
    <row r="733" ht="13.5" customHeight="1" x14ac:dyDescent="0.35"/>
    <row r="734" ht="13.5" customHeight="1" x14ac:dyDescent="0.35"/>
    <row r="735" ht="13.5" customHeight="1" x14ac:dyDescent="0.35"/>
    <row r="736" ht="13.5" customHeight="1" x14ac:dyDescent="0.35"/>
    <row r="737" ht="13.5" customHeight="1" x14ac:dyDescent="0.35"/>
    <row r="738" ht="13.5" customHeight="1" x14ac:dyDescent="0.35"/>
    <row r="739" ht="13.5" customHeight="1" x14ac:dyDescent="0.35"/>
    <row r="740" ht="13.5" customHeight="1" x14ac:dyDescent="0.35"/>
    <row r="741" ht="13.5" customHeight="1" x14ac:dyDescent="0.35"/>
    <row r="742" ht="13.5" customHeight="1" x14ac:dyDescent="0.35"/>
    <row r="743" ht="13.5" customHeight="1" x14ac:dyDescent="0.35"/>
    <row r="744" ht="13.5" customHeight="1" x14ac:dyDescent="0.35"/>
    <row r="745" ht="13.5" customHeight="1" x14ac:dyDescent="0.35"/>
    <row r="746" ht="13.5" customHeight="1" x14ac:dyDescent="0.35"/>
    <row r="747" ht="13.5" customHeight="1" x14ac:dyDescent="0.35"/>
    <row r="748" ht="13.5" customHeight="1" x14ac:dyDescent="0.35"/>
    <row r="749" ht="13.5" customHeight="1" x14ac:dyDescent="0.35"/>
    <row r="750" ht="13.5" customHeight="1" x14ac:dyDescent="0.35"/>
    <row r="751" ht="13.5" customHeight="1" x14ac:dyDescent="0.35"/>
    <row r="752" ht="13.5" customHeight="1" x14ac:dyDescent="0.35"/>
    <row r="753" ht="13.5" customHeight="1" x14ac:dyDescent="0.35"/>
    <row r="754" ht="13.5" customHeight="1" x14ac:dyDescent="0.35"/>
    <row r="755" ht="13.5" customHeight="1" x14ac:dyDescent="0.35"/>
    <row r="756" ht="13.5" customHeight="1" x14ac:dyDescent="0.35"/>
    <row r="757" ht="13.5" customHeight="1" x14ac:dyDescent="0.35"/>
    <row r="758" ht="13.5" customHeight="1" x14ac:dyDescent="0.35"/>
    <row r="759" ht="13.5" customHeight="1" x14ac:dyDescent="0.35"/>
    <row r="760" ht="13.5" customHeight="1" x14ac:dyDescent="0.35"/>
    <row r="761" ht="13.5" customHeight="1" x14ac:dyDescent="0.35"/>
    <row r="762" ht="13.5" customHeight="1" x14ac:dyDescent="0.35"/>
    <row r="763" ht="13.5" customHeight="1" x14ac:dyDescent="0.35"/>
    <row r="764" ht="13.5" customHeight="1" x14ac:dyDescent="0.35"/>
    <row r="765" ht="13.5" customHeight="1" x14ac:dyDescent="0.35"/>
    <row r="766" ht="13.5" customHeight="1" x14ac:dyDescent="0.35"/>
    <row r="767" ht="13.5" customHeight="1" x14ac:dyDescent="0.35"/>
    <row r="768" ht="13.5" customHeight="1" x14ac:dyDescent="0.35"/>
    <row r="769" ht="13.5" customHeight="1" x14ac:dyDescent="0.35"/>
    <row r="770" ht="13.5" customHeight="1" x14ac:dyDescent="0.35"/>
    <row r="771" ht="13.5" customHeight="1" x14ac:dyDescent="0.35"/>
    <row r="772" ht="13.5" customHeight="1" x14ac:dyDescent="0.35"/>
    <row r="773" ht="13.5" customHeight="1" x14ac:dyDescent="0.35"/>
    <row r="774" ht="13.5" customHeight="1" x14ac:dyDescent="0.35"/>
    <row r="775" ht="13.5" customHeight="1" x14ac:dyDescent="0.35"/>
    <row r="776" ht="13.5" customHeight="1" x14ac:dyDescent="0.35"/>
    <row r="777" ht="13.5" customHeight="1" x14ac:dyDescent="0.35"/>
    <row r="778" ht="13.5" customHeight="1" x14ac:dyDescent="0.35"/>
    <row r="779" ht="13.5" customHeight="1" x14ac:dyDescent="0.35"/>
    <row r="780" ht="13.5" customHeight="1" x14ac:dyDescent="0.35"/>
    <row r="781" ht="13.5" customHeight="1" x14ac:dyDescent="0.35"/>
    <row r="782" ht="13.5" customHeight="1" x14ac:dyDescent="0.35"/>
    <row r="783" ht="13.5" customHeight="1" x14ac:dyDescent="0.35"/>
    <row r="784" ht="13.5" customHeight="1" x14ac:dyDescent="0.35"/>
    <row r="785" ht="13.5" customHeight="1" x14ac:dyDescent="0.35"/>
    <row r="786" ht="13.5" customHeight="1" x14ac:dyDescent="0.35"/>
    <row r="787" ht="13.5" customHeight="1" x14ac:dyDescent="0.35"/>
    <row r="788" ht="13.5" customHeight="1" x14ac:dyDescent="0.35"/>
    <row r="789" ht="13.5" customHeight="1" x14ac:dyDescent="0.35"/>
    <row r="790" ht="13.5" customHeight="1" x14ac:dyDescent="0.35"/>
    <row r="791" ht="13.5" customHeight="1" x14ac:dyDescent="0.35"/>
    <row r="792" ht="13.5" customHeight="1" x14ac:dyDescent="0.35"/>
    <row r="793" ht="13.5" customHeight="1" x14ac:dyDescent="0.35"/>
    <row r="794" ht="13.5" customHeight="1" x14ac:dyDescent="0.35"/>
    <row r="795" ht="13.5" customHeight="1" x14ac:dyDescent="0.35"/>
    <row r="796" ht="13.5" customHeight="1" x14ac:dyDescent="0.35"/>
    <row r="797" ht="13.5" customHeight="1" x14ac:dyDescent="0.35"/>
    <row r="798" ht="13.5" customHeight="1" x14ac:dyDescent="0.35"/>
    <row r="799" ht="13.5" customHeight="1" x14ac:dyDescent="0.35"/>
    <row r="800" ht="13.5" customHeight="1" x14ac:dyDescent="0.35"/>
    <row r="801" ht="13.5" customHeight="1" x14ac:dyDescent="0.35"/>
    <row r="802" ht="13.5" customHeight="1" x14ac:dyDescent="0.35"/>
    <row r="803" ht="13.5" customHeight="1" x14ac:dyDescent="0.35"/>
    <row r="804" ht="13.5" customHeight="1" x14ac:dyDescent="0.35"/>
    <row r="805" ht="13.5" customHeight="1" x14ac:dyDescent="0.35"/>
    <row r="806" ht="13.5" customHeight="1" x14ac:dyDescent="0.35"/>
    <row r="807" ht="13.5" customHeight="1" x14ac:dyDescent="0.35"/>
    <row r="808" ht="13.5" customHeight="1" x14ac:dyDescent="0.35"/>
    <row r="809" ht="13.5" customHeight="1" x14ac:dyDescent="0.35"/>
    <row r="810" ht="13.5" customHeight="1" x14ac:dyDescent="0.35"/>
    <row r="811" ht="13.5" customHeight="1" x14ac:dyDescent="0.35"/>
    <row r="812" ht="13.5" customHeight="1" x14ac:dyDescent="0.35"/>
    <row r="813" ht="13.5" customHeight="1" x14ac:dyDescent="0.35"/>
    <row r="814" ht="13.5" customHeight="1" x14ac:dyDescent="0.35"/>
    <row r="815" ht="13.5" customHeight="1" x14ac:dyDescent="0.35"/>
    <row r="816" ht="13.5" customHeight="1" x14ac:dyDescent="0.35"/>
    <row r="817" ht="13.5" customHeight="1" x14ac:dyDescent="0.35"/>
    <row r="818" ht="13.5" customHeight="1" x14ac:dyDescent="0.35"/>
    <row r="819" ht="13.5" customHeight="1" x14ac:dyDescent="0.35"/>
    <row r="820" ht="13.5" customHeight="1" x14ac:dyDescent="0.35"/>
    <row r="821" ht="13.5" customHeight="1" x14ac:dyDescent="0.35"/>
    <row r="822" ht="13.5" customHeight="1" x14ac:dyDescent="0.35"/>
    <row r="823" ht="13.5" customHeight="1" x14ac:dyDescent="0.35"/>
    <row r="824" ht="13.5" customHeight="1" x14ac:dyDescent="0.35"/>
    <row r="825" ht="13.5" customHeight="1" x14ac:dyDescent="0.35"/>
    <row r="826" ht="13.5" customHeight="1" x14ac:dyDescent="0.35"/>
    <row r="827" ht="13.5" customHeight="1" x14ac:dyDescent="0.35"/>
    <row r="828" ht="13.5" customHeight="1" x14ac:dyDescent="0.35"/>
    <row r="829" ht="13.5" customHeight="1" x14ac:dyDescent="0.35"/>
    <row r="830" ht="13.5" customHeight="1" x14ac:dyDescent="0.35"/>
    <row r="831" ht="13.5" customHeight="1" x14ac:dyDescent="0.35"/>
    <row r="832" ht="13.5" customHeight="1" x14ac:dyDescent="0.35"/>
    <row r="833" ht="13.5" customHeight="1" x14ac:dyDescent="0.35"/>
    <row r="834" ht="13.5" customHeight="1" x14ac:dyDescent="0.35"/>
    <row r="835" ht="13.5" customHeight="1" x14ac:dyDescent="0.35"/>
    <row r="836" ht="13.5" customHeight="1" x14ac:dyDescent="0.35"/>
    <row r="837" ht="13.5" customHeight="1" x14ac:dyDescent="0.35"/>
    <row r="838" ht="13.5" customHeight="1" x14ac:dyDescent="0.35"/>
    <row r="839" ht="13.5" customHeight="1" x14ac:dyDescent="0.35"/>
    <row r="840" ht="13.5" customHeight="1" x14ac:dyDescent="0.35"/>
    <row r="841" ht="13.5" customHeight="1" x14ac:dyDescent="0.35"/>
    <row r="842" ht="13.5" customHeight="1" x14ac:dyDescent="0.35"/>
    <row r="843" ht="13.5" customHeight="1" x14ac:dyDescent="0.35"/>
    <row r="844" ht="13.5" customHeight="1" x14ac:dyDescent="0.35"/>
    <row r="845" ht="13.5" customHeight="1" x14ac:dyDescent="0.35"/>
    <row r="846" ht="13.5" customHeight="1" x14ac:dyDescent="0.35"/>
    <row r="847" ht="13.5" customHeight="1" x14ac:dyDescent="0.35"/>
    <row r="848" ht="13.5" customHeight="1" x14ac:dyDescent="0.35"/>
    <row r="849" ht="13.5" customHeight="1" x14ac:dyDescent="0.35"/>
    <row r="850" ht="13.5" customHeight="1" x14ac:dyDescent="0.35"/>
    <row r="851" ht="13.5" customHeight="1" x14ac:dyDescent="0.35"/>
    <row r="852" ht="13.5" customHeight="1" x14ac:dyDescent="0.35"/>
    <row r="853" ht="13.5" customHeight="1" x14ac:dyDescent="0.35"/>
    <row r="854" ht="13.5" customHeight="1" x14ac:dyDescent="0.35"/>
    <row r="855" ht="13.5" customHeight="1" x14ac:dyDescent="0.35"/>
    <row r="856" ht="13.5" customHeight="1" x14ac:dyDescent="0.35"/>
    <row r="857" ht="13.5" customHeight="1" x14ac:dyDescent="0.35"/>
    <row r="858" ht="13.5" customHeight="1" x14ac:dyDescent="0.35"/>
    <row r="859" ht="13.5" customHeight="1" x14ac:dyDescent="0.35"/>
    <row r="860" ht="13.5" customHeight="1" x14ac:dyDescent="0.35"/>
    <row r="861" ht="13.5" customHeight="1" x14ac:dyDescent="0.35"/>
    <row r="862" ht="13.5" customHeight="1" x14ac:dyDescent="0.35"/>
    <row r="863" ht="13.5" customHeight="1" x14ac:dyDescent="0.35"/>
    <row r="864" ht="13.5" customHeight="1" x14ac:dyDescent="0.35"/>
    <row r="865" ht="13.5" customHeight="1" x14ac:dyDescent="0.35"/>
    <row r="866" ht="13.5" customHeight="1" x14ac:dyDescent="0.35"/>
    <row r="867" ht="13.5" customHeight="1" x14ac:dyDescent="0.35"/>
    <row r="868" ht="13.5" customHeight="1" x14ac:dyDescent="0.35"/>
    <row r="869" ht="13.5" customHeight="1" x14ac:dyDescent="0.35"/>
    <row r="870" ht="13.5" customHeight="1" x14ac:dyDescent="0.35"/>
    <row r="871" ht="13.5" customHeight="1" x14ac:dyDescent="0.35"/>
    <row r="872" ht="13.5" customHeight="1" x14ac:dyDescent="0.35"/>
    <row r="873" ht="13.5" customHeight="1" x14ac:dyDescent="0.35"/>
    <row r="874" ht="13.5" customHeight="1" x14ac:dyDescent="0.35"/>
    <row r="875" ht="13.5" customHeight="1" x14ac:dyDescent="0.35"/>
    <row r="876" ht="13.5" customHeight="1" x14ac:dyDescent="0.35"/>
    <row r="877" ht="13.5" customHeight="1" x14ac:dyDescent="0.35"/>
    <row r="878" ht="13.5" customHeight="1" x14ac:dyDescent="0.35"/>
    <row r="879" ht="13.5" customHeight="1" x14ac:dyDescent="0.35"/>
    <row r="880" ht="13.5" customHeight="1" x14ac:dyDescent="0.35"/>
    <row r="881" ht="13.5" customHeight="1" x14ac:dyDescent="0.35"/>
    <row r="882" ht="13.5" customHeight="1" x14ac:dyDescent="0.35"/>
    <row r="883" ht="13.5" customHeight="1" x14ac:dyDescent="0.35"/>
    <row r="884" ht="13.5" customHeight="1" x14ac:dyDescent="0.35"/>
    <row r="885" ht="13.5" customHeight="1" x14ac:dyDescent="0.35"/>
    <row r="886" ht="13.5" customHeight="1" x14ac:dyDescent="0.35"/>
    <row r="887" ht="13.5" customHeight="1" x14ac:dyDescent="0.35"/>
    <row r="888" ht="13.5" customHeight="1" x14ac:dyDescent="0.35"/>
    <row r="889" ht="13.5" customHeight="1" x14ac:dyDescent="0.35"/>
    <row r="890" ht="13.5" customHeight="1" x14ac:dyDescent="0.35"/>
    <row r="891" ht="13.5" customHeight="1" x14ac:dyDescent="0.35"/>
    <row r="892" ht="13.5" customHeight="1" x14ac:dyDescent="0.35"/>
    <row r="893" ht="13.5" customHeight="1" x14ac:dyDescent="0.35"/>
    <row r="894" ht="13.5" customHeight="1" x14ac:dyDescent="0.35"/>
    <row r="895" ht="13.5" customHeight="1" x14ac:dyDescent="0.35"/>
    <row r="896" ht="13.5" customHeight="1" x14ac:dyDescent="0.35"/>
    <row r="897" ht="13.5" customHeight="1" x14ac:dyDescent="0.35"/>
    <row r="898" ht="13.5" customHeight="1" x14ac:dyDescent="0.35"/>
    <row r="899" ht="13.5" customHeight="1" x14ac:dyDescent="0.35"/>
    <row r="900" ht="13.5" customHeight="1" x14ac:dyDescent="0.35"/>
    <row r="901" ht="13.5" customHeight="1" x14ac:dyDescent="0.35"/>
    <row r="902" ht="13.5" customHeight="1" x14ac:dyDescent="0.35"/>
    <row r="903" ht="13.5" customHeight="1" x14ac:dyDescent="0.35"/>
    <row r="904" ht="13.5" customHeight="1" x14ac:dyDescent="0.35"/>
    <row r="905" ht="13.5" customHeight="1" x14ac:dyDescent="0.35"/>
    <row r="906" ht="13.5" customHeight="1" x14ac:dyDescent="0.35"/>
    <row r="907" ht="13.5" customHeight="1" x14ac:dyDescent="0.35"/>
    <row r="908" ht="13.5" customHeight="1" x14ac:dyDescent="0.35"/>
    <row r="909" ht="13.5" customHeight="1" x14ac:dyDescent="0.35"/>
    <row r="910" ht="13.5" customHeight="1" x14ac:dyDescent="0.35"/>
    <row r="911" ht="13.5" customHeight="1" x14ac:dyDescent="0.35"/>
    <row r="912" ht="13.5" customHeight="1" x14ac:dyDescent="0.35"/>
    <row r="913" ht="13.5" customHeight="1" x14ac:dyDescent="0.35"/>
    <row r="914" ht="13.5" customHeight="1" x14ac:dyDescent="0.35"/>
    <row r="915" ht="13.5" customHeight="1" x14ac:dyDescent="0.35"/>
    <row r="916" ht="13.5" customHeight="1" x14ac:dyDescent="0.35"/>
    <row r="917" ht="13.5" customHeight="1" x14ac:dyDescent="0.35"/>
    <row r="918" ht="13.5" customHeight="1" x14ac:dyDescent="0.35"/>
    <row r="919" ht="13.5" customHeight="1" x14ac:dyDescent="0.35"/>
    <row r="920" ht="13.5" customHeight="1" x14ac:dyDescent="0.35"/>
    <row r="921" ht="13.5" customHeight="1" x14ac:dyDescent="0.35"/>
    <row r="922" ht="13.5" customHeight="1" x14ac:dyDescent="0.35"/>
    <row r="923" ht="13.5" customHeight="1" x14ac:dyDescent="0.35"/>
    <row r="924" ht="13.5" customHeight="1" x14ac:dyDescent="0.35"/>
    <row r="925" ht="13.5" customHeight="1" x14ac:dyDescent="0.35"/>
    <row r="926" ht="13.5" customHeight="1" x14ac:dyDescent="0.35"/>
    <row r="927" ht="13.5" customHeight="1" x14ac:dyDescent="0.35"/>
    <row r="928" ht="13.5" customHeight="1" x14ac:dyDescent="0.35"/>
    <row r="929" ht="13.5" customHeight="1" x14ac:dyDescent="0.35"/>
    <row r="930" ht="13.5" customHeight="1" x14ac:dyDescent="0.35"/>
    <row r="931" ht="13.5" customHeight="1" x14ac:dyDescent="0.35"/>
    <row r="932" ht="13.5" customHeight="1" x14ac:dyDescent="0.35"/>
    <row r="933" ht="13.5" customHeight="1" x14ac:dyDescent="0.35"/>
    <row r="934" ht="13.5" customHeight="1" x14ac:dyDescent="0.35"/>
    <row r="935" ht="13.5" customHeight="1" x14ac:dyDescent="0.35"/>
    <row r="936" ht="13.5" customHeight="1" x14ac:dyDescent="0.35"/>
    <row r="937" ht="13.5" customHeight="1" x14ac:dyDescent="0.35"/>
    <row r="938" ht="13.5" customHeight="1" x14ac:dyDescent="0.35"/>
    <row r="939" ht="13.5" customHeight="1" x14ac:dyDescent="0.35"/>
    <row r="940" ht="13.5" customHeight="1" x14ac:dyDescent="0.35"/>
    <row r="941" ht="13.5" customHeight="1" x14ac:dyDescent="0.35"/>
    <row r="942" ht="13.5" customHeight="1" x14ac:dyDescent="0.35"/>
    <row r="943" ht="13.5" customHeight="1" x14ac:dyDescent="0.35"/>
    <row r="944" ht="13.5" customHeight="1" x14ac:dyDescent="0.35"/>
    <row r="945" ht="13.5" customHeight="1" x14ac:dyDescent="0.35"/>
    <row r="946" ht="13.5" customHeight="1" x14ac:dyDescent="0.35"/>
    <row r="947" ht="13.5" customHeight="1" x14ac:dyDescent="0.35"/>
    <row r="948" ht="13.5" customHeight="1" x14ac:dyDescent="0.35"/>
    <row r="949" ht="13.5" customHeight="1" x14ac:dyDescent="0.35"/>
    <row r="950" ht="13.5" customHeight="1" x14ac:dyDescent="0.35"/>
    <row r="951" ht="13.5" customHeight="1" x14ac:dyDescent="0.35"/>
    <row r="952" ht="13.5" customHeight="1" x14ac:dyDescent="0.35"/>
    <row r="953" ht="13.5" customHeight="1" x14ac:dyDescent="0.35"/>
    <row r="954" ht="13.5" customHeight="1" x14ac:dyDescent="0.35"/>
    <row r="955" ht="13.5" customHeight="1" x14ac:dyDescent="0.35"/>
    <row r="956" ht="13.5" customHeight="1" x14ac:dyDescent="0.35"/>
    <row r="957" ht="13.5" customHeight="1" x14ac:dyDescent="0.35"/>
    <row r="958" ht="13.5" customHeight="1" x14ac:dyDescent="0.35"/>
    <row r="959" ht="13.5" customHeight="1" x14ac:dyDescent="0.35"/>
    <row r="960" ht="13.5" customHeight="1" x14ac:dyDescent="0.35"/>
    <row r="961" ht="13.5" customHeight="1" x14ac:dyDescent="0.35"/>
    <row r="962" ht="13.5" customHeight="1" x14ac:dyDescent="0.35"/>
    <row r="963" ht="13.5" customHeight="1" x14ac:dyDescent="0.35"/>
    <row r="964" ht="13.5" customHeight="1" x14ac:dyDescent="0.35"/>
    <row r="965" ht="13.5" customHeight="1" x14ac:dyDescent="0.35"/>
    <row r="966" ht="13.5" customHeight="1" x14ac:dyDescent="0.35"/>
    <row r="967" ht="13.5" customHeight="1" x14ac:dyDescent="0.35"/>
    <row r="968" ht="13.5" customHeight="1" x14ac:dyDescent="0.35"/>
    <row r="969" ht="13.5" customHeight="1" x14ac:dyDescent="0.35"/>
    <row r="970" ht="13.5" customHeight="1" x14ac:dyDescent="0.35"/>
    <row r="971" ht="13.5" customHeight="1" x14ac:dyDescent="0.35"/>
    <row r="972" ht="13.5" customHeight="1" x14ac:dyDescent="0.35"/>
    <row r="973" ht="13.5" customHeight="1" x14ac:dyDescent="0.35"/>
    <row r="974" ht="13.5" customHeight="1" x14ac:dyDescent="0.35"/>
    <row r="975" ht="13.5" customHeight="1" x14ac:dyDescent="0.35"/>
    <row r="976" ht="13.5" customHeight="1" x14ac:dyDescent="0.35"/>
    <row r="977" ht="13.5" customHeight="1" x14ac:dyDescent="0.35"/>
    <row r="978" ht="13.5" customHeight="1" x14ac:dyDescent="0.35"/>
    <row r="979" ht="13.5" customHeight="1" x14ac:dyDescent="0.35"/>
    <row r="980" ht="13.5" customHeight="1" x14ac:dyDescent="0.35"/>
    <row r="981" ht="13.5" customHeight="1" x14ac:dyDescent="0.35"/>
    <row r="982" ht="13.5" customHeight="1" x14ac:dyDescent="0.35"/>
    <row r="983" ht="13.5" customHeight="1" x14ac:dyDescent="0.35"/>
    <row r="984" ht="13.5" customHeight="1" x14ac:dyDescent="0.35"/>
    <row r="985" ht="13.5" customHeight="1" x14ac:dyDescent="0.35"/>
    <row r="986" ht="13.5" customHeight="1" x14ac:dyDescent="0.35"/>
    <row r="987" ht="13.5" customHeight="1" x14ac:dyDescent="0.35"/>
    <row r="988" ht="13.5" customHeight="1" x14ac:dyDescent="0.35"/>
    <row r="989" ht="13.5" customHeight="1" x14ac:dyDescent="0.35"/>
    <row r="990" ht="13.5" customHeight="1" x14ac:dyDescent="0.35"/>
    <row r="991" ht="13.5" customHeight="1" x14ac:dyDescent="0.35"/>
    <row r="992" ht="13.5" customHeight="1" x14ac:dyDescent="0.35"/>
    <row r="993" ht="13.5" customHeight="1" x14ac:dyDescent="0.35"/>
    <row r="994" ht="13.5" customHeight="1" x14ac:dyDescent="0.35"/>
    <row r="995" ht="13.5" customHeight="1" x14ac:dyDescent="0.35"/>
    <row r="996" ht="13.5" customHeight="1" x14ac:dyDescent="0.35"/>
    <row r="997" ht="13.5" customHeight="1" x14ac:dyDescent="0.35"/>
    <row r="998" ht="13.5" customHeight="1" x14ac:dyDescent="0.35"/>
    <row r="999" ht="13.5" customHeight="1" x14ac:dyDescent="0.35"/>
    <row r="1000" ht="13.5" customHeight="1" x14ac:dyDescent="0.35"/>
    <row r="1001" ht="13.5" customHeight="1" x14ac:dyDescent="0.35"/>
    <row r="1002" ht="13.5" customHeight="1" x14ac:dyDescent="0.35"/>
    <row r="1003" ht="13.5" customHeight="1" x14ac:dyDescent="0.35"/>
    <row r="1004" ht="13.5" customHeight="1" x14ac:dyDescent="0.35"/>
    <row r="1005" ht="13.5" customHeight="1" x14ac:dyDescent="0.35"/>
    <row r="1006" ht="13.5" customHeight="1" x14ac:dyDescent="0.35"/>
    <row r="1007" ht="13.5" customHeight="1" x14ac:dyDescent="0.35"/>
    <row r="1008" ht="13.5" customHeight="1" x14ac:dyDescent="0.35"/>
    <row r="1009" ht="13.5" customHeight="1" x14ac:dyDescent="0.35"/>
    <row r="1010" ht="13.5" customHeight="1" x14ac:dyDescent="0.35"/>
    <row r="1011" ht="13.5" customHeight="1" x14ac:dyDescent="0.35"/>
    <row r="1012" ht="13.5" customHeight="1" x14ac:dyDescent="0.35"/>
    <row r="1013" ht="13.5" customHeight="1" x14ac:dyDescent="0.35"/>
    <row r="1014" ht="13.5" customHeight="1" x14ac:dyDescent="0.35"/>
    <row r="1015" ht="13.5" customHeight="1" x14ac:dyDescent="0.35"/>
    <row r="1016" ht="13.5" customHeight="1" x14ac:dyDescent="0.35"/>
    <row r="1017" ht="13.5" customHeight="1" x14ac:dyDescent="0.35"/>
    <row r="1018" ht="13.5" customHeight="1" x14ac:dyDescent="0.35"/>
    <row r="1019" ht="13.5" customHeight="1" x14ac:dyDescent="0.35"/>
    <row r="1020" ht="13.5" customHeight="1" x14ac:dyDescent="0.35"/>
    <row r="1021" ht="13.5" customHeight="1" x14ac:dyDescent="0.35"/>
    <row r="1022" ht="13.5" customHeight="1" x14ac:dyDescent="0.35"/>
    <row r="1023" ht="13.5" customHeight="1" x14ac:dyDescent="0.35"/>
    <row r="1024" ht="13.5" customHeight="1" x14ac:dyDescent="0.35"/>
    <row r="1025" ht="13.5" customHeight="1" x14ac:dyDescent="0.35"/>
    <row r="1026" ht="13.5" customHeight="1" x14ac:dyDescent="0.35"/>
    <row r="1027" ht="13.5" customHeight="1" x14ac:dyDescent="0.35"/>
    <row r="1028" ht="13.5" customHeight="1" x14ac:dyDescent="0.35"/>
    <row r="1029" ht="13.5" customHeight="1" x14ac:dyDescent="0.35"/>
    <row r="1030" ht="13.5" customHeight="1" x14ac:dyDescent="0.35"/>
    <row r="1031" ht="13.5" customHeight="1" x14ac:dyDescent="0.35"/>
    <row r="1032" ht="13.5" customHeight="1" x14ac:dyDescent="0.35"/>
    <row r="1033" ht="15" customHeight="1" x14ac:dyDescent="0.35"/>
    <row r="1034" ht="15" customHeight="1" x14ac:dyDescent="0.35"/>
    <row r="1035" ht="15" customHeight="1" x14ac:dyDescent="0.35"/>
    <row r="1036" ht="15" customHeight="1" x14ac:dyDescent="0.35"/>
    <row r="1037" ht="15" customHeight="1" x14ac:dyDescent="0.35"/>
    <row r="1038" ht="15" customHeight="1" x14ac:dyDescent="0.35"/>
    <row r="1039" ht="15" customHeight="1" x14ac:dyDescent="0.35"/>
    <row r="1040" ht="15" customHeight="1" x14ac:dyDescent="0.35"/>
  </sheetData>
  <mergeCells count="13">
    <mergeCell ref="A58:G58"/>
    <mergeCell ref="H24:I24"/>
    <mergeCell ref="B30:C30"/>
    <mergeCell ref="D30:E30"/>
    <mergeCell ref="F30:G30"/>
    <mergeCell ref="H30:I30"/>
    <mergeCell ref="A2:J2"/>
    <mergeCell ref="A3:J3"/>
    <mergeCell ref="A38:F38"/>
    <mergeCell ref="A22:I22"/>
    <mergeCell ref="B24:C24"/>
    <mergeCell ref="D24:E24"/>
    <mergeCell ref="F24:G24"/>
  </mergeCells>
  <conditionalFormatting sqref="L6:L13 L15:L16 L19:L28">
    <cfRule type="cellIs" dxfId="0" priority="1" operator="equal">
      <formula>1</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051"/>
  <sheetViews>
    <sheetView zoomScale="77" zoomScaleNormal="55" workbookViewId="0">
      <pane ySplit="1" topLeftCell="A2" activePane="bottomLeft" state="frozen"/>
      <selection pane="bottomLeft" activeCell="D75" sqref="D75"/>
    </sheetView>
  </sheetViews>
  <sheetFormatPr defaultColWidth="14.46484375" defaultRowHeight="15" customHeight="1" x14ac:dyDescent="0.4"/>
  <cols>
    <col min="1" max="1" width="45.46484375" style="89" customWidth="1"/>
    <col min="2" max="2" width="14" style="89" customWidth="1"/>
    <col min="3" max="3" width="13.33203125" style="89" customWidth="1"/>
    <col min="4" max="4" width="13.46484375" style="89" customWidth="1"/>
    <col min="5" max="12" width="13.19921875" style="89" bestFit="1" customWidth="1"/>
    <col min="13" max="13" width="12.19921875" style="89" bestFit="1" customWidth="1"/>
    <col min="14" max="15" width="12" style="89" bestFit="1" customWidth="1"/>
    <col min="16" max="16" width="14.53125" style="89" customWidth="1"/>
    <col min="17" max="17" width="12.86328125" style="89" customWidth="1"/>
    <col min="18" max="18" width="13.33203125" style="89" customWidth="1"/>
    <col min="19" max="19" width="12.46484375" style="89" customWidth="1"/>
    <col min="20" max="20" width="11.6640625" style="89" customWidth="1"/>
    <col min="21" max="26" width="14.46484375" style="89"/>
    <col min="27" max="27" width="14.46484375" style="282"/>
    <col min="28" max="16384" width="14.46484375" style="89"/>
  </cols>
  <sheetData>
    <row r="1" spans="1:52" s="263" customFormat="1" ht="15" customHeight="1" x14ac:dyDescent="0.4">
      <c r="A1" s="130" t="s">
        <v>26</v>
      </c>
      <c r="B1" s="265">
        <v>2009</v>
      </c>
      <c r="C1" s="265">
        <v>2010</v>
      </c>
      <c r="D1" s="265">
        <v>2011</v>
      </c>
      <c r="E1" s="265">
        <v>2012</v>
      </c>
      <c r="F1" s="265">
        <v>2013</v>
      </c>
      <c r="G1" s="265">
        <v>2014</v>
      </c>
      <c r="H1" s="265">
        <v>2015</v>
      </c>
      <c r="I1" s="265">
        <v>2016</v>
      </c>
      <c r="J1" s="265">
        <v>2017</v>
      </c>
      <c r="K1" s="265">
        <v>2018</v>
      </c>
      <c r="L1" s="265">
        <v>2019</v>
      </c>
      <c r="M1" s="265">
        <v>2020</v>
      </c>
      <c r="N1" s="265">
        <v>2021</v>
      </c>
      <c r="O1" s="265">
        <v>2022</v>
      </c>
      <c r="P1" s="265">
        <v>2023</v>
      </c>
      <c r="Q1" s="265">
        <v>2024</v>
      </c>
      <c r="R1" s="265">
        <v>2025</v>
      </c>
      <c r="S1" s="265">
        <v>2026</v>
      </c>
      <c r="T1" s="265">
        <v>2027</v>
      </c>
      <c r="U1" s="265">
        <v>2028</v>
      </c>
      <c r="V1" s="265">
        <v>2029</v>
      </c>
      <c r="W1" s="265">
        <v>2030</v>
      </c>
      <c r="X1" s="265">
        <v>2031</v>
      </c>
      <c r="Y1" s="265">
        <v>2032</v>
      </c>
      <c r="Z1" s="265">
        <v>2033</v>
      </c>
      <c r="AA1" s="281">
        <v>2034</v>
      </c>
      <c r="AB1" s="265">
        <v>2035</v>
      </c>
      <c r="AC1" s="265">
        <v>2036</v>
      </c>
      <c r="AD1" s="265">
        <v>2037</v>
      </c>
      <c r="AE1" s="265">
        <v>2038</v>
      </c>
      <c r="AF1" s="265">
        <v>2039</v>
      </c>
      <c r="AG1" s="265">
        <v>2040</v>
      </c>
      <c r="AH1" s="265">
        <v>2041</v>
      </c>
      <c r="AI1" s="265">
        <v>2042</v>
      </c>
      <c r="AJ1" s="265">
        <v>2043</v>
      </c>
      <c r="AK1" s="265">
        <v>2044</v>
      </c>
      <c r="AL1" s="265">
        <v>2045</v>
      </c>
      <c r="AM1" s="265">
        <v>2046</v>
      </c>
      <c r="AN1" s="265">
        <v>2047</v>
      </c>
      <c r="AO1" s="265">
        <v>2048</v>
      </c>
      <c r="AP1" s="265">
        <v>2049</v>
      </c>
      <c r="AQ1" s="265">
        <v>2050</v>
      </c>
      <c r="AR1" s="265">
        <v>2051</v>
      </c>
      <c r="AS1" s="265">
        <v>2052</v>
      </c>
      <c r="AT1" s="265">
        <v>2053</v>
      </c>
      <c r="AU1" s="265">
        <v>2054</v>
      </c>
      <c r="AV1" s="265">
        <v>2055</v>
      </c>
      <c r="AW1" s="265">
        <v>2056</v>
      </c>
      <c r="AX1" s="265">
        <v>2057</v>
      </c>
      <c r="AY1" s="265">
        <v>2058</v>
      </c>
    </row>
    <row r="2" spans="1:52" ht="15" customHeight="1" x14ac:dyDescent="0.4">
      <c r="D2" s="92"/>
      <c r="E2" s="92"/>
      <c r="F2" s="84"/>
      <c r="G2" s="84"/>
      <c r="H2" s="84"/>
      <c r="I2" s="84"/>
      <c r="J2" s="84"/>
      <c r="K2" s="84"/>
      <c r="L2" s="84"/>
      <c r="AZ2" s="89" t="s">
        <v>186</v>
      </c>
    </row>
    <row r="3" spans="1:52" ht="15" customHeight="1" x14ac:dyDescent="0.4">
      <c r="A3" s="321" t="s">
        <v>27</v>
      </c>
      <c r="B3" s="321"/>
      <c r="C3" s="321"/>
      <c r="D3" s="92"/>
      <c r="E3" s="92"/>
      <c r="F3" s="84"/>
      <c r="G3" s="84"/>
      <c r="H3" s="84"/>
      <c r="I3" s="84"/>
      <c r="J3" s="84"/>
      <c r="K3" s="84"/>
      <c r="L3" s="84"/>
      <c r="AZ3" s="89" t="s">
        <v>186</v>
      </c>
    </row>
    <row r="4" spans="1:52" ht="15" customHeight="1" x14ac:dyDescent="0.4">
      <c r="Q4" s="131" t="s">
        <v>28</v>
      </c>
      <c r="AZ4" s="89" t="s">
        <v>186</v>
      </c>
    </row>
    <row r="5" spans="1:52" ht="15.75" customHeight="1" x14ac:dyDescent="0.4">
      <c r="A5" s="93" t="s">
        <v>2</v>
      </c>
      <c r="B5" s="94">
        <v>0</v>
      </c>
      <c r="C5" s="94">
        <v>1</v>
      </c>
      <c r="D5" s="94">
        <v>2</v>
      </c>
      <c r="E5" s="94">
        <v>3</v>
      </c>
      <c r="F5" s="94">
        <v>4</v>
      </c>
      <c r="G5" s="94">
        <v>5</v>
      </c>
      <c r="H5" s="94">
        <v>6</v>
      </c>
      <c r="I5" s="94">
        <v>7</v>
      </c>
      <c r="J5" s="94">
        <v>8</v>
      </c>
      <c r="K5" s="94">
        <v>9</v>
      </c>
      <c r="L5" s="94">
        <v>10</v>
      </c>
      <c r="M5" s="94">
        <v>11</v>
      </c>
      <c r="N5" s="94">
        <v>12</v>
      </c>
      <c r="O5" s="94">
        <v>13</v>
      </c>
      <c r="P5" s="94">
        <v>14</v>
      </c>
      <c r="Q5" s="94">
        <v>15</v>
      </c>
      <c r="R5"/>
      <c r="S5"/>
      <c r="T5"/>
      <c r="U5"/>
      <c r="V5"/>
      <c r="W5"/>
      <c r="X5"/>
      <c r="Y5"/>
      <c r="Z5"/>
      <c r="AA5" s="283"/>
      <c r="AB5"/>
      <c r="AC5"/>
      <c r="AD5"/>
      <c r="AE5"/>
      <c r="AF5"/>
      <c r="AG5"/>
      <c r="AH5"/>
      <c r="AI5"/>
      <c r="AJ5"/>
      <c r="AK5"/>
      <c r="AL5"/>
      <c r="AM5"/>
      <c r="AN5"/>
      <c r="AO5"/>
      <c r="AP5"/>
      <c r="AQ5"/>
      <c r="AR5"/>
      <c r="AS5"/>
      <c r="AT5"/>
      <c r="AU5"/>
      <c r="AV5"/>
      <c r="AW5"/>
      <c r="AX5"/>
      <c r="AY5"/>
      <c r="AZ5" s="89" t="s">
        <v>186</v>
      </c>
    </row>
    <row r="6" spans="1:52" ht="15" customHeight="1" x14ac:dyDescent="0.4">
      <c r="A6" s="84" t="s">
        <v>29</v>
      </c>
      <c r="B6" s="95"/>
      <c r="C6" s="95">
        <f t="shared" ref="C6:Q6" si="0">B11</f>
        <v>500</v>
      </c>
      <c r="D6" s="95">
        <f t="shared" si="0"/>
        <v>481.58522753198997</v>
      </c>
      <c r="E6" s="95">
        <f t="shared" si="0"/>
        <v>461.69727326653913</v>
      </c>
      <c r="F6" s="95">
        <f t="shared" si="0"/>
        <v>440.21828265985221</v>
      </c>
      <c r="G6" s="95">
        <f t="shared" si="0"/>
        <v>417.02097280463033</v>
      </c>
      <c r="H6" s="95">
        <f t="shared" si="0"/>
        <v>391.96787816099072</v>
      </c>
      <c r="I6" s="95">
        <f t="shared" si="0"/>
        <v>364.91053594585992</v>
      </c>
      <c r="J6" s="95">
        <f t="shared" si="0"/>
        <v>335.68860635351871</v>
      </c>
      <c r="K6" s="95">
        <f t="shared" si="0"/>
        <v>304.12892239379016</v>
      </c>
      <c r="L6" s="95">
        <f t="shared" si="0"/>
        <v>270.04446371728329</v>
      </c>
      <c r="M6" s="95">
        <f t="shared" si="0"/>
        <v>233.23324834665593</v>
      </c>
      <c r="N6" s="95">
        <f t="shared" si="0"/>
        <v>193.47713574637837</v>
      </c>
      <c r="O6" s="95">
        <f t="shared" si="0"/>
        <v>150.54053413807858</v>
      </c>
      <c r="P6" s="95">
        <f t="shared" si="0"/>
        <v>104.16900440111482</v>
      </c>
      <c r="Q6" s="95">
        <f t="shared" si="0"/>
        <v>54.087752285193957</v>
      </c>
      <c r="AZ6" s="89" t="s">
        <v>186</v>
      </c>
    </row>
    <row r="7" spans="1:52" ht="15" customHeight="1" x14ac:dyDescent="0.4">
      <c r="A7" s="84" t="s">
        <v>30</v>
      </c>
      <c r="B7" s="95"/>
      <c r="C7" s="95">
        <f>C6*'Phương án 2'!$E$15</f>
        <v>40.000000000000036</v>
      </c>
      <c r="D7" s="95">
        <f>D6*'Phương án 2'!$E$15</f>
        <v>38.526818202559234</v>
      </c>
      <c r="E7" s="95">
        <f>E6*'Phương án 2'!$E$15</f>
        <v>36.935781861323164</v>
      </c>
      <c r="F7" s="95">
        <f>F6*'Phương án 2'!$E$15</f>
        <v>35.217462612788211</v>
      </c>
      <c r="G7" s="95">
        <f>G6*'Phương án 2'!$E$15</f>
        <v>33.361677824370453</v>
      </c>
      <c r="H7" s="95">
        <f>H6*'Phương án 2'!$E$15</f>
        <v>31.357430252879286</v>
      </c>
      <c r="I7" s="95">
        <f>I6*'Phương án 2'!$E$15</f>
        <v>29.19284287566882</v>
      </c>
      <c r="J7" s="95">
        <f>J6*'Phương án 2'!$E$15</f>
        <v>26.855088508281522</v>
      </c>
      <c r="K7" s="95">
        <f>K6*'Phương án 2'!$E$15</f>
        <v>24.330313791503233</v>
      </c>
      <c r="L7" s="95">
        <f>L6*'Phương án 2'!$E$15</f>
        <v>21.603557097382684</v>
      </c>
      <c r="M7" s="95">
        <f>M6*'Phương án 2'!$E$15</f>
        <v>18.658659867732492</v>
      </c>
      <c r="N7" s="95">
        <f>N6*'Phương án 2'!$E$15</f>
        <v>15.478170859710284</v>
      </c>
      <c r="O7" s="95">
        <f>O6*'Phương án 2'!$E$15</f>
        <v>12.043242731046297</v>
      </c>
      <c r="P7" s="95">
        <f>P6*'Phương án 2'!$E$15</f>
        <v>8.3335203520891934</v>
      </c>
      <c r="Q7" s="95">
        <f>Q6*'Phương án 2'!$E$15</f>
        <v>4.3270201828155201</v>
      </c>
      <c r="AZ7" s="89" t="s">
        <v>186</v>
      </c>
    </row>
    <row r="8" spans="1:52" ht="15" customHeight="1" x14ac:dyDescent="0.4">
      <c r="A8" s="84" t="s">
        <v>31</v>
      </c>
      <c r="B8" s="95"/>
      <c r="C8" s="95">
        <f>-PMT('Phương án 2'!$E$15,'Phương án 2'!$E$16,$C$6)</f>
        <v>58.414772468010057</v>
      </c>
      <c r="D8" s="95">
        <f>-PMT('Phương án 2'!$E$15,'Phương án 2'!$E$16,$C$6)</f>
        <v>58.414772468010057</v>
      </c>
      <c r="E8" s="95">
        <f>-PMT('Phương án 2'!$E$15,'Phương án 2'!$E$16,$C$6)</f>
        <v>58.414772468010057</v>
      </c>
      <c r="F8" s="95">
        <f>-PMT('Phương án 2'!$E$15,'Phương án 2'!$E$16,$C$6)</f>
        <v>58.414772468010057</v>
      </c>
      <c r="G8" s="95">
        <f>-PMT('Phương án 2'!$E$15,'Phương án 2'!$E$16,$C$6)</f>
        <v>58.414772468010057</v>
      </c>
      <c r="H8" s="95">
        <f>-PMT('Phương án 2'!$E$15,'Phương án 2'!$E$16,$C$6)</f>
        <v>58.414772468010057</v>
      </c>
      <c r="I8" s="95">
        <f>-PMT('Phương án 2'!$E$15,'Phương án 2'!$E$16,$C$6)</f>
        <v>58.414772468010057</v>
      </c>
      <c r="J8" s="95">
        <f>-PMT('Phương án 2'!$E$15,'Phương án 2'!$E$16,$C$6)</f>
        <v>58.414772468010057</v>
      </c>
      <c r="K8" s="95">
        <f>-PMT('Phương án 2'!$E$15,'Phương án 2'!$E$16,$C$6)</f>
        <v>58.414772468010057</v>
      </c>
      <c r="L8" s="95">
        <f>-PMT('Phương án 2'!$E$15,'Phương án 2'!$E$16,$C$6)</f>
        <v>58.414772468010057</v>
      </c>
      <c r="M8" s="95">
        <f>-PMT('Phương án 2'!$E$15,'Phương án 2'!$E$16,$C$6)</f>
        <v>58.414772468010057</v>
      </c>
      <c r="N8" s="95">
        <f>-PMT('Phương án 2'!$E$15,'Phương án 2'!$E$16,$C$6)</f>
        <v>58.414772468010057</v>
      </c>
      <c r="O8" s="95">
        <f>-PMT('Phương án 2'!$E$15,'Phương án 2'!$E$16,$C$6)</f>
        <v>58.414772468010057</v>
      </c>
      <c r="P8" s="95">
        <f>-PMT('Phương án 2'!$E$15,'Phương án 2'!$E$16,$C$6)</f>
        <v>58.414772468010057</v>
      </c>
      <c r="Q8" s="95">
        <f>-PMT('Phương án 2'!$E$15,'Phương án 2'!$E$16,$C$6)</f>
        <v>58.414772468010057</v>
      </c>
      <c r="AZ8" s="89" t="s">
        <v>186</v>
      </c>
    </row>
    <row r="9" spans="1:52" ht="15" customHeight="1" x14ac:dyDescent="0.4">
      <c r="A9" s="84" t="s">
        <v>32</v>
      </c>
      <c r="B9" s="95"/>
      <c r="C9" s="95">
        <f>C8-C10</f>
        <v>18.414772468010021</v>
      </c>
      <c r="D9" s="95">
        <f t="shared" ref="D9:Q9" si="1">D8-D10</f>
        <v>19.887954265450823</v>
      </c>
      <c r="E9" s="95">
        <f t="shared" si="1"/>
        <v>21.478990606686892</v>
      </c>
      <c r="F9" s="95">
        <f t="shared" si="1"/>
        <v>23.197309855221846</v>
      </c>
      <c r="G9" s="95">
        <f t="shared" si="1"/>
        <v>25.053094643639604</v>
      </c>
      <c r="H9" s="95">
        <f t="shared" si="1"/>
        <v>27.05734221513077</v>
      </c>
      <c r="I9" s="95">
        <f t="shared" si="1"/>
        <v>29.221929592341237</v>
      </c>
      <c r="J9" s="95">
        <f t="shared" si="1"/>
        <v>31.559683959728535</v>
      </c>
      <c r="K9" s="95">
        <f t="shared" si="1"/>
        <v>34.084458676506827</v>
      </c>
      <c r="L9" s="95">
        <f t="shared" si="1"/>
        <v>36.811215370627373</v>
      </c>
      <c r="M9" s="95">
        <f t="shared" si="1"/>
        <v>39.756112600277561</v>
      </c>
      <c r="N9" s="95">
        <f t="shared" si="1"/>
        <v>42.936601608299775</v>
      </c>
      <c r="O9" s="95">
        <f t="shared" si="1"/>
        <v>46.371529736963758</v>
      </c>
      <c r="P9" s="95">
        <f t="shared" si="1"/>
        <v>50.081252115920861</v>
      </c>
      <c r="Q9" s="95">
        <f t="shared" si="1"/>
        <v>54.08775228519454</v>
      </c>
      <c r="AZ9" s="89" t="s">
        <v>186</v>
      </c>
    </row>
    <row r="10" spans="1:52" ht="15" customHeight="1" x14ac:dyDescent="0.4">
      <c r="A10" s="84" t="s">
        <v>33</v>
      </c>
      <c r="B10" s="95"/>
      <c r="C10" s="95">
        <f>C7</f>
        <v>40.000000000000036</v>
      </c>
      <c r="D10" s="95">
        <f t="shared" ref="D10:Q10" si="2">D7</f>
        <v>38.526818202559234</v>
      </c>
      <c r="E10" s="95">
        <f t="shared" si="2"/>
        <v>36.935781861323164</v>
      </c>
      <c r="F10" s="95">
        <f t="shared" si="2"/>
        <v>35.217462612788211</v>
      </c>
      <c r="G10" s="95">
        <f t="shared" si="2"/>
        <v>33.361677824370453</v>
      </c>
      <c r="H10" s="95">
        <f t="shared" si="2"/>
        <v>31.357430252879286</v>
      </c>
      <c r="I10" s="95">
        <f t="shared" si="2"/>
        <v>29.19284287566882</v>
      </c>
      <c r="J10" s="95">
        <f t="shared" si="2"/>
        <v>26.855088508281522</v>
      </c>
      <c r="K10" s="95">
        <f t="shared" si="2"/>
        <v>24.330313791503233</v>
      </c>
      <c r="L10" s="95">
        <f t="shared" si="2"/>
        <v>21.603557097382684</v>
      </c>
      <c r="M10" s="95">
        <f t="shared" si="2"/>
        <v>18.658659867732492</v>
      </c>
      <c r="N10" s="95">
        <f t="shared" si="2"/>
        <v>15.478170859710284</v>
      </c>
      <c r="O10" s="95">
        <f t="shared" si="2"/>
        <v>12.043242731046297</v>
      </c>
      <c r="P10" s="95">
        <f t="shared" si="2"/>
        <v>8.3335203520891934</v>
      </c>
      <c r="Q10" s="95">
        <f t="shared" si="2"/>
        <v>4.3270201828155201</v>
      </c>
      <c r="AZ10" s="89" t="s">
        <v>186</v>
      </c>
    </row>
    <row r="11" spans="1:52" ht="15" customHeight="1" x14ac:dyDescent="0.4">
      <c r="A11" s="84" t="s">
        <v>34</v>
      </c>
      <c r="B11" s="95">
        <f>'Phương án 2'!E13</f>
        <v>500</v>
      </c>
      <c r="C11" s="95">
        <f t="shared" ref="C11:Q11" si="3">C6+C7-C8</f>
        <v>481.58522753198997</v>
      </c>
      <c r="D11" s="95">
        <f t="shared" si="3"/>
        <v>461.69727326653913</v>
      </c>
      <c r="E11" s="95">
        <f t="shared" si="3"/>
        <v>440.21828265985221</v>
      </c>
      <c r="F11" s="95">
        <f t="shared" si="3"/>
        <v>417.02097280463033</v>
      </c>
      <c r="G11" s="95">
        <f t="shared" si="3"/>
        <v>391.96787816099072</v>
      </c>
      <c r="H11" s="95">
        <f t="shared" si="3"/>
        <v>364.91053594585992</v>
      </c>
      <c r="I11" s="95">
        <f t="shared" si="3"/>
        <v>335.68860635351871</v>
      </c>
      <c r="J11" s="95">
        <f t="shared" si="3"/>
        <v>304.12892239379016</v>
      </c>
      <c r="K11" s="95">
        <f t="shared" si="3"/>
        <v>270.04446371728329</v>
      </c>
      <c r="L11" s="95">
        <f t="shared" si="3"/>
        <v>233.23324834665593</v>
      </c>
      <c r="M11" s="95">
        <f t="shared" si="3"/>
        <v>193.47713574637837</v>
      </c>
      <c r="N11" s="95">
        <f t="shared" si="3"/>
        <v>150.54053413807858</v>
      </c>
      <c r="O11" s="95">
        <f t="shared" si="3"/>
        <v>104.16900440111482</v>
      </c>
      <c r="P11" s="95">
        <f t="shared" si="3"/>
        <v>54.087752285193957</v>
      </c>
      <c r="Q11" s="95">
        <f t="shared" si="3"/>
        <v>-5.8264504332328215E-13</v>
      </c>
      <c r="AZ11" s="89" t="s">
        <v>186</v>
      </c>
    </row>
    <row r="12" spans="1:52" ht="15" customHeight="1" x14ac:dyDescent="0.4">
      <c r="A12" s="96" t="s">
        <v>257</v>
      </c>
      <c r="B12" s="97">
        <f>-B11</f>
        <v>-500</v>
      </c>
      <c r="C12" s="97">
        <f t="shared" ref="C12:Q12" si="4">C8</f>
        <v>58.414772468010057</v>
      </c>
      <c r="D12" s="97">
        <f t="shared" si="4"/>
        <v>58.414772468010057</v>
      </c>
      <c r="E12" s="97">
        <f t="shared" si="4"/>
        <v>58.414772468010057</v>
      </c>
      <c r="F12" s="97">
        <f t="shared" si="4"/>
        <v>58.414772468010057</v>
      </c>
      <c r="G12" s="97">
        <f t="shared" si="4"/>
        <v>58.414772468010057</v>
      </c>
      <c r="H12" s="97">
        <f t="shared" si="4"/>
        <v>58.414772468010057</v>
      </c>
      <c r="I12" s="97">
        <f t="shared" si="4"/>
        <v>58.414772468010057</v>
      </c>
      <c r="J12" s="97">
        <f t="shared" si="4"/>
        <v>58.414772468010057</v>
      </c>
      <c r="K12" s="97">
        <f t="shared" si="4"/>
        <v>58.414772468010057</v>
      </c>
      <c r="L12" s="97">
        <f t="shared" si="4"/>
        <v>58.414772468010057</v>
      </c>
      <c r="M12" s="97">
        <f t="shared" si="4"/>
        <v>58.414772468010057</v>
      </c>
      <c r="N12" s="97">
        <f t="shared" si="4"/>
        <v>58.414772468010057</v>
      </c>
      <c r="O12" s="97">
        <f t="shared" si="4"/>
        <v>58.414772468010057</v>
      </c>
      <c r="P12" s="97">
        <f t="shared" si="4"/>
        <v>58.414772468010057</v>
      </c>
      <c r="Q12" s="97">
        <f t="shared" si="4"/>
        <v>58.414772468010057</v>
      </c>
      <c r="AZ12" s="89" t="s">
        <v>186</v>
      </c>
    </row>
    <row r="13" spans="1:52" ht="15" customHeight="1" x14ac:dyDescent="0.4">
      <c r="A13" s="84"/>
      <c r="B13" s="95"/>
      <c r="C13" s="95"/>
      <c r="D13" s="95"/>
      <c r="E13" s="95"/>
      <c r="F13" s="95"/>
      <c r="G13" s="95"/>
      <c r="H13" s="84"/>
      <c r="I13" s="84"/>
      <c r="J13" s="84"/>
      <c r="K13" s="84"/>
      <c r="L13" s="84"/>
      <c r="AZ13" s="89" t="s">
        <v>186</v>
      </c>
    </row>
    <row r="14" spans="1:52" ht="15.75" x14ac:dyDescent="0.4">
      <c r="A14" s="98"/>
      <c r="B14" s="99"/>
      <c r="C14" s="100"/>
      <c r="D14" s="100"/>
      <c r="E14" s="100"/>
      <c r="F14" s="100"/>
      <c r="G14" s="100"/>
      <c r="H14" s="100"/>
      <c r="I14" s="100"/>
      <c r="J14" s="100"/>
      <c r="K14" s="100"/>
      <c r="L14" s="100"/>
      <c r="AZ14" s="89" t="s">
        <v>186</v>
      </c>
    </row>
    <row r="15" spans="1:52" ht="15.75" x14ac:dyDescent="0.4">
      <c r="A15" s="321" t="s">
        <v>35</v>
      </c>
      <c r="B15" s="321"/>
      <c r="C15" s="321"/>
      <c r="D15" s="100"/>
      <c r="E15" s="100"/>
      <c r="F15" s="100"/>
      <c r="G15" s="100"/>
      <c r="H15" s="100"/>
      <c r="I15" s="100"/>
      <c r="J15" s="100"/>
      <c r="K15" s="100"/>
      <c r="L15" s="100"/>
      <c r="AZ15" s="89" t="s">
        <v>186</v>
      </c>
    </row>
    <row r="16" spans="1:52" ht="15.75" x14ac:dyDescent="0.4">
      <c r="A16" s="84"/>
      <c r="B16" s="99"/>
      <c r="C16" s="100"/>
      <c r="D16" s="100"/>
      <c r="E16" s="100"/>
      <c r="F16" s="100"/>
      <c r="G16" s="100"/>
      <c r="H16" s="100"/>
      <c r="I16" s="100"/>
      <c r="J16" s="100"/>
      <c r="K16" s="100"/>
      <c r="L16" s="100"/>
      <c r="Q16" s="131"/>
      <c r="AZ16" s="89" t="s">
        <v>186</v>
      </c>
    </row>
    <row r="17" spans="1:52" ht="15.75" customHeight="1" x14ac:dyDescent="0.4">
      <c r="A17" s="93" t="s">
        <v>2</v>
      </c>
      <c r="B17" s="94">
        <v>0</v>
      </c>
      <c r="C17" s="94">
        <v>1</v>
      </c>
      <c r="D17" s="94">
        <v>2</v>
      </c>
      <c r="E17" s="94">
        <v>3</v>
      </c>
      <c r="F17" s="94">
        <v>4</v>
      </c>
      <c r="G17" s="94">
        <v>5</v>
      </c>
      <c r="H17" s="94">
        <v>6</v>
      </c>
      <c r="I17" s="94">
        <v>7</v>
      </c>
      <c r="J17" s="94">
        <v>8</v>
      </c>
      <c r="K17" s="94">
        <v>9</v>
      </c>
      <c r="L17" s="94">
        <v>10</v>
      </c>
      <c r="M17" s="94">
        <v>11</v>
      </c>
      <c r="N17" s="94">
        <v>12</v>
      </c>
      <c r="O17" s="94">
        <v>13</v>
      </c>
      <c r="P17" s="94">
        <v>14</v>
      </c>
      <c r="Q17" s="94">
        <v>15</v>
      </c>
      <c r="R17" s="94">
        <v>16</v>
      </c>
      <c r="S17" s="94">
        <v>17</v>
      </c>
      <c r="T17" s="94">
        <v>18</v>
      </c>
      <c r="U17" s="94">
        <v>19</v>
      </c>
      <c r="V17" s="94">
        <v>20</v>
      </c>
      <c r="W17" s="94">
        <v>21</v>
      </c>
      <c r="X17" s="94">
        <v>22</v>
      </c>
      <c r="Y17" s="94">
        <v>23</v>
      </c>
      <c r="Z17" s="94">
        <v>24</v>
      </c>
      <c r="AA17" s="284">
        <v>25</v>
      </c>
      <c r="AB17" s="94">
        <v>26</v>
      </c>
      <c r="AC17" s="94">
        <v>27</v>
      </c>
      <c r="AD17" s="94">
        <v>28</v>
      </c>
      <c r="AE17" s="94">
        <v>29</v>
      </c>
      <c r="AF17" s="94">
        <v>30</v>
      </c>
      <c r="AG17" s="94">
        <v>31</v>
      </c>
      <c r="AH17" s="94">
        <v>32</v>
      </c>
      <c r="AI17" s="94">
        <v>33</v>
      </c>
      <c r="AJ17" s="94">
        <v>34</v>
      </c>
      <c r="AK17" s="94">
        <v>35</v>
      </c>
      <c r="AL17" s="94">
        <v>36</v>
      </c>
      <c r="AM17" s="94">
        <v>37</v>
      </c>
      <c r="AN17" s="94">
        <v>38</v>
      </c>
      <c r="AO17" s="94">
        <v>39</v>
      </c>
      <c r="AP17" s="94">
        <v>40</v>
      </c>
      <c r="AQ17" s="94">
        <v>41</v>
      </c>
      <c r="AR17" s="94">
        <v>42</v>
      </c>
      <c r="AS17" s="94">
        <v>43</v>
      </c>
      <c r="AT17" s="94">
        <v>44</v>
      </c>
      <c r="AU17" s="94">
        <v>45</v>
      </c>
      <c r="AV17" s="94">
        <v>46</v>
      </c>
      <c r="AW17" s="94">
        <v>47</v>
      </c>
      <c r="AX17" s="94">
        <v>48</v>
      </c>
      <c r="AY17" s="94">
        <v>49</v>
      </c>
      <c r="AZ17" s="89" t="s">
        <v>186</v>
      </c>
    </row>
    <row r="18" spans="1:52" s="228" customFormat="1" ht="15.75" x14ac:dyDescent="0.4">
      <c r="A18" s="117" t="s">
        <v>234</v>
      </c>
      <c r="B18" s="215">
        <f>(1+'Phương án 2'!$H$6)^'Phân tích phương án 2'!B17</f>
        <v>1</v>
      </c>
      <c r="C18" s="215">
        <f>(1+'Phương án 2'!$H$6)^'Phân tích phương án 2'!C17</f>
        <v>1</v>
      </c>
      <c r="D18" s="215">
        <f>(1+'Phương án 2'!$H$6)^'Phân tích phương án 2'!D17</f>
        <v>1</v>
      </c>
      <c r="E18" s="215">
        <f>(1+'Phương án 2'!$H$6)^'Phân tích phương án 2'!E17</f>
        <v>1</v>
      </c>
      <c r="F18" s="215">
        <f>(1+'Phương án 2'!$H$6)^'Phân tích phương án 2'!F17</f>
        <v>1</v>
      </c>
      <c r="G18" s="215">
        <f>(1+'Phương án 2'!$H$6)^'Phân tích phương án 2'!G17</f>
        <v>1</v>
      </c>
      <c r="H18" s="215">
        <f>(1+'Phương án 2'!$H$6)^'Phân tích phương án 2'!H17</f>
        <v>1</v>
      </c>
      <c r="I18" s="215">
        <f>(1+'Phương án 2'!$H$6)^'Phân tích phương án 2'!I17</f>
        <v>1</v>
      </c>
      <c r="J18" s="215">
        <f>(1+'Phương án 2'!$H$6)^'Phân tích phương án 2'!J17</f>
        <v>1</v>
      </c>
      <c r="K18" s="215">
        <f>(1+'Phương án 2'!$H$6)^'Phân tích phương án 2'!K17</f>
        <v>1</v>
      </c>
      <c r="L18" s="215">
        <f>(1+'Phương án 2'!$H$6)^'Phân tích phương án 2'!L17</f>
        <v>1</v>
      </c>
      <c r="M18" s="215">
        <f>(1+'Phương án 2'!$H$6)^'Phân tích phương án 2'!M17</f>
        <v>1</v>
      </c>
      <c r="N18" s="215">
        <f>(1+'Phương án 2'!$H$6)^'Phân tích phương án 2'!N17</f>
        <v>1</v>
      </c>
      <c r="O18" s="215">
        <f>(1+'Phương án 2'!$H$6)^'Phân tích phương án 2'!O17</f>
        <v>1</v>
      </c>
      <c r="P18" s="215">
        <f>(1+'Phương án 2'!$H$6)^'Phân tích phương án 2'!P17</f>
        <v>1</v>
      </c>
      <c r="Q18" s="215">
        <f>(1+'Phương án 2'!$H$6)^'Phân tích phương án 2'!Q17</f>
        <v>1</v>
      </c>
      <c r="R18" s="215">
        <f>(1+'Phương án 2'!$H$6)^'Phân tích phương án 2'!R17</f>
        <v>1</v>
      </c>
      <c r="S18" s="215">
        <f>(1+'Phương án 2'!$H$6)^'Phân tích phương án 2'!S17</f>
        <v>1</v>
      </c>
      <c r="T18" s="215">
        <f>(1+'Phương án 2'!$H$6)^'Phân tích phương án 2'!T17</f>
        <v>1</v>
      </c>
      <c r="U18" s="215">
        <f>(1+'Phương án 2'!$H$6)^'Phân tích phương án 2'!U17</f>
        <v>1</v>
      </c>
      <c r="V18" s="215">
        <f>(1+'Phương án 2'!$H$6)^'Phân tích phương án 2'!V17</f>
        <v>1</v>
      </c>
      <c r="W18" s="215">
        <f>(1+'Phương án 2'!$H$6)^'Phân tích phương án 2'!W17</f>
        <v>1</v>
      </c>
      <c r="X18" s="215">
        <f>(1+'Phương án 2'!$H$6)^'Phân tích phương án 2'!X17</f>
        <v>1</v>
      </c>
      <c r="Y18" s="215">
        <f>(1+'Phương án 2'!$H$6)^'Phân tích phương án 2'!Y17</f>
        <v>1</v>
      </c>
      <c r="Z18" s="215">
        <f>(1+'Phương án 2'!$H$6)^'Phân tích phương án 2'!Z17</f>
        <v>1</v>
      </c>
      <c r="AA18" s="285">
        <f>(1+'Phương án 2'!$H$6)^'Phân tích phương án 2'!AA17</f>
        <v>1</v>
      </c>
      <c r="AB18" s="215">
        <f>(1+'Phương án 2'!$H$6)^'Phân tích phương án 2'!AB17</f>
        <v>1</v>
      </c>
      <c r="AC18" s="215">
        <f>(1+'Phương án 2'!$H$6)^'Phân tích phương án 2'!AC17</f>
        <v>1</v>
      </c>
      <c r="AD18" s="215">
        <f>(1+'Phương án 2'!$H$6)^'Phân tích phương án 2'!AD17</f>
        <v>1</v>
      </c>
      <c r="AE18" s="215">
        <f>(1+'Phương án 2'!$H$6)^'Phân tích phương án 2'!AE17</f>
        <v>1</v>
      </c>
      <c r="AF18" s="215">
        <f>(1+'Phương án 2'!$H$6)^'Phân tích phương án 2'!AF17</f>
        <v>1</v>
      </c>
      <c r="AG18" s="215">
        <f>(1+'Phương án 2'!$H$6)^'Phân tích phương án 2'!AG17</f>
        <v>1</v>
      </c>
      <c r="AH18" s="215">
        <f>(1+'Phương án 2'!$H$6)^'Phân tích phương án 2'!AH17</f>
        <v>1</v>
      </c>
      <c r="AI18" s="215">
        <f>(1+'Phương án 2'!$H$6)^'Phân tích phương án 2'!AI17</f>
        <v>1</v>
      </c>
      <c r="AJ18" s="215">
        <f>(1+'Phương án 2'!$H$6)^'Phân tích phương án 2'!AJ17</f>
        <v>1</v>
      </c>
      <c r="AK18" s="215">
        <f>(1+'Phương án 2'!$H$6)^'Phân tích phương án 2'!AK17</f>
        <v>1</v>
      </c>
      <c r="AL18" s="215">
        <f>(1+'Phương án 2'!$H$6)^'Phân tích phương án 2'!AL17</f>
        <v>1</v>
      </c>
      <c r="AM18" s="215">
        <f>(1+'Phương án 2'!$H$6)^'Phân tích phương án 2'!AM17</f>
        <v>1</v>
      </c>
      <c r="AN18" s="215">
        <f>(1+'Phương án 2'!$H$6)^'Phân tích phương án 2'!AN17</f>
        <v>1</v>
      </c>
      <c r="AO18" s="215">
        <f>(1+'Phương án 2'!$H$6)^'Phân tích phương án 2'!AO17</f>
        <v>1</v>
      </c>
      <c r="AP18" s="215">
        <f>(1+'Phương án 2'!$H$6)^'Phân tích phương án 2'!AP17</f>
        <v>1</v>
      </c>
      <c r="AQ18" s="215">
        <f>(1+'Phương án 2'!$H$6)^'Phân tích phương án 2'!AQ17</f>
        <v>1</v>
      </c>
      <c r="AR18" s="215">
        <f>(1+'Phương án 2'!$H$6)^'Phân tích phương án 2'!AR17</f>
        <v>1</v>
      </c>
      <c r="AS18" s="215">
        <f>(1+'Phương án 2'!$H$6)^'Phân tích phương án 2'!AS17</f>
        <v>1</v>
      </c>
      <c r="AT18" s="215">
        <f>(1+'Phương án 2'!$H$6)^'Phân tích phương án 2'!AT17</f>
        <v>1</v>
      </c>
      <c r="AU18" s="215">
        <f>(1+'Phương án 2'!$H$6)^'Phân tích phương án 2'!AU17</f>
        <v>1</v>
      </c>
      <c r="AV18" s="215">
        <f>(1+'Phương án 2'!$H$6)^'Phân tích phương án 2'!AV17</f>
        <v>1</v>
      </c>
      <c r="AW18" s="215">
        <f>(1+'Phương án 2'!$H$6)^'Phân tích phương án 2'!AW17</f>
        <v>1</v>
      </c>
      <c r="AX18" s="215">
        <f>(1+'Phương án 2'!$H$6)^'Phân tích phương án 2'!AX17</f>
        <v>1</v>
      </c>
      <c r="AY18" s="215">
        <f>(1+'Phương án 2'!$H$6)^'Phân tích phương án 2'!AY17</f>
        <v>1</v>
      </c>
      <c r="AZ18" s="228" t="s">
        <v>186</v>
      </c>
    </row>
    <row r="19" spans="1:52" s="228" customFormat="1" ht="15.75" x14ac:dyDescent="0.4">
      <c r="A19" s="117" t="s">
        <v>235</v>
      </c>
      <c r="B19" s="215"/>
      <c r="C19" s="215"/>
      <c r="D19" s="215">
        <f>(1+('Phương án 2'!$H$6+'Phương án 2'!$B$19))^'Phân tích phương án 2'!B17</f>
        <v>1</v>
      </c>
      <c r="E19" s="215">
        <f>(1+('Phương án 2'!$H$6+'Phương án 2'!$B$19))^'Phân tích phương án 2'!C17</f>
        <v>1.01</v>
      </c>
      <c r="F19" s="215">
        <f>(1+('Phương án 2'!$H$6+'Phương án 2'!$B$19))^'Phân tích phương án 2'!D17</f>
        <v>1.0201</v>
      </c>
      <c r="G19" s="215">
        <f>(1+('Phương án 2'!$H$6+'Phương án 2'!$B$19))^'Phân tích phương án 2'!E17</f>
        <v>1.0303009999999999</v>
      </c>
      <c r="H19" s="215">
        <f>(1+('Phương án 2'!$H$6+'Phương án 2'!$B$19))^'Phân tích phương án 2'!F17</f>
        <v>1.04060401</v>
      </c>
      <c r="I19" s="215">
        <f>(1+('Phương án 2'!$H$6+'Phương án 2'!$B$19))^'Phân tích phương án 2'!G17</f>
        <v>1.0510100500999999</v>
      </c>
      <c r="J19" s="215">
        <f>(1+('Phương án 2'!$H$6+'Phương án 2'!$B$19))^'Phân tích phương án 2'!H17</f>
        <v>1.0615201506010001</v>
      </c>
      <c r="K19" s="215">
        <f>(1+('Phương án 2'!$H$6+'Phương án 2'!$B$19))^'Phân tích phương án 2'!I17</f>
        <v>1.0721353521070098</v>
      </c>
      <c r="L19" s="215">
        <f>(1+('Phương án 2'!$H$6+'Phương án 2'!$B$19))^'Phân tích phương án 2'!J17</f>
        <v>1.0828567056280802</v>
      </c>
      <c r="M19" s="215">
        <f>(1+('Phương án 2'!$H$6+'Phương án 2'!$B$19))^'Phân tích phương án 2'!K17</f>
        <v>1.0936852726843611</v>
      </c>
      <c r="N19" s="215">
        <f>(1+('Phương án 2'!$H$6+'Phương án 2'!$B$19))^'Phân tích phương án 2'!L17</f>
        <v>1.1046221254112047</v>
      </c>
      <c r="O19" s="215">
        <f>(1+('Phương án 2'!$H$6+'Phương án 2'!$B$19))^'Phân tích phương án 2'!M17</f>
        <v>1.1156683466653166</v>
      </c>
      <c r="P19" s="215">
        <f>(1+('Phương án 2'!$H$6+'Phương án 2'!$B$19))^'Phân tích phương án 2'!N17</f>
        <v>1.1268250301319698</v>
      </c>
      <c r="Q19" s="215">
        <f>(1+('Phương án 2'!$H$6+'Phương án 2'!$B$19))^'Phân tích phương án 2'!O17</f>
        <v>1.1380932804332895</v>
      </c>
      <c r="R19" s="215">
        <f>(1+('Phương án 2'!$H$6+'Phương án 2'!$B$19))^'Phân tích phương án 2'!P17</f>
        <v>1.1494742132376226</v>
      </c>
      <c r="S19" s="215">
        <f>(1+('Phương án 2'!$H$6+'Phương án 2'!$B$19))^'Phân tích phương án 2'!Q17</f>
        <v>1.1609689553699984</v>
      </c>
      <c r="T19" s="215">
        <f>(1+('Phương án 2'!$H$6+'Phương án 2'!$B$19))^'Phân tích phương án 2'!R17</f>
        <v>1.1725786449236988</v>
      </c>
      <c r="U19" s="215">
        <f>(1+('Phương án 2'!$H$6+'Phương án 2'!$B$19))^'Phân tích phương án 2'!S17</f>
        <v>1.1843044313729358</v>
      </c>
      <c r="V19" s="215">
        <f>(1+('Phương án 2'!$H$6+'Phương án 2'!$B$19))^'Phân tích phương án 2'!T17</f>
        <v>1.1961474756866652</v>
      </c>
      <c r="W19" s="215">
        <f>(1+('Phương án 2'!$H$6+'Phương án 2'!$B$19))^'Phân tích phương án 2'!U17</f>
        <v>1.2081089504435316</v>
      </c>
      <c r="X19" s="215">
        <f>(1+('Phương án 2'!$H$6+'Phương án 2'!$B$19))^'Phân tích phương án 2'!V17</f>
        <v>1.220190039947967</v>
      </c>
      <c r="Y19" s="215">
        <f>(1+('Phương án 2'!$H$6+'Phương án 2'!$B$19))^'Phân tích phương án 2'!W17</f>
        <v>1.2323919403474466</v>
      </c>
      <c r="Z19" s="215">
        <f>(1+('Phương án 2'!$H$6+'Phương án 2'!$B$19))^'Phân tích phương án 2'!X17</f>
        <v>1.2447158597509214</v>
      </c>
      <c r="AA19" s="285">
        <f>(1+('Phương án 2'!$H$6+'Phương án 2'!$B$19))^'Phân tích phương án 2'!Y17</f>
        <v>1.2571630183484304</v>
      </c>
      <c r="AB19" s="215">
        <f>(1+('Phương án 2'!$H$6+'Phương án 2'!$B$20))^'Phân tích phương án 2'!AB17</f>
        <v>1</v>
      </c>
      <c r="AC19" s="215">
        <f>(1+('Phương án 2'!$H$6+'Phương án 2'!$B$20))^'Phân tích phương án 2'!AC17</f>
        <v>1</v>
      </c>
      <c r="AD19" s="215">
        <f>(1+('Phương án 2'!$H$6+'Phương án 2'!$B$20))^'Phân tích phương án 2'!AD17</f>
        <v>1</v>
      </c>
      <c r="AE19" s="215">
        <f>(1+('Phương án 2'!$H$6+'Phương án 2'!$B$20))^'Phân tích phương án 2'!AE17</f>
        <v>1</v>
      </c>
      <c r="AF19" s="215">
        <f>(1+('Phương án 2'!$H$6+'Phương án 2'!$B$20))^'Phân tích phương án 2'!AF17</f>
        <v>1</v>
      </c>
      <c r="AG19" s="215">
        <f>(1+('Phương án 2'!$H$6+'Phương án 2'!$B$20))^'Phân tích phương án 2'!AG17</f>
        <v>1</v>
      </c>
      <c r="AH19" s="215">
        <f>(1+('Phương án 2'!$H$6+'Phương án 2'!$B$20))^'Phân tích phương án 2'!AH17</f>
        <v>1</v>
      </c>
      <c r="AI19" s="215">
        <f>(1+('Phương án 2'!$H$6+'Phương án 2'!$B$20))^'Phân tích phương án 2'!AI17</f>
        <v>1</v>
      </c>
      <c r="AJ19" s="215">
        <f>(1+('Phương án 2'!$H$6+'Phương án 2'!$B$20))^'Phân tích phương án 2'!AJ17</f>
        <v>1</v>
      </c>
      <c r="AK19" s="215">
        <f>(1+('Phương án 2'!$H$6+'Phương án 2'!$B$20))^'Phân tích phương án 2'!AK17</f>
        <v>1</v>
      </c>
      <c r="AL19" s="215">
        <f>(1+('Phương án 2'!$H$6+'Phương án 2'!$B$20))^'Phân tích phương án 2'!AL17</f>
        <v>1</v>
      </c>
      <c r="AM19" s="215">
        <f>(1+('Phương án 2'!$H$6+'Phương án 2'!$B$20))^'Phân tích phương án 2'!AM17</f>
        <v>1</v>
      </c>
      <c r="AN19" s="215">
        <f>(1+('Phương án 2'!$H$6+'Phương án 2'!$B$20))^'Phân tích phương án 2'!AN17</f>
        <v>1</v>
      </c>
      <c r="AO19" s="215">
        <f>(1+('Phương án 2'!$H$6+'Phương án 2'!$B$20))^'Phân tích phương án 2'!AO17</f>
        <v>1</v>
      </c>
      <c r="AP19" s="215">
        <f>(1+('Phương án 2'!$H$6+'Phương án 2'!$B$20))^'Phân tích phương án 2'!AP17</f>
        <v>1</v>
      </c>
      <c r="AQ19" s="215">
        <f>(1+('Phương án 2'!$H$6+'Phương án 2'!$B$20))^'Phân tích phương án 2'!AQ17</f>
        <v>1</v>
      </c>
      <c r="AR19" s="215">
        <f>(1+('Phương án 2'!$H$6+'Phương án 2'!$B$20))^'Phân tích phương án 2'!AR17</f>
        <v>1</v>
      </c>
      <c r="AS19" s="215">
        <f>(1+('Phương án 2'!$H$6+'Phương án 2'!$B$20))^'Phân tích phương án 2'!AS17</f>
        <v>1</v>
      </c>
      <c r="AT19" s="215">
        <f>(1+('Phương án 2'!$H$6+'Phương án 2'!$B$20))^'Phân tích phương án 2'!AT17</f>
        <v>1</v>
      </c>
      <c r="AU19" s="215">
        <f>(1+('Phương án 2'!$H$6+'Phương án 2'!$B$20))^'Phân tích phương án 2'!AU17</f>
        <v>1</v>
      </c>
      <c r="AV19" s="215">
        <f>(1+('Phương án 2'!$H$6+'Phương án 2'!$B$20))^'Phân tích phương án 2'!AV17</f>
        <v>1</v>
      </c>
      <c r="AW19" s="215">
        <f>(1+('Phương án 2'!$H$6+'Phương án 2'!$B$20))^'Phân tích phương án 2'!AW17</f>
        <v>1</v>
      </c>
      <c r="AX19" s="215">
        <f>(1+('Phương án 2'!$H$6+'Phương án 2'!$B$20))^'Phân tích phương án 2'!AX17</f>
        <v>1</v>
      </c>
      <c r="AY19" s="215">
        <f>(1+('Phương án 2'!$H$6+'Phương án 2'!$B$20))^'Phân tích phương án 2'!AY17</f>
        <v>1</v>
      </c>
    </row>
    <row r="20" spans="1:52" ht="15.75" x14ac:dyDescent="0.4">
      <c r="A20" s="84"/>
      <c r="B20" s="99"/>
      <c r="C20" s="100"/>
      <c r="D20" s="100"/>
      <c r="E20" s="100"/>
      <c r="F20" s="100"/>
      <c r="G20" s="100"/>
      <c r="H20" s="100"/>
      <c r="I20" s="100"/>
      <c r="J20" s="100"/>
      <c r="K20" s="100"/>
      <c r="L20" s="100"/>
      <c r="AZ20" s="89" t="s">
        <v>186</v>
      </c>
    </row>
    <row r="21" spans="1:52" ht="15.75" x14ac:dyDescent="0.4">
      <c r="A21" s="321" t="s">
        <v>37</v>
      </c>
      <c r="B21" s="321"/>
      <c r="C21" s="321"/>
      <c r="D21" s="100"/>
      <c r="E21" s="100"/>
      <c r="F21" s="100"/>
      <c r="G21" s="100"/>
      <c r="H21" s="100"/>
      <c r="I21" s="100"/>
      <c r="J21" s="100"/>
      <c r="K21" s="100"/>
      <c r="L21" s="100"/>
      <c r="AZ21" s="89" t="s">
        <v>186</v>
      </c>
    </row>
    <row r="22" spans="1:52" ht="15.75" x14ac:dyDescent="0.4">
      <c r="A22" s="84"/>
      <c r="B22" s="99"/>
      <c r="C22" s="100"/>
      <c r="D22" s="100"/>
      <c r="E22" s="100"/>
      <c r="F22" s="100"/>
      <c r="G22" s="100"/>
      <c r="H22" s="100"/>
      <c r="I22" s="100"/>
      <c r="J22" s="100"/>
      <c r="K22" s="100"/>
      <c r="L22" s="100"/>
      <c r="AY22" s="89" t="s">
        <v>221</v>
      </c>
      <c r="AZ22" s="89" t="s">
        <v>186</v>
      </c>
    </row>
    <row r="23" spans="1:52" ht="15.75" customHeight="1" x14ac:dyDescent="0.4">
      <c r="A23" s="93" t="s">
        <v>2</v>
      </c>
      <c r="B23" s="94">
        <f t="shared" ref="B23:AY23" si="5">B17</f>
        <v>0</v>
      </c>
      <c r="C23" s="94">
        <f t="shared" si="5"/>
        <v>1</v>
      </c>
      <c r="D23" s="94">
        <f t="shared" si="5"/>
        <v>2</v>
      </c>
      <c r="E23" s="94">
        <f t="shared" si="5"/>
        <v>3</v>
      </c>
      <c r="F23" s="94">
        <f t="shared" si="5"/>
        <v>4</v>
      </c>
      <c r="G23" s="94">
        <f t="shared" si="5"/>
        <v>5</v>
      </c>
      <c r="H23" s="94">
        <f t="shared" si="5"/>
        <v>6</v>
      </c>
      <c r="I23" s="94">
        <f t="shared" si="5"/>
        <v>7</v>
      </c>
      <c r="J23" s="94">
        <f t="shared" si="5"/>
        <v>8</v>
      </c>
      <c r="K23" s="94">
        <f t="shared" si="5"/>
        <v>9</v>
      </c>
      <c r="L23" s="94">
        <f t="shared" si="5"/>
        <v>10</v>
      </c>
      <c r="M23" s="94">
        <f t="shared" si="5"/>
        <v>11</v>
      </c>
      <c r="N23" s="94">
        <f t="shared" si="5"/>
        <v>12</v>
      </c>
      <c r="O23" s="94">
        <f t="shared" si="5"/>
        <v>13</v>
      </c>
      <c r="P23" s="94">
        <f t="shared" si="5"/>
        <v>14</v>
      </c>
      <c r="Q23" s="94">
        <f t="shared" si="5"/>
        <v>15</v>
      </c>
      <c r="R23" s="94">
        <f t="shared" si="5"/>
        <v>16</v>
      </c>
      <c r="S23" s="94">
        <f t="shared" si="5"/>
        <v>17</v>
      </c>
      <c r="T23" s="94">
        <f t="shared" si="5"/>
        <v>18</v>
      </c>
      <c r="U23" s="94">
        <f t="shared" si="5"/>
        <v>19</v>
      </c>
      <c r="V23" s="94">
        <f t="shared" si="5"/>
        <v>20</v>
      </c>
      <c r="W23" s="94">
        <f t="shared" si="5"/>
        <v>21</v>
      </c>
      <c r="X23" s="94">
        <f t="shared" si="5"/>
        <v>22</v>
      </c>
      <c r="Y23" s="94">
        <f t="shared" si="5"/>
        <v>23</v>
      </c>
      <c r="Z23" s="94">
        <f t="shared" si="5"/>
        <v>24</v>
      </c>
      <c r="AA23" s="284">
        <f t="shared" si="5"/>
        <v>25</v>
      </c>
      <c r="AB23" s="94">
        <f t="shared" si="5"/>
        <v>26</v>
      </c>
      <c r="AC23" s="94">
        <f t="shared" si="5"/>
        <v>27</v>
      </c>
      <c r="AD23" s="94">
        <f t="shared" si="5"/>
        <v>28</v>
      </c>
      <c r="AE23" s="94">
        <f t="shared" si="5"/>
        <v>29</v>
      </c>
      <c r="AF23" s="94">
        <f t="shared" si="5"/>
        <v>30</v>
      </c>
      <c r="AG23" s="94">
        <f t="shared" si="5"/>
        <v>31</v>
      </c>
      <c r="AH23" s="94">
        <f t="shared" si="5"/>
        <v>32</v>
      </c>
      <c r="AI23" s="94">
        <f t="shared" si="5"/>
        <v>33</v>
      </c>
      <c r="AJ23" s="94">
        <f t="shared" si="5"/>
        <v>34</v>
      </c>
      <c r="AK23" s="94">
        <f t="shared" si="5"/>
        <v>35</v>
      </c>
      <c r="AL23" s="94">
        <f t="shared" si="5"/>
        <v>36</v>
      </c>
      <c r="AM23" s="94">
        <f t="shared" si="5"/>
        <v>37</v>
      </c>
      <c r="AN23" s="94">
        <f t="shared" si="5"/>
        <v>38</v>
      </c>
      <c r="AO23" s="94">
        <f t="shared" si="5"/>
        <v>39</v>
      </c>
      <c r="AP23" s="94">
        <f t="shared" si="5"/>
        <v>40</v>
      </c>
      <c r="AQ23" s="94">
        <f t="shared" si="5"/>
        <v>41</v>
      </c>
      <c r="AR23" s="94">
        <f t="shared" si="5"/>
        <v>42</v>
      </c>
      <c r="AS23" s="94">
        <f t="shared" si="5"/>
        <v>43</v>
      </c>
      <c r="AT23" s="94">
        <f t="shared" si="5"/>
        <v>44</v>
      </c>
      <c r="AU23" s="94">
        <f t="shared" si="5"/>
        <v>45</v>
      </c>
      <c r="AV23" s="94">
        <f t="shared" si="5"/>
        <v>46</v>
      </c>
      <c r="AW23" s="94">
        <f t="shared" si="5"/>
        <v>47</v>
      </c>
      <c r="AX23" s="94">
        <f t="shared" si="5"/>
        <v>48</v>
      </c>
      <c r="AY23" s="94">
        <f t="shared" si="5"/>
        <v>49</v>
      </c>
      <c r="AZ23" s="89" t="s">
        <v>186</v>
      </c>
    </row>
    <row r="24" spans="1:52" ht="15.75" x14ac:dyDescent="0.4">
      <c r="A24" s="101" t="s">
        <v>11</v>
      </c>
      <c r="B24" s="102"/>
      <c r="C24" s="207"/>
      <c r="D24" s="207">
        <f>'Phương án 2'!$B$12</f>
        <v>36000</v>
      </c>
      <c r="E24" s="207">
        <f>'Phương án 2'!$B$12</f>
        <v>36000</v>
      </c>
      <c r="F24" s="207">
        <f>'Phương án 2'!$B$12</f>
        <v>36000</v>
      </c>
      <c r="G24" s="207">
        <f>'Phương án 2'!$B$12</f>
        <v>36000</v>
      </c>
      <c r="H24" s="207">
        <f>'Phương án 2'!$B$12</f>
        <v>36000</v>
      </c>
      <c r="I24" s="207">
        <f>'Phương án 2'!$B$12</f>
        <v>36000</v>
      </c>
      <c r="J24" s="207">
        <f>'Phương án 2'!$B$13</f>
        <v>72000</v>
      </c>
      <c r="K24" s="207">
        <f>'Phương án 2'!$B$13</f>
        <v>72000</v>
      </c>
      <c r="L24" s="207">
        <f>'Phương án 2'!$B$13</f>
        <v>72000</v>
      </c>
      <c r="M24" s="207">
        <f>'Phương án 2'!$B$13</f>
        <v>72000</v>
      </c>
      <c r="N24" s="207">
        <f>'Phương án 2'!$B$13</f>
        <v>72000</v>
      </c>
      <c r="O24" s="207">
        <f>'Phương án 2'!$B$13</f>
        <v>72000</v>
      </c>
      <c r="P24" s="207">
        <f>'Phương án 2'!$B$14</f>
        <v>108000</v>
      </c>
      <c r="Q24" s="207">
        <f>'Phương án 2'!$B$14</f>
        <v>108000</v>
      </c>
      <c r="R24" s="207">
        <f>'Phương án 2'!$B$14</f>
        <v>108000</v>
      </c>
      <c r="S24" s="207">
        <f>'Phương án 2'!$B$14</f>
        <v>108000</v>
      </c>
      <c r="T24" s="207">
        <f>'Phương án 2'!$B$14</f>
        <v>108000</v>
      </c>
      <c r="U24" s="207">
        <f>'Phương án 2'!$B$14</f>
        <v>108000</v>
      </c>
      <c r="V24" s="207">
        <f>'Phương án 2'!$B$15</f>
        <v>144000</v>
      </c>
      <c r="W24" s="207">
        <f>'Phương án 2'!$B$15</f>
        <v>144000</v>
      </c>
      <c r="X24" s="207">
        <f>'Phương án 2'!$B$15</f>
        <v>144000</v>
      </c>
      <c r="Y24" s="207">
        <f>'Phương án 2'!$B$15</f>
        <v>144000</v>
      </c>
      <c r="Z24" s="207">
        <f>'Phương án 2'!$B$15</f>
        <v>144000</v>
      </c>
      <c r="AA24" s="286">
        <f>'Phương án 2'!$B$15</f>
        <v>144000</v>
      </c>
      <c r="AB24" s="207">
        <f>'Phương án 2'!$B$15</f>
        <v>144000</v>
      </c>
      <c r="AC24" s="207">
        <f>'Phương án 2'!$B$15</f>
        <v>144000</v>
      </c>
      <c r="AD24" s="207">
        <f>'Phương án 2'!$B$15</f>
        <v>144000</v>
      </c>
      <c r="AE24" s="207">
        <f>'Phương án 2'!$B$15</f>
        <v>144000</v>
      </c>
      <c r="AF24" s="207">
        <f>'Phương án 2'!$B$15</f>
        <v>144000</v>
      </c>
      <c r="AG24" s="207">
        <f>'Phương án 2'!$B$15</f>
        <v>144000</v>
      </c>
      <c r="AH24" s="207">
        <f>'Phương án 2'!$B$15</f>
        <v>144000</v>
      </c>
      <c r="AI24" s="207">
        <f>'Phương án 2'!$B$15</f>
        <v>144000</v>
      </c>
      <c r="AJ24" s="207">
        <f>'Phương án 2'!$B$15</f>
        <v>144000</v>
      </c>
      <c r="AK24" s="207">
        <f>'Phương án 2'!$B$15</f>
        <v>144000</v>
      </c>
      <c r="AL24" s="207">
        <f>'Phương án 2'!$B$15</f>
        <v>144000</v>
      </c>
      <c r="AM24" s="207">
        <f>'Phương án 2'!$B$15</f>
        <v>144000</v>
      </c>
      <c r="AN24" s="207">
        <f>'Phương án 2'!$B$15</f>
        <v>144000</v>
      </c>
      <c r="AO24" s="207">
        <f>'Phương án 2'!$B$15</f>
        <v>144000</v>
      </c>
      <c r="AP24" s="207">
        <f>'Phương án 2'!$B$15</f>
        <v>144000</v>
      </c>
      <c r="AQ24" s="207">
        <f>'Phương án 2'!$B$15</f>
        <v>144000</v>
      </c>
      <c r="AR24" s="207">
        <f>'Phương án 2'!$B$15</f>
        <v>144000</v>
      </c>
      <c r="AS24" s="207">
        <f>'Phương án 2'!$B$15</f>
        <v>144000</v>
      </c>
      <c r="AT24" s="207">
        <f>'Phương án 2'!$B$15</f>
        <v>144000</v>
      </c>
      <c r="AU24" s="207">
        <f>'Phương án 2'!$B$15</f>
        <v>144000</v>
      </c>
      <c r="AV24" s="207">
        <f>'Phương án 2'!$B$15</f>
        <v>144000</v>
      </c>
      <c r="AW24" s="207">
        <f>'Phương án 2'!$B$15</f>
        <v>144000</v>
      </c>
      <c r="AX24" s="207">
        <f>'Phương án 2'!$B$15</f>
        <v>144000</v>
      </c>
      <c r="AY24" s="207">
        <f>'Phương án 2'!$B$15</f>
        <v>144000</v>
      </c>
      <c r="AZ24" s="89" t="s">
        <v>186</v>
      </c>
    </row>
    <row r="25" spans="1:52" ht="15.75" x14ac:dyDescent="0.4">
      <c r="A25" s="84"/>
      <c r="B25" s="99"/>
      <c r="C25" s="100"/>
      <c r="D25" s="100"/>
      <c r="E25" s="100"/>
      <c r="F25" s="100"/>
      <c r="G25" s="100"/>
      <c r="H25" s="100"/>
      <c r="I25" s="100"/>
      <c r="J25" s="100"/>
      <c r="K25" s="100"/>
      <c r="L25" s="100"/>
      <c r="AZ25" s="89" t="s">
        <v>186</v>
      </c>
    </row>
    <row r="26" spans="1:52" ht="15.75" x14ac:dyDescent="0.4">
      <c r="A26" s="92"/>
      <c r="B26" s="92"/>
      <c r="C26" s="92"/>
      <c r="D26" s="92"/>
      <c r="E26" s="92"/>
      <c r="F26" s="84"/>
      <c r="G26" s="84"/>
      <c r="H26" s="84"/>
      <c r="I26" s="84"/>
      <c r="J26" s="84"/>
      <c r="K26" s="84"/>
      <c r="L26" s="84"/>
      <c r="AZ26" s="89" t="s">
        <v>186</v>
      </c>
    </row>
    <row r="27" spans="1:52" ht="15.75" customHeight="1" x14ac:dyDescent="0.4">
      <c r="A27" s="321" t="s">
        <v>38</v>
      </c>
      <c r="B27" s="321"/>
      <c r="C27" s="321"/>
      <c r="D27" s="92"/>
      <c r="E27" s="92"/>
      <c r="F27" s="84"/>
      <c r="G27" s="84"/>
      <c r="H27" s="84"/>
      <c r="I27" s="84"/>
      <c r="J27" s="84"/>
      <c r="K27" s="84"/>
      <c r="L27" s="84"/>
      <c r="AZ27" s="89" t="s">
        <v>186</v>
      </c>
    </row>
    <row r="28" spans="1:52" ht="15.75" x14ac:dyDescent="0.4">
      <c r="A28" s="92"/>
      <c r="B28" s="92"/>
      <c r="C28" s="103"/>
      <c r="D28" s="92"/>
      <c r="E28" s="92"/>
      <c r="F28" s="84"/>
      <c r="G28" s="84"/>
      <c r="H28" s="84"/>
      <c r="I28" s="84"/>
      <c r="J28" s="84"/>
      <c r="K28" s="84"/>
      <c r="L28" s="84"/>
      <c r="AB28" s="264" t="s">
        <v>269</v>
      </c>
      <c r="AY28" s="131" t="s">
        <v>184</v>
      </c>
      <c r="AZ28" s="89" t="s">
        <v>186</v>
      </c>
    </row>
    <row r="29" spans="1:52" ht="15.75" x14ac:dyDescent="0.4">
      <c r="A29" s="93" t="s">
        <v>2</v>
      </c>
      <c r="B29" s="94">
        <f>B23</f>
        <v>0</v>
      </c>
      <c r="C29" s="94">
        <f t="shared" ref="C29:AY29" si="6">C23</f>
        <v>1</v>
      </c>
      <c r="D29" s="94">
        <f t="shared" si="6"/>
        <v>2</v>
      </c>
      <c r="E29" s="94">
        <f t="shared" si="6"/>
        <v>3</v>
      </c>
      <c r="F29" s="94">
        <f t="shared" si="6"/>
        <v>4</v>
      </c>
      <c r="G29" s="94">
        <f t="shared" si="6"/>
        <v>5</v>
      </c>
      <c r="H29" s="94">
        <f t="shared" si="6"/>
        <v>6</v>
      </c>
      <c r="I29" s="94">
        <f t="shared" si="6"/>
        <v>7</v>
      </c>
      <c r="J29" s="94">
        <f t="shared" si="6"/>
        <v>8</v>
      </c>
      <c r="K29" s="94">
        <f t="shared" si="6"/>
        <v>9</v>
      </c>
      <c r="L29" s="94">
        <f t="shared" si="6"/>
        <v>10</v>
      </c>
      <c r="M29" s="94">
        <f t="shared" si="6"/>
        <v>11</v>
      </c>
      <c r="N29" s="94">
        <f t="shared" si="6"/>
        <v>12</v>
      </c>
      <c r="O29" s="94">
        <f t="shared" si="6"/>
        <v>13</v>
      </c>
      <c r="P29" s="94">
        <f t="shared" si="6"/>
        <v>14</v>
      </c>
      <c r="Q29" s="94">
        <f t="shared" si="6"/>
        <v>15</v>
      </c>
      <c r="R29" s="94">
        <f t="shared" si="6"/>
        <v>16</v>
      </c>
      <c r="S29" s="94">
        <f t="shared" si="6"/>
        <v>17</v>
      </c>
      <c r="T29" s="94">
        <f t="shared" si="6"/>
        <v>18</v>
      </c>
      <c r="U29" s="94">
        <f t="shared" si="6"/>
        <v>19</v>
      </c>
      <c r="V29" s="94">
        <f t="shared" si="6"/>
        <v>20</v>
      </c>
      <c r="W29" s="94">
        <f t="shared" si="6"/>
        <v>21</v>
      </c>
      <c r="X29" s="94">
        <f t="shared" si="6"/>
        <v>22</v>
      </c>
      <c r="Y29" s="94">
        <f t="shared" si="6"/>
        <v>23</v>
      </c>
      <c r="Z29" s="94">
        <f t="shared" si="6"/>
        <v>24</v>
      </c>
      <c r="AA29" s="284">
        <f t="shared" si="6"/>
        <v>25</v>
      </c>
      <c r="AB29" s="94">
        <f t="shared" si="6"/>
        <v>26</v>
      </c>
      <c r="AC29" s="94">
        <f t="shared" si="6"/>
        <v>27</v>
      </c>
      <c r="AD29" s="94">
        <f t="shared" si="6"/>
        <v>28</v>
      </c>
      <c r="AE29" s="94">
        <f t="shared" si="6"/>
        <v>29</v>
      </c>
      <c r="AF29" s="94">
        <f t="shared" si="6"/>
        <v>30</v>
      </c>
      <c r="AG29" s="94">
        <f t="shared" si="6"/>
        <v>31</v>
      </c>
      <c r="AH29" s="94">
        <f t="shared" si="6"/>
        <v>32</v>
      </c>
      <c r="AI29" s="94">
        <f t="shared" si="6"/>
        <v>33</v>
      </c>
      <c r="AJ29" s="94">
        <f t="shared" si="6"/>
        <v>34</v>
      </c>
      <c r="AK29" s="94">
        <f t="shared" si="6"/>
        <v>35</v>
      </c>
      <c r="AL29" s="94">
        <f t="shared" si="6"/>
        <v>36</v>
      </c>
      <c r="AM29" s="94">
        <f t="shared" si="6"/>
        <v>37</v>
      </c>
      <c r="AN29" s="94">
        <f t="shared" si="6"/>
        <v>38</v>
      </c>
      <c r="AO29" s="94">
        <f t="shared" si="6"/>
        <v>39</v>
      </c>
      <c r="AP29" s="94">
        <f t="shared" si="6"/>
        <v>40</v>
      </c>
      <c r="AQ29" s="94">
        <f t="shared" si="6"/>
        <v>41</v>
      </c>
      <c r="AR29" s="94">
        <f t="shared" si="6"/>
        <v>42</v>
      </c>
      <c r="AS29" s="94">
        <f t="shared" si="6"/>
        <v>43</v>
      </c>
      <c r="AT29" s="94">
        <f t="shared" si="6"/>
        <v>44</v>
      </c>
      <c r="AU29" s="94">
        <f t="shared" si="6"/>
        <v>45</v>
      </c>
      <c r="AV29" s="94">
        <f t="shared" si="6"/>
        <v>46</v>
      </c>
      <c r="AW29" s="94">
        <f t="shared" si="6"/>
        <v>47</v>
      </c>
      <c r="AX29" s="94">
        <f t="shared" si="6"/>
        <v>48</v>
      </c>
      <c r="AY29" s="94">
        <f t="shared" si="6"/>
        <v>49</v>
      </c>
      <c r="AZ29" s="89" t="s">
        <v>186</v>
      </c>
    </row>
    <row r="30" spans="1:52" ht="15.75" customHeight="1" x14ac:dyDescent="0.4">
      <c r="A30" s="104" t="s">
        <v>39</v>
      </c>
      <c r="B30" s="105"/>
      <c r="C30" s="106"/>
      <c r="D30" s="226">
        <f>'Phương án 2'!$F$60/'Phương án 2'!$H$8*D18</f>
        <v>171.81818181818181</v>
      </c>
      <c r="E30" s="226">
        <f>'Phương án 2'!$F$60/'Phương án 2'!$H$8*E18</f>
        <v>171.81818181818181</v>
      </c>
      <c r="F30" s="226">
        <f>'Phương án 2'!$F$60/'Phương án 2'!$H$8*F18</f>
        <v>171.81818181818181</v>
      </c>
      <c r="G30" s="226">
        <f>'Phương án 2'!$F$60/'Phương án 2'!$H$8*G18</f>
        <v>171.81818181818181</v>
      </c>
      <c r="H30" s="226">
        <f>'Phương án 2'!$F$60/'Phương án 2'!$H$8*H18</f>
        <v>171.81818181818181</v>
      </c>
      <c r="I30" s="226">
        <f>'Phương án 2'!$F$60/'Phương án 2'!$H$8*I18</f>
        <v>171.81818181818181</v>
      </c>
      <c r="J30" s="226">
        <f>'Phương án 2'!$F$61/'Phương án 2'!$H$8*J18</f>
        <v>343.63636363636363</v>
      </c>
      <c r="K30" s="226">
        <f>'Phương án 2'!$F$61/'Phương án 2'!$H$8*K18</f>
        <v>343.63636363636363</v>
      </c>
      <c r="L30" s="226">
        <f>'Phương án 2'!$F$61/'Phương án 2'!$H$8*L18</f>
        <v>343.63636363636363</v>
      </c>
      <c r="M30" s="226">
        <f>'Phương án 2'!$F$61/'Phương án 2'!$H$8*M18</f>
        <v>343.63636363636363</v>
      </c>
      <c r="N30" s="226">
        <f>'Phương án 2'!$F$61/'Phương án 2'!$H$8*N18</f>
        <v>343.63636363636363</v>
      </c>
      <c r="O30" s="226">
        <f>'Phương án 2'!$F$61/'Phương án 2'!$H$8*O18</f>
        <v>343.63636363636363</v>
      </c>
      <c r="P30" s="226">
        <f>'Phương án 2'!$F$62/'Phương án 2'!$H$8*P18</f>
        <v>515.45454545454538</v>
      </c>
      <c r="Q30" s="226">
        <f>'Phương án 2'!$F$62/'Phương án 2'!$H$8*Q18</f>
        <v>515.45454545454538</v>
      </c>
      <c r="R30" s="226">
        <f>'Phương án 2'!$F$62/'Phương án 2'!$H$8*R18</f>
        <v>515.45454545454538</v>
      </c>
      <c r="S30" s="226">
        <f>'Phương án 2'!$F$62/'Phương án 2'!$H$8*S18</f>
        <v>515.45454545454538</v>
      </c>
      <c r="T30" s="226">
        <f>'Phương án 2'!$F$62/'Phương án 2'!$H$8*T18</f>
        <v>515.45454545454538</v>
      </c>
      <c r="U30" s="226">
        <f>'Phương án 2'!$F$62/'Phương án 2'!$H$8*U18</f>
        <v>515.45454545454538</v>
      </c>
      <c r="V30" s="226">
        <f>'Phương án 2'!$F$63/'Phương án 2'!$H$8*V18</f>
        <v>687.27272727272725</v>
      </c>
      <c r="W30" s="226">
        <f>'Phương án 2'!$F$63/'Phương án 2'!$H$8*W18</f>
        <v>687.27272727272725</v>
      </c>
      <c r="X30" s="226">
        <f>'Phương án 2'!$F$63/'Phương án 2'!$H$8*X18</f>
        <v>687.27272727272725</v>
      </c>
      <c r="Y30" s="226">
        <f>'Phương án 2'!$F$63/'Phương án 2'!$H$8*Y18</f>
        <v>687.27272727272725</v>
      </c>
      <c r="Z30" s="226">
        <f>'Phương án 2'!$F$63/'Phương án 2'!$H$8*Z18</f>
        <v>687.27272727272725</v>
      </c>
      <c r="AA30" s="292">
        <f>'Phương án 2'!$F$63/'Phương án 2'!$H$8*AA18</f>
        <v>687.27272727272725</v>
      </c>
      <c r="AB30" s="226">
        <f>'Phương án 2'!$F$63/'Phương án 2'!$H$8*AB18</f>
        <v>687.27272727272725</v>
      </c>
      <c r="AC30" s="226">
        <f>'Phương án 2'!$F$63/'Phương án 2'!$H$8*AC18</f>
        <v>687.27272727272725</v>
      </c>
      <c r="AD30" s="226">
        <f>'Phương án 2'!$F$63/'Phương án 2'!$H$8*AD18</f>
        <v>687.27272727272725</v>
      </c>
      <c r="AE30" s="226">
        <f>'Phương án 2'!$F$63/'Phương án 2'!$H$8*AE18</f>
        <v>687.27272727272725</v>
      </c>
      <c r="AF30" s="226">
        <f>'Phương án 2'!$F$63/'Phương án 2'!$H$8*AF18</f>
        <v>687.27272727272725</v>
      </c>
      <c r="AG30" s="226">
        <f>'Phương án 2'!$F$63/'Phương án 2'!$H$8*AG18</f>
        <v>687.27272727272725</v>
      </c>
      <c r="AH30" s="226">
        <f>'Phương án 2'!$F$63/'Phương án 2'!$H$8*AH18</f>
        <v>687.27272727272725</v>
      </c>
      <c r="AI30" s="226">
        <f>'Phương án 2'!$F$63/'Phương án 2'!$H$8*AI18</f>
        <v>687.27272727272725</v>
      </c>
      <c r="AJ30" s="226">
        <f>'Phương án 2'!$F$63/'Phương án 2'!$H$8*AJ18</f>
        <v>687.27272727272725</v>
      </c>
      <c r="AK30" s="226">
        <f>'Phương án 2'!$F$63/'Phương án 2'!$H$8*AK18</f>
        <v>687.27272727272725</v>
      </c>
      <c r="AL30" s="226">
        <f>'Phương án 2'!$F$63/'Phương án 2'!$H$8*AL18</f>
        <v>687.27272727272725</v>
      </c>
      <c r="AM30" s="226">
        <f>'Phương án 2'!$F$63/'Phương án 2'!$H$8*AM18</f>
        <v>687.27272727272725</v>
      </c>
      <c r="AN30" s="226">
        <f>'Phương án 2'!$F$63/'Phương án 2'!$H$8*AN18</f>
        <v>687.27272727272725</v>
      </c>
      <c r="AO30" s="226">
        <f>'Phương án 2'!$F$63/'Phương án 2'!$H$8*AO18</f>
        <v>687.27272727272725</v>
      </c>
      <c r="AP30" s="226">
        <f>'Phương án 2'!$F$63/'Phương án 2'!$H$8*AP18</f>
        <v>687.27272727272725</v>
      </c>
      <c r="AQ30" s="226">
        <f>'Phương án 2'!$F$63/'Phương án 2'!$H$8*AQ18</f>
        <v>687.27272727272725</v>
      </c>
      <c r="AR30" s="226">
        <f>'Phương án 2'!$F$63/'Phương án 2'!$H$8*AR18</f>
        <v>687.27272727272725</v>
      </c>
      <c r="AS30" s="226">
        <f>'Phương án 2'!$F$63/'Phương án 2'!$H$8*AS18</f>
        <v>687.27272727272725</v>
      </c>
      <c r="AT30" s="226">
        <f>'Phương án 2'!$F$63/'Phương án 2'!$H$8*AT18</f>
        <v>687.27272727272725</v>
      </c>
      <c r="AU30" s="226">
        <f>'Phương án 2'!$F$63/'Phương án 2'!$H$8*AU18</f>
        <v>687.27272727272725</v>
      </c>
      <c r="AV30" s="226">
        <f>'Phương án 2'!$F$63/'Phương án 2'!$H$8*AV18</f>
        <v>687.27272727272725</v>
      </c>
      <c r="AW30" s="226">
        <f>'Phương án 2'!$F$63/'Phương án 2'!$H$8*AW18</f>
        <v>687.27272727272725</v>
      </c>
      <c r="AX30" s="226">
        <f>'Phương án 2'!$F$63/'Phương án 2'!$H$8*AX18</f>
        <v>687.27272727272725</v>
      </c>
      <c r="AY30" s="226">
        <f>'Phương án 2'!$F$63/'Phương án 2'!$H$8*AY18</f>
        <v>687.27272727272725</v>
      </c>
      <c r="AZ30" s="89" t="s">
        <v>186</v>
      </c>
    </row>
    <row r="31" spans="1:52" ht="15.75" customHeight="1" x14ac:dyDescent="0.4">
      <c r="A31" s="104" t="s">
        <v>258</v>
      </c>
      <c r="B31" s="105"/>
      <c r="C31" s="106"/>
      <c r="D31" s="85"/>
      <c r="E31" s="85"/>
      <c r="F31" s="85"/>
      <c r="G31" s="85"/>
      <c r="H31" s="85"/>
      <c r="I31" s="85"/>
      <c r="J31" s="85"/>
      <c r="K31" s="85"/>
      <c r="L31" s="85"/>
      <c r="M31" s="85"/>
      <c r="N31" s="85"/>
      <c r="O31" s="85"/>
      <c r="P31" s="85"/>
      <c r="Q31" s="85"/>
      <c r="R31" s="85"/>
      <c r="S31" s="85"/>
      <c r="T31" s="85"/>
      <c r="U31" s="85"/>
      <c r="V31" s="85"/>
      <c r="W31" s="85"/>
      <c r="X31" s="85"/>
      <c r="Y31" s="85"/>
      <c r="Z31" s="85"/>
      <c r="AA31" s="287">
        <f>'Phương án 2'!$H$18*AA18</f>
        <v>100</v>
      </c>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row>
    <row r="32" spans="1:52" ht="15.75" x14ac:dyDescent="0.4">
      <c r="A32" s="83"/>
      <c r="B32" s="85"/>
      <c r="C32" s="95"/>
      <c r="D32" s="95"/>
      <c r="E32" s="95"/>
      <c r="F32" s="95"/>
      <c r="G32" s="95"/>
      <c r="H32" s="95"/>
      <c r="I32" s="95"/>
      <c r="J32" s="95"/>
      <c r="K32" s="95"/>
      <c r="L32" s="95"/>
      <c r="M32" s="108"/>
      <c r="N32" s="108"/>
      <c r="O32" s="108"/>
      <c r="P32" s="108"/>
      <c r="Q32" s="108"/>
      <c r="AZ32" s="89" t="s">
        <v>186</v>
      </c>
    </row>
    <row r="33" spans="1:52" ht="15.75" customHeight="1" x14ac:dyDescent="0.4">
      <c r="A33" s="104" t="s">
        <v>90</v>
      </c>
      <c r="B33" s="105"/>
      <c r="C33" s="106"/>
      <c r="D33" s="225">
        <f>SUM(D34:D36)</f>
        <v>20.8</v>
      </c>
      <c r="E33" s="225">
        <f t="shared" ref="E33:AA33" si="7">SUM(E34:E36)</f>
        <v>20.86</v>
      </c>
      <c r="F33" s="225">
        <f t="shared" si="7"/>
        <v>20.9206</v>
      </c>
      <c r="G33" s="225">
        <f t="shared" si="7"/>
        <v>20.981805999999999</v>
      </c>
      <c r="H33" s="225">
        <f t="shared" si="7"/>
        <v>21.043624059999999</v>
      </c>
      <c r="I33" s="225">
        <f t="shared" si="7"/>
        <v>21.106060300599999</v>
      </c>
      <c r="J33" s="225">
        <f t="shared" si="7"/>
        <v>30.791448587063272</v>
      </c>
      <c r="K33" s="225">
        <f t="shared" si="7"/>
        <v>30.884090345661178</v>
      </c>
      <c r="L33" s="225">
        <f t="shared" si="7"/>
        <v>30.977658521845065</v>
      </c>
      <c r="M33" s="225">
        <f t="shared" si="7"/>
        <v>31.07216237979079</v>
      </c>
      <c r="N33" s="225">
        <f t="shared" si="7"/>
        <v>31.167611276315967</v>
      </c>
      <c r="O33" s="225">
        <f t="shared" si="7"/>
        <v>31.264014661806399</v>
      </c>
      <c r="P33" s="225">
        <f t="shared" si="7"/>
        <v>52.922332261943552</v>
      </c>
      <c r="Q33" s="225">
        <f t="shared" si="7"/>
        <v>53.08828285729026</v>
      </c>
      <c r="R33" s="225">
        <f t="shared" si="7"/>
        <v>53.255892958590444</v>
      </c>
      <c r="S33" s="225">
        <f t="shared" si="7"/>
        <v>53.42517916090361</v>
      </c>
      <c r="T33" s="225">
        <f t="shared" si="7"/>
        <v>53.596158225239925</v>
      </c>
      <c r="U33" s="225">
        <f t="shared" si="7"/>
        <v>53.768847080219594</v>
      </c>
      <c r="V33" s="225">
        <f t="shared" si="7"/>
        <v>63.932755939258158</v>
      </c>
      <c r="W33" s="225">
        <f t="shared" si="7"/>
        <v>64.141538044105275</v>
      </c>
      <c r="X33" s="225">
        <f t="shared" si="7"/>
        <v>64.352407970000883</v>
      </c>
      <c r="Y33" s="225">
        <f t="shared" si="7"/>
        <v>64.565386595155431</v>
      </c>
      <c r="Z33" s="225">
        <f t="shared" si="7"/>
        <v>64.780495006561537</v>
      </c>
      <c r="AA33" s="288">
        <f t="shared" si="7"/>
        <v>64.99775450208169</v>
      </c>
      <c r="AB33" s="225">
        <f t="shared" ref="AB33:AY33" si="8">SUM(AB34:AB36)</f>
        <v>60.509090909090908</v>
      </c>
      <c r="AC33" s="225">
        <f t="shared" si="8"/>
        <v>60.509090909090908</v>
      </c>
      <c r="AD33" s="225">
        <f t="shared" si="8"/>
        <v>60.509090909090908</v>
      </c>
      <c r="AE33" s="225">
        <f t="shared" si="8"/>
        <v>60.509090909090908</v>
      </c>
      <c r="AF33" s="225">
        <f t="shared" si="8"/>
        <v>60.509090909090908</v>
      </c>
      <c r="AG33" s="225">
        <f t="shared" si="8"/>
        <v>60.509090909090908</v>
      </c>
      <c r="AH33" s="225">
        <f t="shared" si="8"/>
        <v>60.509090909090908</v>
      </c>
      <c r="AI33" s="225">
        <f t="shared" si="8"/>
        <v>60.509090909090908</v>
      </c>
      <c r="AJ33" s="225">
        <f t="shared" si="8"/>
        <v>60.509090909090908</v>
      </c>
      <c r="AK33" s="225">
        <f t="shared" si="8"/>
        <v>60.509090909090908</v>
      </c>
      <c r="AL33" s="225">
        <f t="shared" si="8"/>
        <v>60.509090909090908</v>
      </c>
      <c r="AM33" s="225">
        <f t="shared" si="8"/>
        <v>60.509090909090908</v>
      </c>
      <c r="AN33" s="225">
        <f t="shared" si="8"/>
        <v>60.509090909090908</v>
      </c>
      <c r="AO33" s="225">
        <f t="shared" si="8"/>
        <v>60.509090909090908</v>
      </c>
      <c r="AP33" s="225">
        <f t="shared" si="8"/>
        <v>60.509090909090908</v>
      </c>
      <c r="AQ33" s="225">
        <f t="shared" si="8"/>
        <v>60.509090909090908</v>
      </c>
      <c r="AR33" s="225">
        <f t="shared" si="8"/>
        <v>60.509090909090908</v>
      </c>
      <c r="AS33" s="225">
        <f t="shared" si="8"/>
        <v>60.509090909090908</v>
      </c>
      <c r="AT33" s="225">
        <f t="shared" si="8"/>
        <v>60.509090909090908</v>
      </c>
      <c r="AU33" s="225">
        <f t="shared" si="8"/>
        <v>60.509090909090908</v>
      </c>
      <c r="AV33" s="225">
        <f t="shared" si="8"/>
        <v>60.509090909090908</v>
      </c>
      <c r="AW33" s="225">
        <f t="shared" si="8"/>
        <v>60.509090909090908</v>
      </c>
      <c r="AX33" s="225">
        <f t="shared" si="8"/>
        <v>60.509090909090908</v>
      </c>
      <c r="AY33" s="225">
        <f t="shared" si="8"/>
        <v>60.509090909090908</v>
      </c>
      <c r="AZ33" s="89" t="s">
        <v>186</v>
      </c>
    </row>
    <row r="34" spans="1:52" ht="15.75" x14ac:dyDescent="0.4">
      <c r="A34" s="107" t="s">
        <v>174</v>
      </c>
      <c r="B34" s="105"/>
      <c r="C34" s="95"/>
      <c r="D34" s="176">
        <f>'Phương án 2'!$E$41*D18</f>
        <v>8.8000000000000007</v>
      </c>
      <c r="E34" s="176">
        <f>'Phương án 2'!$E$41*E18</f>
        <v>8.8000000000000007</v>
      </c>
      <c r="F34" s="176">
        <f>'Phương án 2'!$E$41*F18</f>
        <v>8.8000000000000007</v>
      </c>
      <c r="G34" s="176">
        <f>'Phương án 2'!$E$41*G18</f>
        <v>8.8000000000000007</v>
      </c>
      <c r="H34" s="176">
        <f>'Phương án 2'!$E$41*H18</f>
        <v>8.8000000000000007</v>
      </c>
      <c r="I34" s="176">
        <f>'Phương án 2'!$E$41*I18</f>
        <v>8.8000000000000007</v>
      </c>
      <c r="J34" s="176">
        <f>('Phương án 2'!$E$41+'Phương án 2'!$E$50)*J18</f>
        <v>12.8</v>
      </c>
      <c r="K34" s="176">
        <f>('Phương án 2'!$E$41+'Phương án 2'!$E$50)*K18</f>
        <v>12.8</v>
      </c>
      <c r="L34" s="176">
        <f>('Phương án 2'!$E$41+'Phương án 2'!$E$50)*L18</f>
        <v>12.8</v>
      </c>
      <c r="M34" s="176">
        <f>('Phương án 2'!$E$41+'Phương án 2'!$E$50)*M18</f>
        <v>12.8</v>
      </c>
      <c r="N34" s="176">
        <f>('Phương án 2'!$E$41+'Phương án 2'!$E$50)*N18</f>
        <v>12.8</v>
      </c>
      <c r="O34" s="176">
        <f>('Phương án 2'!$E$41+'Phương án 2'!$E$50)*O18</f>
        <v>12.8</v>
      </c>
      <c r="P34" s="176">
        <f>('Phương án 2'!$E$41*2+'Phương án 2'!$E$50)*P18</f>
        <v>21.6</v>
      </c>
      <c r="Q34" s="176">
        <f>('Phương án 2'!$E$41*2+'Phương án 2'!$E$50)*Q18</f>
        <v>21.6</v>
      </c>
      <c r="R34" s="176">
        <f>('Phương án 2'!$E$41*2+'Phương án 2'!$E$50)*R18</f>
        <v>21.6</v>
      </c>
      <c r="S34" s="176">
        <f>('Phương án 2'!$E$41*2+'Phương án 2'!$E$50)*S18</f>
        <v>21.6</v>
      </c>
      <c r="T34" s="176">
        <f>('Phương án 2'!$E$41*2+'Phương án 2'!$E$50)*T18</f>
        <v>21.6</v>
      </c>
      <c r="U34" s="176">
        <f>('Phương án 2'!$E$41*2+'Phương án 2'!$E$50)*U18</f>
        <v>21.6</v>
      </c>
      <c r="V34" s="176">
        <f>('Phương án 2'!$E$41*2+'Phương án 2'!$E$50*2)*V18</f>
        <v>25.6</v>
      </c>
      <c r="W34" s="176">
        <f>('Phương án 2'!$E$41*2+'Phương án 2'!$E$50*2)*W18</f>
        <v>25.6</v>
      </c>
      <c r="X34" s="176">
        <f>('Phương án 2'!$E$41*2+'Phương án 2'!$E$50*2)*X18</f>
        <v>25.6</v>
      </c>
      <c r="Y34" s="176">
        <f>('Phương án 2'!$E$41*2+'Phương án 2'!$E$50*2)*Y18</f>
        <v>25.6</v>
      </c>
      <c r="Z34" s="176">
        <f>('Phương án 2'!$E$41*2+'Phương án 2'!$E$50*2)*Z18</f>
        <v>25.6</v>
      </c>
      <c r="AA34" s="289">
        <f>('Phương án 2'!$E$41*2+'Phương án 2'!$E$50*2)*AA18</f>
        <v>25.6</v>
      </c>
      <c r="AB34" s="176">
        <f>('Phương án 2'!$E$41*2+'Phương án 2'!$E$50*2)*AB18</f>
        <v>25.6</v>
      </c>
      <c r="AC34" s="176">
        <f>('Phương án 2'!$E$41*2+'Phương án 2'!$E$50*2)*AC18</f>
        <v>25.6</v>
      </c>
      <c r="AD34" s="176">
        <f>('Phương án 2'!$E$41*2+'Phương án 2'!$E$50*2)*AD18</f>
        <v>25.6</v>
      </c>
      <c r="AE34" s="176">
        <f>('Phương án 2'!$E$41*2+'Phương án 2'!$E$50*2)*AE18</f>
        <v>25.6</v>
      </c>
      <c r="AF34" s="176">
        <f>('Phương án 2'!$E$41*2+'Phương án 2'!$E$50*2)*AF18</f>
        <v>25.6</v>
      </c>
      <c r="AG34" s="176">
        <f>('Phương án 2'!$E$41*2+'Phương án 2'!$E$50*2)*AG18</f>
        <v>25.6</v>
      </c>
      <c r="AH34" s="176">
        <f>('Phương án 2'!$E$41*2+'Phương án 2'!$E$50*2)*AH18</f>
        <v>25.6</v>
      </c>
      <c r="AI34" s="176">
        <f>('Phương án 2'!$E$41*2+'Phương án 2'!$E$50*2)*AI18</f>
        <v>25.6</v>
      </c>
      <c r="AJ34" s="176">
        <f>('Phương án 2'!$E$41*2+'Phương án 2'!$E$50*2)*AJ18</f>
        <v>25.6</v>
      </c>
      <c r="AK34" s="176">
        <f>('Phương án 2'!$E$41*2+'Phương án 2'!$E$50*2)*AK18</f>
        <v>25.6</v>
      </c>
      <c r="AL34" s="176">
        <f>('Phương án 2'!$E$41*2+'Phương án 2'!$E$50*2)*AL18</f>
        <v>25.6</v>
      </c>
      <c r="AM34" s="176">
        <f>('Phương án 2'!$E$41*2+'Phương án 2'!$E$50*2)*AM18</f>
        <v>25.6</v>
      </c>
      <c r="AN34" s="176">
        <f>('Phương án 2'!$E$41*2+'Phương án 2'!$E$50*2)*AN18</f>
        <v>25.6</v>
      </c>
      <c r="AO34" s="176">
        <f>('Phương án 2'!$E$41*2+'Phương án 2'!$E$50*2)*AO18</f>
        <v>25.6</v>
      </c>
      <c r="AP34" s="176">
        <f>('Phương án 2'!$E$41*2+'Phương án 2'!$E$50*2)*AP18</f>
        <v>25.6</v>
      </c>
      <c r="AQ34" s="176">
        <f>('Phương án 2'!$E$41*2+'Phương án 2'!$E$50*2)*AQ18</f>
        <v>25.6</v>
      </c>
      <c r="AR34" s="176">
        <f>('Phương án 2'!$E$41*2+'Phương án 2'!$E$50*2)*AR18</f>
        <v>25.6</v>
      </c>
      <c r="AS34" s="176">
        <f>('Phương án 2'!$E$41*2+'Phương án 2'!$E$50*2)*AS18</f>
        <v>25.6</v>
      </c>
      <c r="AT34" s="176">
        <f>('Phương án 2'!$E$41*2+'Phương án 2'!$E$50*2)*AT18</f>
        <v>25.6</v>
      </c>
      <c r="AU34" s="176">
        <f>('Phương án 2'!$E$41*2+'Phương án 2'!$E$50*2)*AU18</f>
        <v>25.6</v>
      </c>
      <c r="AV34" s="176">
        <f>('Phương án 2'!$E$41*2+'Phương án 2'!$E$50*2)*AV18</f>
        <v>25.6</v>
      </c>
      <c r="AW34" s="176">
        <f>('Phương án 2'!$E$41*2+'Phương án 2'!$E$50*2)*AW18</f>
        <v>25.6</v>
      </c>
      <c r="AX34" s="176">
        <f>('Phương án 2'!$E$41*2+'Phương án 2'!$E$50*2)*AX18</f>
        <v>25.6</v>
      </c>
      <c r="AY34" s="176">
        <f>('Phương án 2'!$E$41*2+'Phương án 2'!$E$50*2)*AY18</f>
        <v>25.6</v>
      </c>
      <c r="AZ34" s="89" t="s">
        <v>186</v>
      </c>
    </row>
    <row r="35" spans="1:52" ht="15.75" customHeight="1" x14ac:dyDescent="0.4">
      <c r="A35" s="107" t="s">
        <v>175</v>
      </c>
      <c r="B35" s="105"/>
      <c r="C35" s="95"/>
      <c r="D35" s="176">
        <f>'Phương án 2'!$E$42*D19</f>
        <v>5.9999999999999991</v>
      </c>
      <c r="E35" s="176">
        <f>'Phương án 2'!$E$42*E19</f>
        <v>6.0599999999999987</v>
      </c>
      <c r="F35" s="176">
        <f>'Phương án 2'!$E$42*F19</f>
        <v>6.1205999999999987</v>
      </c>
      <c r="G35" s="176">
        <f>'Phương án 2'!$E$42*G19</f>
        <v>6.1818059999999981</v>
      </c>
      <c r="H35" s="176">
        <f>'Phương án 2'!$E$42*H19</f>
        <v>6.2436240599999993</v>
      </c>
      <c r="I35" s="176">
        <f>'Phương án 2'!$E$42*I19</f>
        <v>6.3060603005999987</v>
      </c>
      <c r="J35" s="176">
        <f>('Phương án 2'!$E$42+'Phương án 2'!$E$51)*J19</f>
        <v>9.2641758597905461</v>
      </c>
      <c r="K35" s="176">
        <f>('Phương án 2'!$E$42+'Phương án 2'!$E$51)*K19</f>
        <v>9.3568176183884493</v>
      </c>
      <c r="L35" s="176">
        <f>('Phương án 2'!$E$42+'Phương án 2'!$E$51)*L19</f>
        <v>9.4503857945723357</v>
      </c>
      <c r="M35" s="176">
        <f>('Phương án 2'!$E$42+'Phương án 2'!$E$51)*M19</f>
        <v>9.5448896525180604</v>
      </c>
      <c r="N35" s="176">
        <f>('Phương án 2'!$E$42+'Phương án 2'!$E$51)*N19</f>
        <v>9.6403385490432409</v>
      </c>
      <c r="O35" s="176">
        <f>('Phương án 2'!$E$42+'Phương án 2'!$E$51)*O19</f>
        <v>9.7367419345336703</v>
      </c>
      <c r="P35" s="176">
        <f>('Phương án 2'!$E$42*2+'Phương án 2'!$E$51)*P19</f>
        <v>16.595059534670824</v>
      </c>
      <c r="Q35" s="176">
        <f>('Phương án 2'!$E$42*2+'Phương án 2'!$E$51)*Q19</f>
        <v>16.761010130017535</v>
      </c>
      <c r="R35" s="176">
        <f>('Phương án 2'!$E$42*2+'Phương án 2'!$E$51)*R19</f>
        <v>16.928620231317712</v>
      </c>
      <c r="S35" s="176">
        <f>('Phương án 2'!$E$42*2+'Phương án 2'!$E$51)*S19</f>
        <v>17.097906433630882</v>
      </c>
      <c r="T35" s="176">
        <f>('Phương án 2'!$E$42*2+'Phương án 2'!$E$51)*T19</f>
        <v>17.268885497967197</v>
      </c>
      <c r="U35" s="176">
        <f>('Phương án 2'!$E$42*2+'Phương án 2'!$E$51)*U19</f>
        <v>17.441574352946869</v>
      </c>
      <c r="V35" s="176">
        <f>('Phương án 2'!$E$42*2+'Phương án 2'!$E$51*2)*V19</f>
        <v>20.878210484712699</v>
      </c>
      <c r="W35" s="176">
        <f>('Phương án 2'!$E$42*2+'Phương án 2'!$E$51*2)*W19</f>
        <v>21.086992589559824</v>
      </c>
      <c r="X35" s="176">
        <f>('Phương án 2'!$E$42*2+'Phương án 2'!$E$51*2)*X19</f>
        <v>21.297862515455424</v>
      </c>
      <c r="Y35" s="176">
        <f>('Phương án 2'!$E$42*2+'Phương án 2'!$E$51*2)*Y19</f>
        <v>21.510841140609976</v>
      </c>
      <c r="Z35" s="176">
        <f>('Phương án 2'!$E$42*2+'Phương án 2'!$E$51*2)*Z19</f>
        <v>21.725949552016079</v>
      </c>
      <c r="AA35" s="289">
        <f>('Phương án 2'!$E$42*2+'Phương án 2'!$E$51*2)*AA19</f>
        <v>21.943209047536236</v>
      </c>
      <c r="AB35" s="176">
        <f>('Phương án 2'!$E$42*2+'Phương án 2'!$E$51*2)*AB19</f>
        <v>17.454545454545453</v>
      </c>
      <c r="AC35" s="176">
        <f>('Phương án 2'!$E$42*2+'Phương án 2'!$E$51*2)*AC19</f>
        <v>17.454545454545453</v>
      </c>
      <c r="AD35" s="176">
        <f>('Phương án 2'!$E$42*2+'Phương án 2'!$E$51*2)*AD19</f>
        <v>17.454545454545453</v>
      </c>
      <c r="AE35" s="176">
        <f>('Phương án 2'!$E$42*2+'Phương án 2'!$E$51*2)*AE19</f>
        <v>17.454545454545453</v>
      </c>
      <c r="AF35" s="176">
        <f>('Phương án 2'!$E$42*2+'Phương án 2'!$E$51*2)*AF19</f>
        <v>17.454545454545453</v>
      </c>
      <c r="AG35" s="176">
        <f>('Phương án 2'!$E$42*2+'Phương án 2'!$E$51*2)*AG19</f>
        <v>17.454545454545453</v>
      </c>
      <c r="AH35" s="176">
        <f>('Phương án 2'!$E$42*2+'Phương án 2'!$E$51*2)*AH19</f>
        <v>17.454545454545453</v>
      </c>
      <c r="AI35" s="176">
        <f>('Phương án 2'!$E$42*2+'Phương án 2'!$E$51*2)*AI19</f>
        <v>17.454545454545453</v>
      </c>
      <c r="AJ35" s="176">
        <f>('Phương án 2'!$E$42*2+'Phương án 2'!$E$51*2)*AJ19</f>
        <v>17.454545454545453</v>
      </c>
      <c r="AK35" s="176">
        <f>('Phương án 2'!$E$42*2+'Phương án 2'!$E$51*2)*AK19</f>
        <v>17.454545454545453</v>
      </c>
      <c r="AL35" s="176">
        <f>('Phương án 2'!$E$42*2+'Phương án 2'!$E$51*2)*AL19</f>
        <v>17.454545454545453</v>
      </c>
      <c r="AM35" s="176">
        <f>('Phương án 2'!$E$42*2+'Phương án 2'!$E$51*2)*AM19</f>
        <v>17.454545454545453</v>
      </c>
      <c r="AN35" s="176">
        <f>('Phương án 2'!$E$42*2+'Phương án 2'!$E$51*2)*AN19</f>
        <v>17.454545454545453</v>
      </c>
      <c r="AO35" s="176">
        <f>('Phương án 2'!$E$42*2+'Phương án 2'!$E$51*2)*AO19</f>
        <v>17.454545454545453</v>
      </c>
      <c r="AP35" s="176">
        <f>('Phương án 2'!$E$42*2+'Phương án 2'!$E$51*2)*AP19</f>
        <v>17.454545454545453</v>
      </c>
      <c r="AQ35" s="176">
        <f>('Phương án 2'!$E$42*2+'Phương án 2'!$E$51*2)*AQ19</f>
        <v>17.454545454545453</v>
      </c>
      <c r="AR35" s="176">
        <f>('Phương án 2'!$E$42*2+'Phương án 2'!$E$51*2)*AR19</f>
        <v>17.454545454545453</v>
      </c>
      <c r="AS35" s="176">
        <f>('Phương án 2'!$E$42*2+'Phương án 2'!$E$51*2)*AS19</f>
        <v>17.454545454545453</v>
      </c>
      <c r="AT35" s="176">
        <f>('Phương án 2'!$E$42*2+'Phương án 2'!$E$51*2)*AT19</f>
        <v>17.454545454545453</v>
      </c>
      <c r="AU35" s="176">
        <f>('Phương án 2'!$E$42*2+'Phương án 2'!$E$51*2)*AU19</f>
        <v>17.454545454545453</v>
      </c>
      <c r="AV35" s="176">
        <f>('Phương án 2'!$E$42*2+'Phương án 2'!$E$51*2)*AV19</f>
        <v>17.454545454545453</v>
      </c>
      <c r="AW35" s="176">
        <f>('Phương án 2'!$E$42*2+'Phương án 2'!$E$51*2)*AW19</f>
        <v>17.454545454545453</v>
      </c>
      <c r="AX35" s="176">
        <f>('Phương án 2'!$E$42*2+'Phương án 2'!$E$51*2)*AX19</f>
        <v>17.454545454545453</v>
      </c>
      <c r="AY35" s="176">
        <f>('Phương án 2'!$E$42*2+'Phương án 2'!$E$51*2)*AY19</f>
        <v>17.454545454545453</v>
      </c>
      <c r="AZ35" s="89" t="s">
        <v>186</v>
      </c>
    </row>
    <row r="36" spans="1:52" ht="15.75" x14ac:dyDescent="0.4">
      <c r="A36" s="107" t="s">
        <v>176</v>
      </c>
      <c r="B36" s="105"/>
      <c r="C36" s="95"/>
      <c r="D36" s="176">
        <f>'Phương án 2'!$E$43*D18</f>
        <v>5.9999999999999991</v>
      </c>
      <c r="E36" s="176">
        <f>'Phương án 2'!$E$43*E18</f>
        <v>5.9999999999999991</v>
      </c>
      <c r="F36" s="176">
        <f>'Phương án 2'!$E$43*F18</f>
        <v>5.9999999999999991</v>
      </c>
      <c r="G36" s="176">
        <f>'Phương án 2'!$E$43*G18</f>
        <v>5.9999999999999991</v>
      </c>
      <c r="H36" s="176">
        <f>'Phương án 2'!$E$43*H18</f>
        <v>5.9999999999999991</v>
      </c>
      <c r="I36" s="176">
        <f>'Phương án 2'!$E$43*I18</f>
        <v>5.9999999999999991</v>
      </c>
      <c r="J36" s="176">
        <f>('Phương án 2'!$E$43+'Phương án 2'!$E$52)*J18</f>
        <v>8.7272727272727266</v>
      </c>
      <c r="K36" s="176">
        <f>('Phương án 2'!$E$43+'Phương án 2'!$E$52)*K18</f>
        <v>8.7272727272727266</v>
      </c>
      <c r="L36" s="176">
        <f>('Phương án 2'!$E$43+'Phương án 2'!$E$52)*L18</f>
        <v>8.7272727272727266</v>
      </c>
      <c r="M36" s="176">
        <f>('Phương án 2'!$E$43+'Phương án 2'!$E$52)*M18</f>
        <v>8.7272727272727266</v>
      </c>
      <c r="N36" s="176">
        <f>('Phương án 2'!$E$43+'Phương án 2'!$E$52)*N18</f>
        <v>8.7272727272727266</v>
      </c>
      <c r="O36" s="176">
        <f>('Phương án 2'!$E$43+'Phương án 2'!$E$52)*O18</f>
        <v>8.7272727272727266</v>
      </c>
      <c r="P36" s="176">
        <f>('Phương án 2'!$E$43*2+'Phương án 2'!$E$52)*P18</f>
        <v>14.727272727272725</v>
      </c>
      <c r="Q36" s="176">
        <f>('Phương án 2'!$E$43*2+'Phương án 2'!$E$52)*Q18</f>
        <v>14.727272727272725</v>
      </c>
      <c r="R36" s="176">
        <f>('Phương án 2'!$E$43*2+'Phương án 2'!$E$52)*R18</f>
        <v>14.727272727272725</v>
      </c>
      <c r="S36" s="176">
        <f>('Phương án 2'!$E$43*2+'Phương án 2'!$E$52)*S18</f>
        <v>14.727272727272725</v>
      </c>
      <c r="T36" s="176">
        <f>('Phương án 2'!$E$43*2+'Phương án 2'!$E$52)*T18</f>
        <v>14.727272727272725</v>
      </c>
      <c r="U36" s="176">
        <f>('Phương án 2'!$E$43*2+'Phương án 2'!$E$52)*U18</f>
        <v>14.727272727272725</v>
      </c>
      <c r="V36" s="176">
        <f>('Phương án 2'!$E$43*2+'Phương án 2'!$E$52*2)*V18</f>
        <v>17.454545454545453</v>
      </c>
      <c r="W36" s="176">
        <f>('Phương án 2'!$E$43*2+'Phương án 2'!$E$52*2)*W18</f>
        <v>17.454545454545453</v>
      </c>
      <c r="X36" s="176">
        <f>('Phương án 2'!$E$43*2+'Phương án 2'!$E$52*2)*X18</f>
        <v>17.454545454545453</v>
      </c>
      <c r="Y36" s="176">
        <f>('Phương án 2'!$E$43*2+'Phương án 2'!$E$52*2)*Y18</f>
        <v>17.454545454545453</v>
      </c>
      <c r="Z36" s="176">
        <f>('Phương án 2'!$E$43*2+'Phương án 2'!$E$52*2)*Z18</f>
        <v>17.454545454545453</v>
      </c>
      <c r="AA36" s="289">
        <f>('Phương án 2'!$E$43*2+'Phương án 2'!$E$52*2)*AA18</f>
        <v>17.454545454545453</v>
      </c>
      <c r="AB36" s="176">
        <f>('Phương án 2'!$E$43*2+'Phương án 2'!$E$52*2)*AB18</f>
        <v>17.454545454545453</v>
      </c>
      <c r="AC36" s="176">
        <f>('Phương án 2'!$E$43*2+'Phương án 2'!$E$52*2)*AC18</f>
        <v>17.454545454545453</v>
      </c>
      <c r="AD36" s="176">
        <f>('Phương án 2'!$E$43*2+'Phương án 2'!$E$52*2)*AD18</f>
        <v>17.454545454545453</v>
      </c>
      <c r="AE36" s="176">
        <f>('Phương án 2'!$E$43*2+'Phương án 2'!$E$52*2)*AE18</f>
        <v>17.454545454545453</v>
      </c>
      <c r="AF36" s="176">
        <f>('Phương án 2'!$E$43*2+'Phương án 2'!$E$52*2)*AF18</f>
        <v>17.454545454545453</v>
      </c>
      <c r="AG36" s="176">
        <f>('Phương án 2'!$E$43*2+'Phương án 2'!$E$52*2)*AG18</f>
        <v>17.454545454545453</v>
      </c>
      <c r="AH36" s="176">
        <f>('Phương án 2'!$E$43*2+'Phương án 2'!$E$52*2)*AH18</f>
        <v>17.454545454545453</v>
      </c>
      <c r="AI36" s="176">
        <f>('Phương án 2'!$E$43*2+'Phương án 2'!$E$52*2)*AI18</f>
        <v>17.454545454545453</v>
      </c>
      <c r="AJ36" s="176">
        <f>('Phương án 2'!$E$43*2+'Phương án 2'!$E$52*2)*AJ18</f>
        <v>17.454545454545453</v>
      </c>
      <c r="AK36" s="176">
        <f>('Phương án 2'!$E$43*2+'Phương án 2'!$E$52*2)*AK18</f>
        <v>17.454545454545453</v>
      </c>
      <c r="AL36" s="176">
        <f>('Phương án 2'!$E$43*2+'Phương án 2'!$E$52*2)*AL18</f>
        <v>17.454545454545453</v>
      </c>
      <c r="AM36" s="176">
        <f>('Phương án 2'!$E$43*2+'Phương án 2'!$E$52*2)*AM18</f>
        <v>17.454545454545453</v>
      </c>
      <c r="AN36" s="176">
        <f>('Phương án 2'!$E$43*2+'Phương án 2'!$E$52*2)*AN18</f>
        <v>17.454545454545453</v>
      </c>
      <c r="AO36" s="176">
        <f>('Phương án 2'!$E$43*2+'Phương án 2'!$E$52*2)*AO18</f>
        <v>17.454545454545453</v>
      </c>
      <c r="AP36" s="176">
        <f>('Phương án 2'!$E$43*2+'Phương án 2'!$E$52*2)*AP18</f>
        <v>17.454545454545453</v>
      </c>
      <c r="AQ36" s="176">
        <f>('Phương án 2'!$E$43*2+'Phương án 2'!$E$52*2)*AQ18</f>
        <v>17.454545454545453</v>
      </c>
      <c r="AR36" s="176">
        <f>('Phương án 2'!$E$43*2+'Phương án 2'!$E$52*2)*AR18</f>
        <v>17.454545454545453</v>
      </c>
      <c r="AS36" s="176">
        <f>('Phương án 2'!$E$43*2+'Phương án 2'!$E$52*2)*AS18</f>
        <v>17.454545454545453</v>
      </c>
      <c r="AT36" s="176">
        <f>('Phương án 2'!$E$43*2+'Phương án 2'!$E$52*2)*AT18</f>
        <v>17.454545454545453</v>
      </c>
      <c r="AU36" s="176">
        <f>('Phương án 2'!$E$43*2+'Phương án 2'!$E$52*2)*AU18</f>
        <v>17.454545454545453</v>
      </c>
      <c r="AV36" s="176">
        <f>('Phương án 2'!$E$43*2+'Phương án 2'!$E$52*2)*AV18</f>
        <v>17.454545454545453</v>
      </c>
      <c r="AW36" s="176">
        <f>('Phương án 2'!$E$43*2+'Phương án 2'!$E$52*2)*AW18</f>
        <v>17.454545454545453</v>
      </c>
      <c r="AX36" s="176">
        <f>('Phương án 2'!$E$43*2+'Phương án 2'!$E$52*2)*AX18</f>
        <v>17.454545454545453</v>
      </c>
      <c r="AY36" s="176">
        <f>('Phương án 2'!$E$43*2+'Phương án 2'!$E$52*2)*AY18</f>
        <v>17.454545454545453</v>
      </c>
      <c r="AZ36" s="89" t="s">
        <v>186</v>
      </c>
    </row>
    <row r="37" spans="1:52" ht="15.75" customHeight="1" x14ac:dyDescent="0.4">
      <c r="A37" s="109" t="s">
        <v>183</v>
      </c>
      <c r="B37" s="105"/>
      <c r="C37" s="95"/>
      <c r="D37" s="225">
        <f>SUM(D38:D40)</f>
        <v>11.912727272727272</v>
      </c>
      <c r="E37" s="225">
        <f t="shared" ref="E37:AA37" si="9">SUM(E38:E40)</f>
        <v>11.947090909090909</v>
      </c>
      <c r="F37" s="225">
        <f t="shared" si="9"/>
        <v>11.981798181818181</v>
      </c>
      <c r="G37" s="225">
        <f t="shared" si="9"/>
        <v>12.016852527272727</v>
      </c>
      <c r="H37" s="225">
        <f t="shared" si="9"/>
        <v>12.052257416181817</v>
      </c>
      <c r="I37" s="225">
        <f t="shared" si="9"/>
        <v>12.088016353979999</v>
      </c>
      <c r="J37" s="225">
        <f t="shared" si="9"/>
        <v>24.248265762312325</v>
      </c>
      <c r="K37" s="225">
        <f t="shared" si="9"/>
        <v>24.321221147208174</v>
      </c>
      <c r="L37" s="225">
        <f t="shared" si="9"/>
        <v>24.394906085952986</v>
      </c>
      <c r="M37" s="225">
        <f t="shared" si="9"/>
        <v>24.469327874085241</v>
      </c>
      <c r="N37" s="225">
        <f t="shared" si="9"/>
        <v>24.544493880098823</v>
      </c>
      <c r="O37" s="225">
        <f t="shared" si="9"/>
        <v>24.620411546172537</v>
      </c>
      <c r="P37" s="225">
        <f t="shared" si="9"/>
        <v>37.045632583360494</v>
      </c>
      <c r="Q37" s="225">
        <f t="shared" si="9"/>
        <v>37.16179800010319</v>
      </c>
      <c r="R37" s="225">
        <f t="shared" si="9"/>
        <v>37.279125071013311</v>
      </c>
      <c r="S37" s="225">
        <f t="shared" si="9"/>
        <v>37.397625412632536</v>
      </c>
      <c r="T37" s="225">
        <f t="shared" si="9"/>
        <v>37.51731075766795</v>
      </c>
      <c r="U37" s="225">
        <f t="shared" si="9"/>
        <v>37.638192956153723</v>
      </c>
      <c r="V37" s="225">
        <f t="shared" si="9"/>
        <v>50.347045302165796</v>
      </c>
      <c r="W37" s="225">
        <f t="shared" si="9"/>
        <v>50.511461209732907</v>
      </c>
      <c r="X37" s="225">
        <f t="shared" si="9"/>
        <v>50.677521276375693</v>
      </c>
      <c r="Y37" s="225">
        <f t="shared" si="9"/>
        <v>50.845241943684897</v>
      </c>
      <c r="Z37" s="225">
        <f t="shared" si="9"/>
        <v>51.014639817667209</v>
      </c>
      <c r="AA37" s="288">
        <f t="shared" si="9"/>
        <v>51.18573167038933</v>
      </c>
      <c r="AB37" s="225">
        <f t="shared" ref="AB37:AY37" si="10">SUM(AB38:AB40)</f>
        <v>47.650909090909089</v>
      </c>
      <c r="AC37" s="225">
        <f t="shared" si="10"/>
        <v>47.650909090909089</v>
      </c>
      <c r="AD37" s="225">
        <f t="shared" si="10"/>
        <v>47.650909090909089</v>
      </c>
      <c r="AE37" s="225">
        <f t="shared" si="10"/>
        <v>47.650909090909089</v>
      </c>
      <c r="AF37" s="225">
        <f t="shared" si="10"/>
        <v>47.650909090909089</v>
      </c>
      <c r="AG37" s="225">
        <f t="shared" si="10"/>
        <v>47.650909090909089</v>
      </c>
      <c r="AH37" s="225">
        <f t="shared" si="10"/>
        <v>47.650909090909089</v>
      </c>
      <c r="AI37" s="225">
        <f t="shared" si="10"/>
        <v>47.650909090909089</v>
      </c>
      <c r="AJ37" s="225">
        <f t="shared" si="10"/>
        <v>47.650909090909089</v>
      </c>
      <c r="AK37" s="225">
        <f t="shared" si="10"/>
        <v>47.650909090909089</v>
      </c>
      <c r="AL37" s="225">
        <f t="shared" si="10"/>
        <v>47.650909090909089</v>
      </c>
      <c r="AM37" s="225">
        <f t="shared" si="10"/>
        <v>47.650909090909089</v>
      </c>
      <c r="AN37" s="225">
        <f t="shared" si="10"/>
        <v>47.650909090909089</v>
      </c>
      <c r="AO37" s="225">
        <f t="shared" si="10"/>
        <v>47.650909090909089</v>
      </c>
      <c r="AP37" s="225">
        <f t="shared" si="10"/>
        <v>47.650909090909089</v>
      </c>
      <c r="AQ37" s="225">
        <f t="shared" si="10"/>
        <v>47.650909090909089</v>
      </c>
      <c r="AR37" s="225">
        <f t="shared" si="10"/>
        <v>47.650909090909089</v>
      </c>
      <c r="AS37" s="225">
        <f t="shared" si="10"/>
        <v>47.650909090909089</v>
      </c>
      <c r="AT37" s="225">
        <f t="shared" si="10"/>
        <v>47.650909090909089</v>
      </c>
      <c r="AU37" s="225">
        <f t="shared" si="10"/>
        <v>47.650909090909089</v>
      </c>
      <c r="AV37" s="225">
        <f t="shared" si="10"/>
        <v>47.650909090909089</v>
      </c>
      <c r="AW37" s="225">
        <f t="shared" si="10"/>
        <v>47.650909090909089</v>
      </c>
      <c r="AX37" s="225">
        <f t="shared" si="10"/>
        <v>47.650909090909089</v>
      </c>
      <c r="AY37" s="225">
        <f t="shared" si="10"/>
        <v>47.650909090909089</v>
      </c>
      <c r="AZ37" s="89" t="s">
        <v>186</v>
      </c>
    </row>
    <row r="38" spans="1:52" ht="15.75" x14ac:dyDescent="0.4">
      <c r="A38" s="107" t="s">
        <v>174</v>
      </c>
      <c r="B38" s="105"/>
      <c r="C38" s="95"/>
      <c r="D38" s="176">
        <f>('Phương án 2'!$E$45)*'Phương án 2'!$B$12/'Phương án 2'!$H$8*'Phân tích phương án 2'!D18</f>
        <v>5.04</v>
      </c>
      <c r="E38" s="176">
        <f>('Phương án 2'!$E$45)*'Phương án 2'!$B$12/'Phương án 2'!$H$8*'Phân tích phương án 2'!E18</f>
        <v>5.04</v>
      </c>
      <c r="F38" s="176">
        <f>('Phương án 2'!$E$45)*'Phương án 2'!$B$12/'Phương án 2'!$H$8*'Phân tích phương án 2'!F18</f>
        <v>5.04</v>
      </c>
      <c r="G38" s="176">
        <f>('Phương án 2'!$E$45)*'Phương án 2'!$B$12/'Phương án 2'!$H$8*'Phân tích phương án 2'!G18</f>
        <v>5.04</v>
      </c>
      <c r="H38" s="176">
        <f>('Phương án 2'!$E$45)*'Phương án 2'!$B$12/'Phương án 2'!$H$8*'Phân tích phương án 2'!H18</f>
        <v>5.04</v>
      </c>
      <c r="I38" s="176">
        <f>('Phương án 2'!$E$45)*'Phương án 2'!$B$12/'Phương án 2'!$H$8*'Phân tích phương án 2'!I18</f>
        <v>5.04</v>
      </c>
      <c r="J38" s="176">
        <f>('Phương án 2'!$E$45+'Phương án 2'!$E$54)*'Phương án 2'!$B$12/'Phương án 2'!$H$8*'Phân tích phương án 2'!J18</f>
        <v>10.08</v>
      </c>
      <c r="K38" s="176">
        <f>('Phương án 2'!$E$45+'Phương án 2'!$E$54)*'Phương án 2'!$B$12/'Phương án 2'!$H$8*'Phân tích phương án 2'!K18</f>
        <v>10.08</v>
      </c>
      <c r="L38" s="176">
        <f>('Phương án 2'!$E$45+'Phương án 2'!$E$54)*'Phương án 2'!$B$12/'Phương án 2'!$H$8*'Phân tích phương án 2'!L18</f>
        <v>10.08</v>
      </c>
      <c r="M38" s="176">
        <f>('Phương án 2'!$E$45+'Phương án 2'!$E$54)*'Phương án 2'!$B$12/'Phương án 2'!$H$8*'Phân tích phương án 2'!M18</f>
        <v>10.08</v>
      </c>
      <c r="N38" s="176">
        <f>('Phương án 2'!$E$45+'Phương án 2'!$E$54)*'Phương án 2'!$B$12/'Phương án 2'!$H$8*'Phân tích phương án 2'!N18</f>
        <v>10.08</v>
      </c>
      <c r="O38" s="176">
        <f>('Phương án 2'!$E$45+'Phương án 2'!$E$54)*'Phương án 2'!$B$12/'Phương án 2'!$H$8*'Phân tích phương án 2'!O18</f>
        <v>10.08</v>
      </c>
      <c r="P38" s="176">
        <f>('Phương án 2'!$E$45*2+'Phương án 2'!$E$54)*'Phương án 2'!$B$12/'Phương án 2'!$H$8*'Phân tích phương án 2'!P18</f>
        <v>15.12</v>
      </c>
      <c r="Q38" s="176">
        <f>('Phương án 2'!$E$45*2+'Phương án 2'!$E$54)*'Phương án 2'!$B$12/'Phương án 2'!$H$8*'Phân tích phương án 2'!Q18</f>
        <v>15.12</v>
      </c>
      <c r="R38" s="176">
        <f>('Phương án 2'!$E$45*2+'Phương án 2'!$E$54)*'Phương án 2'!$B$12/'Phương án 2'!$H$8*'Phân tích phương án 2'!R18</f>
        <v>15.12</v>
      </c>
      <c r="S38" s="176">
        <f>('Phương án 2'!$E$45*2+'Phương án 2'!$E$54)*'Phương án 2'!$B$12/'Phương án 2'!$H$8*'Phân tích phương án 2'!S18</f>
        <v>15.12</v>
      </c>
      <c r="T38" s="176">
        <f>('Phương án 2'!$E$45*2+'Phương án 2'!$E$54)*'Phương án 2'!$B$12/'Phương án 2'!$H$8*'Phân tích phương án 2'!T18</f>
        <v>15.12</v>
      </c>
      <c r="U38" s="176">
        <f>('Phương án 2'!$E$45*2+'Phương án 2'!$E$54)*'Phương án 2'!$B$12/'Phương án 2'!$H$8*'Phân tích phương án 2'!U18</f>
        <v>15.12</v>
      </c>
      <c r="V38" s="176">
        <f>('Phương án 2'!$E$45*2+'Phương án 2'!$E$54*2)*'Phương án 2'!$B$12/'Phương án 2'!$H$8*'Phân tích phương án 2'!V18</f>
        <v>20.16</v>
      </c>
      <c r="W38" s="176">
        <f>('Phương án 2'!$E$45*2+'Phương án 2'!$E$54*2)*'Phương án 2'!$B$12/'Phương án 2'!$H$8*'Phân tích phương án 2'!W18</f>
        <v>20.16</v>
      </c>
      <c r="X38" s="176">
        <f>('Phương án 2'!$E$45*2+'Phương án 2'!$E$54*2)*'Phương án 2'!$B$12/'Phương án 2'!$H$8*'Phân tích phương án 2'!X18</f>
        <v>20.16</v>
      </c>
      <c r="Y38" s="176">
        <f>('Phương án 2'!$E$45*2+'Phương án 2'!$E$54*2)*'Phương án 2'!$B$12/'Phương án 2'!$H$8*'Phân tích phương án 2'!Y18</f>
        <v>20.16</v>
      </c>
      <c r="Z38" s="176">
        <f>('Phương án 2'!$E$45*2+'Phương án 2'!$E$54*2)*'Phương án 2'!$B$12/'Phương án 2'!$H$8*'Phân tích phương án 2'!Z18</f>
        <v>20.16</v>
      </c>
      <c r="AA38" s="289">
        <f>('Phương án 2'!$E$45*2+'Phương án 2'!$E$54*2)*'Phương án 2'!$B$12/'Phương án 2'!$H$8*'Phân tích phương án 2'!AA18</f>
        <v>20.16</v>
      </c>
      <c r="AB38" s="176">
        <f>('Phương án 2'!$E$45*2+'Phương án 2'!$E$54*2)*'Phương án 2'!$B$12/'Phương án 2'!$H$8*'Phân tích phương án 2'!AB18</f>
        <v>20.16</v>
      </c>
      <c r="AC38" s="176">
        <f>('Phương án 2'!$E$45*2+'Phương án 2'!$E$54*2)*'Phương án 2'!$B$12/'Phương án 2'!$H$8*'Phân tích phương án 2'!AC18</f>
        <v>20.16</v>
      </c>
      <c r="AD38" s="176">
        <f>('Phương án 2'!$E$45*2+'Phương án 2'!$E$54*2)*'Phương án 2'!$B$12/'Phương án 2'!$H$8*'Phân tích phương án 2'!AD18</f>
        <v>20.16</v>
      </c>
      <c r="AE38" s="176">
        <f>('Phương án 2'!$E$45*2+'Phương án 2'!$E$54*2)*'Phương án 2'!$B$12/'Phương án 2'!$H$8*'Phân tích phương án 2'!AE18</f>
        <v>20.16</v>
      </c>
      <c r="AF38" s="176">
        <f>('Phương án 2'!$E$45*2+'Phương án 2'!$E$54*2)*'Phương án 2'!$B$12/'Phương án 2'!$H$8*'Phân tích phương án 2'!AF18</f>
        <v>20.16</v>
      </c>
      <c r="AG38" s="176">
        <f>('Phương án 2'!$E$45*2+'Phương án 2'!$E$54*2)*'Phương án 2'!$B$12/'Phương án 2'!$H$8*'Phân tích phương án 2'!AG18</f>
        <v>20.16</v>
      </c>
      <c r="AH38" s="176">
        <f>('Phương án 2'!$E$45*2+'Phương án 2'!$E$54*2)*'Phương án 2'!$B$12/'Phương án 2'!$H$8*'Phân tích phương án 2'!AH18</f>
        <v>20.16</v>
      </c>
      <c r="AI38" s="176">
        <f>('Phương án 2'!$E$45*2+'Phương án 2'!$E$54*2)*'Phương án 2'!$B$12/'Phương án 2'!$H$8*'Phân tích phương án 2'!AI18</f>
        <v>20.16</v>
      </c>
      <c r="AJ38" s="176">
        <f>('Phương án 2'!$E$45*2+'Phương án 2'!$E$54*2)*'Phương án 2'!$B$12/'Phương án 2'!$H$8*'Phân tích phương án 2'!AJ18</f>
        <v>20.16</v>
      </c>
      <c r="AK38" s="176">
        <f>('Phương án 2'!$E$45*2+'Phương án 2'!$E$54*2)*'Phương án 2'!$B$12/'Phương án 2'!$H$8*'Phân tích phương án 2'!AK18</f>
        <v>20.16</v>
      </c>
      <c r="AL38" s="176">
        <f>('Phương án 2'!$E$45*2+'Phương án 2'!$E$54*2)*'Phương án 2'!$B$12/'Phương án 2'!$H$8*'Phân tích phương án 2'!AL18</f>
        <v>20.16</v>
      </c>
      <c r="AM38" s="176">
        <f>('Phương án 2'!$E$45*2+'Phương án 2'!$E$54*2)*'Phương án 2'!$B$12/'Phương án 2'!$H$8*'Phân tích phương án 2'!AM18</f>
        <v>20.16</v>
      </c>
      <c r="AN38" s="176">
        <f>('Phương án 2'!$E$45*2+'Phương án 2'!$E$54*2)*'Phương án 2'!$B$12/'Phương án 2'!$H$8*'Phân tích phương án 2'!AN18</f>
        <v>20.16</v>
      </c>
      <c r="AO38" s="176">
        <f>('Phương án 2'!$E$45*2+'Phương án 2'!$E$54*2)*'Phương án 2'!$B$12/'Phương án 2'!$H$8*'Phân tích phương án 2'!AO18</f>
        <v>20.16</v>
      </c>
      <c r="AP38" s="176">
        <f>('Phương án 2'!$E$45*2+'Phương án 2'!$E$54*2)*'Phương án 2'!$B$12/'Phương án 2'!$H$8*'Phân tích phương án 2'!AP18</f>
        <v>20.16</v>
      </c>
      <c r="AQ38" s="176">
        <f>('Phương án 2'!$E$45*2+'Phương án 2'!$E$54*2)*'Phương án 2'!$B$12/'Phương án 2'!$H$8*'Phân tích phương án 2'!AQ18</f>
        <v>20.16</v>
      </c>
      <c r="AR38" s="176">
        <f>('Phương án 2'!$E$45*2+'Phương án 2'!$E$54*2)*'Phương án 2'!$B$12/'Phương án 2'!$H$8*'Phân tích phương án 2'!AR18</f>
        <v>20.16</v>
      </c>
      <c r="AS38" s="176">
        <f>('Phương án 2'!$E$45*2+'Phương án 2'!$E$54*2)*'Phương án 2'!$B$12/'Phương án 2'!$H$8*'Phân tích phương án 2'!AS18</f>
        <v>20.16</v>
      </c>
      <c r="AT38" s="176">
        <f>('Phương án 2'!$E$45*2+'Phương án 2'!$E$54*2)*'Phương án 2'!$B$12/'Phương án 2'!$H$8*'Phân tích phương án 2'!AT18</f>
        <v>20.16</v>
      </c>
      <c r="AU38" s="176">
        <f>('Phương án 2'!$E$45*2+'Phương án 2'!$E$54*2)*'Phương án 2'!$B$12/'Phương án 2'!$H$8*'Phân tích phương án 2'!AU18</f>
        <v>20.16</v>
      </c>
      <c r="AV38" s="176">
        <f>('Phương án 2'!$E$45*2+'Phương án 2'!$E$54*2)*'Phương án 2'!$B$12/'Phương án 2'!$H$8*'Phân tích phương án 2'!AV18</f>
        <v>20.16</v>
      </c>
      <c r="AW38" s="176">
        <f>('Phương án 2'!$E$45*2+'Phương án 2'!$E$54*2)*'Phương án 2'!$B$12/'Phương án 2'!$H$8*'Phân tích phương án 2'!AW18</f>
        <v>20.16</v>
      </c>
      <c r="AX38" s="176">
        <f>('Phương án 2'!$E$45*2+'Phương án 2'!$E$54*2)*'Phương án 2'!$B$12/'Phương án 2'!$H$8*'Phân tích phương án 2'!AX18</f>
        <v>20.16</v>
      </c>
      <c r="AY38" s="176">
        <f>('Phương án 2'!$E$45*2+'Phương án 2'!$E$54*2)*'Phương án 2'!$B$12/'Phương án 2'!$H$8*'Phân tích phương án 2'!AY18</f>
        <v>20.16</v>
      </c>
      <c r="AZ38" s="89" t="s">
        <v>186</v>
      </c>
    </row>
    <row r="39" spans="1:52" ht="15.75" x14ac:dyDescent="0.4">
      <c r="A39" s="107" t="s">
        <v>175</v>
      </c>
      <c r="B39" s="85"/>
      <c r="C39" s="95"/>
      <c r="D39" s="176">
        <f>('Phương án 2'!$E$46)*'Phương án 2'!$B$12/'Phương án 2'!$H$8*D19</f>
        <v>3.4363636363636361</v>
      </c>
      <c r="E39" s="176">
        <f>('Phương án 2'!$E$46)*'Phương án 2'!$B$12/'Phương án 2'!$H$8*E19</f>
        <v>3.4707272727272724</v>
      </c>
      <c r="F39" s="176">
        <f>('Phương án 2'!$E$46)*'Phương án 2'!$B$12/'Phương án 2'!$H$8*F19</f>
        <v>3.5054345454545452</v>
      </c>
      <c r="G39" s="176">
        <f>('Phương án 2'!$E$46)*'Phương án 2'!$B$12/'Phương án 2'!$H$8*G19</f>
        <v>3.5404888909090904</v>
      </c>
      <c r="H39" s="176">
        <f>('Phương án 2'!$E$46)*'Phương án 2'!$B$12/'Phương án 2'!$H$8*H19</f>
        <v>3.5758937798181818</v>
      </c>
      <c r="I39" s="176">
        <f>('Phương án 2'!$E$46)*'Phương án 2'!$B$12/'Phương án 2'!$H$8*I19</f>
        <v>3.6116527176163631</v>
      </c>
      <c r="J39" s="176">
        <f>('Phương án 2'!$E$46+'Phương án 2'!$E$55)*'Phương án 2'!$B$12/'Phương án 2'!$H$8*J19</f>
        <v>7.2955384895850548</v>
      </c>
      <c r="K39" s="176">
        <f>('Phương án 2'!$E$46+'Phương án 2'!$E$55)*'Phương án 2'!$B$12/'Phương án 2'!$H$8*K19</f>
        <v>7.3684938744809036</v>
      </c>
      <c r="L39" s="176">
        <f>('Phương án 2'!$E$46+'Phương án 2'!$E$55)*'Phương án 2'!$B$12/'Phương án 2'!$H$8*L19</f>
        <v>7.4421788132257145</v>
      </c>
      <c r="M39" s="176">
        <f>('Phương án 2'!$E$46+'Phương án 2'!$E$55)*'Phương án 2'!$B$12/'Phương án 2'!$H$8*M19</f>
        <v>7.5166006013579718</v>
      </c>
      <c r="N39" s="176">
        <f>('Phương án 2'!$E$46+'Phương án 2'!$E$55)*'Phương án 2'!$B$12/'Phương án 2'!$H$8*N19</f>
        <v>7.591766607371552</v>
      </c>
      <c r="O39" s="176">
        <f>('Phương án 2'!$E$46+'Phương án 2'!$E$55)*'Phương án 2'!$B$12/'Phương án 2'!$H$8*O19</f>
        <v>7.6676842734452659</v>
      </c>
      <c r="P39" s="176">
        <f>('Phương án 2'!$E$46*2+'Phương án 2'!$E$55)*'Phương án 2'!$B$12/'Phương án 2'!$H$8*P19</f>
        <v>11.61654167426958</v>
      </c>
      <c r="Q39" s="176">
        <f>('Phương án 2'!$E$46*2+'Phương án 2'!$E$55)*'Phương án 2'!$B$12/'Phương án 2'!$H$8*Q19</f>
        <v>11.732707091012276</v>
      </c>
      <c r="R39" s="176">
        <f>('Phương án 2'!$E$46*2+'Phương án 2'!$E$55)*'Phương án 2'!$B$12/'Phương án 2'!$H$8*R19</f>
        <v>11.850034161922402</v>
      </c>
      <c r="S39" s="176">
        <f>('Phương án 2'!$E$46*2+'Phương án 2'!$E$55)*'Phương án 2'!$B$12/'Phương án 2'!$H$8*S19</f>
        <v>11.968534503541623</v>
      </c>
      <c r="T39" s="176">
        <f>('Phương án 2'!$E$46*2+'Phương án 2'!$E$55)*'Phương án 2'!$B$12/'Phương án 2'!$H$8*T19</f>
        <v>12.088219848577042</v>
      </c>
      <c r="U39" s="176">
        <f>('Phương án 2'!$E$46*2+'Phương án 2'!$E$55)*'Phương án 2'!$B$12/'Phương án 2'!$H$8*U19</f>
        <v>12.209102047062812</v>
      </c>
      <c r="V39" s="176">
        <f>('Phương án 2'!$E$46*2+'Phương án 2'!$E$55*2)*'Phương án 2'!$B$12/'Phương án 2'!$H$8*V19</f>
        <v>16.441590756711253</v>
      </c>
      <c r="W39" s="176">
        <f>('Phương án 2'!$E$46*2+'Phương án 2'!$E$55*2)*'Phương án 2'!$B$12/'Phương án 2'!$H$8*W19</f>
        <v>16.606006664278361</v>
      </c>
      <c r="X39" s="176">
        <f>('Phương án 2'!$E$46*2+'Phương án 2'!$E$55*2)*'Phương án 2'!$B$12/'Phương án 2'!$H$8*X19</f>
        <v>16.772066730921146</v>
      </c>
      <c r="Y39" s="176">
        <f>('Phương án 2'!$E$46*2+'Phương án 2'!$E$55*2)*'Phương án 2'!$B$12/'Phương án 2'!$H$8*Y19</f>
        <v>16.939787398230354</v>
      </c>
      <c r="Z39" s="176">
        <f>('Phương án 2'!$E$46*2+'Phương án 2'!$E$55*2)*'Phương án 2'!$B$12/'Phương án 2'!$H$8*Z19</f>
        <v>17.109185272212663</v>
      </c>
      <c r="AA39" s="289">
        <f>('Phương án 2'!$E$46*2+'Phương án 2'!$E$55*2)*'Phương án 2'!$B$12/'Phương án 2'!$H$8*AA19</f>
        <v>17.280277124934788</v>
      </c>
      <c r="AB39" s="176">
        <f>('Phương án 2'!$E$46*2+'Phương án 2'!$E$55*2)*'Phương án 2'!$B$12/'Phương án 2'!$H$8*AB19</f>
        <v>13.745454545454544</v>
      </c>
      <c r="AC39" s="176">
        <f>('Phương án 2'!$E$46*2+'Phương án 2'!$E$55*2)*'Phương án 2'!$B$12/'Phương án 2'!$H$8*AC19</f>
        <v>13.745454545454544</v>
      </c>
      <c r="AD39" s="176">
        <f>('Phương án 2'!$E$46*2+'Phương án 2'!$E$55*2)*'Phương án 2'!$B$12/'Phương án 2'!$H$8*AD19</f>
        <v>13.745454545454544</v>
      </c>
      <c r="AE39" s="176">
        <f>('Phương án 2'!$E$46*2+'Phương án 2'!$E$55*2)*'Phương án 2'!$B$12/'Phương án 2'!$H$8*AE19</f>
        <v>13.745454545454544</v>
      </c>
      <c r="AF39" s="176">
        <f>('Phương án 2'!$E$46*2+'Phương án 2'!$E$55*2)*'Phương án 2'!$B$12/'Phương án 2'!$H$8*AF19</f>
        <v>13.745454545454544</v>
      </c>
      <c r="AG39" s="176">
        <f>('Phương án 2'!$E$46*2+'Phương án 2'!$E$55*2)*'Phương án 2'!$B$12/'Phương án 2'!$H$8*AG19</f>
        <v>13.745454545454544</v>
      </c>
      <c r="AH39" s="176">
        <f>('Phương án 2'!$E$46*2+'Phương án 2'!$E$55*2)*'Phương án 2'!$B$12/'Phương án 2'!$H$8*AH19</f>
        <v>13.745454545454544</v>
      </c>
      <c r="AI39" s="176">
        <f>('Phương án 2'!$E$46*2+'Phương án 2'!$E$55*2)*'Phương án 2'!$B$12/'Phương án 2'!$H$8*AI19</f>
        <v>13.745454545454544</v>
      </c>
      <c r="AJ39" s="176">
        <f>('Phương án 2'!$E$46*2+'Phương án 2'!$E$55*2)*'Phương án 2'!$B$12/'Phương án 2'!$H$8*AJ19</f>
        <v>13.745454545454544</v>
      </c>
      <c r="AK39" s="176">
        <f>('Phương án 2'!$E$46*2+'Phương án 2'!$E$55*2)*'Phương án 2'!$B$12/'Phương án 2'!$H$8*AK19</f>
        <v>13.745454545454544</v>
      </c>
      <c r="AL39" s="176">
        <f>('Phương án 2'!$E$46*2+'Phương án 2'!$E$55*2)*'Phương án 2'!$B$12/'Phương án 2'!$H$8*AL19</f>
        <v>13.745454545454544</v>
      </c>
      <c r="AM39" s="176">
        <f>('Phương án 2'!$E$46*2+'Phương án 2'!$E$55*2)*'Phương án 2'!$B$12/'Phương án 2'!$H$8*AM19</f>
        <v>13.745454545454544</v>
      </c>
      <c r="AN39" s="176">
        <f>('Phương án 2'!$E$46*2+'Phương án 2'!$E$55*2)*'Phương án 2'!$B$12/'Phương án 2'!$H$8*AN19</f>
        <v>13.745454545454544</v>
      </c>
      <c r="AO39" s="176">
        <f>('Phương án 2'!$E$46*2+'Phương án 2'!$E$55*2)*'Phương án 2'!$B$12/'Phương án 2'!$H$8*AO19</f>
        <v>13.745454545454544</v>
      </c>
      <c r="AP39" s="176">
        <f>('Phương án 2'!$E$46*2+'Phương án 2'!$E$55*2)*'Phương án 2'!$B$12/'Phương án 2'!$H$8*AP19</f>
        <v>13.745454545454544</v>
      </c>
      <c r="AQ39" s="176">
        <f>('Phương án 2'!$E$46*2+'Phương án 2'!$E$55*2)*'Phương án 2'!$B$12/'Phương án 2'!$H$8*AQ19</f>
        <v>13.745454545454544</v>
      </c>
      <c r="AR39" s="176">
        <f>('Phương án 2'!$E$46*2+'Phương án 2'!$E$55*2)*'Phương án 2'!$B$12/'Phương án 2'!$H$8*AR19</f>
        <v>13.745454545454544</v>
      </c>
      <c r="AS39" s="176">
        <f>('Phương án 2'!$E$46*2+'Phương án 2'!$E$55*2)*'Phương án 2'!$B$12/'Phương án 2'!$H$8*AS19</f>
        <v>13.745454545454544</v>
      </c>
      <c r="AT39" s="176">
        <f>('Phương án 2'!$E$46*2+'Phương án 2'!$E$55*2)*'Phương án 2'!$B$12/'Phương án 2'!$H$8*AT19</f>
        <v>13.745454545454544</v>
      </c>
      <c r="AU39" s="176">
        <f>('Phương án 2'!$E$46*2+'Phương án 2'!$E$55*2)*'Phương án 2'!$B$12/'Phương án 2'!$H$8*AU19</f>
        <v>13.745454545454544</v>
      </c>
      <c r="AV39" s="176">
        <f>('Phương án 2'!$E$46*2+'Phương án 2'!$E$55*2)*'Phương án 2'!$B$12/'Phương án 2'!$H$8*AV19</f>
        <v>13.745454545454544</v>
      </c>
      <c r="AW39" s="176">
        <f>('Phương án 2'!$E$46*2+'Phương án 2'!$E$55*2)*'Phương án 2'!$B$12/'Phương án 2'!$H$8*AW19</f>
        <v>13.745454545454544</v>
      </c>
      <c r="AX39" s="176">
        <f>('Phương án 2'!$E$46*2+'Phương án 2'!$E$55*2)*'Phương án 2'!$B$12/'Phương án 2'!$H$8*AX19</f>
        <v>13.745454545454544</v>
      </c>
      <c r="AY39" s="176">
        <f>('Phương án 2'!$E$46*2+'Phương án 2'!$E$55*2)*'Phương án 2'!$B$12/'Phương án 2'!$H$8*AY19</f>
        <v>13.745454545454544</v>
      </c>
      <c r="AZ39" s="89" t="s">
        <v>186</v>
      </c>
    </row>
    <row r="40" spans="1:52" ht="15.75" x14ac:dyDescent="0.4">
      <c r="A40" s="107" t="s">
        <v>176</v>
      </c>
      <c r="B40" s="85"/>
      <c r="C40" s="95"/>
      <c r="D40" s="176">
        <f>('Phương án 2'!$E$47)*'Phương án 2'!$B$12/'Phương án 2'!$H$8*'Phân tích phương án 2'!D18</f>
        <v>3.4363636363636361</v>
      </c>
      <c r="E40" s="176">
        <f>('Phương án 2'!$E$47)*'Phương án 2'!$B$12/'Phương án 2'!$H$8*'Phân tích phương án 2'!E18</f>
        <v>3.4363636363636361</v>
      </c>
      <c r="F40" s="176">
        <f>('Phương án 2'!$E$47)*'Phương án 2'!$B$12/'Phương án 2'!$H$8*'Phân tích phương án 2'!F18</f>
        <v>3.4363636363636361</v>
      </c>
      <c r="G40" s="176">
        <f>('Phương án 2'!$E$47)*'Phương án 2'!$B$12/'Phương án 2'!$H$8*'Phân tích phương án 2'!G18</f>
        <v>3.4363636363636361</v>
      </c>
      <c r="H40" s="176">
        <f>('Phương án 2'!$E$47)*'Phương án 2'!$B$12/'Phương án 2'!$H$8*'Phân tích phương án 2'!H18</f>
        <v>3.4363636363636361</v>
      </c>
      <c r="I40" s="176">
        <f>('Phương án 2'!$E$47)*'Phương án 2'!$B$12/'Phương án 2'!$H$8*'Phân tích phương án 2'!I18</f>
        <v>3.4363636363636361</v>
      </c>
      <c r="J40" s="176">
        <f>('Phương án 2'!$E$47+'Phương án 2'!$E$56)*'Phương án 2'!$B$12/'Phương án 2'!$H$8*'Phân tích phương án 2'!J18</f>
        <v>6.8727272727272721</v>
      </c>
      <c r="K40" s="176">
        <f>('Phương án 2'!$E$47+'Phương án 2'!$E$56)*'Phương án 2'!$B$12/'Phương án 2'!$H$8*'Phân tích phương án 2'!K18</f>
        <v>6.8727272727272721</v>
      </c>
      <c r="L40" s="176">
        <f>('Phương án 2'!$E$47+'Phương án 2'!$E$56)*'Phương án 2'!$B$12/'Phương án 2'!$H$8*'Phân tích phương án 2'!L18</f>
        <v>6.8727272727272721</v>
      </c>
      <c r="M40" s="176">
        <f>('Phương án 2'!$E$47+'Phương án 2'!$E$56)*'Phương án 2'!$B$12/'Phương án 2'!$H$8*'Phân tích phương án 2'!M18</f>
        <v>6.8727272727272721</v>
      </c>
      <c r="N40" s="176">
        <f>('Phương án 2'!$E$47+'Phương án 2'!$E$56)*'Phương án 2'!$B$12/'Phương án 2'!$H$8*'Phân tích phương án 2'!N18</f>
        <v>6.8727272727272721</v>
      </c>
      <c r="O40" s="176">
        <f>('Phương án 2'!$E$47+'Phương án 2'!$E$56)*'Phương án 2'!$B$12/'Phương án 2'!$H$8*'Phân tích phương án 2'!O18</f>
        <v>6.8727272727272721</v>
      </c>
      <c r="P40" s="176">
        <f>('Phương án 2'!$E$47*2+'Phương án 2'!$E$56)*'Phương án 2'!$B$12/'Phương án 2'!$H$8*'Phân tích phương án 2'!P18</f>
        <v>10.30909090909091</v>
      </c>
      <c r="Q40" s="176">
        <f>('Phương án 2'!$E$47*2+'Phương án 2'!$E$56)*'Phương án 2'!$B$12/'Phương án 2'!$H$8*'Phân tích phương án 2'!Q18</f>
        <v>10.30909090909091</v>
      </c>
      <c r="R40" s="176">
        <f>('Phương án 2'!$E$47*2+'Phương án 2'!$E$56)*'Phương án 2'!$B$12/'Phương án 2'!$H$8*'Phân tích phương án 2'!R18</f>
        <v>10.30909090909091</v>
      </c>
      <c r="S40" s="176">
        <f>('Phương án 2'!$E$47*2+'Phương án 2'!$E$56)*'Phương án 2'!$B$12/'Phương án 2'!$H$8*'Phân tích phương án 2'!S18</f>
        <v>10.30909090909091</v>
      </c>
      <c r="T40" s="176">
        <f>('Phương án 2'!$E$47*2+'Phương án 2'!$E$56)*'Phương án 2'!$B$12/'Phương án 2'!$H$8*'Phân tích phương án 2'!T18</f>
        <v>10.30909090909091</v>
      </c>
      <c r="U40" s="176">
        <f>('Phương án 2'!$E$47*2+'Phương án 2'!$E$56)*'Phương án 2'!$B$12/'Phương án 2'!$H$8*'Phân tích phương án 2'!U18</f>
        <v>10.30909090909091</v>
      </c>
      <c r="V40" s="176">
        <f>('Phương án 2'!$E$47*2+'Phương án 2'!$E$56*2)*'Phương án 2'!$B$12/'Phương án 2'!$H$8*'Phân tích phương án 2'!V18</f>
        <v>13.745454545454544</v>
      </c>
      <c r="W40" s="176">
        <f>('Phương án 2'!$E$47*2+'Phương án 2'!$E$56*2)*'Phương án 2'!$B$12/'Phương án 2'!$H$8*'Phân tích phương án 2'!W18</f>
        <v>13.745454545454544</v>
      </c>
      <c r="X40" s="176">
        <f>('Phương án 2'!$E$47*2+'Phương án 2'!$E$56*2)*'Phương án 2'!$B$12/'Phương án 2'!$H$8*'Phân tích phương án 2'!X18</f>
        <v>13.745454545454544</v>
      </c>
      <c r="Y40" s="176">
        <f>('Phương án 2'!$E$47*2+'Phương án 2'!$E$56*2)*'Phương án 2'!$B$12/'Phương án 2'!$H$8*'Phân tích phương án 2'!Y18</f>
        <v>13.745454545454544</v>
      </c>
      <c r="Z40" s="176">
        <f>('Phương án 2'!$E$47*2+'Phương án 2'!$E$56*2)*'Phương án 2'!$B$12/'Phương án 2'!$H$8*'Phân tích phương án 2'!Z18</f>
        <v>13.745454545454544</v>
      </c>
      <c r="AA40" s="289">
        <f>('Phương án 2'!$E$47*2+'Phương án 2'!$E$56*2)*'Phương án 2'!$B$12/'Phương án 2'!$H$8*'Phân tích phương án 2'!AA18</f>
        <v>13.745454545454544</v>
      </c>
      <c r="AB40" s="176">
        <f>('Phương án 2'!$E$47*2+'Phương án 2'!$E$56*2)*'Phương án 2'!$B$12/'Phương án 2'!$H$8*'Phân tích phương án 2'!AB18</f>
        <v>13.745454545454544</v>
      </c>
      <c r="AC40" s="176">
        <f>('Phương án 2'!$E$47*2+'Phương án 2'!$E$56*2)*'Phương án 2'!$B$12/'Phương án 2'!$H$8*'Phân tích phương án 2'!AC18</f>
        <v>13.745454545454544</v>
      </c>
      <c r="AD40" s="176">
        <f>('Phương án 2'!$E$47*2+'Phương án 2'!$E$56*2)*'Phương án 2'!$B$12/'Phương án 2'!$H$8*'Phân tích phương án 2'!AD18</f>
        <v>13.745454545454544</v>
      </c>
      <c r="AE40" s="176">
        <f>('Phương án 2'!$E$47*2+'Phương án 2'!$E$56*2)*'Phương án 2'!$B$12/'Phương án 2'!$H$8*'Phân tích phương án 2'!AE18</f>
        <v>13.745454545454544</v>
      </c>
      <c r="AF40" s="176">
        <f>('Phương án 2'!$E$47*2+'Phương án 2'!$E$56*2)*'Phương án 2'!$B$12/'Phương án 2'!$H$8*'Phân tích phương án 2'!AF18</f>
        <v>13.745454545454544</v>
      </c>
      <c r="AG40" s="176">
        <f>('Phương án 2'!$E$47*2+'Phương án 2'!$E$56*2)*'Phương án 2'!$B$12/'Phương án 2'!$H$8*'Phân tích phương án 2'!AG18</f>
        <v>13.745454545454544</v>
      </c>
      <c r="AH40" s="176">
        <f>('Phương án 2'!$E$47*2+'Phương án 2'!$E$56*2)*'Phương án 2'!$B$12/'Phương án 2'!$H$8*'Phân tích phương án 2'!AH18</f>
        <v>13.745454545454544</v>
      </c>
      <c r="AI40" s="176">
        <f>('Phương án 2'!$E$47*2+'Phương án 2'!$E$56*2)*'Phương án 2'!$B$12/'Phương án 2'!$H$8*'Phân tích phương án 2'!AI18</f>
        <v>13.745454545454544</v>
      </c>
      <c r="AJ40" s="176">
        <f>('Phương án 2'!$E$47*2+'Phương án 2'!$E$56*2)*'Phương án 2'!$B$12/'Phương án 2'!$H$8*'Phân tích phương án 2'!AJ18</f>
        <v>13.745454545454544</v>
      </c>
      <c r="AK40" s="176">
        <f>('Phương án 2'!$E$47*2+'Phương án 2'!$E$56*2)*'Phương án 2'!$B$12/'Phương án 2'!$H$8*'Phân tích phương án 2'!AK18</f>
        <v>13.745454545454544</v>
      </c>
      <c r="AL40" s="176">
        <f>('Phương án 2'!$E$47*2+'Phương án 2'!$E$56*2)*'Phương án 2'!$B$12/'Phương án 2'!$H$8*'Phân tích phương án 2'!AL18</f>
        <v>13.745454545454544</v>
      </c>
      <c r="AM40" s="176">
        <f>('Phương án 2'!$E$47*2+'Phương án 2'!$E$56*2)*'Phương án 2'!$B$12/'Phương án 2'!$H$8*'Phân tích phương án 2'!AM18</f>
        <v>13.745454545454544</v>
      </c>
      <c r="AN40" s="176">
        <f>('Phương án 2'!$E$47*2+'Phương án 2'!$E$56*2)*'Phương án 2'!$B$12/'Phương án 2'!$H$8*'Phân tích phương án 2'!AN18</f>
        <v>13.745454545454544</v>
      </c>
      <c r="AO40" s="176">
        <f>('Phương án 2'!$E$47*2+'Phương án 2'!$E$56*2)*'Phương án 2'!$B$12/'Phương án 2'!$H$8*'Phân tích phương án 2'!AO18</f>
        <v>13.745454545454544</v>
      </c>
      <c r="AP40" s="176">
        <f>('Phương án 2'!$E$47*2+'Phương án 2'!$E$56*2)*'Phương án 2'!$B$12/'Phương án 2'!$H$8*'Phân tích phương án 2'!AP18</f>
        <v>13.745454545454544</v>
      </c>
      <c r="AQ40" s="176">
        <f>('Phương án 2'!$E$47*2+'Phương án 2'!$E$56*2)*'Phương án 2'!$B$12/'Phương án 2'!$H$8*'Phân tích phương án 2'!AQ18</f>
        <v>13.745454545454544</v>
      </c>
      <c r="AR40" s="176">
        <f>('Phương án 2'!$E$47*2+'Phương án 2'!$E$56*2)*'Phương án 2'!$B$12/'Phương án 2'!$H$8*'Phân tích phương án 2'!AR18</f>
        <v>13.745454545454544</v>
      </c>
      <c r="AS40" s="176">
        <f>('Phương án 2'!$E$47*2+'Phương án 2'!$E$56*2)*'Phương án 2'!$B$12/'Phương án 2'!$H$8*'Phân tích phương án 2'!AS18</f>
        <v>13.745454545454544</v>
      </c>
      <c r="AT40" s="176">
        <f>('Phương án 2'!$E$47*2+'Phương án 2'!$E$56*2)*'Phương án 2'!$B$12/'Phương án 2'!$H$8*'Phân tích phương án 2'!AT18</f>
        <v>13.745454545454544</v>
      </c>
      <c r="AU40" s="176">
        <f>('Phương án 2'!$E$47*2+'Phương án 2'!$E$56*2)*'Phương án 2'!$B$12/'Phương án 2'!$H$8*'Phân tích phương án 2'!AU18</f>
        <v>13.745454545454544</v>
      </c>
      <c r="AV40" s="176">
        <f>('Phương án 2'!$E$47*2+'Phương án 2'!$E$56*2)*'Phương án 2'!$B$12/'Phương án 2'!$H$8*'Phân tích phương án 2'!AV18</f>
        <v>13.745454545454544</v>
      </c>
      <c r="AW40" s="176">
        <f>('Phương án 2'!$E$47*2+'Phương án 2'!$E$56*2)*'Phương án 2'!$B$12/'Phương án 2'!$H$8*'Phân tích phương án 2'!AW18</f>
        <v>13.745454545454544</v>
      </c>
      <c r="AX40" s="176">
        <f>('Phương án 2'!$E$47*2+'Phương án 2'!$E$56*2)*'Phương án 2'!$B$12/'Phương án 2'!$H$8*'Phân tích phương án 2'!AX18</f>
        <v>13.745454545454544</v>
      </c>
      <c r="AY40" s="176">
        <f>('Phương án 2'!$E$47*2+'Phương án 2'!$E$56*2)*'Phương án 2'!$B$12/'Phương án 2'!$H$8*'Phân tích phương án 2'!AY18</f>
        <v>13.745454545454544</v>
      </c>
      <c r="AZ40" s="89" t="s">
        <v>186</v>
      </c>
    </row>
    <row r="41" spans="1:52" ht="15.75" x14ac:dyDescent="0.4">
      <c r="A41" s="83"/>
      <c r="B41" s="84"/>
      <c r="C41" s="95"/>
      <c r="D41" s="176"/>
      <c r="E41" s="176"/>
      <c r="F41" s="176"/>
      <c r="G41" s="176"/>
      <c r="H41" s="176"/>
      <c r="I41" s="176"/>
      <c r="J41" s="176"/>
      <c r="K41" s="176"/>
      <c r="L41" s="176"/>
      <c r="M41" s="176"/>
      <c r="N41" s="176"/>
      <c r="O41" s="176"/>
      <c r="P41" s="176"/>
      <c r="Q41" s="176"/>
      <c r="R41" s="246"/>
      <c r="S41" s="246"/>
      <c r="T41" s="246"/>
      <c r="U41" s="246"/>
      <c r="V41" s="246"/>
      <c r="W41" s="246"/>
      <c r="X41" s="246"/>
      <c r="Y41" s="246"/>
      <c r="Z41" s="246"/>
      <c r="AA41" s="290"/>
      <c r="AB41" s="246"/>
      <c r="AC41" s="246"/>
      <c r="AD41" s="246"/>
      <c r="AE41" s="246"/>
      <c r="AF41" s="246"/>
      <c r="AG41" s="246"/>
      <c r="AH41" s="246"/>
      <c r="AI41" s="246"/>
      <c r="AJ41" s="246"/>
      <c r="AK41" s="246"/>
      <c r="AL41" s="246"/>
      <c r="AM41" s="246"/>
      <c r="AN41" s="246"/>
      <c r="AO41" s="246"/>
      <c r="AP41" s="246"/>
      <c r="AQ41" s="246"/>
      <c r="AR41" s="246"/>
      <c r="AS41" s="246"/>
      <c r="AT41" s="246"/>
      <c r="AU41" s="246"/>
      <c r="AV41" s="246"/>
      <c r="AW41" s="246"/>
      <c r="AX41" s="246"/>
      <c r="AY41" s="246"/>
      <c r="AZ41" s="89" t="s">
        <v>186</v>
      </c>
    </row>
    <row r="42" spans="1:52" ht="15.75" x14ac:dyDescent="0.4">
      <c r="A42" s="110" t="s">
        <v>40</v>
      </c>
      <c r="B42" s="84"/>
      <c r="C42" s="106"/>
      <c r="D42" s="225">
        <f>SUM(D30:D31)-D33-D37</f>
        <v>139.10545454545453</v>
      </c>
      <c r="E42" s="225">
        <f t="shared" ref="E42:AA42" si="11">SUM(E30:E31)-E33-E37</f>
        <v>139.01109090909088</v>
      </c>
      <c r="F42" s="225">
        <f t="shared" si="11"/>
        <v>138.91578363636361</v>
      </c>
      <c r="G42" s="225">
        <f t="shared" si="11"/>
        <v>138.81952329090907</v>
      </c>
      <c r="H42" s="225">
        <f t="shared" si="11"/>
        <v>138.72230034199998</v>
      </c>
      <c r="I42" s="225">
        <f t="shared" si="11"/>
        <v>138.6241051636018</v>
      </c>
      <c r="J42" s="225">
        <f t="shared" si="11"/>
        <v>288.59664928698805</v>
      </c>
      <c r="K42" s="225">
        <f t="shared" si="11"/>
        <v>288.43105214349424</v>
      </c>
      <c r="L42" s="225">
        <f t="shared" si="11"/>
        <v>288.26379902856559</v>
      </c>
      <c r="M42" s="225">
        <f t="shared" si="11"/>
        <v>288.09487338248761</v>
      </c>
      <c r="N42" s="225">
        <f t="shared" si="11"/>
        <v>287.92425847994889</v>
      </c>
      <c r="O42" s="225">
        <f t="shared" si="11"/>
        <v>287.75193742838468</v>
      </c>
      <c r="P42" s="225">
        <f t="shared" si="11"/>
        <v>425.48658060924134</v>
      </c>
      <c r="Q42" s="225">
        <f t="shared" si="11"/>
        <v>425.20446459715191</v>
      </c>
      <c r="R42" s="225">
        <f t="shared" si="11"/>
        <v>424.91952742494163</v>
      </c>
      <c r="S42" s="225">
        <f t="shared" si="11"/>
        <v>424.63174088100925</v>
      </c>
      <c r="T42" s="225">
        <f t="shared" si="11"/>
        <v>424.34107647163751</v>
      </c>
      <c r="U42" s="225">
        <f t="shared" si="11"/>
        <v>424.04750541817208</v>
      </c>
      <c r="V42" s="225">
        <f t="shared" si="11"/>
        <v>572.99292603130323</v>
      </c>
      <c r="W42" s="225">
        <f t="shared" si="11"/>
        <v>572.61972801888908</v>
      </c>
      <c r="X42" s="225">
        <f t="shared" si="11"/>
        <v>572.24279802635067</v>
      </c>
      <c r="Y42" s="225">
        <f t="shared" si="11"/>
        <v>571.86209873388691</v>
      </c>
      <c r="Z42" s="225">
        <f t="shared" si="11"/>
        <v>571.47759244849851</v>
      </c>
      <c r="AA42" s="288">
        <f t="shared" si="11"/>
        <v>671.08924110025623</v>
      </c>
      <c r="AB42" s="225">
        <f t="shared" ref="AB42:AY42" si="12">SUM(AB30:AB31)-AB33-AB37</f>
        <v>579.11272727272728</v>
      </c>
      <c r="AC42" s="225">
        <f t="shared" si="12"/>
        <v>579.11272727272728</v>
      </c>
      <c r="AD42" s="225">
        <f t="shared" si="12"/>
        <v>579.11272727272728</v>
      </c>
      <c r="AE42" s="225">
        <f t="shared" si="12"/>
        <v>579.11272727272728</v>
      </c>
      <c r="AF42" s="225">
        <f t="shared" si="12"/>
        <v>579.11272727272728</v>
      </c>
      <c r="AG42" s="225">
        <f t="shared" si="12"/>
        <v>579.11272727272728</v>
      </c>
      <c r="AH42" s="225">
        <f t="shared" si="12"/>
        <v>579.11272727272728</v>
      </c>
      <c r="AI42" s="225">
        <f t="shared" si="12"/>
        <v>579.11272727272728</v>
      </c>
      <c r="AJ42" s="225">
        <f t="shared" si="12"/>
        <v>579.11272727272728</v>
      </c>
      <c r="AK42" s="225">
        <f t="shared" si="12"/>
        <v>579.11272727272728</v>
      </c>
      <c r="AL42" s="225">
        <f t="shared" si="12"/>
        <v>579.11272727272728</v>
      </c>
      <c r="AM42" s="225">
        <f t="shared" si="12"/>
        <v>579.11272727272728</v>
      </c>
      <c r="AN42" s="225">
        <f t="shared" si="12"/>
        <v>579.11272727272728</v>
      </c>
      <c r="AO42" s="225">
        <f t="shared" si="12"/>
        <v>579.11272727272728</v>
      </c>
      <c r="AP42" s="225">
        <f t="shared" si="12"/>
        <v>579.11272727272728</v>
      </c>
      <c r="AQ42" s="225">
        <f t="shared" si="12"/>
        <v>579.11272727272728</v>
      </c>
      <c r="AR42" s="225">
        <f t="shared" si="12"/>
        <v>579.11272727272728</v>
      </c>
      <c r="AS42" s="225">
        <f t="shared" si="12"/>
        <v>579.11272727272728</v>
      </c>
      <c r="AT42" s="225">
        <f t="shared" si="12"/>
        <v>579.11272727272728</v>
      </c>
      <c r="AU42" s="225">
        <f t="shared" si="12"/>
        <v>579.11272727272728</v>
      </c>
      <c r="AV42" s="225">
        <f t="shared" si="12"/>
        <v>579.11272727272728</v>
      </c>
      <c r="AW42" s="225">
        <f t="shared" si="12"/>
        <v>579.11272727272728</v>
      </c>
      <c r="AX42" s="225">
        <f t="shared" si="12"/>
        <v>579.11272727272728</v>
      </c>
      <c r="AY42" s="225">
        <f t="shared" si="12"/>
        <v>579.11272727272728</v>
      </c>
      <c r="AZ42" s="89" t="s">
        <v>186</v>
      </c>
    </row>
    <row r="43" spans="1:52" ht="15.75" x14ac:dyDescent="0.4">
      <c r="A43" s="107" t="s">
        <v>41</v>
      </c>
      <c r="B43" s="84"/>
      <c r="C43" s="95"/>
      <c r="D43" s="176"/>
      <c r="E43" s="176">
        <f>'Phương án 2'!E74</f>
        <v>31.633986928104576</v>
      </c>
      <c r="F43" s="176">
        <f>'Phương án 2'!F74</f>
        <v>31.633986928104576</v>
      </c>
      <c r="G43" s="176">
        <f>'Phương án 2'!G74</f>
        <v>31.633986928104576</v>
      </c>
      <c r="H43" s="176">
        <f>'Phương án 2'!H74</f>
        <v>31.633986928104576</v>
      </c>
      <c r="I43" s="176">
        <f>'Phương án 2'!I74</f>
        <v>31.633986928104576</v>
      </c>
      <c r="J43" s="176">
        <f>'Phương án 2'!J74</f>
        <v>43.137254901960787</v>
      </c>
      <c r="K43" s="176">
        <f>'Phương án 2'!K74</f>
        <v>43.137254901960787</v>
      </c>
      <c r="L43" s="176">
        <f>'Phương án 2'!L74</f>
        <v>43.137254901960787</v>
      </c>
      <c r="M43" s="176">
        <f>'Phương án 2'!M74</f>
        <v>43.137254901960787</v>
      </c>
      <c r="N43" s="176">
        <f>'Phương án 2'!N74</f>
        <v>43.137254901960787</v>
      </c>
      <c r="O43" s="176">
        <f>'Phương án 2'!O74</f>
        <v>43.137254901960787</v>
      </c>
      <c r="P43" s="176">
        <f>'Phương án 2'!P74</f>
        <v>74.771241830065364</v>
      </c>
      <c r="Q43" s="176">
        <f>'Phương án 2'!Q74</f>
        <v>74.771241830065364</v>
      </c>
      <c r="R43" s="176">
        <f>'Phương án 2'!R74</f>
        <v>74.771241830065364</v>
      </c>
      <c r="S43" s="176">
        <f>'Phương án 2'!S74</f>
        <v>74.771241830065364</v>
      </c>
      <c r="T43" s="176">
        <f>'Phương án 2'!T74</f>
        <v>74.771241830065364</v>
      </c>
      <c r="U43" s="176">
        <f>'Phương án 2'!U74</f>
        <v>74.771241830065364</v>
      </c>
      <c r="V43" s="176">
        <f>'Phương án 2'!V74</f>
        <v>86.274509803921575</v>
      </c>
      <c r="W43" s="176">
        <f>'Phương án 2'!W74</f>
        <v>86.274509803921575</v>
      </c>
      <c r="X43" s="176">
        <f>'Phương án 2'!X74</f>
        <v>86.274509803921575</v>
      </c>
      <c r="Y43" s="176">
        <f>'Phương án 2'!Y74</f>
        <v>86.274509803921575</v>
      </c>
      <c r="Z43" s="176">
        <f>'Phương án 2'!Z74</f>
        <v>86.274509803921575</v>
      </c>
      <c r="AA43" s="289">
        <f>'Phương án 2'!AA74</f>
        <v>86.274509803921575</v>
      </c>
      <c r="AB43" s="176">
        <f>'Phương án 2'!AB74</f>
        <v>86.274509803921575</v>
      </c>
      <c r="AC43" s="176">
        <f>'Phương án 2'!AC74</f>
        <v>78.82352941176471</v>
      </c>
      <c r="AD43" s="176">
        <f>'Phương án 2'!AD74</f>
        <v>78.82352941176471</v>
      </c>
      <c r="AE43" s="176">
        <f>'Phương án 2'!AE74</f>
        <v>78.82352941176471</v>
      </c>
      <c r="AF43" s="176">
        <f>'Phương án 2'!AF74</f>
        <v>78.82352941176471</v>
      </c>
      <c r="AG43" s="176">
        <f>'Phương án 2'!AG74</f>
        <v>78.82352941176471</v>
      </c>
      <c r="AH43" s="176">
        <f>'Phương án 2'!AH74</f>
        <v>62.48366013071896</v>
      </c>
      <c r="AI43" s="176">
        <f>'Phương án 2'!AI74</f>
        <v>62.48366013071896</v>
      </c>
      <c r="AJ43" s="176">
        <f>'Phương án 2'!AJ74</f>
        <v>62.48366013071896</v>
      </c>
      <c r="AK43" s="176">
        <f>'Phương án 2'!AK74</f>
        <v>62.48366013071896</v>
      </c>
      <c r="AL43" s="176">
        <f>'Phương án 2'!AL74</f>
        <v>62.48366013071896</v>
      </c>
      <c r="AM43" s="176">
        <f>'Phương án 2'!AM74</f>
        <v>62.48366013071896</v>
      </c>
      <c r="AN43" s="176">
        <f>'Phương án 2'!AN74</f>
        <v>50.980392156862749</v>
      </c>
      <c r="AO43" s="176">
        <f>'Phương án 2'!AO74</f>
        <v>43.529411764705884</v>
      </c>
      <c r="AP43" s="176">
        <f>'Phương án 2'!AP74</f>
        <v>43.529411764705884</v>
      </c>
      <c r="AQ43" s="176">
        <f>'Phương án 2'!AQ74</f>
        <v>43.529411764705884</v>
      </c>
      <c r="AR43" s="176">
        <f>'Phương án 2'!AR74</f>
        <v>35.686274509803923</v>
      </c>
      <c r="AS43" s="176">
        <f>'Phương án 2'!AS74</f>
        <v>35.686274509803923</v>
      </c>
      <c r="AT43" s="176">
        <f>'Phương án 2'!AT74</f>
        <v>19.346405228758169</v>
      </c>
      <c r="AU43" s="176">
        <f>'Phương án 2'!AU74</f>
        <v>19.346405228758169</v>
      </c>
      <c r="AV43" s="176">
        <f>'Phương án 2'!AV74</f>
        <v>19.346405228758169</v>
      </c>
      <c r="AW43" s="176">
        <f>'Phương án 2'!AW74</f>
        <v>19.346405228758169</v>
      </c>
      <c r="AX43" s="176">
        <f>'Phương án 2'!AX74</f>
        <v>19.346405228758169</v>
      </c>
      <c r="AY43" s="176">
        <f>'Phương án 2'!AY74</f>
        <v>19.346405228758169</v>
      </c>
      <c r="AZ43" s="89" t="s">
        <v>186</v>
      </c>
    </row>
    <row r="44" spans="1:52" ht="15.75" x14ac:dyDescent="0.4">
      <c r="A44" s="84" t="s">
        <v>42</v>
      </c>
      <c r="B44" s="84"/>
      <c r="C44" s="95">
        <f t="shared" ref="C44:Q44" si="13">C10</f>
        <v>40.000000000000036</v>
      </c>
      <c r="D44" s="176">
        <f t="shared" si="13"/>
        <v>38.526818202559234</v>
      </c>
      <c r="E44" s="176">
        <f t="shared" si="13"/>
        <v>36.935781861323164</v>
      </c>
      <c r="F44" s="176">
        <f t="shared" si="13"/>
        <v>35.217462612788211</v>
      </c>
      <c r="G44" s="176">
        <f t="shared" si="13"/>
        <v>33.361677824370453</v>
      </c>
      <c r="H44" s="176">
        <f t="shared" si="13"/>
        <v>31.357430252879286</v>
      </c>
      <c r="I44" s="176">
        <f t="shared" si="13"/>
        <v>29.19284287566882</v>
      </c>
      <c r="J44" s="176">
        <f t="shared" si="13"/>
        <v>26.855088508281522</v>
      </c>
      <c r="K44" s="176">
        <f t="shared" si="13"/>
        <v>24.330313791503233</v>
      </c>
      <c r="L44" s="176">
        <f t="shared" si="13"/>
        <v>21.603557097382684</v>
      </c>
      <c r="M44" s="176">
        <f t="shared" si="13"/>
        <v>18.658659867732492</v>
      </c>
      <c r="N44" s="176">
        <f t="shared" si="13"/>
        <v>15.478170859710284</v>
      </c>
      <c r="O44" s="176">
        <f t="shared" si="13"/>
        <v>12.043242731046297</v>
      </c>
      <c r="P44" s="176">
        <f t="shared" si="13"/>
        <v>8.3335203520891934</v>
      </c>
      <c r="Q44" s="176">
        <f t="shared" si="13"/>
        <v>4.3270201828155201</v>
      </c>
      <c r="R44" s="246"/>
      <c r="S44" s="246"/>
      <c r="T44" s="246"/>
      <c r="U44" s="246"/>
      <c r="V44" s="246"/>
      <c r="W44" s="246"/>
      <c r="X44" s="246"/>
      <c r="Y44" s="246"/>
      <c r="Z44" s="246"/>
      <c r="AA44" s="290"/>
      <c r="AB44" s="246"/>
      <c r="AC44" s="246"/>
      <c r="AD44" s="246"/>
      <c r="AE44" s="246"/>
      <c r="AF44" s="246"/>
      <c r="AG44" s="246"/>
      <c r="AH44" s="246"/>
      <c r="AI44" s="246"/>
      <c r="AJ44" s="246"/>
      <c r="AK44" s="246"/>
      <c r="AL44" s="246"/>
      <c r="AM44" s="246"/>
      <c r="AN44" s="246"/>
      <c r="AO44" s="246"/>
      <c r="AP44" s="246"/>
      <c r="AQ44" s="246"/>
      <c r="AR44" s="246"/>
      <c r="AS44" s="246"/>
      <c r="AT44" s="246"/>
      <c r="AU44" s="246"/>
      <c r="AV44" s="246"/>
      <c r="AW44" s="246"/>
      <c r="AX44" s="246"/>
      <c r="AY44" s="246"/>
      <c r="AZ44" s="89" t="s">
        <v>186</v>
      </c>
    </row>
    <row r="45" spans="1:52" ht="15.75" x14ac:dyDescent="0.4">
      <c r="A45" s="84"/>
      <c r="B45" s="84"/>
      <c r="C45" s="95"/>
      <c r="D45" s="176"/>
      <c r="E45" s="176"/>
      <c r="F45" s="176"/>
      <c r="G45" s="176"/>
      <c r="H45" s="176"/>
      <c r="I45" s="176"/>
      <c r="J45" s="176"/>
      <c r="K45" s="176"/>
      <c r="L45" s="176"/>
      <c r="M45" s="176"/>
      <c r="N45" s="176"/>
      <c r="O45" s="176"/>
      <c r="P45" s="176"/>
      <c r="Q45" s="176"/>
      <c r="R45" s="246"/>
      <c r="S45" s="246"/>
      <c r="T45" s="246"/>
      <c r="U45" s="246"/>
      <c r="V45" s="246"/>
      <c r="W45" s="246"/>
      <c r="X45" s="246"/>
      <c r="Y45" s="246"/>
      <c r="Z45" s="246"/>
      <c r="AA45" s="290"/>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AX45" s="246"/>
      <c r="AY45" s="246"/>
      <c r="AZ45" s="89" t="s">
        <v>186</v>
      </c>
    </row>
    <row r="46" spans="1:52" ht="15.75" x14ac:dyDescent="0.4">
      <c r="A46" s="98" t="s">
        <v>43</v>
      </c>
      <c r="B46" s="84"/>
      <c r="C46" s="106">
        <f>C42-C43-C44</f>
        <v>-40.000000000000036</v>
      </c>
      <c r="D46" s="225">
        <f>D42-D43-D44</f>
        <v>100.57863634289529</v>
      </c>
      <c r="E46" s="225">
        <f t="shared" ref="E46:AA46" si="14">E42-E43-E44</f>
        <v>70.441322119663141</v>
      </c>
      <c r="F46" s="225">
        <f t="shared" si="14"/>
        <v>72.064334095470826</v>
      </c>
      <c r="G46" s="225">
        <f t="shared" si="14"/>
        <v>73.823858538434052</v>
      </c>
      <c r="H46" s="225">
        <f t="shared" si="14"/>
        <v>75.730883161016123</v>
      </c>
      <c r="I46" s="225">
        <f t="shared" si="14"/>
        <v>77.797275359828404</v>
      </c>
      <c r="J46" s="225">
        <f t="shared" si="14"/>
        <v>218.60430587674577</v>
      </c>
      <c r="K46" s="225">
        <f t="shared" si="14"/>
        <v>220.96348345003022</v>
      </c>
      <c r="L46" s="225">
        <f t="shared" si="14"/>
        <v>223.52298702922212</v>
      </c>
      <c r="M46" s="225">
        <f t="shared" si="14"/>
        <v>226.29895861279434</v>
      </c>
      <c r="N46" s="225">
        <f t="shared" si="14"/>
        <v>229.30883271827784</v>
      </c>
      <c r="O46" s="225">
        <f t="shared" si="14"/>
        <v>232.57143979537761</v>
      </c>
      <c r="P46" s="225">
        <f t="shared" si="14"/>
        <v>342.38181842708678</v>
      </c>
      <c r="Q46" s="225">
        <f t="shared" si="14"/>
        <v>346.10620258427099</v>
      </c>
      <c r="R46" s="225">
        <f t="shared" si="14"/>
        <v>350.14828559487626</v>
      </c>
      <c r="S46" s="225">
        <f t="shared" si="14"/>
        <v>349.86049905094387</v>
      </c>
      <c r="T46" s="225">
        <f t="shared" si="14"/>
        <v>349.56983464157213</v>
      </c>
      <c r="U46" s="225">
        <f t="shared" si="14"/>
        <v>349.2762635881067</v>
      </c>
      <c r="V46" s="225">
        <f t="shared" si="14"/>
        <v>486.71841622738168</v>
      </c>
      <c r="W46" s="225">
        <f t="shared" si="14"/>
        <v>486.34521821496753</v>
      </c>
      <c r="X46" s="225">
        <f t="shared" si="14"/>
        <v>485.96828822242912</v>
      </c>
      <c r="Y46" s="225">
        <f t="shared" si="14"/>
        <v>485.58758892996536</v>
      </c>
      <c r="Z46" s="225">
        <f t="shared" si="14"/>
        <v>485.20308264457697</v>
      </c>
      <c r="AA46" s="288">
        <f t="shared" si="14"/>
        <v>584.81473129633468</v>
      </c>
      <c r="AB46" s="225">
        <f t="shared" ref="AB46:AY46" si="15">AB42-AB43-AB44</f>
        <v>492.83821746880574</v>
      </c>
      <c r="AC46" s="225">
        <f t="shared" si="15"/>
        <v>500.28919786096259</v>
      </c>
      <c r="AD46" s="225">
        <f t="shared" si="15"/>
        <v>500.28919786096259</v>
      </c>
      <c r="AE46" s="225">
        <f t="shared" si="15"/>
        <v>500.28919786096259</v>
      </c>
      <c r="AF46" s="225">
        <f t="shared" si="15"/>
        <v>500.28919786096259</v>
      </c>
      <c r="AG46" s="225">
        <f t="shared" si="15"/>
        <v>500.28919786096259</v>
      </c>
      <c r="AH46" s="225">
        <f t="shared" si="15"/>
        <v>516.62906714200835</v>
      </c>
      <c r="AI46" s="225">
        <f t="shared" si="15"/>
        <v>516.62906714200835</v>
      </c>
      <c r="AJ46" s="225">
        <f t="shared" si="15"/>
        <v>516.62906714200835</v>
      </c>
      <c r="AK46" s="225">
        <f t="shared" si="15"/>
        <v>516.62906714200835</v>
      </c>
      <c r="AL46" s="225">
        <f t="shared" si="15"/>
        <v>516.62906714200835</v>
      </c>
      <c r="AM46" s="225">
        <f t="shared" si="15"/>
        <v>516.62906714200835</v>
      </c>
      <c r="AN46" s="225">
        <f t="shared" si="15"/>
        <v>528.13233511586452</v>
      </c>
      <c r="AO46" s="225">
        <f t="shared" si="15"/>
        <v>535.58331550802143</v>
      </c>
      <c r="AP46" s="225">
        <f t="shared" si="15"/>
        <v>535.58331550802143</v>
      </c>
      <c r="AQ46" s="225">
        <f t="shared" si="15"/>
        <v>535.58331550802143</v>
      </c>
      <c r="AR46" s="225">
        <f t="shared" si="15"/>
        <v>543.42645276292342</v>
      </c>
      <c r="AS46" s="225">
        <f t="shared" si="15"/>
        <v>543.42645276292342</v>
      </c>
      <c r="AT46" s="225">
        <f t="shared" si="15"/>
        <v>559.76632204396913</v>
      </c>
      <c r="AU46" s="225">
        <f t="shared" si="15"/>
        <v>559.76632204396913</v>
      </c>
      <c r="AV46" s="225">
        <f t="shared" si="15"/>
        <v>559.76632204396913</v>
      </c>
      <c r="AW46" s="225">
        <f t="shared" si="15"/>
        <v>559.76632204396913</v>
      </c>
      <c r="AX46" s="225">
        <f t="shared" si="15"/>
        <v>559.76632204396913</v>
      </c>
      <c r="AY46" s="225">
        <f t="shared" si="15"/>
        <v>559.76632204396913</v>
      </c>
      <c r="AZ46" s="89" t="s">
        <v>186</v>
      </c>
    </row>
    <row r="47" spans="1:52" ht="15.75" x14ac:dyDescent="0.4">
      <c r="A47" s="96" t="s">
        <v>17</v>
      </c>
      <c r="B47" s="96"/>
      <c r="C47" s="97">
        <v>0</v>
      </c>
      <c r="D47" s="247">
        <f>D46*'Phương án 2'!$E$7</f>
        <v>30.173590902868586</v>
      </c>
      <c r="E47" s="247">
        <f>E46*'Phương án 2'!$E$7</f>
        <v>21.132396635898942</v>
      </c>
      <c r="F47" s="247">
        <f>F46*'Phương án 2'!$E$7</f>
        <v>21.619300228641247</v>
      </c>
      <c r="G47" s="247">
        <f>G46*'Phương án 2'!$E$7</f>
        <v>22.147157561530214</v>
      </c>
      <c r="H47" s="247">
        <f>H46*'Phương án 2'!$E$7</f>
        <v>22.719264948304836</v>
      </c>
      <c r="I47" s="247">
        <f>I46*'Phương án 2'!$E$7</f>
        <v>23.339182607948519</v>
      </c>
      <c r="J47" s="247">
        <f>J46*'Phương án 2'!$E$7</f>
        <v>65.581291763023728</v>
      </c>
      <c r="K47" s="247">
        <f>K46*'Phương án 2'!$E$7</f>
        <v>66.289045035009067</v>
      </c>
      <c r="L47" s="247">
        <f>L46*'Phương án 2'!$E$7</f>
        <v>67.056896108766637</v>
      </c>
      <c r="M47" s="247">
        <f>M46*'Phương án 2'!$E$7</f>
        <v>67.889687583838295</v>
      </c>
      <c r="N47" s="247">
        <f>N46*'Phương án 2'!$E$7</f>
        <v>68.792649815483344</v>
      </c>
      <c r="O47" s="247">
        <f>O46*'Phương án 2'!$E$7</f>
        <v>69.771431938613276</v>
      </c>
      <c r="P47" s="247">
        <f>P46*'Phương án 2'!$E$7</f>
        <v>102.71454552812604</v>
      </c>
      <c r="Q47" s="247">
        <f>Q46*'Phương án 2'!$E$7</f>
        <v>103.8318607752813</v>
      </c>
      <c r="R47" s="247">
        <f>R46*'Phương án 2'!$E$7</f>
        <v>105.04448567846288</v>
      </c>
      <c r="S47" s="247">
        <f>S46*'Phương án 2'!$E$7</f>
        <v>104.95814971528316</v>
      </c>
      <c r="T47" s="247">
        <f>T46*'Phương án 2'!$E$7</f>
        <v>104.87095039247164</v>
      </c>
      <c r="U47" s="247">
        <f>U46*'Phương án 2'!$E$7</f>
        <v>104.78287907643201</v>
      </c>
      <c r="V47" s="247">
        <f>V46*'Phương án 2'!$E$7</f>
        <v>146.0155248682145</v>
      </c>
      <c r="W47" s="247">
        <f>W46*'Phương án 2'!$E$7</f>
        <v>145.90356546449024</v>
      </c>
      <c r="X47" s="247">
        <f>X46*'Phương án 2'!$E$7</f>
        <v>145.79048646672874</v>
      </c>
      <c r="Y47" s="247">
        <f>Y46*'Phương án 2'!$E$7</f>
        <v>145.67627667898961</v>
      </c>
      <c r="Z47" s="247">
        <f>Z46*'Phương án 2'!$E$7</f>
        <v>145.56092479337309</v>
      </c>
      <c r="AA47" s="291">
        <f>AA46*'Phương án 2'!$E$7</f>
        <v>175.4444193889004</v>
      </c>
      <c r="AB47" s="247">
        <f>AB46*'Phương án 2'!$E$7</f>
        <v>147.85146524064172</v>
      </c>
      <c r="AC47" s="247">
        <f>AC46*'Phương án 2'!$E$7</f>
        <v>150.08675935828876</v>
      </c>
      <c r="AD47" s="247">
        <f>AD46*'Phương án 2'!$E$7</f>
        <v>150.08675935828876</v>
      </c>
      <c r="AE47" s="247">
        <f>AE46*'Phương án 2'!$E$7</f>
        <v>150.08675935828876</v>
      </c>
      <c r="AF47" s="247">
        <f>AF46*'Phương án 2'!$E$7</f>
        <v>150.08675935828876</v>
      </c>
      <c r="AG47" s="247">
        <f>AG46*'Phương án 2'!$E$7</f>
        <v>150.08675935828876</v>
      </c>
      <c r="AH47" s="247">
        <f>AH46*'Phương án 2'!$E$7</f>
        <v>154.98872014260249</v>
      </c>
      <c r="AI47" s="247">
        <f>AI46*'Phương án 2'!$E$7</f>
        <v>154.98872014260249</v>
      </c>
      <c r="AJ47" s="247">
        <f>AJ46*'Phương án 2'!$E$7</f>
        <v>154.98872014260249</v>
      </c>
      <c r="AK47" s="247">
        <f>AK46*'Phương án 2'!$E$7</f>
        <v>154.98872014260249</v>
      </c>
      <c r="AL47" s="247">
        <f>AL46*'Phương án 2'!$E$7</f>
        <v>154.98872014260249</v>
      </c>
      <c r="AM47" s="247">
        <f>AM46*'Phương án 2'!$E$7</f>
        <v>154.98872014260249</v>
      </c>
      <c r="AN47" s="247">
        <f>AN46*'Phương án 2'!$E$7</f>
        <v>158.43970053475934</v>
      </c>
      <c r="AO47" s="247">
        <f>AO46*'Phương án 2'!$E$7</f>
        <v>160.67499465240641</v>
      </c>
      <c r="AP47" s="247">
        <f>AP46*'Phương án 2'!$E$7</f>
        <v>160.67499465240641</v>
      </c>
      <c r="AQ47" s="247">
        <f>AQ46*'Phương án 2'!$E$7</f>
        <v>160.67499465240641</v>
      </c>
      <c r="AR47" s="247">
        <f>AR46*'Phương án 2'!$E$7</f>
        <v>163.02793582887702</v>
      </c>
      <c r="AS47" s="247">
        <f>AS46*'Phương án 2'!$E$7</f>
        <v>163.02793582887702</v>
      </c>
      <c r="AT47" s="247">
        <f>AT46*'Phương án 2'!$E$7</f>
        <v>167.92989661319072</v>
      </c>
      <c r="AU47" s="247">
        <f>AU46*'Phương án 2'!$E$7</f>
        <v>167.92989661319072</v>
      </c>
      <c r="AV47" s="247">
        <f>AV46*'Phương án 2'!$E$7</f>
        <v>167.92989661319072</v>
      </c>
      <c r="AW47" s="247">
        <f>AW46*'Phương án 2'!$E$7</f>
        <v>167.92989661319072</v>
      </c>
      <c r="AX47" s="247">
        <f>AX46*'Phương án 2'!$E$7</f>
        <v>167.92989661319072</v>
      </c>
      <c r="AY47" s="247">
        <f>AY46*'Phương án 2'!$E$7</f>
        <v>167.92989661319072</v>
      </c>
      <c r="AZ47" s="89" t="s">
        <v>186</v>
      </c>
    </row>
    <row r="48" spans="1:52" ht="15.75" x14ac:dyDescent="0.4">
      <c r="A48" s="92"/>
      <c r="B48" s="92"/>
      <c r="C48" s="92"/>
      <c r="D48" s="92"/>
      <c r="E48" s="92"/>
      <c r="F48" s="84"/>
      <c r="G48" s="84"/>
      <c r="H48" s="84"/>
      <c r="I48" s="84"/>
      <c r="J48" s="84"/>
      <c r="K48" s="84"/>
      <c r="L48" s="84"/>
      <c r="AZ48" s="89" t="s">
        <v>186</v>
      </c>
    </row>
    <row r="49" spans="1:52" ht="15.75" x14ac:dyDescent="0.4">
      <c r="A49" s="92"/>
      <c r="B49" s="92"/>
      <c r="C49" s="92"/>
      <c r="D49" s="92"/>
      <c r="E49" s="92"/>
      <c r="F49" s="84"/>
      <c r="G49" s="84"/>
      <c r="H49" s="84"/>
      <c r="I49" s="84"/>
      <c r="J49" s="84"/>
      <c r="K49" s="84"/>
      <c r="L49" s="84"/>
      <c r="AZ49" s="89" t="s">
        <v>186</v>
      </c>
    </row>
    <row r="50" spans="1:52" ht="15.75" x14ac:dyDescent="0.4">
      <c r="A50" s="321" t="s">
        <v>44</v>
      </c>
      <c r="B50" s="321"/>
      <c r="C50" s="321"/>
      <c r="D50" s="111"/>
      <c r="E50" s="111"/>
      <c r="F50" s="84"/>
      <c r="G50" s="84"/>
      <c r="H50" s="84"/>
      <c r="I50" s="84"/>
      <c r="J50" s="84"/>
      <c r="K50" s="84"/>
      <c r="L50" s="84"/>
      <c r="AZ50" s="89" t="s">
        <v>186</v>
      </c>
    </row>
    <row r="51" spans="1:52" ht="15.75" x14ac:dyDescent="0.4">
      <c r="A51" s="92"/>
      <c r="B51" s="92"/>
      <c r="C51" s="92"/>
      <c r="D51" s="92"/>
      <c r="E51" s="92"/>
      <c r="F51" s="84"/>
      <c r="G51" s="84"/>
      <c r="H51" s="84"/>
      <c r="I51" s="84"/>
      <c r="J51" s="84"/>
      <c r="K51" s="84"/>
      <c r="L51" s="84"/>
      <c r="AY51" s="131" t="s">
        <v>184</v>
      </c>
      <c r="AZ51" s="89" t="s">
        <v>186</v>
      </c>
    </row>
    <row r="52" spans="1:52" ht="15.75" x14ac:dyDescent="0.4">
      <c r="A52" s="93" t="s">
        <v>2</v>
      </c>
      <c r="B52" s="94">
        <f t="shared" ref="B52:AG52" si="16">B23</f>
        <v>0</v>
      </c>
      <c r="C52" s="94">
        <f t="shared" si="16"/>
        <v>1</v>
      </c>
      <c r="D52" s="94">
        <f t="shared" si="16"/>
        <v>2</v>
      </c>
      <c r="E52" s="94">
        <f t="shared" si="16"/>
        <v>3</v>
      </c>
      <c r="F52" s="94">
        <f t="shared" si="16"/>
        <v>4</v>
      </c>
      <c r="G52" s="94">
        <f t="shared" si="16"/>
        <v>5</v>
      </c>
      <c r="H52" s="94">
        <f t="shared" si="16"/>
        <v>6</v>
      </c>
      <c r="I52" s="94">
        <f t="shared" si="16"/>
        <v>7</v>
      </c>
      <c r="J52" s="94">
        <f t="shared" si="16"/>
        <v>8</v>
      </c>
      <c r="K52" s="94">
        <f t="shared" si="16"/>
        <v>9</v>
      </c>
      <c r="L52" s="94">
        <f t="shared" si="16"/>
        <v>10</v>
      </c>
      <c r="M52" s="94">
        <f t="shared" si="16"/>
        <v>11</v>
      </c>
      <c r="N52" s="94">
        <f t="shared" si="16"/>
        <v>12</v>
      </c>
      <c r="O52" s="94">
        <f t="shared" si="16"/>
        <v>13</v>
      </c>
      <c r="P52" s="94">
        <f t="shared" si="16"/>
        <v>14</v>
      </c>
      <c r="Q52" s="94">
        <f t="shared" si="16"/>
        <v>15</v>
      </c>
      <c r="R52" s="94">
        <f t="shared" si="16"/>
        <v>16</v>
      </c>
      <c r="S52" s="94">
        <f t="shared" si="16"/>
        <v>17</v>
      </c>
      <c r="T52" s="94">
        <f t="shared" si="16"/>
        <v>18</v>
      </c>
      <c r="U52" s="94">
        <f t="shared" si="16"/>
        <v>19</v>
      </c>
      <c r="V52" s="94">
        <f t="shared" si="16"/>
        <v>20</v>
      </c>
      <c r="W52" s="94">
        <f t="shared" si="16"/>
        <v>21</v>
      </c>
      <c r="X52" s="94">
        <f t="shared" si="16"/>
        <v>22</v>
      </c>
      <c r="Y52" s="94">
        <f t="shared" si="16"/>
        <v>23</v>
      </c>
      <c r="Z52" s="94">
        <f t="shared" si="16"/>
        <v>24</v>
      </c>
      <c r="AA52" s="284">
        <f t="shared" si="16"/>
        <v>25</v>
      </c>
      <c r="AB52" s="94">
        <f t="shared" si="16"/>
        <v>26</v>
      </c>
      <c r="AC52" s="94">
        <f t="shared" si="16"/>
        <v>27</v>
      </c>
      <c r="AD52" s="94">
        <f t="shared" si="16"/>
        <v>28</v>
      </c>
      <c r="AE52" s="94">
        <f t="shared" si="16"/>
        <v>29</v>
      </c>
      <c r="AF52" s="94">
        <f t="shared" si="16"/>
        <v>30</v>
      </c>
      <c r="AG52" s="94">
        <f t="shared" si="16"/>
        <v>31</v>
      </c>
      <c r="AH52" s="94">
        <f t="shared" ref="AH52:AY52" si="17">AH23</f>
        <v>32</v>
      </c>
      <c r="AI52" s="94">
        <f t="shared" si="17"/>
        <v>33</v>
      </c>
      <c r="AJ52" s="94">
        <f t="shared" si="17"/>
        <v>34</v>
      </c>
      <c r="AK52" s="94">
        <f t="shared" si="17"/>
        <v>35</v>
      </c>
      <c r="AL52" s="94">
        <f t="shared" si="17"/>
        <v>36</v>
      </c>
      <c r="AM52" s="94">
        <f t="shared" si="17"/>
        <v>37</v>
      </c>
      <c r="AN52" s="94">
        <f t="shared" si="17"/>
        <v>38</v>
      </c>
      <c r="AO52" s="94">
        <f t="shared" si="17"/>
        <v>39</v>
      </c>
      <c r="AP52" s="94">
        <f t="shared" si="17"/>
        <v>40</v>
      </c>
      <c r="AQ52" s="94">
        <f t="shared" si="17"/>
        <v>41</v>
      </c>
      <c r="AR52" s="94">
        <f t="shared" si="17"/>
        <v>42</v>
      </c>
      <c r="AS52" s="94">
        <f t="shared" si="17"/>
        <v>43</v>
      </c>
      <c r="AT52" s="94">
        <f t="shared" si="17"/>
        <v>44</v>
      </c>
      <c r="AU52" s="94">
        <f t="shared" si="17"/>
        <v>45</v>
      </c>
      <c r="AV52" s="94">
        <f t="shared" si="17"/>
        <v>46</v>
      </c>
      <c r="AW52" s="94">
        <f t="shared" si="17"/>
        <v>47</v>
      </c>
      <c r="AX52" s="94">
        <f t="shared" si="17"/>
        <v>48</v>
      </c>
      <c r="AY52" s="94">
        <f t="shared" si="17"/>
        <v>49</v>
      </c>
      <c r="AZ52" s="89" t="s">
        <v>186</v>
      </c>
    </row>
    <row r="53" spans="1:52" ht="15.75" x14ac:dyDescent="0.4">
      <c r="A53" s="113" t="s">
        <v>45</v>
      </c>
      <c r="B53" s="85"/>
      <c r="C53" s="85"/>
      <c r="D53" s="85"/>
      <c r="E53" s="85"/>
      <c r="F53" s="85"/>
      <c r="G53" s="85"/>
      <c r="H53" s="85"/>
      <c r="I53" s="85"/>
      <c r="J53" s="85"/>
      <c r="K53" s="85"/>
      <c r="L53" s="85"/>
      <c r="M53" s="85"/>
      <c r="N53" s="85"/>
      <c r="O53" s="85"/>
      <c r="P53" s="85"/>
      <c r="Q53" s="85"/>
      <c r="AZ53" s="89" t="s">
        <v>186</v>
      </c>
    </row>
    <row r="54" spans="1:52" ht="15.75" x14ac:dyDescent="0.4">
      <c r="A54" s="114" t="s">
        <v>46</v>
      </c>
      <c r="B54" s="226"/>
      <c r="C54" s="226"/>
      <c r="D54" s="226">
        <f t="shared" ref="D54:AA54" si="18">D30</f>
        <v>171.81818181818181</v>
      </c>
      <c r="E54" s="226">
        <f t="shared" si="18"/>
        <v>171.81818181818181</v>
      </c>
      <c r="F54" s="226">
        <f t="shared" si="18"/>
        <v>171.81818181818181</v>
      </c>
      <c r="G54" s="226">
        <f t="shared" si="18"/>
        <v>171.81818181818181</v>
      </c>
      <c r="H54" s="226">
        <f t="shared" si="18"/>
        <v>171.81818181818181</v>
      </c>
      <c r="I54" s="226">
        <f t="shared" si="18"/>
        <v>171.81818181818181</v>
      </c>
      <c r="J54" s="226">
        <f t="shared" si="18"/>
        <v>343.63636363636363</v>
      </c>
      <c r="K54" s="226">
        <f t="shared" si="18"/>
        <v>343.63636363636363</v>
      </c>
      <c r="L54" s="226">
        <f t="shared" si="18"/>
        <v>343.63636363636363</v>
      </c>
      <c r="M54" s="226">
        <f t="shared" si="18"/>
        <v>343.63636363636363</v>
      </c>
      <c r="N54" s="226">
        <f t="shared" si="18"/>
        <v>343.63636363636363</v>
      </c>
      <c r="O54" s="226">
        <f t="shared" si="18"/>
        <v>343.63636363636363</v>
      </c>
      <c r="P54" s="226">
        <f t="shared" si="18"/>
        <v>515.45454545454538</v>
      </c>
      <c r="Q54" s="226">
        <f t="shared" si="18"/>
        <v>515.45454545454538</v>
      </c>
      <c r="R54" s="226">
        <f t="shared" si="18"/>
        <v>515.45454545454538</v>
      </c>
      <c r="S54" s="226">
        <f t="shared" si="18"/>
        <v>515.45454545454538</v>
      </c>
      <c r="T54" s="226">
        <f t="shared" si="18"/>
        <v>515.45454545454538</v>
      </c>
      <c r="U54" s="226">
        <f t="shared" si="18"/>
        <v>515.45454545454538</v>
      </c>
      <c r="V54" s="226">
        <f t="shared" si="18"/>
        <v>687.27272727272725</v>
      </c>
      <c r="W54" s="226">
        <f t="shared" si="18"/>
        <v>687.27272727272725</v>
      </c>
      <c r="X54" s="226">
        <f t="shared" si="18"/>
        <v>687.27272727272725</v>
      </c>
      <c r="Y54" s="226">
        <f t="shared" si="18"/>
        <v>687.27272727272725</v>
      </c>
      <c r="Z54" s="226">
        <f t="shared" si="18"/>
        <v>687.27272727272725</v>
      </c>
      <c r="AA54" s="292">
        <f t="shared" si="18"/>
        <v>687.27272727272725</v>
      </c>
      <c r="AB54" s="226">
        <f t="shared" ref="AB54:AY54" si="19">AB30</f>
        <v>687.27272727272725</v>
      </c>
      <c r="AC54" s="226">
        <f t="shared" si="19"/>
        <v>687.27272727272725</v>
      </c>
      <c r="AD54" s="226">
        <f t="shared" si="19"/>
        <v>687.27272727272725</v>
      </c>
      <c r="AE54" s="226">
        <f t="shared" si="19"/>
        <v>687.27272727272725</v>
      </c>
      <c r="AF54" s="226">
        <f t="shared" si="19"/>
        <v>687.27272727272725</v>
      </c>
      <c r="AG54" s="226">
        <f t="shared" si="19"/>
        <v>687.27272727272725</v>
      </c>
      <c r="AH54" s="226">
        <f t="shared" si="19"/>
        <v>687.27272727272725</v>
      </c>
      <c r="AI54" s="226">
        <f t="shared" si="19"/>
        <v>687.27272727272725</v>
      </c>
      <c r="AJ54" s="226">
        <f t="shared" si="19"/>
        <v>687.27272727272725</v>
      </c>
      <c r="AK54" s="226">
        <f t="shared" si="19"/>
        <v>687.27272727272725</v>
      </c>
      <c r="AL54" s="226">
        <f t="shared" si="19"/>
        <v>687.27272727272725</v>
      </c>
      <c r="AM54" s="226">
        <f t="shared" si="19"/>
        <v>687.27272727272725</v>
      </c>
      <c r="AN54" s="226">
        <f t="shared" si="19"/>
        <v>687.27272727272725</v>
      </c>
      <c r="AO54" s="226">
        <f t="shared" si="19"/>
        <v>687.27272727272725</v>
      </c>
      <c r="AP54" s="226">
        <f t="shared" si="19"/>
        <v>687.27272727272725</v>
      </c>
      <c r="AQ54" s="226">
        <f t="shared" si="19"/>
        <v>687.27272727272725</v>
      </c>
      <c r="AR54" s="226">
        <f t="shared" si="19"/>
        <v>687.27272727272725</v>
      </c>
      <c r="AS54" s="226">
        <f t="shared" si="19"/>
        <v>687.27272727272725</v>
      </c>
      <c r="AT54" s="226">
        <f t="shared" si="19"/>
        <v>687.27272727272725</v>
      </c>
      <c r="AU54" s="226">
        <f t="shared" si="19"/>
        <v>687.27272727272725</v>
      </c>
      <c r="AV54" s="226">
        <f t="shared" si="19"/>
        <v>687.27272727272725</v>
      </c>
      <c r="AW54" s="226">
        <f t="shared" si="19"/>
        <v>687.27272727272725</v>
      </c>
      <c r="AX54" s="226">
        <f t="shared" si="19"/>
        <v>687.27272727272725</v>
      </c>
      <c r="AY54" s="226">
        <f t="shared" si="19"/>
        <v>687.27272727272725</v>
      </c>
      <c r="AZ54" s="89" t="s">
        <v>186</v>
      </c>
    </row>
    <row r="55" spans="1:52" ht="15.75" x14ac:dyDescent="0.4">
      <c r="A55" s="107" t="s">
        <v>47</v>
      </c>
      <c r="B55" s="226"/>
      <c r="C55" s="226"/>
      <c r="D55" s="226">
        <f>'Phương án 2'!$E$60/'Phương án 2'!$H$8*D18</f>
        <v>17.181818181818187</v>
      </c>
      <c r="E55" s="226">
        <f>'Phương án 2'!$E$60/'Phương án 2'!$H$8*E18</f>
        <v>17.181818181818187</v>
      </c>
      <c r="F55" s="226">
        <f>'Phương án 2'!$E$60/'Phương án 2'!$H$8*F18</f>
        <v>17.181818181818187</v>
      </c>
      <c r="G55" s="226">
        <f>'Phương án 2'!$E$60/'Phương án 2'!$H$8*G18</f>
        <v>17.181818181818187</v>
      </c>
      <c r="H55" s="226">
        <f>'Phương án 2'!$E$60/'Phương án 2'!$H$8*H18</f>
        <v>17.181818181818187</v>
      </c>
      <c r="I55" s="226">
        <f>'Phương án 2'!$E$60/'Phương án 2'!$H$8*I18</f>
        <v>17.181818181818187</v>
      </c>
      <c r="J55" s="226">
        <f>'Phương án 2'!$E$61/'Phương án 2'!$H$8*J18</f>
        <v>34.363636363636374</v>
      </c>
      <c r="K55" s="226">
        <f>'Phương án 2'!$E$61/'Phương án 2'!$H$8*K18</f>
        <v>34.363636363636374</v>
      </c>
      <c r="L55" s="226">
        <f>'Phương án 2'!$E$61/'Phương án 2'!$H$8*L18</f>
        <v>34.363636363636374</v>
      </c>
      <c r="M55" s="226">
        <f>'Phương án 2'!$E$61/'Phương án 2'!$H$8*M18</f>
        <v>34.363636363636374</v>
      </c>
      <c r="N55" s="226">
        <f>'Phương án 2'!$E$61/'Phương án 2'!$H$8*N18</f>
        <v>34.363636363636374</v>
      </c>
      <c r="O55" s="226">
        <f>'Phương án 2'!$E$61/'Phương án 2'!$H$8*O18</f>
        <v>34.363636363636374</v>
      </c>
      <c r="P55" s="226">
        <f>'Phương án 2'!$E$62/'Phương án 2'!$H$8*P18</f>
        <v>51.545454545454561</v>
      </c>
      <c r="Q55" s="226">
        <f>'Phương án 2'!$E$62/'Phương án 2'!$H$8*Q18</f>
        <v>51.545454545454561</v>
      </c>
      <c r="R55" s="226">
        <f>'Phương án 2'!$E$62/'Phương án 2'!$H$8*R18</f>
        <v>51.545454545454561</v>
      </c>
      <c r="S55" s="226">
        <f>'Phương án 2'!$E$62/'Phương án 2'!$H$8*S18</f>
        <v>51.545454545454561</v>
      </c>
      <c r="T55" s="226">
        <f>'Phương án 2'!$E$62/'Phương án 2'!$H$8*T18</f>
        <v>51.545454545454561</v>
      </c>
      <c r="U55" s="226">
        <f>'Phương án 2'!$E$62/'Phương án 2'!$H$8*U18</f>
        <v>51.545454545454561</v>
      </c>
      <c r="V55" s="226">
        <f>'Phương án 2'!$E$63/'Phương án 2'!$H$8*V18</f>
        <v>68.727272727272748</v>
      </c>
      <c r="W55" s="226">
        <f>'Phương án 2'!$E$63/'Phương án 2'!$H$8*W18</f>
        <v>68.727272727272748</v>
      </c>
      <c r="X55" s="226">
        <f>'Phương án 2'!$E$63/'Phương án 2'!$H$8*X18</f>
        <v>68.727272727272748</v>
      </c>
      <c r="Y55" s="226">
        <f>'Phương án 2'!$E$63/'Phương án 2'!$H$8*Y18</f>
        <v>68.727272727272748</v>
      </c>
      <c r="Z55" s="226">
        <f>'Phương án 2'!$E$63/'Phương án 2'!$H$8*Z18</f>
        <v>68.727272727272748</v>
      </c>
      <c r="AA55" s="292">
        <f>'Phương án 2'!$E$63/'Phương án 2'!$H$8*AA18</f>
        <v>68.727272727272748</v>
      </c>
      <c r="AB55" s="226">
        <f>'Phương án 2'!$E$63/'Phương án 2'!$H$8*AB18</f>
        <v>68.727272727272748</v>
      </c>
      <c r="AC55" s="226">
        <f>'Phương án 2'!$E$63/'Phương án 2'!$H$8*AC18</f>
        <v>68.727272727272748</v>
      </c>
      <c r="AD55" s="226">
        <f>'Phương án 2'!$E$63/'Phương án 2'!$H$8*AD18</f>
        <v>68.727272727272748</v>
      </c>
      <c r="AE55" s="226">
        <f>'Phương án 2'!$E$63/'Phương án 2'!$H$8*AE18</f>
        <v>68.727272727272748</v>
      </c>
      <c r="AF55" s="226">
        <f>'Phương án 2'!$E$63/'Phương án 2'!$H$8*AF18</f>
        <v>68.727272727272748</v>
      </c>
      <c r="AG55" s="226">
        <f>'Phương án 2'!$E$63/'Phương án 2'!$H$8*AG18</f>
        <v>68.727272727272748</v>
      </c>
      <c r="AH55" s="226">
        <f>'Phương án 2'!$E$63/'Phương án 2'!$H$8*AH18</f>
        <v>68.727272727272748</v>
      </c>
      <c r="AI55" s="226">
        <f>'Phương án 2'!$E$63/'Phương án 2'!$H$8*AI18</f>
        <v>68.727272727272748</v>
      </c>
      <c r="AJ55" s="226">
        <f>'Phương án 2'!$E$63/'Phương án 2'!$H$8*AJ18</f>
        <v>68.727272727272748</v>
      </c>
      <c r="AK55" s="226">
        <f>'Phương án 2'!$E$63/'Phương án 2'!$H$8*AK18</f>
        <v>68.727272727272748</v>
      </c>
      <c r="AL55" s="226">
        <f>'Phương án 2'!$E$63/'Phương án 2'!$H$8*AL18</f>
        <v>68.727272727272748</v>
      </c>
      <c r="AM55" s="226">
        <f>'Phương án 2'!$E$63/'Phương án 2'!$H$8*AM18</f>
        <v>68.727272727272748</v>
      </c>
      <c r="AN55" s="226">
        <f>'Phương án 2'!$E$63/'Phương án 2'!$H$8*AN18</f>
        <v>68.727272727272748</v>
      </c>
      <c r="AO55" s="226">
        <f>'Phương án 2'!$E$63/'Phương án 2'!$H$8*AO18</f>
        <v>68.727272727272748</v>
      </c>
      <c r="AP55" s="226">
        <f>'Phương án 2'!$E$63/'Phương án 2'!$H$8*AP18</f>
        <v>68.727272727272748</v>
      </c>
      <c r="AQ55" s="226">
        <f>'Phương án 2'!$E$63/'Phương án 2'!$H$8*AQ18</f>
        <v>68.727272727272748</v>
      </c>
      <c r="AR55" s="226">
        <f>'Phương án 2'!$E$63/'Phương án 2'!$H$8*AR18</f>
        <v>68.727272727272748</v>
      </c>
      <c r="AS55" s="226">
        <f>'Phương án 2'!$E$63/'Phương án 2'!$H$8*AS18</f>
        <v>68.727272727272748</v>
      </c>
      <c r="AT55" s="226">
        <f>'Phương án 2'!$E$63/'Phương án 2'!$H$8*AT18</f>
        <v>68.727272727272748</v>
      </c>
      <c r="AU55" s="226">
        <f>'Phương án 2'!$E$63/'Phương án 2'!$H$8*AU18</f>
        <v>68.727272727272748</v>
      </c>
      <c r="AV55" s="226">
        <f>'Phương án 2'!$E$63/'Phương án 2'!$H$8*AV18</f>
        <v>68.727272727272748</v>
      </c>
      <c r="AW55" s="226">
        <f>'Phương án 2'!$E$63/'Phương án 2'!$H$8*AW18</f>
        <v>68.727272727272748</v>
      </c>
      <c r="AX55" s="226">
        <f>'Phương án 2'!$E$63/'Phương án 2'!$H$8*AX18</f>
        <v>68.727272727272748</v>
      </c>
      <c r="AY55" s="226">
        <f>'Phương án 2'!$E$63/'Phương án 2'!$H$8*AY18</f>
        <v>68.727272727272748</v>
      </c>
      <c r="AZ55" s="89" t="s">
        <v>186</v>
      </c>
    </row>
    <row r="56" spans="1:52" ht="15.75" x14ac:dyDescent="0.4">
      <c r="A56" s="107" t="s">
        <v>258</v>
      </c>
      <c r="B56" s="226"/>
      <c r="C56" s="226"/>
      <c r="D56" s="226"/>
      <c r="E56" s="226"/>
      <c r="F56" s="226"/>
      <c r="G56" s="226"/>
      <c r="H56" s="226"/>
      <c r="I56" s="226"/>
      <c r="J56" s="226"/>
      <c r="K56" s="226"/>
      <c r="L56" s="226"/>
      <c r="M56" s="226"/>
      <c r="N56" s="226"/>
      <c r="O56" s="226"/>
      <c r="P56" s="226"/>
      <c r="Q56" s="226"/>
      <c r="R56" s="226"/>
      <c r="S56" s="226"/>
      <c r="T56" s="226"/>
      <c r="U56" s="226"/>
      <c r="V56" s="226"/>
      <c r="W56" s="226"/>
      <c r="X56" s="226"/>
      <c r="Y56" s="226"/>
      <c r="Z56" s="226"/>
      <c r="AA56" s="292">
        <f>AA31</f>
        <v>100</v>
      </c>
    </row>
    <row r="57" spans="1:52" ht="15.75" x14ac:dyDescent="0.4">
      <c r="A57" s="109" t="s">
        <v>48</v>
      </c>
      <c r="B57" s="248"/>
      <c r="C57" s="248"/>
      <c r="D57" s="248">
        <f>SUM(D54:D56)</f>
        <v>189</v>
      </c>
      <c r="E57" s="248">
        <f t="shared" ref="E57:AY57" si="20">SUM(E54:E56)</f>
        <v>189</v>
      </c>
      <c r="F57" s="248">
        <f t="shared" si="20"/>
        <v>189</v>
      </c>
      <c r="G57" s="248">
        <f t="shared" si="20"/>
        <v>189</v>
      </c>
      <c r="H57" s="248">
        <f t="shared" si="20"/>
        <v>189</v>
      </c>
      <c r="I57" s="248">
        <f t="shared" si="20"/>
        <v>189</v>
      </c>
      <c r="J57" s="248">
        <f t="shared" si="20"/>
        <v>378</v>
      </c>
      <c r="K57" s="248">
        <f t="shared" si="20"/>
        <v>378</v>
      </c>
      <c r="L57" s="248">
        <f t="shared" si="20"/>
        <v>378</v>
      </c>
      <c r="M57" s="248">
        <f t="shared" si="20"/>
        <v>378</v>
      </c>
      <c r="N57" s="248">
        <f t="shared" si="20"/>
        <v>378</v>
      </c>
      <c r="O57" s="248">
        <f t="shared" si="20"/>
        <v>378</v>
      </c>
      <c r="P57" s="248">
        <f t="shared" si="20"/>
        <v>567</v>
      </c>
      <c r="Q57" s="248">
        <f t="shared" si="20"/>
        <v>567</v>
      </c>
      <c r="R57" s="248">
        <f t="shared" si="20"/>
        <v>567</v>
      </c>
      <c r="S57" s="248">
        <f t="shared" si="20"/>
        <v>567</v>
      </c>
      <c r="T57" s="248">
        <f t="shared" si="20"/>
        <v>567</v>
      </c>
      <c r="U57" s="248">
        <f t="shared" si="20"/>
        <v>567</v>
      </c>
      <c r="V57" s="248">
        <f t="shared" si="20"/>
        <v>756</v>
      </c>
      <c r="W57" s="248">
        <f t="shared" si="20"/>
        <v>756</v>
      </c>
      <c r="X57" s="248">
        <f t="shared" si="20"/>
        <v>756</v>
      </c>
      <c r="Y57" s="248">
        <f t="shared" si="20"/>
        <v>756</v>
      </c>
      <c r="Z57" s="248">
        <f t="shared" si="20"/>
        <v>756</v>
      </c>
      <c r="AA57" s="293">
        <f t="shared" si="20"/>
        <v>856</v>
      </c>
      <c r="AB57" s="248">
        <f t="shared" si="20"/>
        <v>756</v>
      </c>
      <c r="AC57" s="248">
        <f t="shared" si="20"/>
        <v>756</v>
      </c>
      <c r="AD57" s="248">
        <f t="shared" si="20"/>
        <v>756</v>
      </c>
      <c r="AE57" s="248">
        <f t="shared" si="20"/>
        <v>756</v>
      </c>
      <c r="AF57" s="248">
        <f t="shared" si="20"/>
        <v>756</v>
      </c>
      <c r="AG57" s="248">
        <f t="shared" si="20"/>
        <v>756</v>
      </c>
      <c r="AH57" s="248">
        <f t="shared" si="20"/>
        <v>756</v>
      </c>
      <c r="AI57" s="248">
        <f t="shared" si="20"/>
        <v>756</v>
      </c>
      <c r="AJ57" s="248">
        <f t="shared" si="20"/>
        <v>756</v>
      </c>
      <c r="AK57" s="248">
        <f t="shared" si="20"/>
        <v>756</v>
      </c>
      <c r="AL57" s="248">
        <f t="shared" si="20"/>
        <v>756</v>
      </c>
      <c r="AM57" s="248">
        <f t="shared" si="20"/>
        <v>756</v>
      </c>
      <c r="AN57" s="248">
        <f t="shared" si="20"/>
        <v>756</v>
      </c>
      <c r="AO57" s="248">
        <f t="shared" si="20"/>
        <v>756</v>
      </c>
      <c r="AP57" s="248">
        <f t="shared" si="20"/>
        <v>756</v>
      </c>
      <c r="AQ57" s="248">
        <f t="shared" si="20"/>
        <v>756</v>
      </c>
      <c r="AR57" s="248">
        <f t="shared" si="20"/>
        <v>756</v>
      </c>
      <c r="AS57" s="248">
        <f t="shared" si="20"/>
        <v>756</v>
      </c>
      <c r="AT57" s="248">
        <f t="shared" si="20"/>
        <v>756</v>
      </c>
      <c r="AU57" s="248">
        <f t="shared" si="20"/>
        <v>756</v>
      </c>
      <c r="AV57" s="248">
        <f t="shared" si="20"/>
        <v>756</v>
      </c>
      <c r="AW57" s="248">
        <f t="shared" si="20"/>
        <v>756</v>
      </c>
      <c r="AX57" s="248">
        <f t="shared" si="20"/>
        <v>756</v>
      </c>
      <c r="AY57" s="248">
        <f t="shared" si="20"/>
        <v>756</v>
      </c>
      <c r="AZ57" s="89" t="s">
        <v>186</v>
      </c>
    </row>
    <row r="58" spans="1:52" ht="15.75" x14ac:dyDescent="0.4">
      <c r="A58" s="98"/>
      <c r="B58" s="249"/>
      <c r="C58" s="249"/>
      <c r="D58" s="249"/>
      <c r="E58" s="249"/>
      <c r="F58" s="249"/>
      <c r="G58" s="249"/>
      <c r="H58" s="249"/>
      <c r="I58" s="249"/>
      <c r="J58" s="249"/>
      <c r="K58" s="249"/>
      <c r="L58" s="249"/>
      <c r="M58" s="249"/>
      <c r="N58" s="249"/>
      <c r="O58" s="249"/>
      <c r="P58" s="249"/>
      <c r="Q58" s="249"/>
      <c r="R58" s="220"/>
      <c r="S58" s="220"/>
      <c r="T58" s="220"/>
      <c r="U58" s="220"/>
      <c r="V58" s="220"/>
      <c r="W58" s="220"/>
      <c r="X58" s="220"/>
      <c r="Y58" s="220"/>
      <c r="Z58" s="220"/>
      <c r="AA58" s="294"/>
      <c r="AZ58" s="89" t="s">
        <v>186</v>
      </c>
    </row>
    <row r="59" spans="1:52" ht="15.75" x14ac:dyDescent="0.4">
      <c r="A59" s="116" t="s">
        <v>49</v>
      </c>
      <c r="B59" s="226"/>
      <c r="C59" s="226"/>
      <c r="D59" s="226"/>
      <c r="E59" s="226"/>
      <c r="F59" s="226"/>
      <c r="G59" s="226"/>
      <c r="H59" s="226"/>
      <c r="I59" s="226"/>
      <c r="J59" s="226"/>
      <c r="K59" s="226"/>
      <c r="L59" s="226"/>
      <c r="M59" s="220"/>
      <c r="N59" s="220"/>
      <c r="O59" s="220"/>
      <c r="P59" s="220"/>
      <c r="Q59" s="220"/>
      <c r="R59" s="220"/>
      <c r="S59" s="220"/>
      <c r="T59" s="220"/>
      <c r="U59" s="220"/>
      <c r="V59" s="220"/>
      <c r="W59" s="220"/>
      <c r="X59" s="220"/>
      <c r="Y59" s="220"/>
      <c r="Z59" s="220"/>
      <c r="AA59" s="294"/>
      <c r="AZ59" s="89" t="s">
        <v>186</v>
      </c>
    </row>
    <row r="60" spans="1:52" ht="15.75" x14ac:dyDescent="0.4">
      <c r="A60" s="83" t="s">
        <v>187</v>
      </c>
      <c r="B60" s="226">
        <f>'Phương án 2'!B35*'Phân tích phương án 2'!B$18</f>
        <v>500</v>
      </c>
      <c r="C60" s="226">
        <f>'Phương án 2'!C35*'Phân tích phương án 2'!C$18</f>
        <v>495.0980392156863</v>
      </c>
      <c r="D60" s="226"/>
      <c r="E60" s="226"/>
      <c r="F60" s="226"/>
      <c r="G60" s="226"/>
      <c r="H60" s="226">
        <f>'Phương án 2'!D35*'Phân tích phương án 2'!H$18</f>
        <v>172.54901960784312</v>
      </c>
      <c r="I60" s="226">
        <f>'Phương án 2'!E35*'Phân tích phương án 2'!I$18</f>
        <v>172.54901960784312</v>
      </c>
      <c r="J60" s="226"/>
      <c r="K60" s="226"/>
      <c r="L60" s="226"/>
      <c r="M60" s="226"/>
      <c r="N60" s="226">
        <f>'Phương án 2'!F35*'Phân tích phương án 2'!N$18</f>
        <v>500</v>
      </c>
      <c r="O60" s="226">
        <f>'Phương án 2'!G35*'Phân tích phương án 2'!O$18</f>
        <v>495.0980392156863</v>
      </c>
      <c r="P60" s="226"/>
      <c r="Q60" s="226"/>
      <c r="R60" s="226"/>
      <c r="S60" s="226"/>
      <c r="T60" s="226">
        <f>'Phương án 2'!H35*'Phân tích phương án 2'!T$18</f>
        <v>172.54901960784312</v>
      </c>
      <c r="U60" s="226">
        <f>'Phương án 2'!I35*'Phân tích phương án 2'!U$18</f>
        <v>172.54901960784312</v>
      </c>
      <c r="V60" s="220"/>
      <c r="W60" s="220"/>
      <c r="X60" s="220"/>
      <c r="Y60" s="220"/>
      <c r="Z60" s="220"/>
      <c r="AA60" s="294"/>
      <c r="AZ60" s="89" t="s">
        <v>186</v>
      </c>
    </row>
    <row r="61" spans="1:52" ht="15.75" x14ac:dyDescent="0.4">
      <c r="A61" s="107" t="s">
        <v>196</v>
      </c>
      <c r="B61" s="226">
        <f>'Phương án 2'!B36*'Phân tích phương án 2'!B$18</f>
        <v>10</v>
      </c>
      <c r="C61" s="226">
        <f>'Phương án 2'!C36*'Phân tích phương án 2'!C$18</f>
        <v>9.901960784313701</v>
      </c>
      <c r="D61" s="226"/>
      <c r="E61" s="226"/>
      <c r="F61" s="226"/>
      <c r="G61" s="226"/>
      <c r="H61" s="226">
        <f>'Phương án 2'!D36*'Phân tích phương án 2'!H$18</f>
        <v>3.4509803921568789</v>
      </c>
      <c r="I61" s="226">
        <f>'Phương án 2'!E36*'Phân tích phương án 2'!I$18</f>
        <v>3.4509803921568789</v>
      </c>
      <c r="J61" s="226"/>
      <c r="K61" s="226"/>
      <c r="L61" s="226"/>
      <c r="M61" s="220"/>
      <c r="N61" s="226">
        <f>'Phương án 2'!F36*'Phân tích phương án 2'!N$18</f>
        <v>10</v>
      </c>
      <c r="O61" s="226">
        <f>'Phương án 2'!G36*'Phân tích phương án 2'!O$18</f>
        <v>9.901960784313701</v>
      </c>
      <c r="P61" s="220"/>
      <c r="Q61" s="220"/>
      <c r="R61" s="220"/>
      <c r="S61" s="220"/>
      <c r="T61" s="226">
        <f>'Phương án 2'!H36*'Phân tích phương án 2'!T$18</f>
        <v>3.4509803921568789</v>
      </c>
      <c r="U61" s="226">
        <f>'Phương án 2'!I36*'Phân tích phương án 2'!U$18</f>
        <v>3.4509803921568789</v>
      </c>
      <c r="V61" s="220"/>
      <c r="W61" s="220"/>
      <c r="X61" s="220"/>
      <c r="Y61" s="220"/>
      <c r="Z61" s="220"/>
      <c r="AA61" s="294"/>
      <c r="AZ61" s="89" t="s">
        <v>186</v>
      </c>
    </row>
    <row r="62" spans="1:52" ht="15.75" x14ac:dyDescent="0.4">
      <c r="A62" s="84" t="s">
        <v>90</v>
      </c>
      <c r="B62" s="226"/>
      <c r="C62" s="226"/>
      <c r="D62" s="226"/>
      <c r="E62" s="226"/>
      <c r="F62" s="226"/>
      <c r="G62" s="226"/>
      <c r="H62" s="226"/>
      <c r="I62" s="226"/>
      <c r="J62" s="226"/>
      <c r="K62" s="226"/>
      <c r="L62" s="226"/>
      <c r="M62" s="226"/>
      <c r="N62" s="226"/>
      <c r="O62" s="226"/>
      <c r="P62" s="226"/>
      <c r="Q62" s="226"/>
      <c r="R62" s="220"/>
      <c r="S62" s="220"/>
      <c r="T62" s="220"/>
      <c r="U62" s="220"/>
      <c r="V62" s="220"/>
      <c r="W62" s="220"/>
      <c r="X62" s="220"/>
      <c r="Y62" s="220"/>
      <c r="Z62" s="220"/>
      <c r="AA62" s="294"/>
      <c r="AZ62" s="89" t="s">
        <v>186</v>
      </c>
    </row>
    <row r="63" spans="1:52" ht="15.75" x14ac:dyDescent="0.4">
      <c r="A63" s="107" t="s">
        <v>174</v>
      </c>
      <c r="B63" s="226"/>
      <c r="C63" s="226"/>
      <c r="D63" s="340"/>
      <c r="E63" s="340"/>
      <c r="F63" s="340"/>
      <c r="G63" s="340"/>
      <c r="H63" s="340"/>
      <c r="I63" s="340"/>
      <c r="J63" s="340"/>
      <c r="K63" s="340"/>
      <c r="L63" s="340"/>
      <c r="M63" s="340"/>
      <c r="N63" s="340"/>
      <c r="O63" s="340"/>
      <c r="P63" s="340"/>
      <c r="Q63" s="340"/>
      <c r="R63" s="340"/>
      <c r="S63" s="340"/>
      <c r="T63" s="340"/>
      <c r="U63" s="340"/>
      <c r="V63" s="340"/>
      <c r="W63" s="340"/>
      <c r="X63" s="340"/>
      <c r="Y63" s="340"/>
      <c r="Z63" s="340"/>
      <c r="AA63" s="341"/>
      <c r="AB63" s="340"/>
      <c r="AC63" s="340"/>
      <c r="AD63" s="340"/>
      <c r="AE63" s="340"/>
      <c r="AF63" s="340"/>
      <c r="AG63" s="340"/>
      <c r="AH63" s="340"/>
      <c r="AI63" s="340"/>
      <c r="AJ63" s="340"/>
      <c r="AK63" s="340"/>
      <c r="AL63" s="340"/>
      <c r="AM63" s="340"/>
      <c r="AN63" s="340"/>
      <c r="AO63" s="340"/>
      <c r="AP63" s="340"/>
      <c r="AQ63" s="340"/>
      <c r="AR63" s="340"/>
      <c r="AS63" s="340"/>
      <c r="AT63" s="340"/>
      <c r="AU63" s="340"/>
      <c r="AV63" s="340"/>
      <c r="AW63" s="340"/>
      <c r="AX63" s="340"/>
      <c r="AY63" s="340"/>
      <c r="AZ63" s="89" t="s">
        <v>186</v>
      </c>
    </row>
    <row r="64" spans="1:52" ht="15.75" x14ac:dyDescent="0.4">
      <c r="A64" s="107" t="s">
        <v>175</v>
      </c>
      <c r="B64" s="250"/>
      <c r="C64" s="226"/>
      <c r="D64" s="340"/>
      <c r="E64" s="340"/>
      <c r="F64" s="340"/>
      <c r="G64" s="340"/>
      <c r="H64" s="340"/>
      <c r="I64" s="340"/>
      <c r="J64" s="340"/>
      <c r="K64" s="340"/>
      <c r="L64" s="340"/>
      <c r="M64" s="340"/>
      <c r="N64" s="340"/>
      <c r="O64" s="340"/>
      <c r="P64" s="340"/>
      <c r="Q64" s="340"/>
      <c r="R64" s="340"/>
      <c r="S64" s="340"/>
      <c r="T64" s="340"/>
      <c r="U64" s="340"/>
      <c r="V64" s="340"/>
      <c r="W64" s="340"/>
      <c r="X64" s="340"/>
      <c r="Y64" s="340"/>
      <c r="Z64" s="340"/>
      <c r="AA64" s="341"/>
      <c r="AB64" s="340"/>
      <c r="AC64" s="340"/>
      <c r="AD64" s="340"/>
      <c r="AE64" s="340"/>
      <c r="AF64" s="340"/>
      <c r="AG64" s="340"/>
      <c r="AH64" s="340"/>
      <c r="AI64" s="340"/>
      <c r="AJ64" s="340"/>
      <c r="AK64" s="340"/>
      <c r="AL64" s="340"/>
      <c r="AM64" s="340"/>
      <c r="AN64" s="340"/>
      <c r="AO64" s="340"/>
      <c r="AP64" s="340"/>
      <c r="AQ64" s="340"/>
      <c r="AR64" s="340"/>
      <c r="AS64" s="340"/>
      <c r="AT64" s="340"/>
      <c r="AU64" s="340"/>
      <c r="AV64" s="340"/>
      <c r="AW64" s="340"/>
      <c r="AX64" s="340"/>
      <c r="AY64" s="340"/>
      <c r="AZ64" s="89" t="s">
        <v>186</v>
      </c>
    </row>
    <row r="65" spans="1:52" ht="15.75" customHeight="1" x14ac:dyDescent="0.4">
      <c r="A65" s="107" t="s">
        <v>197</v>
      </c>
      <c r="B65" s="250"/>
      <c r="C65" s="226"/>
      <c r="D65" s="340"/>
      <c r="E65" s="340"/>
      <c r="F65" s="340"/>
      <c r="G65" s="340"/>
      <c r="H65" s="340"/>
      <c r="I65" s="340"/>
      <c r="J65" s="340"/>
      <c r="K65" s="340"/>
      <c r="L65" s="340"/>
      <c r="M65" s="340"/>
      <c r="N65" s="340"/>
      <c r="O65" s="340"/>
      <c r="P65" s="340"/>
      <c r="Q65" s="340"/>
      <c r="R65" s="340"/>
      <c r="S65" s="340"/>
      <c r="T65" s="340"/>
      <c r="U65" s="340"/>
      <c r="V65" s="340"/>
      <c r="W65" s="340"/>
      <c r="X65" s="340"/>
      <c r="Y65" s="340"/>
      <c r="Z65" s="340"/>
      <c r="AA65" s="341"/>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89" t="s">
        <v>186</v>
      </c>
    </row>
    <row r="66" spans="1:52" ht="15.75" customHeight="1" x14ac:dyDescent="0.4">
      <c r="A66" s="107" t="s">
        <v>176</v>
      </c>
      <c r="B66" s="250"/>
      <c r="C66" s="226"/>
      <c r="D66" s="340"/>
      <c r="E66" s="340"/>
      <c r="F66" s="340"/>
      <c r="G66" s="340"/>
      <c r="H66" s="340"/>
      <c r="I66" s="340"/>
      <c r="J66" s="340"/>
      <c r="K66" s="340"/>
      <c r="L66" s="340"/>
      <c r="M66" s="340"/>
      <c r="N66" s="340"/>
      <c r="O66" s="340"/>
      <c r="P66" s="340"/>
      <c r="Q66" s="340"/>
      <c r="R66" s="340"/>
      <c r="S66" s="340"/>
      <c r="T66" s="340"/>
      <c r="U66" s="340"/>
      <c r="V66" s="340"/>
      <c r="W66" s="340"/>
      <c r="X66" s="340"/>
      <c r="Y66" s="340"/>
      <c r="Z66" s="340"/>
      <c r="AA66" s="341"/>
      <c r="AB66" s="340"/>
      <c r="AC66" s="340"/>
      <c r="AD66" s="340"/>
      <c r="AE66" s="340"/>
      <c r="AF66" s="340"/>
      <c r="AG66" s="340"/>
      <c r="AH66" s="340"/>
      <c r="AI66" s="340"/>
      <c r="AJ66" s="340"/>
      <c r="AK66" s="340"/>
      <c r="AL66" s="340"/>
      <c r="AM66" s="340"/>
      <c r="AN66" s="340"/>
      <c r="AO66" s="340"/>
      <c r="AP66" s="340"/>
      <c r="AQ66" s="340"/>
      <c r="AR66" s="340"/>
      <c r="AS66" s="340"/>
      <c r="AT66" s="340"/>
      <c r="AU66" s="340"/>
      <c r="AV66" s="340"/>
      <c r="AW66" s="340"/>
      <c r="AX66" s="340"/>
      <c r="AY66" s="340"/>
      <c r="AZ66" s="89" t="s">
        <v>186</v>
      </c>
    </row>
    <row r="67" spans="1:52" ht="15.75" x14ac:dyDescent="0.4">
      <c r="A67" s="107" t="s">
        <v>197</v>
      </c>
      <c r="B67" s="250"/>
      <c r="C67" s="226"/>
      <c r="D67" s="340"/>
      <c r="E67" s="340"/>
      <c r="F67" s="340"/>
      <c r="G67" s="340"/>
      <c r="H67" s="340"/>
      <c r="I67" s="340"/>
      <c r="J67" s="340"/>
      <c r="K67" s="340"/>
      <c r="L67" s="340"/>
      <c r="M67" s="340"/>
      <c r="N67" s="340"/>
      <c r="O67" s="340"/>
      <c r="P67" s="340"/>
      <c r="Q67" s="340"/>
      <c r="R67" s="340"/>
      <c r="S67" s="340"/>
      <c r="T67" s="340"/>
      <c r="U67" s="340"/>
      <c r="V67" s="340"/>
      <c r="W67" s="340"/>
      <c r="X67" s="340"/>
      <c r="Y67" s="340"/>
      <c r="Z67" s="340"/>
      <c r="AA67" s="341"/>
      <c r="AB67" s="340"/>
      <c r="AC67" s="340"/>
      <c r="AD67" s="340"/>
      <c r="AE67" s="340"/>
      <c r="AF67" s="340"/>
      <c r="AG67" s="340"/>
      <c r="AH67" s="340"/>
      <c r="AI67" s="340"/>
      <c r="AJ67" s="340"/>
      <c r="AK67" s="340"/>
      <c r="AL67" s="340"/>
      <c r="AM67" s="340"/>
      <c r="AN67" s="340"/>
      <c r="AO67" s="340"/>
      <c r="AP67" s="340"/>
      <c r="AQ67" s="340"/>
      <c r="AR67" s="340"/>
      <c r="AS67" s="340"/>
      <c r="AT67" s="340"/>
      <c r="AU67" s="340"/>
      <c r="AV67" s="340"/>
      <c r="AW67" s="340"/>
      <c r="AX67" s="340"/>
      <c r="AY67" s="340"/>
      <c r="AZ67" s="89" t="s">
        <v>186</v>
      </c>
    </row>
    <row r="68" spans="1:52" ht="15.75" customHeight="1" x14ac:dyDescent="0.4">
      <c r="A68" s="107" t="s">
        <v>183</v>
      </c>
      <c r="B68" s="250"/>
      <c r="C68" s="226"/>
      <c r="D68" s="226"/>
      <c r="E68" s="226"/>
      <c r="F68" s="226"/>
      <c r="G68" s="226"/>
      <c r="H68" s="226"/>
      <c r="I68" s="226"/>
      <c r="J68" s="226"/>
      <c r="K68" s="226"/>
      <c r="L68" s="226"/>
      <c r="M68" s="226"/>
      <c r="N68" s="226"/>
      <c r="O68" s="226"/>
      <c r="P68" s="226"/>
      <c r="Q68" s="226"/>
      <c r="R68" s="220"/>
      <c r="S68" s="220"/>
      <c r="T68" s="220"/>
      <c r="U68" s="220"/>
      <c r="V68" s="220"/>
      <c r="W68" s="220"/>
      <c r="X68" s="220"/>
      <c r="Y68" s="220"/>
      <c r="Z68" s="220"/>
      <c r="AA68" s="294"/>
      <c r="AB68" s="220"/>
      <c r="AC68" s="220"/>
      <c r="AD68" s="220"/>
      <c r="AE68" s="220"/>
      <c r="AF68" s="220"/>
      <c r="AG68" s="220"/>
      <c r="AH68" s="220"/>
      <c r="AI68" s="220"/>
      <c r="AJ68" s="220"/>
      <c r="AK68" s="220"/>
      <c r="AL68" s="220"/>
      <c r="AM68" s="220"/>
      <c r="AN68" s="220"/>
      <c r="AO68" s="220"/>
      <c r="AP68" s="220"/>
      <c r="AQ68" s="220"/>
      <c r="AR68" s="220"/>
      <c r="AS68" s="220"/>
      <c r="AT68" s="220"/>
      <c r="AU68" s="220"/>
      <c r="AV68" s="220"/>
      <c r="AW68" s="220"/>
      <c r="AX68" s="220"/>
      <c r="AY68" s="220"/>
      <c r="AZ68" s="89" t="s">
        <v>186</v>
      </c>
    </row>
    <row r="69" spans="1:52" ht="15.75" customHeight="1" x14ac:dyDescent="0.4">
      <c r="A69" s="107" t="s">
        <v>174</v>
      </c>
      <c r="B69" s="250"/>
      <c r="C69" s="226"/>
      <c r="D69" s="226">
        <f t="shared" ref="D69:AY69" si="21">D38</f>
        <v>5.04</v>
      </c>
      <c r="E69" s="226">
        <f t="shared" si="21"/>
        <v>5.04</v>
      </c>
      <c r="F69" s="226">
        <f t="shared" si="21"/>
        <v>5.04</v>
      </c>
      <c r="G69" s="226">
        <f t="shared" si="21"/>
        <v>5.04</v>
      </c>
      <c r="H69" s="226">
        <f t="shared" si="21"/>
        <v>5.04</v>
      </c>
      <c r="I69" s="226">
        <f t="shared" si="21"/>
        <v>5.04</v>
      </c>
      <c r="J69" s="226">
        <f t="shared" si="21"/>
        <v>10.08</v>
      </c>
      <c r="K69" s="226">
        <f t="shared" si="21"/>
        <v>10.08</v>
      </c>
      <c r="L69" s="226">
        <f t="shared" si="21"/>
        <v>10.08</v>
      </c>
      <c r="M69" s="226">
        <f t="shared" si="21"/>
        <v>10.08</v>
      </c>
      <c r="N69" s="226">
        <f t="shared" si="21"/>
        <v>10.08</v>
      </c>
      <c r="O69" s="226">
        <f t="shared" si="21"/>
        <v>10.08</v>
      </c>
      <c r="P69" s="226">
        <f t="shared" si="21"/>
        <v>15.12</v>
      </c>
      <c r="Q69" s="226">
        <f t="shared" si="21"/>
        <v>15.12</v>
      </c>
      <c r="R69" s="226">
        <f t="shared" si="21"/>
        <v>15.12</v>
      </c>
      <c r="S69" s="226">
        <f t="shared" si="21"/>
        <v>15.12</v>
      </c>
      <c r="T69" s="226">
        <f t="shared" si="21"/>
        <v>15.12</v>
      </c>
      <c r="U69" s="226">
        <f t="shared" si="21"/>
        <v>15.12</v>
      </c>
      <c r="V69" s="226">
        <f t="shared" si="21"/>
        <v>20.16</v>
      </c>
      <c r="W69" s="226">
        <f t="shared" si="21"/>
        <v>20.16</v>
      </c>
      <c r="X69" s="226">
        <f t="shared" si="21"/>
        <v>20.16</v>
      </c>
      <c r="Y69" s="226">
        <f t="shared" si="21"/>
        <v>20.16</v>
      </c>
      <c r="Z69" s="226">
        <f t="shared" si="21"/>
        <v>20.16</v>
      </c>
      <c r="AA69" s="292">
        <f t="shared" si="21"/>
        <v>20.16</v>
      </c>
      <c r="AB69" s="226">
        <f t="shared" si="21"/>
        <v>20.16</v>
      </c>
      <c r="AC69" s="226">
        <f t="shared" si="21"/>
        <v>20.16</v>
      </c>
      <c r="AD69" s="226">
        <f t="shared" si="21"/>
        <v>20.16</v>
      </c>
      <c r="AE69" s="226">
        <f t="shared" si="21"/>
        <v>20.16</v>
      </c>
      <c r="AF69" s="226">
        <f t="shared" si="21"/>
        <v>20.16</v>
      </c>
      <c r="AG69" s="226">
        <f t="shared" si="21"/>
        <v>20.16</v>
      </c>
      <c r="AH69" s="226">
        <f t="shared" si="21"/>
        <v>20.16</v>
      </c>
      <c r="AI69" s="226">
        <f t="shared" si="21"/>
        <v>20.16</v>
      </c>
      <c r="AJ69" s="226">
        <f t="shared" si="21"/>
        <v>20.16</v>
      </c>
      <c r="AK69" s="226">
        <f t="shared" si="21"/>
        <v>20.16</v>
      </c>
      <c r="AL69" s="226">
        <f t="shared" si="21"/>
        <v>20.16</v>
      </c>
      <c r="AM69" s="226">
        <f t="shared" si="21"/>
        <v>20.16</v>
      </c>
      <c r="AN69" s="226">
        <f t="shared" si="21"/>
        <v>20.16</v>
      </c>
      <c r="AO69" s="226">
        <f t="shared" si="21"/>
        <v>20.16</v>
      </c>
      <c r="AP69" s="226">
        <f t="shared" si="21"/>
        <v>20.16</v>
      </c>
      <c r="AQ69" s="226">
        <f t="shared" si="21"/>
        <v>20.16</v>
      </c>
      <c r="AR69" s="226">
        <f t="shared" si="21"/>
        <v>20.16</v>
      </c>
      <c r="AS69" s="226">
        <f t="shared" si="21"/>
        <v>20.16</v>
      </c>
      <c r="AT69" s="226">
        <f t="shared" si="21"/>
        <v>20.16</v>
      </c>
      <c r="AU69" s="226">
        <f t="shared" si="21"/>
        <v>20.16</v>
      </c>
      <c r="AV69" s="226">
        <f t="shared" si="21"/>
        <v>20.16</v>
      </c>
      <c r="AW69" s="226">
        <f t="shared" si="21"/>
        <v>20.16</v>
      </c>
      <c r="AX69" s="226">
        <f t="shared" si="21"/>
        <v>20.16</v>
      </c>
      <c r="AY69" s="226">
        <f t="shared" si="21"/>
        <v>20.16</v>
      </c>
      <c r="AZ69" s="89" t="s">
        <v>186</v>
      </c>
    </row>
    <row r="70" spans="1:52" ht="15.75" x14ac:dyDescent="0.4">
      <c r="A70" s="107" t="s">
        <v>175</v>
      </c>
      <c r="B70" s="250"/>
      <c r="C70" s="226"/>
      <c r="D70" s="226">
        <f t="shared" ref="D70:AY70" si="22">D39</f>
        <v>3.4363636363636361</v>
      </c>
      <c r="E70" s="226">
        <f t="shared" si="22"/>
        <v>3.4707272727272724</v>
      </c>
      <c r="F70" s="226">
        <f t="shared" si="22"/>
        <v>3.5054345454545452</v>
      </c>
      <c r="G70" s="226">
        <f t="shared" si="22"/>
        <v>3.5404888909090904</v>
      </c>
      <c r="H70" s="226">
        <f t="shared" si="22"/>
        <v>3.5758937798181818</v>
      </c>
      <c r="I70" s="226">
        <f t="shared" si="22"/>
        <v>3.6116527176163631</v>
      </c>
      <c r="J70" s="226">
        <f t="shared" si="22"/>
        <v>7.2955384895850548</v>
      </c>
      <c r="K70" s="226">
        <f t="shared" si="22"/>
        <v>7.3684938744809036</v>
      </c>
      <c r="L70" s="226">
        <f t="shared" si="22"/>
        <v>7.4421788132257145</v>
      </c>
      <c r="M70" s="226">
        <f t="shared" si="22"/>
        <v>7.5166006013579718</v>
      </c>
      <c r="N70" s="226">
        <f t="shared" si="22"/>
        <v>7.591766607371552</v>
      </c>
      <c r="O70" s="226">
        <f t="shared" si="22"/>
        <v>7.6676842734452659</v>
      </c>
      <c r="P70" s="226">
        <f t="shared" si="22"/>
        <v>11.61654167426958</v>
      </c>
      <c r="Q70" s="226">
        <f t="shared" si="22"/>
        <v>11.732707091012276</v>
      </c>
      <c r="R70" s="226">
        <f t="shared" si="22"/>
        <v>11.850034161922402</v>
      </c>
      <c r="S70" s="226">
        <f t="shared" si="22"/>
        <v>11.968534503541623</v>
      </c>
      <c r="T70" s="226">
        <f t="shared" si="22"/>
        <v>12.088219848577042</v>
      </c>
      <c r="U70" s="226">
        <f t="shared" si="22"/>
        <v>12.209102047062812</v>
      </c>
      <c r="V70" s="226">
        <f t="shared" si="22"/>
        <v>16.441590756711253</v>
      </c>
      <c r="W70" s="226">
        <f t="shared" si="22"/>
        <v>16.606006664278361</v>
      </c>
      <c r="X70" s="226">
        <f t="shared" si="22"/>
        <v>16.772066730921146</v>
      </c>
      <c r="Y70" s="226">
        <f t="shared" si="22"/>
        <v>16.939787398230354</v>
      </c>
      <c r="Z70" s="226">
        <f t="shared" si="22"/>
        <v>17.109185272212663</v>
      </c>
      <c r="AA70" s="292">
        <f t="shared" si="22"/>
        <v>17.280277124934788</v>
      </c>
      <c r="AB70" s="226">
        <f t="shared" si="22"/>
        <v>13.745454545454544</v>
      </c>
      <c r="AC70" s="226">
        <f t="shared" si="22"/>
        <v>13.745454545454544</v>
      </c>
      <c r="AD70" s="226">
        <f t="shared" si="22"/>
        <v>13.745454545454544</v>
      </c>
      <c r="AE70" s="226">
        <f t="shared" si="22"/>
        <v>13.745454545454544</v>
      </c>
      <c r="AF70" s="226">
        <f t="shared" si="22"/>
        <v>13.745454545454544</v>
      </c>
      <c r="AG70" s="226">
        <f t="shared" si="22"/>
        <v>13.745454545454544</v>
      </c>
      <c r="AH70" s="226">
        <f t="shared" si="22"/>
        <v>13.745454545454544</v>
      </c>
      <c r="AI70" s="226">
        <f t="shared" si="22"/>
        <v>13.745454545454544</v>
      </c>
      <c r="AJ70" s="226">
        <f t="shared" si="22"/>
        <v>13.745454545454544</v>
      </c>
      <c r="AK70" s="226">
        <f t="shared" si="22"/>
        <v>13.745454545454544</v>
      </c>
      <c r="AL70" s="226">
        <f t="shared" si="22"/>
        <v>13.745454545454544</v>
      </c>
      <c r="AM70" s="226">
        <f t="shared" si="22"/>
        <v>13.745454545454544</v>
      </c>
      <c r="AN70" s="226">
        <f t="shared" si="22"/>
        <v>13.745454545454544</v>
      </c>
      <c r="AO70" s="226">
        <f t="shared" si="22"/>
        <v>13.745454545454544</v>
      </c>
      <c r="AP70" s="226">
        <f t="shared" si="22"/>
        <v>13.745454545454544</v>
      </c>
      <c r="AQ70" s="226">
        <f t="shared" si="22"/>
        <v>13.745454545454544</v>
      </c>
      <c r="AR70" s="226">
        <f t="shared" si="22"/>
        <v>13.745454545454544</v>
      </c>
      <c r="AS70" s="226">
        <f t="shared" si="22"/>
        <v>13.745454545454544</v>
      </c>
      <c r="AT70" s="226">
        <f t="shared" si="22"/>
        <v>13.745454545454544</v>
      </c>
      <c r="AU70" s="226">
        <f t="shared" si="22"/>
        <v>13.745454545454544</v>
      </c>
      <c r="AV70" s="226">
        <f t="shared" si="22"/>
        <v>13.745454545454544</v>
      </c>
      <c r="AW70" s="226">
        <f t="shared" si="22"/>
        <v>13.745454545454544</v>
      </c>
      <c r="AX70" s="226">
        <f t="shared" si="22"/>
        <v>13.745454545454544</v>
      </c>
      <c r="AY70" s="226">
        <f t="shared" si="22"/>
        <v>13.745454545454544</v>
      </c>
      <c r="AZ70" s="89" t="s">
        <v>186</v>
      </c>
    </row>
    <row r="71" spans="1:52" ht="15.75" x14ac:dyDescent="0.4">
      <c r="A71" s="107" t="s">
        <v>197</v>
      </c>
      <c r="B71" s="226"/>
      <c r="C71" s="226"/>
      <c r="D71" s="226">
        <f>'Phương án 2'!$D$46*'Phương án 2'!$B$12/'Phương án 2'!$H$8*D19</f>
        <v>0.34363636363636368</v>
      </c>
      <c r="E71" s="226">
        <f>'Phương án 2'!$D$46*'Phương án 2'!$B$12/'Phương án 2'!$H$8*E19</f>
        <v>0.34707272727272731</v>
      </c>
      <c r="F71" s="226">
        <f>'Phương án 2'!$D$46*'Phương án 2'!$B$12/'Phương án 2'!$H$8*F19</f>
        <v>0.3505434545454546</v>
      </c>
      <c r="G71" s="226">
        <f>'Phương án 2'!$D$46*'Phương án 2'!$B$12/'Phương án 2'!$H$8*G19</f>
        <v>0.35404888909090909</v>
      </c>
      <c r="H71" s="226">
        <f>'Phương án 2'!$D$46*'Phương án 2'!$B$12/'Phương án 2'!$H$8*H19</f>
        <v>0.35758937798181822</v>
      </c>
      <c r="I71" s="226">
        <f>'Phương án 2'!$D$46*'Phương án 2'!$B$12/'Phương án 2'!$H$8*I19</f>
        <v>0.36116527176163638</v>
      </c>
      <c r="J71" s="226">
        <f>('Phương án 2'!$D$46+'Phương án 2'!$D$55)*'Phương án 2'!$B$12/'Phương án 2'!$H$8*J19</f>
        <v>0.72955384895850561</v>
      </c>
      <c r="K71" s="226">
        <f>('Phương án 2'!$D$46+'Phương án 2'!$D$55)*'Phương án 2'!$B$12/'Phương án 2'!$H$8*K19</f>
        <v>0.73684938744809048</v>
      </c>
      <c r="L71" s="226">
        <f>('Phương án 2'!$D$46+'Phương án 2'!$D$55)*'Phương án 2'!$B$12/'Phương án 2'!$H$8*L19</f>
        <v>0.74421788132257161</v>
      </c>
      <c r="M71" s="226">
        <f>('Phương án 2'!$D$46+'Phương án 2'!$D$55)*'Phương án 2'!$B$12/'Phương án 2'!$H$8*M19</f>
        <v>0.75166006013579734</v>
      </c>
      <c r="N71" s="226">
        <f>('Phương án 2'!$D$46+'Phương án 2'!$D$55)*'Phương án 2'!$B$12/'Phương án 2'!$H$8*N19</f>
        <v>0.7591766607371554</v>
      </c>
      <c r="O71" s="226">
        <f>('Phương án 2'!$D$46+'Phương án 2'!$D$55)*'Phương án 2'!$B$12/'Phương án 2'!$H$8*O19</f>
        <v>0.76676842734452677</v>
      </c>
      <c r="P71" s="226">
        <f>('Phương án 2'!$D$46*2+'Phương án 2'!$D$55)*'Phương án 2'!$B$12/'Phương án 2'!$H$8*P19</f>
        <v>1.161654167426958</v>
      </c>
      <c r="Q71" s="226">
        <f>('Phương án 2'!$D$46*2+'Phương án 2'!$D$55)*'Phương án 2'!$B$12/'Phương án 2'!$H$8*Q19</f>
        <v>1.1732707091012275</v>
      </c>
      <c r="R71" s="226">
        <f>('Phương án 2'!$D$46*2+'Phương án 2'!$D$55)*'Phương án 2'!$B$12/'Phương án 2'!$H$8*R19</f>
        <v>1.18500341619224</v>
      </c>
      <c r="S71" s="226">
        <f>('Phương án 2'!$D$46*2+'Phương án 2'!$D$55)*'Phương án 2'!$B$12/'Phương án 2'!$H$8*S19</f>
        <v>1.1968534503541621</v>
      </c>
      <c r="T71" s="226">
        <f>('Phương án 2'!$D$46*2+'Phương án 2'!$D$55)*'Phương án 2'!$B$12/'Phương án 2'!$H$8*T19</f>
        <v>1.2088219848577042</v>
      </c>
      <c r="U71" s="226">
        <f>('Phương án 2'!$D$46*2+'Phương án 2'!$D$55)*'Phương án 2'!$B$12/'Phương án 2'!$H$8*U19</f>
        <v>1.2209102047062812</v>
      </c>
      <c r="V71" s="226">
        <f>('Phương án 2'!$D$46*2+'Phương án 2'!$D$55*2)*'Phương án 2'!$B$12/'Phương án 2'!$H$8*V19</f>
        <v>1.6441590756711255</v>
      </c>
      <c r="W71" s="226">
        <f>('Phương án 2'!$D$46*2+'Phương án 2'!$D$55*2)*'Phương án 2'!$B$12/'Phương án 2'!$H$8*W19</f>
        <v>1.6606006664278363</v>
      </c>
      <c r="X71" s="226">
        <f>('Phương án 2'!$D$46*2+'Phương án 2'!$D$55*2)*'Phương án 2'!$B$12/'Phương án 2'!$H$8*X19</f>
        <v>1.6772066730921149</v>
      </c>
      <c r="Y71" s="226">
        <f>('Phương án 2'!$D$46*2+'Phương án 2'!$D$55*2)*'Phương án 2'!$B$12/'Phương án 2'!$H$8*Y19</f>
        <v>1.6939787398230359</v>
      </c>
      <c r="Z71" s="226">
        <f>('Phương án 2'!$D$46*2+'Phương án 2'!$D$55*2)*'Phương án 2'!$B$12/'Phương án 2'!$H$8*Z19</f>
        <v>1.7109185272212666</v>
      </c>
      <c r="AA71" s="292">
        <f>('Phương án 2'!$D$46*2+'Phương án 2'!$D$55*2)*'Phương án 2'!$B$12/'Phương án 2'!$H$8*AA19</f>
        <v>1.7280277124934791</v>
      </c>
      <c r="AB71" s="226">
        <f>('Phương án 2'!$D$46*2+'Phương án 2'!$D$55*2)*'Phương án 2'!$B$12/'Phương án 2'!$H$8*AB19</f>
        <v>1.3745454545454547</v>
      </c>
      <c r="AC71" s="226">
        <f>('Phương án 2'!$D$46*2+'Phương án 2'!$D$55*2)*'Phương án 2'!$B$12/'Phương án 2'!$H$8*AC19</f>
        <v>1.3745454545454547</v>
      </c>
      <c r="AD71" s="226">
        <f>('Phương án 2'!$D$46*2+'Phương án 2'!$D$55*2)*'Phương án 2'!$B$12/'Phương án 2'!$H$8*AD19</f>
        <v>1.3745454545454547</v>
      </c>
      <c r="AE71" s="226">
        <f>('Phương án 2'!$D$46*2+'Phương án 2'!$D$55*2)*'Phương án 2'!$B$12/'Phương án 2'!$H$8*AE19</f>
        <v>1.3745454545454547</v>
      </c>
      <c r="AF71" s="226">
        <f>('Phương án 2'!$D$46*2+'Phương án 2'!$D$55*2)*'Phương án 2'!$B$12/'Phương án 2'!$H$8*AF19</f>
        <v>1.3745454545454547</v>
      </c>
      <c r="AG71" s="226">
        <f>('Phương án 2'!$D$46*2+'Phương án 2'!$D$55*2)*'Phương án 2'!$B$12/'Phương án 2'!$H$8*AG19</f>
        <v>1.3745454545454547</v>
      </c>
      <c r="AH71" s="226">
        <f>('Phương án 2'!$D$46*2+'Phương án 2'!$D$55*2)*'Phương án 2'!$B$12/'Phương án 2'!$H$8*AH19</f>
        <v>1.3745454545454547</v>
      </c>
      <c r="AI71" s="226">
        <f>('Phương án 2'!$D$46*2+'Phương án 2'!$D$55*2)*'Phương án 2'!$B$12/'Phương án 2'!$H$8*AI19</f>
        <v>1.3745454545454547</v>
      </c>
      <c r="AJ71" s="226">
        <f>('Phương án 2'!$D$46*2+'Phương án 2'!$D$55*2)*'Phương án 2'!$B$12/'Phương án 2'!$H$8*AJ19</f>
        <v>1.3745454545454547</v>
      </c>
      <c r="AK71" s="226">
        <f>('Phương án 2'!$D$46*2+'Phương án 2'!$D$55*2)*'Phương án 2'!$B$12/'Phương án 2'!$H$8*AK19</f>
        <v>1.3745454545454547</v>
      </c>
      <c r="AL71" s="226">
        <f>('Phương án 2'!$D$46*2+'Phương án 2'!$D$55*2)*'Phương án 2'!$B$12/'Phương án 2'!$H$8*AL19</f>
        <v>1.3745454545454547</v>
      </c>
      <c r="AM71" s="226">
        <f>('Phương án 2'!$D$46*2+'Phương án 2'!$D$55*2)*'Phương án 2'!$B$12/'Phương án 2'!$H$8*AM19</f>
        <v>1.3745454545454547</v>
      </c>
      <c r="AN71" s="226">
        <f>('Phương án 2'!$D$46*2+'Phương án 2'!$D$55*2)*'Phương án 2'!$B$12/'Phương án 2'!$H$8*AN19</f>
        <v>1.3745454545454547</v>
      </c>
      <c r="AO71" s="226">
        <f>('Phương án 2'!$D$46*2+'Phương án 2'!$D$55*2)*'Phương án 2'!$B$12/'Phương án 2'!$H$8*AO19</f>
        <v>1.3745454545454547</v>
      </c>
      <c r="AP71" s="226">
        <f>('Phương án 2'!$D$46*2+'Phương án 2'!$D$55*2)*'Phương án 2'!$B$12/'Phương án 2'!$H$8*AP19</f>
        <v>1.3745454545454547</v>
      </c>
      <c r="AQ71" s="226">
        <f>('Phương án 2'!$D$46*2+'Phương án 2'!$D$55*2)*'Phương án 2'!$B$12/'Phương án 2'!$H$8*AQ19</f>
        <v>1.3745454545454547</v>
      </c>
      <c r="AR71" s="226">
        <f>('Phương án 2'!$D$46*2+'Phương án 2'!$D$55*2)*'Phương án 2'!$B$12/'Phương án 2'!$H$8*AR19</f>
        <v>1.3745454545454547</v>
      </c>
      <c r="AS71" s="226">
        <f>('Phương án 2'!$D$46*2+'Phương án 2'!$D$55*2)*'Phương án 2'!$B$12/'Phương án 2'!$H$8*AS19</f>
        <v>1.3745454545454547</v>
      </c>
      <c r="AT71" s="226">
        <f>('Phương án 2'!$D$46*2+'Phương án 2'!$D$55*2)*'Phương án 2'!$B$12/'Phương án 2'!$H$8*AT19</f>
        <v>1.3745454545454547</v>
      </c>
      <c r="AU71" s="226">
        <f>('Phương án 2'!$D$46*2+'Phương án 2'!$D$55*2)*'Phương án 2'!$B$12/'Phương án 2'!$H$8*AU19</f>
        <v>1.3745454545454547</v>
      </c>
      <c r="AV71" s="226">
        <f>('Phương án 2'!$D$46*2+'Phương án 2'!$D$55*2)*'Phương án 2'!$B$12/'Phương án 2'!$H$8*AV19</f>
        <v>1.3745454545454547</v>
      </c>
      <c r="AW71" s="226">
        <f>('Phương án 2'!$D$46*2+'Phương án 2'!$D$55*2)*'Phương án 2'!$B$12/'Phương án 2'!$H$8*AW19</f>
        <v>1.3745454545454547</v>
      </c>
      <c r="AX71" s="226">
        <f>('Phương án 2'!$D$46*2+'Phương án 2'!$D$55*2)*'Phương án 2'!$B$12/'Phương án 2'!$H$8*AX19</f>
        <v>1.3745454545454547</v>
      </c>
      <c r="AY71" s="226">
        <f>('Phương án 2'!$D$46*2+'Phương án 2'!$D$55*2)*'Phương án 2'!$B$12/'Phương án 2'!$H$8*AY19</f>
        <v>1.3745454545454547</v>
      </c>
      <c r="AZ71" s="89" t="s">
        <v>186</v>
      </c>
    </row>
    <row r="72" spans="1:52" ht="15.75" x14ac:dyDescent="0.4">
      <c r="A72" s="107" t="s">
        <v>176</v>
      </c>
      <c r="B72" s="226"/>
      <c r="C72" s="226"/>
      <c r="D72" s="226">
        <f t="shared" ref="D72:AY72" si="23">D40</f>
        <v>3.4363636363636361</v>
      </c>
      <c r="E72" s="226">
        <f t="shared" si="23"/>
        <v>3.4363636363636361</v>
      </c>
      <c r="F72" s="226">
        <f t="shared" si="23"/>
        <v>3.4363636363636361</v>
      </c>
      <c r="G72" s="226">
        <f t="shared" si="23"/>
        <v>3.4363636363636361</v>
      </c>
      <c r="H72" s="226">
        <f t="shared" si="23"/>
        <v>3.4363636363636361</v>
      </c>
      <c r="I72" s="226">
        <f t="shared" si="23"/>
        <v>3.4363636363636361</v>
      </c>
      <c r="J72" s="226">
        <f t="shared" si="23"/>
        <v>6.8727272727272721</v>
      </c>
      <c r="K72" s="226">
        <f t="shared" si="23"/>
        <v>6.8727272727272721</v>
      </c>
      <c r="L72" s="226">
        <f t="shared" si="23"/>
        <v>6.8727272727272721</v>
      </c>
      <c r="M72" s="226">
        <f t="shared" si="23"/>
        <v>6.8727272727272721</v>
      </c>
      <c r="N72" s="226">
        <f t="shared" si="23"/>
        <v>6.8727272727272721</v>
      </c>
      <c r="O72" s="226">
        <f t="shared" si="23"/>
        <v>6.8727272727272721</v>
      </c>
      <c r="P72" s="226">
        <f t="shared" si="23"/>
        <v>10.30909090909091</v>
      </c>
      <c r="Q72" s="226">
        <f t="shared" si="23"/>
        <v>10.30909090909091</v>
      </c>
      <c r="R72" s="226">
        <f t="shared" si="23"/>
        <v>10.30909090909091</v>
      </c>
      <c r="S72" s="226">
        <f t="shared" si="23"/>
        <v>10.30909090909091</v>
      </c>
      <c r="T72" s="226">
        <f t="shared" si="23"/>
        <v>10.30909090909091</v>
      </c>
      <c r="U72" s="226">
        <f t="shared" si="23"/>
        <v>10.30909090909091</v>
      </c>
      <c r="V72" s="226">
        <f t="shared" si="23"/>
        <v>13.745454545454544</v>
      </c>
      <c r="W72" s="226">
        <f t="shared" si="23"/>
        <v>13.745454545454544</v>
      </c>
      <c r="X72" s="226">
        <f t="shared" si="23"/>
        <v>13.745454545454544</v>
      </c>
      <c r="Y72" s="226">
        <f t="shared" si="23"/>
        <v>13.745454545454544</v>
      </c>
      <c r="Z72" s="226">
        <f t="shared" si="23"/>
        <v>13.745454545454544</v>
      </c>
      <c r="AA72" s="292">
        <f t="shared" si="23"/>
        <v>13.745454545454544</v>
      </c>
      <c r="AB72" s="226">
        <f t="shared" si="23"/>
        <v>13.745454545454544</v>
      </c>
      <c r="AC72" s="226">
        <f t="shared" si="23"/>
        <v>13.745454545454544</v>
      </c>
      <c r="AD72" s="226">
        <f t="shared" si="23"/>
        <v>13.745454545454544</v>
      </c>
      <c r="AE72" s="226">
        <f t="shared" si="23"/>
        <v>13.745454545454544</v>
      </c>
      <c r="AF72" s="226">
        <f t="shared" si="23"/>
        <v>13.745454545454544</v>
      </c>
      <c r="AG72" s="226">
        <f t="shared" si="23"/>
        <v>13.745454545454544</v>
      </c>
      <c r="AH72" s="226">
        <f t="shared" si="23"/>
        <v>13.745454545454544</v>
      </c>
      <c r="AI72" s="226">
        <f t="shared" si="23"/>
        <v>13.745454545454544</v>
      </c>
      <c r="AJ72" s="226">
        <f t="shared" si="23"/>
        <v>13.745454545454544</v>
      </c>
      <c r="AK72" s="226">
        <f t="shared" si="23"/>
        <v>13.745454545454544</v>
      </c>
      <c r="AL72" s="226">
        <f t="shared" si="23"/>
        <v>13.745454545454544</v>
      </c>
      <c r="AM72" s="226">
        <f t="shared" si="23"/>
        <v>13.745454545454544</v>
      </c>
      <c r="AN72" s="226">
        <f t="shared" si="23"/>
        <v>13.745454545454544</v>
      </c>
      <c r="AO72" s="226">
        <f t="shared" si="23"/>
        <v>13.745454545454544</v>
      </c>
      <c r="AP72" s="226">
        <f t="shared" si="23"/>
        <v>13.745454545454544</v>
      </c>
      <c r="AQ72" s="226">
        <f t="shared" si="23"/>
        <v>13.745454545454544</v>
      </c>
      <c r="AR72" s="226">
        <f t="shared" si="23"/>
        <v>13.745454545454544</v>
      </c>
      <c r="AS72" s="226">
        <f t="shared" si="23"/>
        <v>13.745454545454544</v>
      </c>
      <c r="AT72" s="226">
        <f t="shared" si="23"/>
        <v>13.745454545454544</v>
      </c>
      <c r="AU72" s="226">
        <f t="shared" si="23"/>
        <v>13.745454545454544</v>
      </c>
      <c r="AV72" s="226">
        <f t="shared" si="23"/>
        <v>13.745454545454544</v>
      </c>
      <c r="AW72" s="226">
        <f t="shared" si="23"/>
        <v>13.745454545454544</v>
      </c>
      <c r="AX72" s="226">
        <f t="shared" si="23"/>
        <v>13.745454545454544</v>
      </c>
      <c r="AY72" s="226">
        <f t="shared" si="23"/>
        <v>13.745454545454544</v>
      </c>
      <c r="AZ72" s="89" t="s">
        <v>186</v>
      </c>
    </row>
    <row r="73" spans="1:52" ht="15.75" x14ac:dyDescent="0.4">
      <c r="A73" s="107" t="s">
        <v>197</v>
      </c>
      <c r="B73" s="226"/>
      <c r="C73" s="226"/>
      <c r="D73" s="226">
        <f>'Phương án 2'!$D$47*'Phương án 2'!$B$12/'Phương án 2'!$H$8*'Phân tích phương án 2'!D18</f>
        <v>0.34363636363636368</v>
      </c>
      <c r="E73" s="226">
        <f>'Phương án 2'!$D$47*'Phương án 2'!$B$12/'Phương án 2'!$H$8*'Phân tích phương án 2'!E18</f>
        <v>0.34363636363636368</v>
      </c>
      <c r="F73" s="226">
        <f>'Phương án 2'!$D$47*'Phương án 2'!$B$12/'Phương án 2'!$H$8*'Phân tích phương án 2'!F18</f>
        <v>0.34363636363636368</v>
      </c>
      <c r="G73" s="226">
        <f>'Phương án 2'!$D$47*'Phương án 2'!$B$12/'Phương án 2'!$H$8*'Phân tích phương án 2'!G18</f>
        <v>0.34363636363636368</v>
      </c>
      <c r="H73" s="226">
        <f>'Phương án 2'!$D$47*'Phương án 2'!$B$12/'Phương án 2'!$H$8*'Phân tích phương án 2'!H18</f>
        <v>0.34363636363636368</v>
      </c>
      <c r="I73" s="226">
        <f>'Phương án 2'!$D$47*'Phương án 2'!$B$12/'Phương án 2'!$H$8*'Phân tích phương án 2'!I18</f>
        <v>0.34363636363636368</v>
      </c>
      <c r="J73" s="226">
        <f>('Phương án 2'!$D$47+'Phương án 2'!$D$56)*'Phương án 2'!$B$12/'Phương án 2'!$H$8*'Phân tích phương án 2'!J18</f>
        <v>0.68727272727272737</v>
      </c>
      <c r="K73" s="226">
        <f>('Phương án 2'!$D$47+'Phương án 2'!$D$56)*'Phương án 2'!$B$12/'Phương án 2'!$H$8*'Phân tích phương án 2'!K18</f>
        <v>0.68727272727272737</v>
      </c>
      <c r="L73" s="226">
        <f>('Phương án 2'!$D$47+'Phương án 2'!$D$56)*'Phương án 2'!$B$12/'Phương án 2'!$H$8*'Phân tích phương án 2'!L18</f>
        <v>0.68727272727272737</v>
      </c>
      <c r="M73" s="226">
        <f>('Phương án 2'!$D$47+'Phương án 2'!$D$56)*'Phương án 2'!$B$12/'Phương án 2'!$H$8*'Phân tích phương án 2'!M18</f>
        <v>0.68727272727272737</v>
      </c>
      <c r="N73" s="226">
        <f>('Phương án 2'!$D$47+'Phương án 2'!$D$56)*'Phương án 2'!$B$12/'Phương án 2'!$H$8*'Phân tích phương án 2'!N18</f>
        <v>0.68727272727272737</v>
      </c>
      <c r="O73" s="226">
        <f>('Phương án 2'!$D$47+'Phương án 2'!$D$56)*'Phương án 2'!$B$12/'Phương án 2'!$H$8*'Phân tích phương án 2'!O18</f>
        <v>0.68727272727272737</v>
      </c>
      <c r="P73" s="226">
        <f>('Phương án 2'!$D$47*2+'Phương án 2'!$D$56)*'Phương án 2'!$B$12/'Phương án 2'!$H$8*'Phân tích phương án 2'!P18</f>
        <v>1.030909090909091</v>
      </c>
      <c r="Q73" s="226">
        <f>('Phương án 2'!$D$47*2+'Phương án 2'!$D$56)*'Phương án 2'!$B$12/'Phương án 2'!$H$8*'Phân tích phương án 2'!Q18</f>
        <v>1.030909090909091</v>
      </c>
      <c r="R73" s="226">
        <f>('Phương án 2'!$D$47*2+'Phương án 2'!$D$56)*'Phương án 2'!$B$12/'Phương án 2'!$H$8*'Phân tích phương án 2'!R18</f>
        <v>1.030909090909091</v>
      </c>
      <c r="S73" s="226">
        <f>('Phương án 2'!$D$47*2+'Phương án 2'!$D$56)*'Phương án 2'!$B$12/'Phương án 2'!$H$8*'Phân tích phương án 2'!S18</f>
        <v>1.030909090909091</v>
      </c>
      <c r="T73" s="226">
        <f>('Phương án 2'!$D$47*2+'Phương án 2'!$D$56)*'Phương án 2'!$B$12/'Phương án 2'!$H$8*'Phân tích phương án 2'!T18</f>
        <v>1.030909090909091</v>
      </c>
      <c r="U73" s="226">
        <f>('Phương án 2'!$D$47*2+'Phương án 2'!$D$56)*'Phương án 2'!$B$12/'Phương án 2'!$H$8*'Phân tích phương án 2'!U18</f>
        <v>1.030909090909091</v>
      </c>
      <c r="V73" s="226">
        <f>('Phương án 2'!$D$47*2+'Phương án 2'!$D$56*2)*'Phương án 2'!$B$12/'Phương án 2'!$H$8*'Phân tích phương án 2'!V18</f>
        <v>1.3745454545454547</v>
      </c>
      <c r="W73" s="226">
        <f>('Phương án 2'!$D$47*2+'Phương án 2'!$D$56*2)*'Phương án 2'!$B$12/'Phương án 2'!$H$8*'Phân tích phương án 2'!W18</f>
        <v>1.3745454545454547</v>
      </c>
      <c r="X73" s="226">
        <f>('Phương án 2'!$D$47*2+'Phương án 2'!$D$56*2)*'Phương án 2'!$B$12/'Phương án 2'!$H$8*'Phân tích phương án 2'!X18</f>
        <v>1.3745454545454547</v>
      </c>
      <c r="Y73" s="226">
        <f>('Phương án 2'!$D$47*2+'Phương án 2'!$D$56*2)*'Phương án 2'!$B$12/'Phương án 2'!$H$8*'Phân tích phương án 2'!Y18</f>
        <v>1.3745454545454547</v>
      </c>
      <c r="Z73" s="226">
        <f>('Phương án 2'!$D$47*2+'Phương án 2'!$D$56*2)*'Phương án 2'!$B$12/'Phương án 2'!$H$8*'Phân tích phương án 2'!Z18</f>
        <v>1.3745454545454547</v>
      </c>
      <c r="AA73" s="292">
        <f>('Phương án 2'!$D$47*2+'Phương án 2'!$D$56*2)*'Phương án 2'!$B$12/'Phương án 2'!$H$8*'Phân tích phương án 2'!AA18</f>
        <v>1.3745454545454547</v>
      </c>
      <c r="AB73" s="226">
        <f>('Phương án 2'!$D$47*2+'Phương án 2'!$D$56*2)*'Phương án 2'!$B$12/'Phương án 2'!$H$8*'Phân tích phương án 2'!AB18</f>
        <v>1.3745454545454547</v>
      </c>
      <c r="AC73" s="226">
        <f>('Phương án 2'!$D$47*2+'Phương án 2'!$D$56*2)*'Phương án 2'!$B$12/'Phương án 2'!$H$8*'Phân tích phương án 2'!AC18</f>
        <v>1.3745454545454547</v>
      </c>
      <c r="AD73" s="226">
        <f>('Phương án 2'!$D$47*2+'Phương án 2'!$D$56*2)*'Phương án 2'!$B$12/'Phương án 2'!$H$8*'Phân tích phương án 2'!AD18</f>
        <v>1.3745454545454547</v>
      </c>
      <c r="AE73" s="226">
        <f>('Phương án 2'!$D$47*2+'Phương án 2'!$D$56*2)*'Phương án 2'!$B$12/'Phương án 2'!$H$8*'Phân tích phương án 2'!AE18</f>
        <v>1.3745454545454547</v>
      </c>
      <c r="AF73" s="226">
        <f>('Phương án 2'!$D$47*2+'Phương án 2'!$D$56*2)*'Phương án 2'!$B$12/'Phương án 2'!$H$8*'Phân tích phương án 2'!AF18</f>
        <v>1.3745454545454547</v>
      </c>
      <c r="AG73" s="226">
        <f>('Phương án 2'!$D$47*2+'Phương án 2'!$D$56*2)*'Phương án 2'!$B$12/'Phương án 2'!$H$8*'Phân tích phương án 2'!AG18</f>
        <v>1.3745454545454547</v>
      </c>
      <c r="AH73" s="226">
        <f>('Phương án 2'!$D$47*2+'Phương án 2'!$D$56*2)*'Phương án 2'!$B$12/'Phương án 2'!$H$8*'Phân tích phương án 2'!AH18</f>
        <v>1.3745454545454547</v>
      </c>
      <c r="AI73" s="226">
        <f>('Phương án 2'!$D$47*2+'Phương án 2'!$D$56*2)*'Phương án 2'!$B$12/'Phương án 2'!$H$8*'Phân tích phương án 2'!AI18</f>
        <v>1.3745454545454547</v>
      </c>
      <c r="AJ73" s="226">
        <f>('Phương án 2'!$D$47*2+'Phương án 2'!$D$56*2)*'Phương án 2'!$B$12/'Phương án 2'!$H$8*'Phân tích phương án 2'!AJ18</f>
        <v>1.3745454545454547</v>
      </c>
      <c r="AK73" s="226">
        <f>('Phương án 2'!$D$47*2+'Phương án 2'!$D$56*2)*'Phương án 2'!$B$12/'Phương án 2'!$H$8*'Phân tích phương án 2'!AK18</f>
        <v>1.3745454545454547</v>
      </c>
      <c r="AL73" s="226">
        <f>('Phương án 2'!$D$47*2+'Phương án 2'!$D$56*2)*'Phương án 2'!$B$12/'Phương án 2'!$H$8*'Phân tích phương án 2'!AL18</f>
        <v>1.3745454545454547</v>
      </c>
      <c r="AM73" s="226">
        <f>('Phương án 2'!$D$47*2+'Phương án 2'!$D$56*2)*'Phương án 2'!$B$12/'Phương án 2'!$H$8*'Phân tích phương án 2'!AM18</f>
        <v>1.3745454545454547</v>
      </c>
      <c r="AN73" s="226">
        <f>('Phương án 2'!$D$47*2+'Phương án 2'!$D$56*2)*'Phương án 2'!$B$12/'Phương án 2'!$H$8*'Phân tích phương án 2'!AN18</f>
        <v>1.3745454545454547</v>
      </c>
      <c r="AO73" s="226">
        <f>('Phương án 2'!$D$47*2+'Phương án 2'!$D$56*2)*'Phương án 2'!$B$12/'Phương án 2'!$H$8*'Phân tích phương án 2'!AO18</f>
        <v>1.3745454545454547</v>
      </c>
      <c r="AP73" s="226">
        <f>('Phương án 2'!$D$47*2+'Phương án 2'!$D$56*2)*'Phương án 2'!$B$12/'Phương án 2'!$H$8*'Phân tích phương án 2'!AP18</f>
        <v>1.3745454545454547</v>
      </c>
      <c r="AQ73" s="226">
        <f>('Phương án 2'!$D$47*2+'Phương án 2'!$D$56*2)*'Phương án 2'!$B$12/'Phương án 2'!$H$8*'Phân tích phương án 2'!AQ18</f>
        <v>1.3745454545454547</v>
      </c>
      <c r="AR73" s="226">
        <f>('Phương án 2'!$D$47*2+'Phương án 2'!$D$56*2)*'Phương án 2'!$B$12/'Phương án 2'!$H$8*'Phân tích phương án 2'!AR18</f>
        <v>1.3745454545454547</v>
      </c>
      <c r="AS73" s="226">
        <f>('Phương án 2'!$D$47*2+'Phương án 2'!$D$56*2)*'Phương án 2'!$B$12/'Phương án 2'!$H$8*'Phân tích phương án 2'!AS18</f>
        <v>1.3745454545454547</v>
      </c>
      <c r="AT73" s="226">
        <f>('Phương án 2'!$D$47*2+'Phương án 2'!$D$56*2)*'Phương án 2'!$B$12/'Phương án 2'!$H$8*'Phân tích phương án 2'!AT18</f>
        <v>1.3745454545454547</v>
      </c>
      <c r="AU73" s="226">
        <f>('Phương án 2'!$D$47*2+'Phương án 2'!$D$56*2)*'Phương án 2'!$B$12/'Phương án 2'!$H$8*'Phân tích phương án 2'!AU18</f>
        <v>1.3745454545454547</v>
      </c>
      <c r="AV73" s="226">
        <f>('Phương án 2'!$D$47*2+'Phương án 2'!$D$56*2)*'Phương án 2'!$B$12/'Phương án 2'!$H$8*'Phân tích phương án 2'!AV18</f>
        <v>1.3745454545454547</v>
      </c>
      <c r="AW73" s="226">
        <f>('Phương án 2'!$D$47*2+'Phương án 2'!$D$56*2)*'Phương án 2'!$B$12/'Phương án 2'!$H$8*'Phân tích phương án 2'!AW18</f>
        <v>1.3745454545454547</v>
      </c>
      <c r="AX73" s="226">
        <f>('Phương án 2'!$D$47*2+'Phương án 2'!$D$56*2)*'Phương án 2'!$B$12/'Phương án 2'!$H$8*'Phân tích phương án 2'!AX18</f>
        <v>1.3745454545454547</v>
      </c>
      <c r="AY73" s="226">
        <f>('Phương án 2'!$D$47*2+'Phương án 2'!$D$56*2)*'Phương án 2'!$B$12/'Phương án 2'!$H$8*'Phân tích phương án 2'!AY18</f>
        <v>1.3745454545454547</v>
      </c>
      <c r="AZ73" s="89" t="s">
        <v>186</v>
      </c>
    </row>
    <row r="74" spans="1:52" ht="15.75" x14ac:dyDescent="0.5">
      <c r="A74" s="107" t="s">
        <v>190</v>
      </c>
      <c r="B74" s="226"/>
      <c r="C74" s="226"/>
      <c r="D74" s="226"/>
      <c r="E74" s="226"/>
      <c r="F74" s="226"/>
      <c r="G74" s="226"/>
      <c r="H74" s="226"/>
      <c r="I74" s="226"/>
      <c r="J74" s="226"/>
      <c r="K74" s="226"/>
      <c r="L74" s="226"/>
      <c r="M74" s="226"/>
      <c r="N74" s="226"/>
      <c r="O74" s="226"/>
      <c r="P74" s="226"/>
      <c r="Q74" s="226"/>
      <c r="R74" s="220"/>
      <c r="S74" s="220"/>
      <c r="T74" s="220"/>
      <c r="U74" s="220"/>
      <c r="V74" s="220"/>
      <c r="W74" s="220"/>
      <c r="X74" s="220"/>
      <c r="Y74" s="220"/>
      <c r="Z74" s="220"/>
      <c r="AA74" s="294"/>
      <c r="AB74" s="222">
        <f>'Phương án 2'!$J$14*'Phân tích phương án 2'!AB18</f>
        <v>19.607843137254903</v>
      </c>
      <c r="AC74" s="222">
        <f>'Phương án 2'!$J$14*'Phân tích phương án 2'!AC18</f>
        <v>19.607843137254903</v>
      </c>
      <c r="AD74" s="222">
        <f>'Phương án 2'!$J$14*'Phân tích phương án 2'!AD18</f>
        <v>19.607843137254903</v>
      </c>
      <c r="AE74" s="222">
        <f>'Phương án 2'!$J$14*'Phân tích phương án 2'!AE18</f>
        <v>19.607843137254903</v>
      </c>
      <c r="AF74" s="222">
        <f>'Phương án 2'!$J$14*'Phân tích phương án 2'!AF18</f>
        <v>19.607843137254903</v>
      </c>
      <c r="AG74" s="222">
        <f>'Phương án 2'!$J$14*'Phân tích phương án 2'!AG18</f>
        <v>19.607843137254903</v>
      </c>
      <c r="AH74" s="222">
        <f>'Phương án 2'!$J$14*'Phân tích phương án 2'!AH18</f>
        <v>19.607843137254903</v>
      </c>
      <c r="AI74" s="222">
        <f>'Phương án 2'!$J$14*'Phân tích phương án 2'!AI18</f>
        <v>19.607843137254903</v>
      </c>
      <c r="AJ74" s="222">
        <f>'Phương án 2'!$J$14*'Phân tích phương án 2'!AJ18</f>
        <v>19.607843137254903</v>
      </c>
      <c r="AK74" s="222">
        <f>'Phương án 2'!$J$14*'Phân tích phương án 2'!AK18</f>
        <v>19.607843137254903</v>
      </c>
      <c r="AL74" s="222">
        <f>'Phương án 2'!$J$14*'Phân tích phương án 2'!AL18</f>
        <v>19.607843137254903</v>
      </c>
      <c r="AM74" s="222">
        <f>'Phương án 2'!$J$14*'Phân tích phương án 2'!AM18</f>
        <v>19.607843137254903</v>
      </c>
      <c r="AN74" s="222">
        <f>'Phương án 2'!$J$14*'Phân tích phương án 2'!AN18</f>
        <v>19.607843137254903</v>
      </c>
      <c r="AO74" s="222">
        <f>'Phương án 2'!$J$14*'Phân tích phương án 2'!AO18</f>
        <v>19.607843137254903</v>
      </c>
      <c r="AP74" s="222">
        <f>'Phương án 2'!$J$14*'Phân tích phương án 2'!AP18</f>
        <v>19.607843137254903</v>
      </c>
      <c r="AQ74" s="222">
        <f>'Phương án 2'!$J$14*'Phân tích phương án 2'!AQ18</f>
        <v>19.607843137254903</v>
      </c>
      <c r="AR74" s="222">
        <f>'Phương án 2'!$J$14*'Phân tích phương án 2'!AR18</f>
        <v>19.607843137254903</v>
      </c>
      <c r="AS74" s="222">
        <f>'Phương án 2'!$J$14*'Phân tích phương án 2'!AS18</f>
        <v>19.607843137254903</v>
      </c>
      <c r="AT74" s="222">
        <f>'Phương án 2'!$J$14*'Phân tích phương án 2'!AT18</f>
        <v>19.607843137254903</v>
      </c>
      <c r="AU74" s="222">
        <f>'Phương án 2'!$J$14*'Phân tích phương án 2'!AU18</f>
        <v>19.607843137254903</v>
      </c>
      <c r="AV74" s="222">
        <f>'Phương án 2'!$J$14*'Phân tích phương án 2'!AV18</f>
        <v>19.607843137254903</v>
      </c>
      <c r="AW74" s="222">
        <f>'Phương án 2'!$J$14*'Phân tích phương án 2'!AW18</f>
        <v>19.607843137254903</v>
      </c>
      <c r="AX74" s="222">
        <f>'Phương án 2'!$J$14*'Phân tích phương án 2'!AX18</f>
        <v>19.607843137254903</v>
      </c>
      <c r="AY74" s="222">
        <f>'Phương án 2'!$J$14*'Phân tích phương án 2'!AY18</f>
        <v>19.607843137254903</v>
      </c>
      <c r="AZ74" s="89" t="s">
        <v>186</v>
      </c>
    </row>
    <row r="75" spans="1:52" ht="15.75" x14ac:dyDescent="0.5">
      <c r="A75" s="107" t="s">
        <v>196</v>
      </c>
      <c r="B75" s="226"/>
      <c r="C75" s="226"/>
      <c r="D75" s="226"/>
      <c r="E75" s="226"/>
      <c r="F75" s="226"/>
      <c r="G75" s="226"/>
      <c r="H75" s="226"/>
      <c r="I75" s="226"/>
      <c r="J75" s="226"/>
      <c r="K75" s="226"/>
      <c r="L75" s="226"/>
      <c r="M75" s="226"/>
      <c r="N75" s="226"/>
      <c r="O75" s="226"/>
      <c r="P75" s="226"/>
      <c r="Q75" s="226"/>
      <c r="R75" s="220"/>
      <c r="S75" s="220"/>
      <c r="T75" s="220"/>
      <c r="U75" s="220"/>
      <c r="V75" s="220"/>
      <c r="W75" s="220"/>
      <c r="X75" s="220"/>
      <c r="Y75" s="220"/>
      <c r="Z75" s="220"/>
      <c r="AA75" s="294"/>
      <c r="AB75" s="222">
        <f>'Phương án 2'!$I$14*'Phân tích phương án 2'!AB19</f>
        <v>0.39215686274509665</v>
      </c>
      <c r="AC75" s="222">
        <f>'Phương án 2'!$I$14*'Phân tích phương án 2'!AC19</f>
        <v>0.39215686274509665</v>
      </c>
      <c r="AD75" s="222">
        <f>'Phương án 2'!$I$14*'Phân tích phương án 2'!AD19</f>
        <v>0.39215686274509665</v>
      </c>
      <c r="AE75" s="222">
        <f>'Phương án 2'!$I$14*'Phân tích phương án 2'!AE19</f>
        <v>0.39215686274509665</v>
      </c>
      <c r="AF75" s="222">
        <f>'Phương án 2'!$I$14*'Phân tích phương án 2'!AF19</f>
        <v>0.39215686274509665</v>
      </c>
      <c r="AG75" s="222">
        <f>'Phương án 2'!$I$14*'Phân tích phương án 2'!AG19</f>
        <v>0.39215686274509665</v>
      </c>
      <c r="AH75" s="222">
        <f>'Phương án 2'!$I$14*'Phân tích phương án 2'!AH19</f>
        <v>0.39215686274509665</v>
      </c>
      <c r="AI75" s="222">
        <f>'Phương án 2'!$I$14*'Phân tích phương án 2'!AI19</f>
        <v>0.39215686274509665</v>
      </c>
      <c r="AJ75" s="222">
        <f>'Phương án 2'!$I$14*'Phân tích phương án 2'!AJ19</f>
        <v>0.39215686274509665</v>
      </c>
      <c r="AK75" s="222">
        <f>'Phương án 2'!$I$14*'Phân tích phương án 2'!AK19</f>
        <v>0.39215686274509665</v>
      </c>
      <c r="AL75" s="222">
        <f>'Phương án 2'!$I$14*'Phân tích phương án 2'!AL19</f>
        <v>0.39215686274509665</v>
      </c>
      <c r="AM75" s="222">
        <f>'Phương án 2'!$I$14*'Phân tích phương án 2'!AM19</f>
        <v>0.39215686274509665</v>
      </c>
      <c r="AN75" s="222">
        <f>'Phương án 2'!$I$14*'Phân tích phương án 2'!AN19</f>
        <v>0.39215686274509665</v>
      </c>
      <c r="AO75" s="222">
        <f>'Phương án 2'!$I$14*'Phân tích phương án 2'!AO19</f>
        <v>0.39215686274509665</v>
      </c>
      <c r="AP75" s="222">
        <f>'Phương án 2'!$I$14*'Phân tích phương án 2'!AP19</f>
        <v>0.39215686274509665</v>
      </c>
      <c r="AQ75" s="222">
        <f>'Phương án 2'!$I$14*'Phân tích phương án 2'!AQ19</f>
        <v>0.39215686274509665</v>
      </c>
      <c r="AR75" s="222">
        <f>'Phương án 2'!$I$14*'Phân tích phương án 2'!AR19</f>
        <v>0.39215686274509665</v>
      </c>
      <c r="AS75" s="222">
        <f>'Phương án 2'!$I$14*'Phân tích phương án 2'!AS19</f>
        <v>0.39215686274509665</v>
      </c>
      <c r="AT75" s="222">
        <f>'Phương án 2'!$I$14*'Phân tích phương án 2'!AT19</f>
        <v>0.39215686274509665</v>
      </c>
      <c r="AU75" s="222">
        <f>'Phương án 2'!$I$14*'Phân tích phương án 2'!AU19</f>
        <v>0.39215686274509665</v>
      </c>
      <c r="AV75" s="222">
        <f>'Phương án 2'!$I$14*'Phân tích phương án 2'!AV19</f>
        <v>0.39215686274509665</v>
      </c>
      <c r="AW75" s="222">
        <f>'Phương án 2'!$I$14*'Phân tích phương án 2'!AW19</f>
        <v>0.39215686274509665</v>
      </c>
      <c r="AX75" s="222">
        <f>'Phương án 2'!$I$14*'Phân tích phương án 2'!AX19</f>
        <v>0.39215686274509665</v>
      </c>
      <c r="AY75" s="222">
        <f>'Phương án 2'!$I$14*'Phân tích phương án 2'!AY19</f>
        <v>0.39215686274509665</v>
      </c>
    </row>
    <row r="76" spans="1:52" ht="15.75" x14ac:dyDescent="0.4">
      <c r="A76" s="104" t="s">
        <v>48</v>
      </c>
      <c r="B76" s="248">
        <f t="shared" ref="B76:AG76" si="24">SUM(B60:B75)</f>
        <v>510</v>
      </c>
      <c r="C76" s="248">
        <f t="shared" si="24"/>
        <v>505</v>
      </c>
      <c r="D76" s="248">
        <f t="shared" si="24"/>
        <v>12.6</v>
      </c>
      <c r="E76" s="248">
        <f t="shared" si="24"/>
        <v>12.6378</v>
      </c>
      <c r="F76" s="248">
        <f t="shared" si="24"/>
        <v>12.675977999999999</v>
      </c>
      <c r="G76" s="248">
        <f t="shared" si="24"/>
        <v>12.714537780000001</v>
      </c>
      <c r="H76" s="248">
        <f t="shared" si="24"/>
        <v>188.75348315779999</v>
      </c>
      <c r="I76" s="248">
        <f t="shared" si="24"/>
        <v>188.79281798937799</v>
      </c>
      <c r="J76" s="248">
        <f t="shared" si="24"/>
        <v>25.665092338543559</v>
      </c>
      <c r="K76" s="248">
        <f t="shared" si="24"/>
        <v>25.745343261928991</v>
      </c>
      <c r="L76" s="248">
        <f t="shared" si="24"/>
        <v>25.826396694548286</v>
      </c>
      <c r="M76" s="248">
        <f t="shared" si="24"/>
        <v>25.908260661493767</v>
      </c>
      <c r="N76" s="248">
        <f t="shared" si="24"/>
        <v>535.99094326810871</v>
      </c>
      <c r="O76" s="248">
        <f t="shared" si="24"/>
        <v>531.07445270078983</v>
      </c>
      <c r="P76" s="248">
        <f t="shared" si="24"/>
        <v>39.238195841696545</v>
      </c>
      <c r="Q76" s="248">
        <f t="shared" si="24"/>
        <v>39.365977800113505</v>
      </c>
      <c r="R76" s="248">
        <f t="shared" si="24"/>
        <v>39.495037578114641</v>
      </c>
      <c r="S76" s="248">
        <f t="shared" si="24"/>
        <v>39.625387953895789</v>
      </c>
      <c r="T76" s="248">
        <f t="shared" si="24"/>
        <v>215.75704183343476</v>
      </c>
      <c r="U76" s="248">
        <f t="shared" si="24"/>
        <v>215.89001225176909</v>
      </c>
      <c r="V76" s="248">
        <f t="shared" si="24"/>
        <v>53.365749832382377</v>
      </c>
      <c r="W76" s="248">
        <f t="shared" si="24"/>
        <v>53.546607330706202</v>
      </c>
      <c r="X76" s="248">
        <f t="shared" si="24"/>
        <v>53.729273404013263</v>
      </c>
      <c r="Y76" s="248">
        <f t="shared" si="24"/>
        <v>53.91376613805339</v>
      </c>
      <c r="Z76" s="248">
        <f t="shared" si="24"/>
        <v>54.100103799433931</v>
      </c>
      <c r="AA76" s="293">
        <f t="shared" si="24"/>
        <v>54.288304837428264</v>
      </c>
      <c r="AB76" s="248">
        <f t="shared" si="24"/>
        <v>70.399999999999991</v>
      </c>
      <c r="AC76" s="248">
        <f t="shared" si="24"/>
        <v>70.399999999999991</v>
      </c>
      <c r="AD76" s="248">
        <f t="shared" si="24"/>
        <v>70.399999999999991</v>
      </c>
      <c r="AE76" s="248">
        <f t="shared" si="24"/>
        <v>70.399999999999991</v>
      </c>
      <c r="AF76" s="248">
        <f t="shared" si="24"/>
        <v>70.399999999999991</v>
      </c>
      <c r="AG76" s="248">
        <f t="shared" si="24"/>
        <v>70.399999999999991</v>
      </c>
      <c r="AH76" s="248">
        <f t="shared" ref="AH76:AY76" si="25">SUM(AH60:AH75)</f>
        <v>70.399999999999991</v>
      </c>
      <c r="AI76" s="248">
        <f t="shared" si="25"/>
        <v>70.399999999999991</v>
      </c>
      <c r="AJ76" s="248">
        <f t="shared" si="25"/>
        <v>70.399999999999991</v>
      </c>
      <c r="AK76" s="248">
        <f t="shared" si="25"/>
        <v>70.399999999999991</v>
      </c>
      <c r="AL76" s="248">
        <f t="shared" si="25"/>
        <v>70.399999999999991</v>
      </c>
      <c r="AM76" s="248">
        <f t="shared" si="25"/>
        <v>70.399999999999991</v>
      </c>
      <c r="AN76" s="248">
        <f t="shared" si="25"/>
        <v>70.399999999999991</v>
      </c>
      <c r="AO76" s="248">
        <f t="shared" si="25"/>
        <v>70.399999999999991</v>
      </c>
      <c r="AP76" s="248">
        <f t="shared" si="25"/>
        <v>70.399999999999991</v>
      </c>
      <c r="AQ76" s="248">
        <f t="shared" si="25"/>
        <v>70.399999999999991</v>
      </c>
      <c r="AR76" s="248">
        <f t="shared" si="25"/>
        <v>70.399999999999991</v>
      </c>
      <c r="AS76" s="248">
        <f t="shared" si="25"/>
        <v>70.399999999999991</v>
      </c>
      <c r="AT76" s="248">
        <f t="shared" si="25"/>
        <v>70.399999999999991</v>
      </c>
      <c r="AU76" s="248">
        <f t="shared" si="25"/>
        <v>70.399999999999991</v>
      </c>
      <c r="AV76" s="248">
        <f t="shared" si="25"/>
        <v>70.399999999999991</v>
      </c>
      <c r="AW76" s="248">
        <f t="shared" si="25"/>
        <v>70.399999999999991</v>
      </c>
      <c r="AX76" s="248">
        <f t="shared" si="25"/>
        <v>70.399999999999991</v>
      </c>
      <c r="AY76" s="248">
        <f t="shared" si="25"/>
        <v>70.399999999999991</v>
      </c>
      <c r="AZ76" s="89" t="s">
        <v>186</v>
      </c>
    </row>
    <row r="77" spans="1:52" ht="15.75" x14ac:dyDescent="0.4">
      <c r="A77" s="84"/>
      <c r="B77" s="226"/>
      <c r="C77" s="226"/>
      <c r="D77" s="226"/>
      <c r="E77" s="226"/>
      <c r="F77" s="226"/>
      <c r="G77" s="226"/>
      <c r="H77" s="226"/>
      <c r="I77" s="226"/>
      <c r="J77" s="226"/>
      <c r="K77" s="226"/>
      <c r="L77" s="226"/>
      <c r="M77" s="220"/>
      <c r="N77" s="220"/>
      <c r="O77" s="220"/>
      <c r="P77" s="220"/>
      <c r="Q77" s="220"/>
      <c r="R77" s="220"/>
      <c r="S77" s="220"/>
      <c r="T77" s="220"/>
      <c r="U77" s="220"/>
      <c r="V77" s="220"/>
      <c r="W77" s="220"/>
      <c r="X77" s="220"/>
      <c r="Y77" s="220"/>
      <c r="Z77" s="220"/>
      <c r="AA77" s="294"/>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X77" s="220"/>
      <c r="AY77" s="220"/>
      <c r="AZ77" s="89" t="s">
        <v>186</v>
      </c>
    </row>
    <row r="78" spans="1:52" ht="15.75" x14ac:dyDescent="0.4">
      <c r="A78" s="116" t="s">
        <v>51</v>
      </c>
      <c r="B78" s="226"/>
      <c r="C78" s="226"/>
      <c r="D78" s="226"/>
      <c r="E78" s="226"/>
      <c r="F78" s="226"/>
      <c r="G78" s="226"/>
      <c r="H78" s="226"/>
      <c r="I78" s="226"/>
      <c r="J78" s="226"/>
      <c r="K78" s="226"/>
      <c r="L78" s="226"/>
      <c r="M78" s="220"/>
      <c r="N78" s="220"/>
      <c r="O78" s="220"/>
      <c r="P78" s="220"/>
      <c r="Q78" s="220"/>
      <c r="R78" s="220"/>
      <c r="S78" s="220"/>
      <c r="T78" s="220"/>
      <c r="U78" s="220"/>
      <c r="V78" s="220"/>
      <c r="W78" s="220"/>
      <c r="X78" s="220"/>
      <c r="Y78" s="220"/>
      <c r="Z78" s="220"/>
      <c r="AA78" s="294"/>
      <c r="AB78" s="220"/>
      <c r="AC78" s="220"/>
      <c r="AD78" s="220"/>
      <c r="AE78" s="220"/>
      <c r="AF78" s="220"/>
      <c r="AG78" s="220"/>
      <c r="AH78" s="220"/>
      <c r="AI78" s="220"/>
      <c r="AJ78" s="220"/>
      <c r="AK78" s="220"/>
      <c r="AL78" s="220"/>
      <c r="AM78" s="220"/>
      <c r="AN78" s="220"/>
      <c r="AO78" s="220"/>
      <c r="AP78" s="220"/>
      <c r="AQ78" s="220"/>
      <c r="AR78" s="220"/>
      <c r="AS78" s="220"/>
      <c r="AT78" s="220"/>
      <c r="AU78" s="220"/>
      <c r="AV78" s="220"/>
      <c r="AW78" s="220"/>
      <c r="AX78" s="220"/>
      <c r="AY78" s="220"/>
      <c r="AZ78" s="89" t="s">
        <v>186</v>
      </c>
    </row>
    <row r="79" spans="1:52" ht="15.75" x14ac:dyDescent="0.4">
      <c r="A79" s="84" t="s">
        <v>17</v>
      </c>
      <c r="B79" s="226"/>
      <c r="C79" s="226">
        <f t="shared" ref="C79:AH79" si="26">C47</f>
        <v>0</v>
      </c>
      <c r="D79" s="226">
        <f t="shared" si="26"/>
        <v>30.173590902868586</v>
      </c>
      <c r="E79" s="226">
        <f t="shared" si="26"/>
        <v>21.132396635898942</v>
      </c>
      <c r="F79" s="226">
        <f t="shared" si="26"/>
        <v>21.619300228641247</v>
      </c>
      <c r="G79" s="226">
        <f t="shared" si="26"/>
        <v>22.147157561530214</v>
      </c>
      <c r="H79" s="226">
        <f t="shared" si="26"/>
        <v>22.719264948304836</v>
      </c>
      <c r="I79" s="226">
        <f t="shared" si="26"/>
        <v>23.339182607948519</v>
      </c>
      <c r="J79" s="226">
        <f t="shared" si="26"/>
        <v>65.581291763023728</v>
      </c>
      <c r="K79" s="226">
        <f t="shared" si="26"/>
        <v>66.289045035009067</v>
      </c>
      <c r="L79" s="226">
        <f t="shared" si="26"/>
        <v>67.056896108766637</v>
      </c>
      <c r="M79" s="226">
        <f t="shared" si="26"/>
        <v>67.889687583838295</v>
      </c>
      <c r="N79" s="226">
        <f t="shared" si="26"/>
        <v>68.792649815483344</v>
      </c>
      <c r="O79" s="226">
        <f t="shared" si="26"/>
        <v>69.771431938613276</v>
      </c>
      <c r="P79" s="226">
        <f t="shared" si="26"/>
        <v>102.71454552812604</v>
      </c>
      <c r="Q79" s="226">
        <f t="shared" si="26"/>
        <v>103.8318607752813</v>
      </c>
      <c r="R79" s="226">
        <f t="shared" si="26"/>
        <v>105.04448567846288</v>
      </c>
      <c r="S79" s="226">
        <f t="shared" si="26"/>
        <v>104.95814971528316</v>
      </c>
      <c r="T79" s="226">
        <f t="shared" si="26"/>
        <v>104.87095039247164</v>
      </c>
      <c r="U79" s="226">
        <f t="shared" si="26"/>
        <v>104.78287907643201</v>
      </c>
      <c r="V79" s="226">
        <f t="shared" si="26"/>
        <v>146.0155248682145</v>
      </c>
      <c r="W79" s="226">
        <f t="shared" si="26"/>
        <v>145.90356546449024</v>
      </c>
      <c r="X79" s="226">
        <f t="shared" si="26"/>
        <v>145.79048646672874</v>
      </c>
      <c r="Y79" s="226">
        <f t="shared" si="26"/>
        <v>145.67627667898961</v>
      </c>
      <c r="Z79" s="226">
        <f t="shared" si="26"/>
        <v>145.56092479337309</v>
      </c>
      <c r="AA79" s="292">
        <f t="shared" si="26"/>
        <v>175.4444193889004</v>
      </c>
      <c r="AB79" s="226">
        <f t="shared" si="26"/>
        <v>147.85146524064172</v>
      </c>
      <c r="AC79" s="226">
        <f t="shared" si="26"/>
        <v>150.08675935828876</v>
      </c>
      <c r="AD79" s="226">
        <f t="shared" si="26"/>
        <v>150.08675935828876</v>
      </c>
      <c r="AE79" s="226">
        <f t="shared" si="26"/>
        <v>150.08675935828876</v>
      </c>
      <c r="AF79" s="226">
        <f t="shared" si="26"/>
        <v>150.08675935828876</v>
      </c>
      <c r="AG79" s="226">
        <f t="shared" si="26"/>
        <v>150.08675935828876</v>
      </c>
      <c r="AH79" s="226">
        <f t="shared" si="26"/>
        <v>154.98872014260249</v>
      </c>
      <c r="AI79" s="226">
        <f t="shared" ref="AI79:AY79" si="27">AI47</f>
        <v>154.98872014260249</v>
      </c>
      <c r="AJ79" s="226">
        <f t="shared" si="27"/>
        <v>154.98872014260249</v>
      </c>
      <c r="AK79" s="226">
        <f t="shared" si="27"/>
        <v>154.98872014260249</v>
      </c>
      <c r="AL79" s="226">
        <f t="shared" si="27"/>
        <v>154.98872014260249</v>
      </c>
      <c r="AM79" s="226">
        <f t="shared" si="27"/>
        <v>154.98872014260249</v>
      </c>
      <c r="AN79" s="226">
        <f t="shared" si="27"/>
        <v>158.43970053475934</v>
      </c>
      <c r="AO79" s="226">
        <f t="shared" si="27"/>
        <v>160.67499465240641</v>
      </c>
      <c r="AP79" s="226">
        <f t="shared" si="27"/>
        <v>160.67499465240641</v>
      </c>
      <c r="AQ79" s="226">
        <f t="shared" si="27"/>
        <v>160.67499465240641</v>
      </c>
      <c r="AR79" s="226">
        <f t="shared" si="27"/>
        <v>163.02793582887702</v>
      </c>
      <c r="AS79" s="226">
        <f t="shared" si="27"/>
        <v>163.02793582887702</v>
      </c>
      <c r="AT79" s="226">
        <f t="shared" si="27"/>
        <v>167.92989661319072</v>
      </c>
      <c r="AU79" s="226">
        <f t="shared" si="27"/>
        <v>167.92989661319072</v>
      </c>
      <c r="AV79" s="226">
        <f t="shared" si="27"/>
        <v>167.92989661319072</v>
      </c>
      <c r="AW79" s="226">
        <f t="shared" si="27"/>
        <v>167.92989661319072</v>
      </c>
      <c r="AX79" s="226">
        <f t="shared" si="27"/>
        <v>167.92989661319072</v>
      </c>
      <c r="AY79" s="226">
        <f t="shared" si="27"/>
        <v>167.92989661319072</v>
      </c>
      <c r="AZ79" s="89" t="s">
        <v>186</v>
      </c>
    </row>
    <row r="80" spans="1:52" ht="15.75" x14ac:dyDescent="0.4">
      <c r="A80" s="117" t="s">
        <v>52</v>
      </c>
      <c r="B80" s="226">
        <f t="shared" ref="B80:AG80" si="28">B55-SUM(B61,B67,B71,B65,B73,B75)</f>
        <v>-10</v>
      </c>
      <c r="C80" s="226">
        <f t="shared" si="28"/>
        <v>-9.901960784313701</v>
      </c>
      <c r="D80" s="226">
        <f t="shared" si="28"/>
        <v>16.49454545454546</v>
      </c>
      <c r="E80" s="226">
        <f t="shared" si="28"/>
        <v>16.491109090909095</v>
      </c>
      <c r="F80" s="226">
        <f t="shared" si="28"/>
        <v>16.487638363636368</v>
      </c>
      <c r="G80" s="226">
        <f t="shared" si="28"/>
        <v>16.484132929090915</v>
      </c>
      <c r="H80" s="226">
        <f t="shared" si="28"/>
        <v>13.029612048043127</v>
      </c>
      <c r="I80" s="226">
        <f t="shared" si="28"/>
        <v>13.026036154263309</v>
      </c>
      <c r="J80" s="226">
        <f t="shared" si="28"/>
        <v>32.946809787405144</v>
      </c>
      <c r="K80" s="226">
        <f t="shared" si="28"/>
        <v>32.939514248915557</v>
      </c>
      <c r="L80" s="226">
        <f t="shared" si="28"/>
        <v>32.932145755041077</v>
      </c>
      <c r="M80" s="226">
        <f t="shared" si="28"/>
        <v>32.924703576227849</v>
      </c>
      <c r="N80" s="226">
        <f t="shared" si="28"/>
        <v>22.917186975626493</v>
      </c>
      <c r="O80" s="226">
        <f t="shared" si="28"/>
        <v>23.007634424705419</v>
      </c>
      <c r="P80" s="226">
        <f t="shared" si="28"/>
        <v>49.35289128711851</v>
      </c>
      <c r="Q80" s="226">
        <f t="shared" si="28"/>
        <v>49.341274745444245</v>
      </c>
      <c r="R80" s="226">
        <f t="shared" si="28"/>
        <v>49.329542038353232</v>
      </c>
      <c r="S80" s="226">
        <f t="shared" si="28"/>
        <v>49.317692004191308</v>
      </c>
      <c r="T80" s="226">
        <f t="shared" si="28"/>
        <v>45.854743077530884</v>
      </c>
      <c r="U80" s="226">
        <f t="shared" si="28"/>
        <v>45.842654857682312</v>
      </c>
      <c r="V80" s="226">
        <f t="shared" si="28"/>
        <v>65.708568197056167</v>
      </c>
      <c r="W80" s="226">
        <f t="shared" si="28"/>
        <v>65.692126606299453</v>
      </c>
      <c r="X80" s="226">
        <f t="shared" si="28"/>
        <v>65.675520599635178</v>
      </c>
      <c r="Y80" s="226">
        <f t="shared" si="28"/>
        <v>65.658748532904255</v>
      </c>
      <c r="Z80" s="226">
        <f t="shared" si="28"/>
        <v>65.641808745506026</v>
      </c>
      <c r="AA80" s="292">
        <f t="shared" si="28"/>
        <v>65.624699560233807</v>
      </c>
      <c r="AB80" s="226">
        <f t="shared" si="28"/>
        <v>65.586024955436741</v>
      </c>
      <c r="AC80" s="226">
        <f t="shared" si="28"/>
        <v>65.586024955436741</v>
      </c>
      <c r="AD80" s="226">
        <f t="shared" si="28"/>
        <v>65.586024955436741</v>
      </c>
      <c r="AE80" s="226">
        <f t="shared" si="28"/>
        <v>65.586024955436741</v>
      </c>
      <c r="AF80" s="226">
        <f t="shared" si="28"/>
        <v>65.586024955436741</v>
      </c>
      <c r="AG80" s="226">
        <f t="shared" si="28"/>
        <v>65.586024955436741</v>
      </c>
      <c r="AH80" s="226">
        <f t="shared" ref="AH80:AY80" si="29">AH55-SUM(AH61,AH67,AH71,AH65,AH73,AH75)</f>
        <v>65.586024955436741</v>
      </c>
      <c r="AI80" s="226">
        <f t="shared" si="29"/>
        <v>65.586024955436741</v>
      </c>
      <c r="AJ80" s="226">
        <f t="shared" si="29"/>
        <v>65.586024955436741</v>
      </c>
      <c r="AK80" s="226">
        <f t="shared" si="29"/>
        <v>65.586024955436741</v>
      </c>
      <c r="AL80" s="226">
        <f t="shared" si="29"/>
        <v>65.586024955436741</v>
      </c>
      <c r="AM80" s="226">
        <f t="shared" si="29"/>
        <v>65.586024955436741</v>
      </c>
      <c r="AN80" s="226">
        <f t="shared" si="29"/>
        <v>65.586024955436741</v>
      </c>
      <c r="AO80" s="226">
        <f t="shared" si="29"/>
        <v>65.586024955436741</v>
      </c>
      <c r="AP80" s="226">
        <f t="shared" si="29"/>
        <v>65.586024955436741</v>
      </c>
      <c r="AQ80" s="226">
        <f t="shared" si="29"/>
        <v>65.586024955436741</v>
      </c>
      <c r="AR80" s="226">
        <f t="shared" si="29"/>
        <v>65.586024955436741</v>
      </c>
      <c r="AS80" s="226">
        <f t="shared" si="29"/>
        <v>65.586024955436741</v>
      </c>
      <c r="AT80" s="226">
        <f t="shared" si="29"/>
        <v>65.586024955436741</v>
      </c>
      <c r="AU80" s="226">
        <f t="shared" si="29"/>
        <v>65.586024955436741</v>
      </c>
      <c r="AV80" s="226">
        <f t="shared" si="29"/>
        <v>65.586024955436741</v>
      </c>
      <c r="AW80" s="226">
        <f t="shared" si="29"/>
        <v>65.586024955436741</v>
      </c>
      <c r="AX80" s="226">
        <f t="shared" si="29"/>
        <v>65.586024955436741</v>
      </c>
      <c r="AY80" s="226">
        <f t="shared" si="29"/>
        <v>65.586024955436741</v>
      </c>
      <c r="AZ80" s="89" t="s">
        <v>186</v>
      </c>
    </row>
    <row r="81" spans="1:52" ht="15.75" x14ac:dyDescent="0.4">
      <c r="A81" s="110" t="s">
        <v>53</v>
      </c>
      <c r="B81" s="248">
        <f t="shared" ref="B81:AG81" si="30">SUM(B79:B80)</f>
        <v>-10</v>
      </c>
      <c r="C81" s="248">
        <f t="shared" si="30"/>
        <v>-9.901960784313701</v>
      </c>
      <c r="D81" s="248">
        <f t="shared" si="30"/>
        <v>46.668136357414042</v>
      </c>
      <c r="E81" s="248">
        <f t="shared" si="30"/>
        <v>37.623505726808034</v>
      </c>
      <c r="F81" s="248">
        <f t="shared" si="30"/>
        <v>38.106938592277615</v>
      </c>
      <c r="G81" s="248">
        <f t="shared" si="30"/>
        <v>38.631290490621126</v>
      </c>
      <c r="H81" s="248">
        <f t="shared" si="30"/>
        <v>35.74887699634796</v>
      </c>
      <c r="I81" s="248">
        <f t="shared" si="30"/>
        <v>36.365218762211825</v>
      </c>
      <c r="J81" s="248">
        <f t="shared" si="30"/>
        <v>98.528101550428872</v>
      </c>
      <c r="K81" s="248">
        <f t="shared" si="30"/>
        <v>99.228559283924625</v>
      </c>
      <c r="L81" s="248">
        <f t="shared" si="30"/>
        <v>99.989041863807714</v>
      </c>
      <c r="M81" s="248">
        <f t="shared" si="30"/>
        <v>100.81439116006615</v>
      </c>
      <c r="N81" s="248">
        <f t="shared" si="30"/>
        <v>91.709836791109836</v>
      </c>
      <c r="O81" s="248">
        <f t="shared" si="30"/>
        <v>92.779066363318691</v>
      </c>
      <c r="P81" s="248">
        <f t="shared" si="30"/>
        <v>152.06743681524455</v>
      </c>
      <c r="Q81" s="248">
        <f t="shared" si="30"/>
        <v>153.17313552072554</v>
      </c>
      <c r="R81" s="248">
        <f t="shared" si="30"/>
        <v>154.3740277168161</v>
      </c>
      <c r="S81" s="248">
        <f t="shared" si="30"/>
        <v>154.27584171947447</v>
      </c>
      <c r="T81" s="248">
        <f t="shared" si="30"/>
        <v>150.72569347000251</v>
      </c>
      <c r="U81" s="248">
        <f t="shared" si="30"/>
        <v>150.62553393411432</v>
      </c>
      <c r="V81" s="248">
        <f t="shared" si="30"/>
        <v>211.72409306527067</v>
      </c>
      <c r="W81" s="248">
        <f t="shared" si="30"/>
        <v>211.59569207078971</v>
      </c>
      <c r="X81" s="248">
        <f t="shared" si="30"/>
        <v>211.46600706636391</v>
      </c>
      <c r="Y81" s="248">
        <f t="shared" si="30"/>
        <v>211.33502521189388</v>
      </c>
      <c r="Z81" s="248">
        <f t="shared" si="30"/>
        <v>211.2027335388791</v>
      </c>
      <c r="AA81" s="293">
        <f t="shared" si="30"/>
        <v>241.06911894913421</v>
      </c>
      <c r="AB81" s="248">
        <f t="shared" si="30"/>
        <v>213.43749019607844</v>
      </c>
      <c r="AC81" s="248">
        <f t="shared" si="30"/>
        <v>215.67278431372551</v>
      </c>
      <c r="AD81" s="248">
        <f t="shared" si="30"/>
        <v>215.67278431372551</v>
      </c>
      <c r="AE81" s="248">
        <f t="shared" si="30"/>
        <v>215.67278431372551</v>
      </c>
      <c r="AF81" s="248">
        <f t="shared" si="30"/>
        <v>215.67278431372551</v>
      </c>
      <c r="AG81" s="248">
        <f t="shared" si="30"/>
        <v>215.67278431372551</v>
      </c>
      <c r="AH81" s="248">
        <f t="shared" ref="AH81:AY81" si="31">SUM(AH79:AH80)</f>
        <v>220.57474509803922</v>
      </c>
      <c r="AI81" s="248">
        <f t="shared" si="31"/>
        <v>220.57474509803922</v>
      </c>
      <c r="AJ81" s="248">
        <f t="shared" si="31"/>
        <v>220.57474509803922</v>
      </c>
      <c r="AK81" s="248">
        <f t="shared" si="31"/>
        <v>220.57474509803922</v>
      </c>
      <c r="AL81" s="248">
        <f t="shared" si="31"/>
        <v>220.57474509803922</v>
      </c>
      <c r="AM81" s="248">
        <f t="shared" si="31"/>
        <v>220.57474509803922</v>
      </c>
      <c r="AN81" s="248">
        <f t="shared" si="31"/>
        <v>224.02572549019607</v>
      </c>
      <c r="AO81" s="248">
        <f t="shared" si="31"/>
        <v>226.26101960784314</v>
      </c>
      <c r="AP81" s="248">
        <f t="shared" si="31"/>
        <v>226.26101960784314</v>
      </c>
      <c r="AQ81" s="248">
        <f t="shared" si="31"/>
        <v>226.26101960784314</v>
      </c>
      <c r="AR81" s="248">
        <f t="shared" si="31"/>
        <v>228.61396078431375</v>
      </c>
      <c r="AS81" s="248">
        <f t="shared" si="31"/>
        <v>228.61396078431375</v>
      </c>
      <c r="AT81" s="248">
        <f t="shared" si="31"/>
        <v>233.51592156862745</v>
      </c>
      <c r="AU81" s="248">
        <f t="shared" si="31"/>
        <v>233.51592156862745</v>
      </c>
      <c r="AV81" s="248">
        <f t="shared" si="31"/>
        <v>233.51592156862745</v>
      </c>
      <c r="AW81" s="248">
        <f t="shared" si="31"/>
        <v>233.51592156862745</v>
      </c>
      <c r="AX81" s="248">
        <f t="shared" si="31"/>
        <v>233.51592156862745</v>
      </c>
      <c r="AY81" s="248">
        <f t="shared" si="31"/>
        <v>233.51592156862745</v>
      </c>
      <c r="AZ81" s="89" t="s">
        <v>186</v>
      </c>
    </row>
    <row r="82" spans="1:52" ht="15.75" x14ac:dyDescent="0.4">
      <c r="A82" s="107"/>
      <c r="B82" s="226"/>
      <c r="C82" s="226"/>
      <c r="D82" s="226"/>
      <c r="E82" s="226"/>
      <c r="F82" s="226"/>
      <c r="G82" s="226"/>
      <c r="H82" s="226"/>
      <c r="I82" s="226"/>
      <c r="J82" s="226"/>
      <c r="K82" s="226"/>
      <c r="L82" s="226"/>
      <c r="M82" s="226"/>
      <c r="N82" s="226"/>
      <c r="O82" s="226"/>
      <c r="P82" s="226"/>
      <c r="Q82" s="226"/>
      <c r="R82" s="220"/>
      <c r="S82" s="220"/>
      <c r="T82" s="220"/>
      <c r="U82" s="220"/>
      <c r="V82" s="220"/>
      <c r="W82" s="220"/>
      <c r="X82" s="220"/>
      <c r="Y82" s="220"/>
      <c r="Z82" s="220"/>
      <c r="AA82" s="294"/>
      <c r="AB82" s="220"/>
      <c r="AC82" s="220"/>
      <c r="AD82" s="220"/>
      <c r="AE82" s="220"/>
      <c r="AF82" s="220"/>
      <c r="AG82" s="220"/>
      <c r="AH82" s="220"/>
      <c r="AI82" s="220"/>
      <c r="AJ82" s="220"/>
      <c r="AK82" s="220"/>
      <c r="AL82" s="220"/>
      <c r="AM82" s="220"/>
      <c r="AN82" s="220"/>
      <c r="AO82" s="220"/>
      <c r="AP82" s="220"/>
      <c r="AQ82" s="220"/>
      <c r="AR82" s="220"/>
      <c r="AS82" s="220"/>
      <c r="AT82" s="220"/>
      <c r="AU82" s="220"/>
      <c r="AV82" s="220"/>
      <c r="AW82" s="220"/>
      <c r="AX82" s="220"/>
      <c r="AY82" s="220"/>
      <c r="AZ82" s="89" t="s">
        <v>186</v>
      </c>
    </row>
    <row r="83" spans="1:52" ht="15.75" x14ac:dyDescent="0.4">
      <c r="A83" s="96" t="s">
        <v>54</v>
      </c>
      <c r="B83" s="251">
        <f t="shared" ref="B83:AG83" si="32">B57-B76-B81</f>
        <v>-500</v>
      </c>
      <c r="C83" s="251">
        <f t="shared" si="32"/>
        <v>-495.0980392156863</v>
      </c>
      <c r="D83" s="251">
        <f t="shared" si="32"/>
        <v>129.73186364258595</v>
      </c>
      <c r="E83" s="251">
        <f t="shared" si="32"/>
        <v>138.73869427319198</v>
      </c>
      <c r="F83" s="251">
        <f t="shared" si="32"/>
        <v>138.21708340772238</v>
      </c>
      <c r="G83" s="251">
        <f t="shared" si="32"/>
        <v>137.65417172937887</v>
      </c>
      <c r="H83" s="251">
        <f t="shared" si="32"/>
        <v>-35.502360154147951</v>
      </c>
      <c r="I83" s="251">
        <f t="shared" si="32"/>
        <v>-36.158036751589819</v>
      </c>
      <c r="J83" s="251">
        <f t="shared" si="32"/>
        <v>253.80680611102758</v>
      </c>
      <c r="K83" s="251">
        <f t="shared" si="32"/>
        <v>253.02609745414637</v>
      </c>
      <c r="L83" s="251">
        <f t="shared" si="32"/>
        <v>252.18456144164401</v>
      </c>
      <c r="M83" s="251">
        <f t="shared" si="32"/>
        <v>251.27734817844006</v>
      </c>
      <c r="N83" s="251">
        <f t="shared" si="32"/>
        <v>-249.70078005921854</v>
      </c>
      <c r="O83" s="251">
        <f t="shared" si="32"/>
        <v>-245.85351906410853</v>
      </c>
      <c r="P83" s="251">
        <f t="shared" si="32"/>
        <v>375.6943673430589</v>
      </c>
      <c r="Q83" s="251">
        <f t="shared" si="32"/>
        <v>374.46088667916104</v>
      </c>
      <c r="R83" s="251">
        <f t="shared" si="32"/>
        <v>373.13093470506925</v>
      </c>
      <c r="S83" s="251">
        <f t="shared" si="32"/>
        <v>373.09877032662973</v>
      </c>
      <c r="T83" s="251">
        <f t="shared" si="32"/>
        <v>200.51726469656273</v>
      </c>
      <c r="U83" s="251">
        <f t="shared" si="32"/>
        <v>200.48445381411656</v>
      </c>
      <c r="V83" s="251">
        <f t="shared" si="32"/>
        <v>490.910157102347</v>
      </c>
      <c r="W83" s="251">
        <f t="shared" si="32"/>
        <v>490.85770059850404</v>
      </c>
      <c r="X83" s="251">
        <f t="shared" si="32"/>
        <v>490.80471952962284</v>
      </c>
      <c r="Y83" s="251">
        <f t="shared" si="32"/>
        <v>490.75120865005277</v>
      </c>
      <c r="Z83" s="251">
        <f t="shared" si="32"/>
        <v>490.697162661687</v>
      </c>
      <c r="AA83" s="295">
        <f t="shared" si="32"/>
        <v>560.64257621343745</v>
      </c>
      <c r="AB83" s="251">
        <f t="shared" si="32"/>
        <v>472.16250980392158</v>
      </c>
      <c r="AC83" s="251">
        <f t="shared" si="32"/>
        <v>469.92721568627451</v>
      </c>
      <c r="AD83" s="251">
        <f t="shared" si="32"/>
        <v>469.92721568627451</v>
      </c>
      <c r="AE83" s="251">
        <f t="shared" si="32"/>
        <v>469.92721568627451</v>
      </c>
      <c r="AF83" s="251">
        <f t="shared" si="32"/>
        <v>469.92721568627451</v>
      </c>
      <c r="AG83" s="251">
        <f t="shared" si="32"/>
        <v>469.92721568627451</v>
      </c>
      <c r="AH83" s="251">
        <f t="shared" ref="AH83:AY83" si="33">AH57-AH76-AH81</f>
        <v>465.02525490196081</v>
      </c>
      <c r="AI83" s="251">
        <f t="shared" si="33"/>
        <v>465.02525490196081</v>
      </c>
      <c r="AJ83" s="251">
        <f t="shared" si="33"/>
        <v>465.02525490196081</v>
      </c>
      <c r="AK83" s="251">
        <f t="shared" si="33"/>
        <v>465.02525490196081</v>
      </c>
      <c r="AL83" s="251">
        <f t="shared" si="33"/>
        <v>465.02525490196081</v>
      </c>
      <c r="AM83" s="251">
        <f t="shared" si="33"/>
        <v>465.02525490196081</v>
      </c>
      <c r="AN83" s="251">
        <f t="shared" si="33"/>
        <v>461.57427450980396</v>
      </c>
      <c r="AO83" s="251">
        <f t="shared" si="33"/>
        <v>459.33898039215688</v>
      </c>
      <c r="AP83" s="251">
        <f t="shared" si="33"/>
        <v>459.33898039215688</v>
      </c>
      <c r="AQ83" s="251">
        <f t="shared" si="33"/>
        <v>459.33898039215688</v>
      </c>
      <c r="AR83" s="251">
        <f t="shared" si="33"/>
        <v>456.98603921568628</v>
      </c>
      <c r="AS83" s="251">
        <f t="shared" si="33"/>
        <v>456.98603921568628</v>
      </c>
      <c r="AT83" s="251">
        <f t="shared" si="33"/>
        <v>452.08407843137257</v>
      </c>
      <c r="AU83" s="251">
        <f t="shared" si="33"/>
        <v>452.08407843137257</v>
      </c>
      <c r="AV83" s="251">
        <f t="shared" si="33"/>
        <v>452.08407843137257</v>
      </c>
      <c r="AW83" s="251">
        <f t="shared" si="33"/>
        <v>452.08407843137257</v>
      </c>
      <c r="AX83" s="251">
        <f t="shared" si="33"/>
        <v>452.08407843137257</v>
      </c>
      <c r="AY83" s="251">
        <f t="shared" si="33"/>
        <v>452.08407843137257</v>
      </c>
      <c r="AZ83" s="89" t="s">
        <v>186</v>
      </c>
    </row>
    <row r="84" spans="1:52" ht="15.75" x14ac:dyDescent="0.4">
      <c r="A84" s="118"/>
      <c r="B84" s="119"/>
      <c r="C84" s="119"/>
      <c r="D84" s="119"/>
      <c r="E84" s="119"/>
      <c r="F84" s="119"/>
      <c r="G84" s="119"/>
      <c r="H84" s="119"/>
      <c r="I84" s="119"/>
      <c r="J84" s="119"/>
      <c r="K84" s="119"/>
      <c r="L84" s="119"/>
      <c r="M84" s="119"/>
      <c r="N84" s="119"/>
      <c r="O84" s="119"/>
      <c r="P84" s="119"/>
      <c r="Q84" s="119"/>
      <c r="AZ84" s="89" t="s">
        <v>186</v>
      </c>
    </row>
    <row r="85" spans="1:52" ht="15.75" x14ac:dyDescent="0.5">
      <c r="A85" s="120" t="s">
        <v>55</v>
      </c>
      <c r="B85" s="121">
        <f>'Phương án 2'!$E$19</f>
        <v>8.0196078431372553E-2</v>
      </c>
      <c r="C85" s="119"/>
      <c r="D85" s="273"/>
      <c r="E85" s="119"/>
      <c r="F85" s="119"/>
      <c r="G85" s="119"/>
      <c r="H85" s="119"/>
      <c r="I85" s="119"/>
      <c r="J85" s="119"/>
      <c r="K85" s="119"/>
      <c r="L85" s="119"/>
      <c r="M85" s="119"/>
      <c r="N85" s="119"/>
      <c r="O85" s="119"/>
      <c r="P85" s="119"/>
      <c r="Q85" s="119"/>
      <c r="AZ85" s="89" t="s">
        <v>186</v>
      </c>
    </row>
    <row r="86" spans="1:52" ht="15.75" x14ac:dyDescent="0.4">
      <c r="A86" s="122" t="s">
        <v>270</v>
      </c>
      <c r="B86" s="123">
        <f>NPV($B$85,$C$83:$AA$83)+$B$83</f>
        <v>797.45344523095923</v>
      </c>
      <c r="C86" s="119"/>
      <c r="D86" s="306"/>
      <c r="E86" s="119"/>
      <c r="F86" s="119"/>
      <c r="G86" s="119"/>
      <c r="H86" s="119"/>
      <c r="I86" s="119"/>
      <c r="J86" s="273"/>
      <c r="K86" s="119"/>
      <c r="L86" s="119"/>
      <c r="M86" s="119"/>
      <c r="N86" s="119"/>
      <c r="O86" s="119"/>
      <c r="P86" s="119"/>
      <c r="Q86" s="119"/>
      <c r="AZ86" s="89" t="s">
        <v>186</v>
      </c>
    </row>
    <row r="87" spans="1:52" ht="15.75" x14ac:dyDescent="0.4">
      <c r="A87" s="124"/>
      <c r="B87" s="125"/>
      <c r="C87" s="125"/>
      <c r="D87" s="125"/>
      <c r="E87" s="125"/>
      <c r="F87" s="125"/>
      <c r="G87" s="125"/>
      <c r="H87" s="125"/>
      <c r="I87" s="125"/>
      <c r="J87" s="125"/>
      <c r="K87" s="125"/>
      <c r="L87" s="125"/>
      <c r="AZ87" s="89" t="s">
        <v>186</v>
      </c>
    </row>
    <row r="88" spans="1:52" ht="15.75" x14ac:dyDescent="0.4">
      <c r="A88" s="84"/>
      <c r="B88" s="84"/>
      <c r="C88" s="85"/>
      <c r="D88" s="85"/>
      <c r="E88" s="85"/>
      <c r="F88" s="85"/>
      <c r="G88" s="85"/>
      <c r="H88" s="85"/>
      <c r="I88" s="85"/>
      <c r="J88" s="85"/>
      <c r="K88" s="85"/>
      <c r="L88" s="85"/>
      <c r="AZ88" s="89" t="s">
        <v>186</v>
      </c>
    </row>
    <row r="89" spans="1:52" ht="15.75" x14ac:dyDescent="0.4">
      <c r="A89" s="321" t="s">
        <v>261</v>
      </c>
      <c r="B89" s="321"/>
      <c r="C89" s="321"/>
      <c r="D89" s="111"/>
      <c r="E89" s="111"/>
      <c r="F89" s="84"/>
      <c r="G89" s="84"/>
      <c r="H89" s="84"/>
      <c r="I89" s="84"/>
      <c r="J89" s="84"/>
      <c r="K89" s="84"/>
      <c r="L89" s="84"/>
      <c r="AZ89" s="89" t="s">
        <v>186</v>
      </c>
    </row>
    <row r="90" spans="1:52" ht="15.75" x14ac:dyDescent="0.4">
      <c r="A90" s="111"/>
      <c r="B90" s="111"/>
      <c r="C90" s="111"/>
      <c r="D90" s="111"/>
      <c r="E90" s="111"/>
      <c r="F90" s="84"/>
      <c r="G90" s="84"/>
      <c r="H90" s="84"/>
      <c r="I90" s="84"/>
      <c r="J90" s="84"/>
      <c r="K90" s="84"/>
      <c r="L90" s="84"/>
      <c r="AY90" s="131" t="s">
        <v>184</v>
      </c>
      <c r="AZ90" s="89" t="s">
        <v>186</v>
      </c>
    </row>
    <row r="91" spans="1:52" ht="15.75" x14ac:dyDescent="0.4">
      <c r="A91" s="93" t="s">
        <v>2</v>
      </c>
      <c r="B91" s="112">
        <f t="shared" ref="B91:AG91" si="34">B52</f>
        <v>0</v>
      </c>
      <c r="C91" s="112">
        <f t="shared" si="34"/>
        <v>1</v>
      </c>
      <c r="D91" s="112">
        <f t="shared" si="34"/>
        <v>2</v>
      </c>
      <c r="E91" s="112">
        <f t="shared" si="34"/>
        <v>3</v>
      </c>
      <c r="F91" s="112">
        <f t="shared" si="34"/>
        <v>4</v>
      </c>
      <c r="G91" s="112">
        <f t="shared" si="34"/>
        <v>5</v>
      </c>
      <c r="H91" s="112">
        <f t="shared" si="34"/>
        <v>6</v>
      </c>
      <c r="I91" s="112">
        <f t="shared" si="34"/>
        <v>7</v>
      </c>
      <c r="J91" s="112">
        <f t="shared" si="34"/>
        <v>8</v>
      </c>
      <c r="K91" s="112">
        <f t="shared" si="34"/>
        <v>9</v>
      </c>
      <c r="L91" s="112">
        <f t="shared" si="34"/>
        <v>10</v>
      </c>
      <c r="M91" s="112">
        <f t="shared" si="34"/>
        <v>11</v>
      </c>
      <c r="N91" s="112">
        <f t="shared" si="34"/>
        <v>12</v>
      </c>
      <c r="O91" s="112">
        <f t="shared" si="34"/>
        <v>13</v>
      </c>
      <c r="P91" s="112">
        <f t="shared" si="34"/>
        <v>14</v>
      </c>
      <c r="Q91" s="112">
        <f t="shared" si="34"/>
        <v>15</v>
      </c>
      <c r="R91" s="112">
        <f t="shared" si="34"/>
        <v>16</v>
      </c>
      <c r="S91" s="112">
        <f t="shared" si="34"/>
        <v>17</v>
      </c>
      <c r="T91" s="112">
        <f t="shared" si="34"/>
        <v>18</v>
      </c>
      <c r="U91" s="112">
        <f t="shared" si="34"/>
        <v>19</v>
      </c>
      <c r="V91" s="112">
        <f t="shared" si="34"/>
        <v>20</v>
      </c>
      <c r="W91" s="112">
        <f t="shared" si="34"/>
        <v>21</v>
      </c>
      <c r="X91" s="112">
        <f t="shared" si="34"/>
        <v>22</v>
      </c>
      <c r="Y91" s="112">
        <f t="shared" si="34"/>
        <v>23</v>
      </c>
      <c r="Z91" s="112">
        <f t="shared" si="34"/>
        <v>24</v>
      </c>
      <c r="AA91" s="296">
        <f t="shared" si="34"/>
        <v>25</v>
      </c>
      <c r="AB91" s="112">
        <f t="shared" si="34"/>
        <v>26</v>
      </c>
      <c r="AC91" s="112">
        <f t="shared" si="34"/>
        <v>27</v>
      </c>
      <c r="AD91" s="112">
        <f t="shared" si="34"/>
        <v>28</v>
      </c>
      <c r="AE91" s="112">
        <f t="shared" si="34"/>
        <v>29</v>
      </c>
      <c r="AF91" s="112">
        <f t="shared" si="34"/>
        <v>30</v>
      </c>
      <c r="AG91" s="112">
        <f t="shared" si="34"/>
        <v>31</v>
      </c>
      <c r="AH91" s="112">
        <f t="shared" ref="AH91:AY91" si="35">AH52</f>
        <v>32</v>
      </c>
      <c r="AI91" s="112">
        <f t="shared" si="35"/>
        <v>33</v>
      </c>
      <c r="AJ91" s="112">
        <f t="shared" si="35"/>
        <v>34</v>
      </c>
      <c r="AK91" s="112">
        <f t="shared" si="35"/>
        <v>35</v>
      </c>
      <c r="AL91" s="112">
        <f t="shared" si="35"/>
        <v>36</v>
      </c>
      <c r="AM91" s="112">
        <f t="shared" si="35"/>
        <v>37</v>
      </c>
      <c r="AN91" s="112">
        <f t="shared" si="35"/>
        <v>38</v>
      </c>
      <c r="AO91" s="112">
        <f t="shared" si="35"/>
        <v>39</v>
      </c>
      <c r="AP91" s="112">
        <f t="shared" si="35"/>
        <v>40</v>
      </c>
      <c r="AQ91" s="112">
        <f t="shared" si="35"/>
        <v>41</v>
      </c>
      <c r="AR91" s="112">
        <f t="shared" si="35"/>
        <v>42</v>
      </c>
      <c r="AS91" s="112">
        <f t="shared" si="35"/>
        <v>43</v>
      </c>
      <c r="AT91" s="112">
        <f t="shared" si="35"/>
        <v>44</v>
      </c>
      <c r="AU91" s="112">
        <f t="shared" si="35"/>
        <v>45</v>
      </c>
      <c r="AV91" s="112">
        <f t="shared" si="35"/>
        <v>46</v>
      </c>
      <c r="AW91" s="112">
        <f t="shared" si="35"/>
        <v>47</v>
      </c>
      <c r="AX91" s="112">
        <f t="shared" si="35"/>
        <v>48</v>
      </c>
      <c r="AY91" s="112">
        <f t="shared" si="35"/>
        <v>49</v>
      </c>
      <c r="AZ91" s="89" t="s">
        <v>186</v>
      </c>
    </row>
    <row r="92" spans="1:52" ht="15.75" x14ac:dyDescent="0.4">
      <c r="A92" s="176" t="s">
        <v>54</v>
      </c>
      <c r="B92" s="176">
        <f>B83</f>
        <v>-500</v>
      </c>
      <c r="C92" s="176">
        <f t="shared" ref="C92:Q92" si="36">C83</f>
        <v>-495.0980392156863</v>
      </c>
      <c r="D92" s="176">
        <f t="shared" si="36"/>
        <v>129.73186364258595</v>
      </c>
      <c r="E92" s="176">
        <f t="shared" si="36"/>
        <v>138.73869427319198</v>
      </c>
      <c r="F92" s="176">
        <f t="shared" si="36"/>
        <v>138.21708340772238</v>
      </c>
      <c r="G92" s="176">
        <f t="shared" si="36"/>
        <v>137.65417172937887</v>
      </c>
      <c r="H92" s="176">
        <f t="shared" si="36"/>
        <v>-35.502360154147951</v>
      </c>
      <c r="I92" s="176">
        <f t="shared" si="36"/>
        <v>-36.158036751589819</v>
      </c>
      <c r="J92" s="176">
        <f t="shared" si="36"/>
        <v>253.80680611102758</v>
      </c>
      <c r="K92" s="176">
        <f t="shared" si="36"/>
        <v>253.02609745414637</v>
      </c>
      <c r="L92" s="176">
        <f t="shared" si="36"/>
        <v>252.18456144164401</v>
      </c>
      <c r="M92" s="176">
        <f t="shared" si="36"/>
        <v>251.27734817844006</v>
      </c>
      <c r="N92" s="176">
        <f t="shared" si="36"/>
        <v>-249.70078005921854</v>
      </c>
      <c r="O92" s="176">
        <f t="shared" si="36"/>
        <v>-245.85351906410853</v>
      </c>
      <c r="P92" s="176">
        <f t="shared" si="36"/>
        <v>375.6943673430589</v>
      </c>
      <c r="Q92" s="176">
        <f t="shared" si="36"/>
        <v>374.46088667916104</v>
      </c>
      <c r="R92" s="176">
        <f t="shared" ref="R92:AA92" si="37">R83</f>
        <v>373.13093470506925</v>
      </c>
      <c r="S92" s="176">
        <f t="shared" si="37"/>
        <v>373.09877032662973</v>
      </c>
      <c r="T92" s="176">
        <f t="shared" si="37"/>
        <v>200.51726469656273</v>
      </c>
      <c r="U92" s="176">
        <f t="shared" si="37"/>
        <v>200.48445381411656</v>
      </c>
      <c r="V92" s="176">
        <f t="shared" si="37"/>
        <v>490.910157102347</v>
      </c>
      <c r="W92" s="176">
        <f t="shared" si="37"/>
        <v>490.85770059850404</v>
      </c>
      <c r="X92" s="176">
        <f t="shared" si="37"/>
        <v>490.80471952962284</v>
      </c>
      <c r="Y92" s="176">
        <f t="shared" si="37"/>
        <v>490.75120865005277</v>
      </c>
      <c r="Z92" s="176">
        <f t="shared" si="37"/>
        <v>490.697162661687</v>
      </c>
      <c r="AA92" s="289">
        <f t="shared" si="37"/>
        <v>560.64257621343745</v>
      </c>
      <c r="AB92" s="176">
        <f t="shared" ref="AB92:AY92" si="38">AB83</f>
        <v>472.16250980392158</v>
      </c>
      <c r="AC92" s="176">
        <f t="shared" si="38"/>
        <v>469.92721568627451</v>
      </c>
      <c r="AD92" s="176">
        <f t="shared" si="38"/>
        <v>469.92721568627451</v>
      </c>
      <c r="AE92" s="176">
        <f t="shared" si="38"/>
        <v>469.92721568627451</v>
      </c>
      <c r="AF92" s="176">
        <f t="shared" si="38"/>
        <v>469.92721568627451</v>
      </c>
      <c r="AG92" s="176">
        <f t="shared" si="38"/>
        <v>469.92721568627451</v>
      </c>
      <c r="AH92" s="176">
        <f t="shared" si="38"/>
        <v>465.02525490196081</v>
      </c>
      <c r="AI92" s="176">
        <f t="shared" si="38"/>
        <v>465.02525490196081</v>
      </c>
      <c r="AJ92" s="176">
        <f t="shared" si="38"/>
        <v>465.02525490196081</v>
      </c>
      <c r="AK92" s="176">
        <f t="shared" si="38"/>
        <v>465.02525490196081</v>
      </c>
      <c r="AL92" s="176">
        <f t="shared" si="38"/>
        <v>465.02525490196081</v>
      </c>
      <c r="AM92" s="176">
        <f t="shared" si="38"/>
        <v>465.02525490196081</v>
      </c>
      <c r="AN92" s="176">
        <f t="shared" si="38"/>
        <v>461.57427450980396</v>
      </c>
      <c r="AO92" s="176">
        <f t="shared" si="38"/>
        <v>459.33898039215688</v>
      </c>
      <c r="AP92" s="176">
        <f t="shared" si="38"/>
        <v>459.33898039215688</v>
      </c>
      <c r="AQ92" s="176">
        <f t="shared" si="38"/>
        <v>459.33898039215688</v>
      </c>
      <c r="AR92" s="176">
        <f t="shared" si="38"/>
        <v>456.98603921568628</v>
      </c>
      <c r="AS92" s="176">
        <f t="shared" si="38"/>
        <v>456.98603921568628</v>
      </c>
      <c r="AT92" s="176">
        <f t="shared" si="38"/>
        <v>452.08407843137257</v>
      </c>
      <c r="AU92" s="176">
        <f t="shared" si="38"/>
        <v>452.08407843137257</v>
      </c>
      <c r="AV92" s="176">
        <f t="shared" si="38"/>
        <v>452.08407843137257</v>
      </c>
      <c r="AW92" s="176">
        <f t="shared" si="38"/>
        <v>452.08407843137257</v>
      </c>
      <c r="AX92" s="176">
        <f t="shared" si="38"/>
        <v>452.08407843137257</v>
      </c>
      <c r="AY92" s="176">
        <f t="shared" si="38"/>
        <v>452.08407843137257</v>
      </c>
      <c r="AZ92" s="89" t="s">
        <v>186</v>
      </c>
    </row>
    <row r="93" spans="1:52" ht="15.75" x14ac:dyDescent="0.4">
      <c r="A93" s="176" t="s">
        <v>223</v>
      </c>
      <c r="B93" s="176">
        <f t="shared" ref="B93:Q93" si="39">-B12</f>
        <v>500</v>
      </c>
      <c r="C93" s="176">
        <f t="shared" si="39"/>
        <v>-58.414772468010057</v>
      </c>
      <c r="D93" s="176">
        <f t="shared" si="39"/>
        <v>-58.414772468010057</v>
      </c>
      <c r="E93" s="176">
        <f t="shared" si="39"/>
        <v>-58.414772468010057</v>
      </c>
      <c r="F93" s="176">
        <f t="shared" si="39"/>
        <v>-58.414772468010057</v>
      </c>
      <c r="G93" s="176">
        <f t="shared" si="39"/>
        <v>-58.414772468010057</v>
      </c>
      <c r="H93" s="176">
        <f t="shared" si="39"/>
        <v>-58.414772468010057</v>
      </c>
      <c r="I93" s="176">
        <f t="shared" si="39"/>
        <v>-58.414772468010057</v>
      </c>
      <c r="J93" s="176">
        <f t="shared" si="39"/>
        <v>-58.414772468010057</v>
      </c>
      <c r="K93" s="176">
        <f t="shared" si="39"/>
        <v>-58.414772468010057</v>
      </c>
      <c r="L93" s="176">
        <f t="shared" si="39"/>
        <v>-58.414772468010057</v>
      </c>
      <c r="M93" s="176">
        <f t="shared" si="39"/>
        <v>-58.414772468010057</v>
      </c>
      <c r="N93" s="176">
        <f t="shared" si="39"/>
        <v>-58.414772468010057</v>
      </c>
      <c r="O93" s="176">
        <f t="shared" si="39"/>
        <v>-58.414772468010057</v>
      </c>
      <c r="P93" s="176">
        <f t="shared" si="39"/>
        <v>-58.414772468010057</v>
      </c>
      <c r="Q93" s="176">
        <f t="shared" si="39"/>
        <v>-58.414772468010057</v>
      </c>
      <c r="R93" s="176"/>
      <c r="S93" s="176"/>
      <c r="T93" s="176"/>
      <c r="U93" s="176"/>
      <c r="V93" s="176"/>
      <c r="W93" s="176"/>
      <c r="X93" s="176"/>
      <c r="Y93" s="176"/>
      <c r="Z93" s="176"/>
      <c r="AA93" s="289"/>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176"/>
      <c r="AX93" s="176"/>
      <c r="AY93" s="176"/>
      <c r="AZ93" s="89" t="s">
        <v>186</v>
      </c>
    </row>
    <row r="94" spans="1:52" ht="15.75" x14ac:dyDescent="0.4">
      <c r="A94" s="247" t="s">
        <v>56</v>
      </c>
      <c r="B94" s="247">
        <f>B92+B93</f>
        <v>0</v>
      </c>
      <c r="C94" s="247">
        <f t="shared" ref="C94:Q94" si="40">C92+C93</f>
        <v>-553.51281168369633</v>
      </c>
      <c r="D94" s="247">
        <f t="shared" si="40"/>
        <v>71.317091174575893</v>
      </c>
      <c r="E94" s="247">
        <f t="shared" si="40"/>
        <v>80.323921805181925</v>
      </c>
      <c r="F94" s="247">
        <f t="shared" si="40"/>
        <v>79.802310939712328</v>
      </c>
      <c r="G94" s="247">
        <f t="shared" si="40"/>
        <v>79.239399261368817</v>
      </c>
      <c r="H94" s="247">
        <f t="shared" si="40"/>
        <v>-93.917132622158007</v>
      </c>
      <c r="I94" s="247">
        <f t="shared" si="40"/>
        <v>-94.572809219599876</v>
      </c>
      <c r="J94" s="247">
        <f t="shared" si="40"/>
        <v>195.39203364301753</v>
      </c>
      <c r="K94" s="247">
        <f t="shared" si="40"/>
        <v>194.61132498613631</v>
      </c>
      <c r="L94" s="247">
        <f t="shared" si="40"/>
        <v>193.76978897363395</v>
      </c>
      <c r="M94" s="247">
        <f t="shared" si="40"/>
        <v>192.86257571043001</v>
      </c>
      <c r="N94" s="247">
        <f t="shared" si="40"/>
        <v>-308.1155525272286</v>
      </c>
      <c r="O94" s="247">
        <f t="shared" si="40"/>
        <v>-304.26829153211861</v>
      </c>
      <c r="P94" s="247">
        <f t="shared" si="40"/>
        <v>317.27959487504882</v>
      </c>
      <c r="Q94" s="247">
        <f t="shared" si="40"/>
        <v>316.04611421115101</v>
      </c>
      <c r="R94" s="247">
        <f t="shared" ref="R94:AA94" si="41">R92+R93</f>
        <v>373.13093470506925</v>
      </c>
      <c r="S94" s="247">
        <f t="shared" si="41"/>
        <v>373.09877032662973</v>
      </c>
      <c r="T94" s="247">
        <f t="shared" si="41"/>
        <v>200.51726469656273</v>
      </c>
      <c r="U94" s="247">
        <f t="shared" si="41"/>
        <v>200.48445381411656</v>
      </c>
      <c r="V94" s="247">
        <f t="shared" si="41"/>
        <v>490.910157102347</v>
      </c>
      <c r="W94" s="247">
        <f t="shared" si="41"/>
        <v>490.85770059850404</v>
      </c>
      <c r="X94" s="247">
        <f t="shared" si="41"/>
        <v>490.80471952962284</v>
      </c>
      <c r="Y94" s="247">
        <f t="shared" si="41"/>
        <v>490.75120865005277</v>
      </c>
      <c r="Z94" s="247">
        <f t="shared" si="41"/>
        <v>490.697162661687</v>
      </c>
      <c r="AA94" s="291">
        <f t="shared" si="41"/>
        <v>560.64257621343745</v>
      </c>
      <c r="AB94" s="247">
        <f t="shared" ref="AB94:AY94" si="42">AB92+AB93</f>
        <v>472.16250980392158</v>
      </c>
      <c r="AC94" s="247">
        <f t="shared" si="42"/>
        <v>469.92721568627451</v>
      </c>
      <c r="AD94" s="247">
        <f t="shared" si="42"/>
        <v>469.92721568627451</v>
      </c>
      <c r="AE94" s="247">
        <f t="shared" si="42"/>
        <v>469.92721568627451</v>
      </c>
      <c r="AF94" s="247">
        <f t="shared" si="42"/>
        <v>469.92721568627451</v>
      </c>
      <c r="AG94" s="247">
        <f t="shared" si="42"/>
        <v>469.92721568627451</v>
      </c>
      <c r="AH94" s="247">
        <f t="shared" si="42"/>
        <v>465.02525490196081</v>
      </c>
      <c r="AI94" s="247">
        <f t="shared" si="42"/>
        <v>465.02525490196081</v>
      </c>
      <c r="AJ94" s="247">
        <f t="shared" si="42"/>
        <v>465.02525490196081</v>
      </c>
      <c r="AK94" s="247">
        <f t="shared" si="42"/>
        <v>465.02525490196081</v>
      </c>
      <c r="AL94" s="247">
        <f t="shared" si="42"/>
        <v>465.02525490196081</v>
      </c>
      <c r="AM94" s="247">
        <f t="shared" si="42"/>
        <v>465.02525490196081</v>
      </c>
      <c r="AN94" s="247">
        <f t="shared" si="42"/>
        <v>461.57427450980396</v>
      </c>
      <c r="AO94" s="247">
        <f t="shared" si="42"/>
        <v>459.33898039215688</v>
      </c>
      <c r="AP94" s="247">
        <f t="shared" si="42"/>
        <v>459.33898039215688</v>
      </c>
      <c r="AQ94" s="247">
        <f t="shared" si="42"/>
        <v>459.33898039215688</v>
      </c>
      <c r="AR94" s="247">
        <f t="shared" si="42"/>
        <v>456.98603921568628</v>
      </c>
      <c r="AS94" s="247">
        <f t="shared" si="42"/>
        <v>456.98603921568628</v>
      </c>
      <c r="AT94" s="247">
        <f t="shared" si="42"/>
        <v>452.08407843137257</v>
      </c>
      <c r="AU94" s="247">
        <f t="shared" si="42"/>
        <v>452.08407843137257</v>
      </c>
      <c r="AV94" s="247">
        <f t="shared" si="42"/>
        <v>452.08407843137257</v>
      </c>
      <c r="AW94" s="247">
        <f t="shared" si="42"/>
        <v>452.08407843137257</v>
      </c>
      <c r="AX94" s="247">
        <f t="shared" si="42"/>
        <v>452.08407843137257</v>
      </c>
      <c r="AY94" s="247">
        <f t="shared" si="42"/>
        <v>452.08407843137257</v>
      </c>
      <c r="AZ94" s="89" t="s">
        <v>186</v>
      </c>
    </row>
    <row r="95" spans="1:52" ht="15.75" x14ac:dyDescent="0.4">
      <c r="C95" s="126"/>
      <c r="D95" s="84"/>
      <c r="E95" s="84"/>
      <c r="F95" s="84"/>
      <c r="G95" s="84"/>
      <c r="H95" s="84"/>
      <c r="I95" s="84"/>
      <c r="J95" s="84"/>
      <c r="K95" s="84"/>
      <c r="L95" s="84"/>
      <c r="AZ95" s="89" t="s">
        <v>186</v>
      </c>
    </row>
    <row r="96" spans="1:52" ht="16.149999999999999" x14ac:dyDescent="0.55000000000000004">
      <c r="A96" s="120" t="s">
        <v>57</v>
      </c>
      <c r="B96" s="121">
        <f>'Phương án 2'!E18</f>
        <v>0.09</v>
      </c>
      <c r="AZ96" s="89" t="s">
        <v>186</v>
      </c>
    </row>
    <row r="97" spans="1:52" ht="15.75" x14ac:dyDescent="0.4">
      <c r="A97" s="266" t="s">
        <v>313</v>
      </c>
      <c r="B97" s="267">
        <f>NPV($B$96,$C$94:$AA$94)+$B$94</f>
        <v>629.72635935407868</v>
      </c>
      <c r="AZ97" s="89" t="s">
        <v>186</v>
      </c>
    </row>
    <row r="98" spans="1:52" ht="15.75" x14ac:dyDescent="0.4">
      <c r="A98" s="266" t="s">
        <v>274</v>
      </c>
      <c r="B98" s="268">
        <f>IRR(B94:AA94)</f>
        <v>0.16158908927425908</v>
      </c>
    </row>
    <row r="99" spans="1:52" ht="15.75" x14ac:dyDescent="0.4">
      <c r="A99" s="122" t="s">
        <v>271</v>
      </c>
      <c r="B99" s="123">
        <f>NPV($B$96,$AB$94:$AY$94)</f>
        <v>4516.1708082212708</v>
      </c>
      <c r="C99" s="89" t="s">
        <v>273</v>
      </c>
      <c r="AZ99" s="89" t="s">
        <v>186</v>
      </c>
    </row>
    <row r="100" spans="1:52" ht="13.15" x14ac:dyDescent="0.4">
      <c r="A100"/>
      <c r="B100"/>
      <c r="C100"/>
      <c r="D100"/>
      <c r="E100"/>
      <c r="F100"/>
      <c r="G100"/>
      <c r="H100"/>
      <c r="I100"/>
      <c r="J100"/>
      <c r="K100"/>
      <c r="L100"/>
      <c r="M100"/>
      <c r="N100"/>
      <c r="O100"/>
      <c r="P100"/>
      <c r="Q100"/>
      <c r="R100"/>
      <c r="S100"/>
      <c r="AZ100" s="89" t="s">
        <v>186</v>
      </c>
    </row>
    <row r="101" spans="1:52" ht="15.75" x14ac:dyDescent="0.4">
      <c r="A101" s="321" t="s">
        <v>262</v>
      </c>
      <c r="B101" s="321"/>
      <c r="C101" s="321"/>
      <c r="D101" s="111"/>
      <c r="E101" s="111"/>
      <c r="F101" s="84"/>
      <c r="G101" s="84"/>
      <c r="H101" s="84"/>
      <c r="I101" s="84"/>
      <c r="J101" s="84"/>
      <c r="K101" s="84"/>
      <c r="L101" s="84"/>
      <c r="AZ101" s="89" t="s">
        <v>186</v>
      </c>
    </row>
    <row r="102" spans="1:52" ht="15.75" x14ac:dyDescent="0.4">
      <c r="A102" s="92"/>
      <c r="B102" s="92"/>
      <c r="C102" s="92"/>
      <c r="D102" s="92"/>
      <c r="E102" s="92"/>
      <c r="F102" s="84"/>
      <c r="G102" s="84"/>
      <c r="H102" s="84"/>
      <c r="I102" s="84"/>
      <c r="J102" s="84"/>
      <c r="K102" s="84"/>
      <c r="L102" s="84"/>
      <c r="AY102" s="131" t="s">
        <v>184</v>
      </c>
      <c r="AZ102" s="89" t="s">
        <v>186</v>
      </c>
    </row>
    <row r="103" spans="1:52" ht="15.75" x14ac:dyDescent="0.4">
      <c r="A103" s="93" t="s">
        <v>2</v>
      </c>
      <c r="B103" s="94">
        <f t="shared" ref="B103:AG103" si="43">B23</f>
        <v>0</v>
      </c>
      <c r="C103" s="94">
        <f t="shared" si="43"/>
        <v>1</v>
      </c>
      <c r="D103" s="94">
        <f t="shared" si="43"/>
        <v>2</v>
      </c>
      <c r="E103" s="94">
        <f t="shared" si="43"/>
        <v>3</v>
      </c>
      <c r="F103" s="94">
        <f t="shared" si="43"/>
        <v>4</v>
      </c>
      <c r="G103" s="94">
        <f t="shared" si="43"/>
        <v>5</v>
      </c>
      <c r="H103" s="94">
        <f t="shared" si="43"/>
        <v>6</v>
      </c>
      <c r="I103" s="94">
        <f t="shared" si="43"/>
        <v>7</v>
      </c>
      <c r="J103" s="94">
        <f t="shared" si="43"/>
        <v>8</v>
      </c>
      <c r="K103" s="94">
        <f t="shared" si="43"/>
        <v>9</v>
      </c>
      <c r="L103" s="94">
        <f t="shared" si="43"/>
        <v>10</v>
      </c>
      <c r="M103" s="94">
        <f t="shared" si="43"/>
        <v>11</v>
      </c>
      <c r="N103" s="94">
        <f t="shared" si="43"/>
        <v>12</v>
      </c>
      <c r="O103" s="94">
        <f t="shared" si="43"/>
        <v>13</v>
      </c>
      <c r="P103" s="94">
        <f t="shared" si="43"/>
        <v>14</v>
      </c>
      <c r="Q103" s="94">
        <f t="shared" si="43"/>
        <v>15</v>
      </c>
      <c r="R103" s="94">
        <f t="shared" si="43"/>
        <v>16</v>
      </c>
      <c r="S103" s="94">
        <f t="shared" si="43"/>
        <v>17</v>
      </c>
      <c r="T103" s="94">
        <f t="shared" si="43"/>
        <v>18</v>
      </c>
      <c r="U103" s="94">
        <f t="shared" si="43"/>
        <v>19</v>
      </c>
      <c r="V103" s="94">
        <f t="shared" si="43"/>
        <v>20</v>
      </c>
      <c r="W103" s="94">
        <f t="shared" si="43"/>
        <v>21</v>
      </c>
      <c r="X103" s="94">
        <f t="shared" si="43"/>
        <v>22</v>
      </c>
      <c r="Y103" s="94">
        <f t="shared" si="43"/>
        <v>23</v>
      </c>
      <c r="Z103" s="94">
        <f t="shared" si="43"/>
        <v>24</v>
      </c>
      <c r="AA103" s="284">
        <f t="shared" si="43"/>
        <v>25</v>
      </c>
      <c r="AB103" s="94">
        <f t="shared" si="43"/>
        <v>26</v>
      </c>
      <c r="AC103" s="94">
        <f t="shared" si="43"/>
        <v>27</v>
      </c>
      <c r="AD103" s="94">
        <f t="shared" si="43"/>
        <v>28</v>
      </c>
      <c r="AE103" s="94">
        <f t="shared" si="43"/>
        <v>29</v>
      </c>
      <c r="AF103" s="94">
        <f t="shared" si="43"/>
        <v>30</v>
      </c>
      <c r="AG103" s="94">
        <f t="shared" si="43"/>
        <v>31</v>
      </c>
      <c r="AH103" s="94">
        <f t="shared" ref="AH103:AY103" si="44">AH23</f>
        <v>32</v>
      </c>
      <c r="AI103" s="94">
        <f t="shared" si="44"/>
        <v>33</v>
      </c>
      <c r="AJ103" s="94">
        <f t="shared" si="44"/>
        <v>34</v>
      </c>
      <c r="AK103" s="94">
        <f t="shared" si="44"/>
        <v>35</v>
      </c>
      <c r="AL103" s="94">
        <f t="shared" si="44"/>
        <v>36</v>
      </c>
      <c r="AM103" s="94">
        <f t="shared" si="44"/>
        <v>37</v>
      </c>
      <c r="AN103" s="94">
        <f t="shared" si="44"/>
        <v>38</v>
      </c>
      <c r="AO103" s="94">
        <f t="shared" si="44"/>
        <v>39</v>
      </c>
      <c r="AP103" s="94">
        <f t="shared" si="44"/>
        <v>40</v>
      </c>
      <c r="AQ103" s="94">
        <f t="shared" si="44"/>
        <v>41</v>
      </c>
      <c r="AR103" s="94">
        <f t="shared" si="44"/>
        <v>42</v>
      </c>
      <c r="AS103" s="94">
        <f t="shared" si="44"/>
        <v>43</v>
      </c>
      <c r="AT103" s="94">
        <f t="shared" si="44"/>
        <v>44</v>
      </c>
      <c r="AU103" s="94">
        <f t="shared" si="44"/>
        <v>45</v>
      </c>
      <c r="AV103" s="94">
        <f t="shared" si="44"/>
        <v>46</v>
      </c>
      <c r="AW103" s="94">
        <f t="shared" si="44"/>
        <v>47</v>
      </c>
      <c r="AX103" s="94">
        <f t="shared" si="44"/>
        <v>48</v>
      </c>
      <c r="AY103" s="94">
        <f t="shared" si="44"/>
        <v>49</v>
      </c>
      <c r="AZ103" s="89" t="s">
        <v>186</v>
      </c>
    </row>
    <row r="104" spans="1:52" ht="15.75" x14ac:dyDescent="0.4">
      <c r="A104" s="116" t="s">
        <v>49</v>
      </c>
      <c r="B104" s="226"/>
      <c r="C104" s="226"/>
      <c r="D104" s="226"/>
      <c r="E104" s="226"/>
      <c r="F104" s="226"/>
      <c r="G104" s="226"/>
      <c r="H104" s="226"/>
      <c r="I104" s="226"/>
      <c r="J104" s="226"/>
      <c r="K104" s="226"/>
      <c r="L104" s="226"/>
      <c r="M104" s="220"/>
      <c r="N104" s="220"/>
      <c r="O104" s="220"/>
      <c r="P104" s="220"/>
      <c r="Q104" s="220"/>
      <c r="R104" s="220"/>
      <c r="S104" s="220"/>
      <c r="T104" s="220"/>
      <c r="U104" s="220"/>
      <c r="V104" s="220"/>
      <c r="W104" s="220"/>
      <c r="X104" s="220"/>
      <c r="Y104" s="220"/>
      <c r="Z104" s="220"/>
      <c r="AA104" s="294"/>
      <c r="AZ104" s="89" t="s">
        <v>186</v>
      </c>
    </row>
    <row r="105" spans="1:52" ht="15.75" x14ac:dyDescent="0.4">
      <c r="A105" s="117" t="s">
        <v>259</v>
      </c>
      <c r="B105" s="226"/>
      <c r="C105" s="226"/>
      <c r="D105" s="340"/>
      <c r="E105" s="340"/>
      <c r="F105" s="340"/>
      <c r="G105" s="340"/>
      <c r="H105" s="340"/>
      <c r="I105" s="340"/>
      <c r="J105" s="340"/>
      <c r="K105" s="340"/>
      <c r="L105" s="340"/>
      <c r="M105" s="340"/>
      <c r="N105" s="340"/>
      <c r="O105" s="340"/>
      <c r="P105" s="340"/>
      <c r="Q105" s="340"/>
      <c r="R105" s="340"/>
      <c r="S105" s="340"/>
      <c r="T105" s="340"/>
      <c r="U105" s="340"/>
      <c r="V105" s="340"/>
      <c r="W105" s="340"/>
      <c r="X105" s="340"/>
      <c r="Y105" s="340"/>
      <c r="Z105" s="340"/>
      <c r="AA105" s="341"/>
    </row>
    <row r="106" spans="1:52" ht="15.75" x14ac:dyDescent="0.4">
      <c r="A106" s="107" t="s">
        <v>197</v>
      </c>
      <c r="B106" s="226"/>
      <c r="C106" s="226"/>
      <c r="D106" s="340"/>
      <c r="E106" s="340"/>
      <c r="F106" s="340"/>
      <c r="G106" s="340"/>
      <c r="H106" s="340"/>
      <c r="I106" s="340"/>
      <c r="J106" s="340"/>
      <c r="K106" s="340"/>
      <c r="L106" s="340"/>
      <c r="M106" s="340"/>
      <c r="N106" s="340"/>
      <c r="O106" s="340"/>
      <c r="P106" s="340"/>
      <c r="Q106" s="340"/>
      <c r="R106" s="340"/>
      <c r="S106" s="340"/>
      <c r="T106" s="340"/>
      <c r="U106" s="340"/>
      <c r="V106" s="340"/>
      <c r="W106" s="340"/>
      <c r="X106" s="340"/>
      <c r="Y106" s="340"/>
      <c r="Z106" s="340"/>
      <c r="AA106" s="341"/>
    </row>
    <row r="107" spans="1:52" ht="15.75" x14ac:dyDescent="0.5">
      <c r="A107" s="83" t="s">
        <v>260</v>
      </c>
      <c r="B107" s="226"/>
      <c r="C107" s="226"/>
      <c r="D107" s="226"/>
      <c r="E107" s="226"/>
      <c r="F107" s="226"/>
      <c r="G107" s="226"/>
      <c r="H107" s="226"/>
      <c r="I107" s="226"/>
      <c r="J107" s="226"/>
      <c r="K107" s="226"/>
      <c r="L107" s="226"/>
      <c r="M107" s="226"/>
      <c r="N107" s="226"/>
      <c r="O107" s="226"/>
      <c r="P107" s="226"/>
      <c r="Q107" s="226"/>
      <c r="R107" s="226"/>
      <c r="S107" s="226"/>
      <c r="T107" s="226"/>
      <c r="U107" s="226"/>
      <c r="V107" s="220"/>
      <c r="W107" s="220"/>
      <c r="X107" s="220"/>
      <c r="Y107" s="220"/>
      <c r="Z107" s="220"/>
      <c r="AA107" s="297">
        <f>'Phương án 2'!$H$18*AA18</f>
        <v>100</v>
      </c>
      <c r="AZ107" s="89" t="s">
        <v>186</v>
      </c>
    </row>
    <row r="108" spans="1:52" ht="15.75" x14ac:dyDescent="0.4">
      <c r="A108" s="84" t="s">
        <v>90</v>
      </c>
      <c r="B108" s="226"/>
      <c r="C108" s="226"/>
      <c r="D108" s="226"/>
      <c r="E108" s="226"/>
      <c r="F108" s="226"/>
      <c r="G108" s="226"/>
      <c r="H108" s="226"/>
      <c r="I108" s="226"/>
      <c r="J108" s="226"/>
      <c r="K108" s="226"/>
      <c r="L108" s="226"/>
      <c r="M108" s="226"/>
      <c r="N108" s="226"/>
      <c r="O108" s="226"/>
      <c r="P108" s="226"/>
      <c r="Q108" s="226"/>
      <c r="R108" s="220"/>
      <c r="S108" s="220"/>
      <c r="T108" s="220"/>
      <c r="U108" s="220"/>
      <c r="V108" s="220"/>
      <c r="W108" s="220"/>
      <c r="X108" s="220"/>
      <c r="Y108" s="220"/>
      <c r="Z108" s="220"/>
      <c r="AA108" s="294"/>
      <c r="AZ108" s="89" t="s">
        <v>186</v>
      </c>
    </row>
    <row r="109" spans="1:52" ht="15.75" x14ac:dyDescent="0.4">
      <c r="A109" s="107" t="s">
        <v>174</v>
      </c>
      <c r="B109" s="226"/>
      <c r="C109" s="226"/>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92"/>
      <c r="AB109" s="340"/>
      <c r="AC109" s="340"/>
      <c r="AD109" s="340"/>
      <c r="AE109" s="340"/>
      <c r="AF109" s="340"/>
      <c r="AG109" s="340"/>
      <c r="AH109" s="340"/>
      <c r="AI109" s="340"/>
      <c r="AJ109" s="340"/>
      <c r="AK109" s="340"/>
      <c r="AL109" s="340"/>
      <c r="AM109" s="340"/>
      <c r="AN109" s="340"/>
      <c r="AO109" s="340"/>
      <c r="AP109" s="340"/>
      <c r="AQ109" s="340"/>
      <c r="AR109" s="340"/>
      <c r="AS109" s="340"/>
      <c r="AT109" s="340"/>
      <c r="AU109" s="340"/>
      <c r="AV109" s="340"/>
      <c r="AW109" s="340"/>
      <c r="AX109" s="340"/>
      <c r="AY109" s="340"/>
      <c r="AZ109" s="89" t="s">
        <v>186</v>
      </c>
    </row>
    <row r="110" spans="1:52" ht="15.75" x14ac:dyDescent="0.4">
      <c r="A110" s="107" t="s">
        <v>175</v>
      </c>
      <c r="B110" s="250"/>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92"/>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89" t="s">
        <v>186</v>
      </c>
    </row>
    <row r="111" spans="1:52" ht="15.75" x14ac:dyDescent="0.4">
      <c r="A111" s="107" t="s">
        <v>197</v>
      </c>
      <c r="B111" s="250"/>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92"/>
      <c r="AB111" s="340"/>
      <c r="AC111" s="340"/>
      <c r="AD111" s="340"/>
      <c r="AE111" s="340"/>
      <c r="AF111" s="340"/>
      <c r="AG111" s="340"/>
      <c r="AH111" s="340"/>
      <c r="AI111" s="340"/>
      <c r="AJ111" s="340"/>
      <c r="AK111" s="340"/>
      <c r="AL111" s="340"/>
      <c r="AM111" s="340"/>
      <c r="AN111" s="340"/>
      <c r="AO111" s="340"/>
      <c r="AP111" s="340"/>
      <c r="AQ111" s="340"/>
      <c r="AR111" s="340"/>
      <c r="AS111" s="340"/>
      <c r="AT111" s="340"/>
      <c r="AU111" s="340"/>
      <c r="AV111" s="340"/>
      <c r="AW111" s="340"/>
      <c r="AX111" s="340"/>
      <c r="AY111" s="340"/>
      <c r="AZ111" s="89" t="s">
        <v>186</v>
      </c>
    </row>
    <row r="112" spans="1:52" ht="15.75" x14ac:dyDescent="0.4">
      <c r="A112" s="107" t="s">
        <v>176</v>
      </c>
      <c r="B112" s="250"/>
      <c r="C112" s="226"/>
      <c r="D112" s="226"/>
      <c r="E112" s="226"/>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92"/>
      <c r="AB112" s="340"/>
      <c r="AC112" s="340"/>
      <c r="AD112" s="340"/>
      <c r="AE112" s="340"/>
      <c r="AF112" s="340"/>
      <c r="AG112" s="340"/>
      <c r="AH112" s="340"/>
      <c r="AI112" s="340"/>
      <c r="AJ112" s="340"/>
      <c r="AK112" s="340"/>
      <c r="AL112" s="340"/>
      <c r="AM112" s="340"/>
      <c r="AN112" s="340"/>
      <c r="AO112" s="340"/>
      <c r="AP112" s="340"/>
      <c r="AQ112" s="340"/>
      <c r="AR112" s="340"/>
      <c r="AS112" s="340"/>
      <c r="AT112" s="340"/>
      <c r="AU112" s="340"/>
      <c r="AV112" s="340"/>
      <c r="AW112" s="340"/>
      <c r="AX112" s="340"/>
      <c r="AY112" s="340"/>
      <c r="AZ112" s="89" t="s">
        <v>186</v>
      </c>
    </row>
    <row r="113" spans="1:52" ht="15.75" x14ac:dyDescent="0.4">
      <c r="A113" s="107" t="s">
        <v>197</v>
      </c>
      <c r="B113" s="250"/>
      <c r="C113" s="226"/>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92"/>
      <c r="AB113" s="340"/>
      <c r="AC113" s="340"/>
      <c r="AD113" s="340"/>
      <c r="AE113" s="340"/>
      <c r="AF113" s="340"/>
      <c r="AG113" s="340"/>
      <c r="AH113" s="340"/>
      <c r="AI113" s="340"/>
      <c r="AJ113" s="340"/>
      <c r="AK113" s="340"/>
      <c r="AL113" s="340"/>
      <c r="AM113" s="340"/>
      <c r="AN113" s="340"/>
      <c r="AO113" s="340"/>
      <c r="AP113" s="340"/>
      <c r="AQ113" s="340"/>
      <c r="AR113" s="340"/>
      <c r="AS113" s="340"/>
      <c r="AT113" s="340"/>
      <c r="AU113" s="340"/>
      <c r="AV113" s="340"/>
      <c r="AW113" s="340"/>
      <c r="AX113" s="340"/>
      <c r="AY113" s="340"/>
      <c r="AZ113" s="89" t="s">
        <v>186</v>
      </c>
    </row>
    <row r="114" spans="1:52" ht="15.75" x14ac:dyDescent="0.4">
      <c r="A114" s="107" t="s">
        <v>183</v>
      </c>
      <c r="B114" s="250"/>
      <c r="C114" s="226"/>
      <c r="D114" s="226"/>
      <c r="E114" s="226"/>
      <c r="F114" s="226"/>
      <c r="G114" s="226"/>
      <c r="H114" s="226"/>
      <c r="I114" s="226"/>
      <c r="J114" s="226"/>
      <c r="K114" s="226"/>
      <c r="L114" s="226"/>
      <c r="M114" s="226"/>
      <c r="N114" s="226"/>
      <c r="O114" s="226"/>
      <c r="P114" s="226"/>
      <c r="Q114" s="226"/>
      <c r="R114" s="220"/>
      <c r="S114" s="220"/>
      <c r="T114" s="220"/>
      <c r="U114" s="220"/>
      <c r="V114" s="220"/>
      <c r="W114" s="220"/>
      <c r="X114" s="220"/>
      <c r="Y114" s="220"/>
      <c r="Z114" s="220"/>
      <c r="AA114" s="294"/>
      <c r="AB114" s="220"/>
      <c r="AC114" s="220"/>
      <c r="AD114" s="220"/>
      <c r="AE114" s="220"/>
      <c r="AF114" s="220"/>
      <c r="AG114" s="220"/>
      <c r="AH114" s="220"/>
      <c r="AZ114" s="89" t="s">
        <v>186</v>
      </c>
    </row>
    <row r="115" spans="1:52" ht="15.75" x14ac:dyDescent="0.4">
      <c r="A115" s="107" t="s">
        <v>174</v>
      </c>
      <c r="B115" s="250"/>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92"/>
      <c r="AB115" s="340"/>
      <c r="AC115" s="340"/>
      <c r="AD115" s="340"/>
      <c r="AE115" s="340"/>
      <c r="AF115" s="340"/>
      <c r="AG115" s="340"/>
      <c r="AH115" s="340"/>
      <c r="AI115" s="340"/>
      <c r="AJ115" s="340"/>
      <c r="AK115" s="340"/>
      <c r="AL115" s="340"/>
      <c r="AM115" s="340"/>
      <c r="AN115" s="340"/>
      <c r="AO115" s="340"/>
      <c r="AP115" s="340"/>
      <c r="AQ115" s="340"/>
      <c r="AR115" s="340"/>
      <c r="AS115" s="340"/>
      <c r="AT115" s="340"/>
      <c r="AU115" s="340"/>
      <c r="AV115" s="340"/>
      <c r="AW115" s="340"/>
      <c r="AX115" s="340"/>
      <c r="AY115" s="340"/>
      <c r="AZ115" s="89" t="s">
        <v>186</v>
      </c>
    </row>
    <row r="116" spans="1:52" ht="15.75" x14ac:dyDescent="0.4">
      <c r="A116" s="107" t="s">
        <v>175</v>
      </c>
      <c r="B116" s="250"/>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92"/>
      <c r="AB116" s="340"/>
      <c r="AC116" s="340"/>
      <c r="AD116" s="340"/>
      <c r="AE116" s="340"/>
      <c r="AF116" s="340"/>
      <c r="AG116" s="340"/>
      <c r="AH116" s="340"/>
      <c r="AI116" s="340"/>
      <c r="AJ116" s="340"/>
      <c r="AK116" s="340"/>
      <c r="AL116" s="340"/>
      <c r="AM116" s="340"/>
      <c r="AN116" s="340"/>
      <c r="AO116" s="340"/>
      <c r="AP116" s="340"/>
      <c r="AQ116" s="340"/>
      <c r="AR116" s="340"/>
      <c r="AS116" s="340"/>
      <c r="AT116" s="340"/>
      <c r="AU116" s="340"/>
      <c r="AV116" s="340"/>
      <c r="AW116" s="340"/>
      <c r="AX116" s="340"/>
      <c r="AY116" s="340"/>
      <c r="AZ116" s="89" t="s">
        <v>186</v>
      </c>
    </row>
    <row r="117" spans="1:52" ht="15.75" x14ac:dyDescent="0.4">
      <c r="A117" s="107" t="s">
        <v>197</v>
      </c>
      <c r="B117" s="226"/>
      <c r="C117" s="226"/>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92"/>
      <c r="AB117" s="340"/>
      <c r="AC117" s="340"/>
      <c r="AD117" s="340"/>
      <c r="AE117" s="340"/>
      <c r="AF117" s="340"/>
      <c r="AG117" s="340"/>
      <c r="AH117" s="340"/>
      <c r="AI117" s="340"/>
      <c r="AJ117" s="340"/>
      <c r="AK117" s="340"/>
      <c r="AL117" s="340"/>
      <c r="AM117" s="340"/>
      <c r="AN117" s="340"/>
      <c r="AO117" s="340"/>
      <c r="AP117" s="340"/>
      <c r="AQ117" s="340"/>
      <c r="AR117" s="340"/>
      <c r="AS117" s="340"/>
      <c r="AT117" s="340"/>
      <c r="AU117" s="340"/>
      <c r="AV117" s="340"/>
      <c r="AW117" s="340"/>
      <c r="AX117" s="340"/>
      <c r="AY117" s="340"/>
      <c r="AZ117" s="89" t="s">
        <v>186</v>
      </c>
    </row>
    <row r="118" spans="1:52" ht="15.75" x14ac:dyDescent="0.4">
      <c r="A118" s="107" t="s">
        <v>176</v>
      </c>
      <c r="B118" s="226"/>
      <c r="C118" s="226"/>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92"/>
      <c r="AB118" s="340"/>
      <c r="AC118" s="340"/>
      <c r="AD118" s="340"/>
      <c r="AE118" s="340"/>
      <c r="AF118" s="340"/>
      <c r="AG118" s="340"/>
      <c r="AH118" s="340"/>
      <c r="AI118" s="340"/>
      <c r="AJ118" s="340"/>
      <c r="AK118" s="340"/>
      <c r="AL118" s="340"/>
      <c r="AM118" s="340"/>
      <c r="AN118" s="340"/>
      <c r="AO118" s="340"/>
      <c r="AP118" s="340"/>
      <c r="AQ118" s="340"/>
      <c r="AR118" s="340"/>
      <c r="AS118" s="340"/>
      <c r="AT118" s="340"/>
      <c r="AU118" s="340"/>
      <c r="AV118" s="340"/>
      <c r="AW118" s="340"/>
      <c r="AX118" s="340"/>
      <c r="AY118" s="340"/>
      <c r="AZ118" s="89" t="s">
        <v>186</v>
      </c>
    </row>
    <row r="119" spans="1:52" ht="15.75" x14ac:dyDescent="0.4">
      <c r="A119" s="107" t="s">
        <v>197</v>
      </c>
      <c r="B119" s="226"/>
      <c r="C119" s="226"/>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92"/>
      <c r="AB119" s="340"/>
      <c r="AC119" s="340"/>
      <c r="AD119" s="340"/>
      <c r="AE119" s="340"/>
      <c r="AF119" s="340"/>
      <c r="AG119" s="340"/>
      <c r="AH119" s="340"/>
      <c r="AI119" s="340"/>
      <c r="AJ119" s="340"/>
      <c r="AK119" s="340"/>
      <c r="AL119" s="340"/>
      <c r="AM119" s="340"/>
      <c r="AN119" s="340"/>
      <c r="AO119" s="340"/>
      <c r="AP119" s="340"/>
      <c r="AQ119" s="340"/>
      <c r="AR119" s="340"/>
      <c r="AS119" s="340"/>
      <c r="AT119" s="340"/>
      <c r="AU119" s="340"/>
      <c r="AV119" s="340"/>
      <c r="AW119" s="340"/>
      <c r="AX119" s="340"/>
      <c r="AY119" s="340"/>
      <c r="AZ119" s="89" t="s">
        <v>186</v>
      </c>
    </row>
    <row r="120" spans="1:52" ht="15.75" x14ac:dyDescent="0.5">
      <c r="A120" s="107" t="s">
        <v>190</v>
      </c>
      <c r="B120" s="226"/>
      <c r="C120" s="226"/>
      <c r="D120" s="226"/>
      <c r="E120" s="226"/>
      <c r="F120" s="226"/>
      <c r="G120" s="226"/>
      <c r="H120" s="226"/>
      <c r="I120" s="226"/>
      <c r="J120" s="226"/>
      <c r="K120" s="226"/>
      <c r="L120" s="226"/>
      <c r="M120" s="226"/>
      <c r="N120" s="226"/>
      <c r="O120" s="226"/>
      <c r="P120" s="226"/>
      <c r="Q120" s="226"/>
      <c r="R120" s="220"/>
      <c r="S120" s="220"/>
      <c r="T120" s="220"/>
      <c r="U120" s="220"/>
      <c r="V120" s="220"/>
      <c r="W120" s="220"/>
      <c r="X120" s="220"/>
      <c r="Y120" s="220"/>
      <c r="Z120" s="220"/>
      <c r="AA120" s="297"/>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2"/>
      <c r="AW120" s="342"/>
      <c r="AX120" s="342"/>
      <c r="AY120" s="342"/>
      <c r="AZ120" s="89" t="s">
        <v>186</v>
      </c>
    </row>
    <row r="121" spans="1:52" ht="15.75" x14ac:dyDescent="0.5">
      <c r="A121" s="107" t="s">
        <v>196</v>
      </c>
      <c r="B121" s="226"/>
      <c r="C121" s="226"/>
      <c r="D121" s="226"/>
      <c r="E121" s="226"/>
      <c r="F121" s="226"/>
      <c r="G121" s="226"/>
      <c r="H121" s="226"/>
      <c r="I121" s="226"/>
      <c r="J121" s="226"/>
      <c r="K121" s="226"/>
      <c r="L121" s="226"/>
      <c r="M121" s="226"/>
      <c r="N121" s="226"/>
      <c r="O121" s="226"/>
      <c r="P121" s="226"/>
      <c r="Q121" s="226"/>
      <c r="R121" s="220"/>
      <c r="S121" s="220"/>
      <c r="T121" s="220"/>
      <c r="U121" s="220"/>
      <c r="V121" s="220"/>
      <c r="W121" s="220"/>
      <c r="X121" s="220"/>
      <c r="Y121" s="220"/>
      <c r="Z121" s="220"/>
      <c r="AA121" s="297"/>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2"/>
      <c r="AW121" s="342"/>
      <c r="AX121" s="342"/>
      <c r="AY121" s="342"/>
      <c r="AZ121" s="222" t="s">
        <v>186</v>
      </c>
    </row>
    <row r="122" spans="1:52" ht="15.75" x14ac:dyDescent="0.4">
      <c r="A122" s="104" t="s">
        <v>48</v>
      </c>
      <c r="B122" s="248">
        <f t="shared" ref="B122:AG122" si="45">SUM(B105:B121)</f>
        <v>0</v>
      </c>
      <c r="C122" s="248">
        <f t="shared" si="45"/>
        <v>0</v>
      </c>
      <c r="D122" s="248">
        <f t="shared" si="45"/>
        <v>0</v>
      </c>
      <c r="E122" s="248">
        <f t="shared" si="45"/>
        <v>0</v>
      </c>
      <c r="F122" s="248">
        <f t="shared" si="45"/>
        <v>0</v>
      </c>
      <c r="G122" s="248">
        <f t="shared" si="45"/>
        <v>0</v>
      </c>
      <c r="H122" s="248">
        <f t="shared" si="45"/>
        <v>0</v>
      </c>
      <c r="I122" s="248">
        <f t="shared" si="45"/>
        <v>0</v>
      </c>
      <c r="J122" s="248">
        <f t="shared" si="45"/>
        <v>0</v>
      </c>
      <c r="K122" s="248">
        <f t="shared" si="45"/>
        <v>0</v>
      </c>
      <c r="L122" s="248">
        <f t="shared" si="45"/>
        <v>0</v>
      </c>
      <c r="M122" s="248">
        <f t="shared" si="45"/>
        <v>0</v>
      </c>
      <c r="N122" s="248">
        <f t="shared" si="45"/>
        <v>0</v>
      </c>
      <c r="O122" s="248">
        <f t="shared" si="45"/>
        <v>0</v>
      </c>
      <c r="P122" s="248">
        <f t="shared" si="45"/>
        <v>0</v>
      </c>
      <c r="Q122" s="248">
        <f t="shared" si="45"/>
        <v>0</v>
      </c>
      <c r="R122" s="248">
        <f t="shared" si="45"/>
        <v>0</v>
      </c>
      <c r="S122" s="248">
        <f t="shared" si="45"/>
        <v>0</v>
      </c>
      <c r="T122" s="248">
        <f t="shared" si="45"/>
        <v>0</v>
      </c>
      <c r="U122" s="248">
        <f t="shared" si="45"/>
        <v>0</v>
      </c>
      <c r="V122" s="248">
        <f t="shared" si="45"/>
        <v>0</v>
      </c>
      <c r="W122" s="248">
        <f t="shared" si="45"/>
        <v>0</v>
      </c>
      <c r="X122" s="248">
        <f t="shared" si="45"/>
        <v>0</v>
      </c>
      <c r="Y122" s="248">
        <f t="shared" si="45"/>
        <v>0</v>
      </c>
      <c r="Z122" s="248">
        <f t="shared" si="45"/>
        <v>0</v>
      </c>
      <c r="AA122" s="293">
        <f t="shared" si="45"/>
        <v>100</v>
      </c>
      <c r="AB122" s="248">
        <f t="shared" si="45"/>
        <v>0</v>
      </c>
      <c r="AC122" s="248">
        <f t="shared" si="45"/>
        <v>0</v>
      </c>
      <c r="AD122" s="248">
        <f t="shared" si="45"/>
        <v>0</v>
      </c>
      <c r="AE122" s="248">
        <f t="shared" si="45"/>
        <v>0</v>
      </c>
      <c r="AF122" s="248">
        <f t="shared" si="45"/>
        <v>0</v>
      </c>
      <c r="AG122" s="248">
        <f t="shared" si="45"/>
        <v>0</v>
      </c>
      <c r="AH122" s="248">
        <f t="shared" ref="AH122:AY122" si="46">SUM(AH105:AH121)</f>
        <v>0</v>
      </c>
      <c r="AI122" s="248">
        <f t="shared" si="46"/>
        <v>0</v>
      </c>
      <c r="AJ122" s="248">
        <f t="shared" si="46"/>
        <v>0</v>
      </c>
      <c r="AK122" s="248">
        <f t="shared" si="46"/>
        <v>0</v>
      </c>
      <c r="AL122" s="248">
        <f t="shared" si="46"/>
        <v>0</v>
      </c>
      <c r="AM122" s="248">
        <f t="shared" si="46"/>
        <v>0</v>
      </c>
      <c r="AN122" s="248">
        <f t="shared" si="46"/>
        <v>0</v>
      </c>
      <c r="AO122" s="248">
        <f t="shared" si="46"/>
        <v>0</v>
      </c>
      <c r="AP122" s="248">
        <f t="shared" si="46"/>
        <v>0</v>
      </c>
      <c r="AQ122" s="248">
        <f t="shared" si="46"/>
        <v>0</v>
      </c>
      <c r="AR122" s="248">
        <f t="shared" si="46"/>
        <v>0</v>
      </c>
      <c r="AS122" s="248">
        <f t="shared" si="46"/>
        <v>0</v>
      </c>
      <c r="AT122" s="248">
        <f t="shared" si="46"/>
        <v>0</v>
      </c>
      <c r="AU122" s="248">
        <f t="shared" si="46"/>
        <v>0</v>
      </c>
      <c r="AV122" s="248">
        <f t="shared" si="46"/>
        <v>0</v>
      </c>
      <c r="AW122" s="248">
        <f t="shared" si="46"/>
        <v>0</v>
      </c>
      <c r="AX122" s="248">
        <f t="shared" si="46"/>
        <v>0</v>
      </c>
      <c r="AY122" s="248">
        <f t="shared" si="46"/>
        <v>0</v>
      </c>
      <c r="AZ122" s="89" t="s">
        <v>186</v>
      </c>
    </row>
    <row r="123" spans="1:52" ht="15.75" x14ac:dyDescent="0.4">
      <c r="A123" s="84"/>
      <c r="B123" s="226"/>
      <c r="C123" s="226"/>
      <c r="D123" s="226"/>
      <c r="E123" s="226"/>
      <c r="F123" s="226"/>
      <c r="G123" s="226"/>
      <c r="H123" s="226"/>
      <c r="I123" s="226"/>
      <c r="J123" s="226"/>
      <c r="K123" s="226"/>
      <c r="L123" s="226"/>
      <c r="M123" s="220"/>
      <c r="N123" s="220"/>
      <c r="O123" s="220"/>
      <c r="P123" s="220"/>
      <c r="Q123" s="220"/>
      <c r="R123" s="220"/>
      <c r="S123" s="220"/>
      <c r="T123" s="220"/>
      <c r="U123" s="220"/>
      <c r="V123" s="220"/>
      <c r="W123" s="220"/>
      <c r="X123" s="220"/>
      <c r="Y123" s="220"/>
      <c r="Z123" s="220"/>
      <c r="AA123" s="294"/>
      <c r="AZ123" s="89" t="s">
        <v>186</v>
      </c>
    </row>
    <row r="124" spans="1:52" ht="15.75" x14ac:dyDescent="0.4">
      <c r="A124" s="116" t="s">
        <v>51</v>
      </c>
      <c r="B124" s="226"/>
      <c r="C124" s="226"/>
      <c r="D124" s="226"/>
      <c r="E124" s="226"/>
      <c r="F124" s="226"/>
      <c r="G124" s="226"/>
      <c r="H124" s="226"/>
      <c r="I124" s="226"/>
      <c r="J124" s="226"/>
      <c r="K124" s="226"/>
      <c r="L124" s="226"/>
      <c r="M124" s="220"/>
      <c r="N124" s="220"/>
      <c r="O124" s="220"/>
      <c r="P124" s="220"/>
      <c r="Q124" s="220"/>
      <c r="R124" s="220"/>
      <c r="S124" s="220"/>
      <c r="T124" s="220"/>
      <c r="U124" s="220"/>
      <c r="V124" s="220"/>
      <c r="W124" s="220"/>
      <c r="X124" s="220"/>
      <c r="Y124" s="220"/>
      <c r="Z124" s="220"/>
      <c r="AA124" s="294"/>
      <c r="AZ124" s="89" t="s">
        <v>186</v>
      </c>
    </row>
    <row r="125" spans="1:52" s="127" customFormat="1" ht="15.75" x14ac:dyDescent="0.4">
      <c r="A125" s="117" t="s">
        <v>52</v>
      </c>
      <c r="B125" s="226">
        <f t="shared" ref="B125:AG125" si="47">-(B106+B111+B113+B117+B119+B121)</f>
        <v>0</v>
      </c>
      <c r="C125" s="226">
        <f t="shared" si="47"/>
        <v>0</v>
      </c>
      <c r="D125" s="226">
        <f t="shared" si="47"/>
        <v>0</v>
      </c>
      <c r="E125" s="226">
        <f t="shared" si="47"/>
        <v>0</v>
      </c>
      <c r="F125" s="226">
        <f t="shared" si="47"/>
        <v>0</v>
      </c>
      <c r="G125" s="226">
        <f t="shared" si="47"/>
        <v>0</v>
      </c>
      <c r="H125" s="226">
        <f t="shared" si="47"/>
        <v>0</v>
      </c>
      <c r="I125" s="226">
        <f t="shared" si="47"/>
        <v>0</v>
      </c>
      <c r="J125" s="226">
        <f t="shared" si="47"/>
        <v>0</v>
      </c>
      <c r="K125" s="226">
        <f t="shared" si="47"/>
        <v>0</v>
      </c>
      <c r="L125" s="226">
        <f t="shared" si="47"/>
        <v>0</v>
      </c>
      <c r="M125" s="226">
        <f t="shared" si="47"/>
        <v>0</v>
      </c>
      <c r="N125" s="226">
        <f t="shared" si="47"/>
        <v>0</v>
      </c>
      <c r="O125" s="226">
        <f t="shared" si="47"/>
        <v>0</v>
      </c>
      <c r="P125" s="226">
        <f t="shared" si="47"/>
        <v>0</v>
      </c>
      <c r="Q125" s="226">
        <f t="shared" si="47"/>
        <v>0</v>
      </c>
      <c r="R125" s="226">
        <f t="shared" si="47"/>
        <v>0</v>
      </c>
      <c r="S125" s="226">
        <f t="shared" si="47"/>
        <v>0</v>
      </c>
      <c r="T125" s="226">
        <f t="shared" si="47"/>
        <v>0</v>
      </c>
      <c r="U125" s="226">
        <f t="shared" si="47"/>
        <v>0</v>
      </c>
      <c r="V125" s="226">
        <f t="shared" si="47"/>
        <v>0</v>
      </c>
      <c r="W125" s="226">
        <f t="shared" si="47"/>
        <v>0</v>
      </c>
      <c r="X125" s="226">
        <f t="shared" si="47"/>
        <v>0</v>
      </c>
      <c r="Y125" s="226">
        <f t="shared" si="47"/>
        <v>0</v>
      </c>
      <c r="Z125" s="226">
        <f t="shared" si="47"/>
        <v>0</v>
      </c>
      <c r="AA125" s="292">
        <f t="shared" si="47"/>
        <v>0</v>
      </c>
      <c r="AB125" s="226">
        <f t="shared" si="47"/>
        <v>0</v>
      </c>
      <c r="AC125" s="226">
        <f t="shared" si="47"/>
        <v>0</v>
      </c>
      <c r="AD125" s="226">
        <f t="shared" si="47"/>
        <v>0</v>
      </c>
      <c r="AE125" s="226">
        <f t="shared" si="47"/>
        <v>0</v>
      </c>
      <c r="AF125" s="226">
        <f t="shared" si="47"/>
        <v>0</v>
      </c>
      <c r="AG125" s="226">
        <f t="shared" si="47"/>
        <v>0</v>
      </c>
      <c r="AH125" s="226">
        <f t="shared" ref="AH125:AY125" si="48">-(AH106+AH111+AH113+AH117+AH119+AH121)</f>
        <v>0</v>
      </c>
      <c r="AI125" s="226">
        <f t="shared" si="48"/>
        <v>0</v>
      </c>
      <c r="AJ125" s="226">
        <f t="shared" si="48"/>
        <v>0</v>
      </c>
      <c r="AK125" s="226">
        <f t="shared" si="48"/>
        <v>0</v>
      </c>
      <c r="AL125" s="226">
        <f t="shared" si="48"/>
        <v>0</v>
      </c>
      <c r="AM125" s="226">
        <f t="shared" si="48"/>
        <v>0</v>
      </c>
      <c r="AN125" s="226">
        <f t="shared" si="48"/>
        <v>0</v>
      </c>
      <c r="AO125" s="226">
        <f t="shared" si="48"/>
        <v>0</v>
      </c>
      <c r="AP125" s="226">
        <f t="shared" si="48"/>
        <v>0</v>
      </c>
      <c r="AQ125" s="226">
        <f t="shared" si="48"/>
        <v>0</v>
      </c>
      <c r="AR125" s="226">
        <f t="shared" si="48"/>
        <v>0</v>
      </c>
      <c r="AS125" s="226">
        <f t="shared" si="48"/>
        <v>0</v>
      </c>
      <c r="AT125" s="226">
        <f t="shared" si="48"/>
        <v>0</v>
      </c>
      <c r="AU125" s="226">
        <f t="shared" si="48"/>
        <v>0</v>
      </c>
      <c r="AV125" s="226">
        <f t="shared" si="48"/>
        <v>0</v>
      </c>
      <c r="AW125" s="226">
        <f t="shared" si="48"/>
        <v>0</v>
      </c>
      <c r="AX125" s="226">
        <f t="shared" si="48"/>
        <v>0</v>
      </c>
      <c r="AY125" s="226">
        <f t="shared" si="48"/>
        <v>0</v>
      </c>
      <c r="AZ125" s="89" t="s">
        <v>186</v>
      </c>
    </row>
    <row r="126" spans="1:52" s="127" customFormat="1" ht="15.75" x14ac:dyDescent="0.4">
      <c r="A126" s="107"/>
      <c r="B126" s="226"/>
      <c r="C126" s="226"/>
      <c r="D126" s="226"/>
      <c r="E126" s="226"/>
      <c r="F126" s="226"/>
      <c r="G126" s="226"/>
      <c r="H126" s="226"/>
      <c r="I126" s="226"/>
      <c r="J126" s="226"/>
      <c r="K126" s="226"/>
      <c r="L126" s="226"/>
      <c r="M126" s="226"/>
      <c r="N126" s="226"/>
      <c r="O126" s="226"/>
      <c r="P126" s="226"/>
      <c r="Q126" s="226"/>
      <c r="R126" s="220"/>
      <c r="S126" s="220"/>
      <c r="T126" s="220"/>
      <c r="U126" s="220"/>
      <c r="V126" s="220"/>
      <c r="W126" s="220"/>
      <c r="X126" s="220"/>
      <c r="Y126" s="220"/>
      <c r="Z126" s="220"/>
      <c r="AA126" s="294"/>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t="s">
        <v>186</v>
      </c>
    </row>
    <row r="127" spans="1:52" s="127" customFormat="1" ht="15.75" x14ac:dyDescent="0.4">
      <c r="A127" s="96" t="s">
        <v>54</v>
      </c>
      <c r="B127" s="251">
        <f>B122+B125</f>
        <v>0</v>
      </c>
      <c r="C127" s="251">
        <f t="shared" ref="C127:AY127" si="49">C122+C125</f>
        <v>0</v>
      </c>
      <c r="D127" s="251">
        <f t="shared" si="49"/>
        <v>0</v>
      </c>
      <c r="E127" s="251">
        <f t="shared" si="49"/>
        <v>0</v>
      </c>
      <c r="F127" s="251">
        <f t="shared" si="49"/>
        <v>0</v>
      </c>
      <c r="G127" s="251">
        <f t="shared" si="49"/>
        <v>0</v>
      </c>
      <c r="H127" s="251">
        <f t="shared" si="49"/>
        <v>0</v>
      </c>
      <c r="I127" s="251">
        <f t="shared" si="49"/>
        <v>0</v>
      </c>
      <c r="J127" s="251">
        <f t="shared" si="49"/>
        <v>0</v>
      </c>
      <c r="K127" s="251">
        <f t="shared" si="49"/>
        <v>0</v>
      </c>
      <c r="L127" s="251">
        <f t="shared" si="49"/>
        <v>0</v>
      </c>
      <c r="M127" s="251">
        <f t="shared" si="49"/>
        <v>0</v>
      </c>
      <c r="N127" s="251">
        <f t="shared" si="49"/>
        <v>0</v>
      </c>
      <c r="O127" s="251">
        <f t="shared" si="49"/>
        <v>0</v>
      </c>
      <c r="P127" s="251">
        <f t="shared" si="49"/>
        <v>0</v>
      </c>
      <c r="Q127" s="251">
        <f t="shared" si="49"/>
        <v>0</v>
      </c>
      <c r="R127" s="251">
        <f t="shared" si="49"/>
        <v>0</v>
      </c>
      <c r="S127" s="251">
        <f t="shared" si="49"/>
        <v>0</v>
      </c>
      <c r="T127" s="251">
        <f t="shared" si="49"/>
        <v>0</v>
      </c>
      <c r="U127" s="251">
        <f t="shared" si="49"/>
        <v>0</v>
      </c>
      <c r="V127" s="251">
        <f t="shared" si="49"/>
        <v>0</v>
      </c>
      <c r="W127" s="251">
        <f t="shared" si="49"/>
        <v>0</v>
      </c>
      <c r="X127" s="251">
        <f t="shared" si="49"/>
        <v>0</v>
      </c>
      <c r="Y127" s="251">
        <f t="shared" si="49"/>
        <v>0</v>
      </c>
      <c r="Z127" s="251">
        <f t="shared" si="49"/>
        <v>0</v>
      </c>
      <c r="AA127" s="295">
        <f t="shared" si="49"/>
        <v>100</v>
      </c>
      <c r="AB127" s="251">
        <f t="shared" si="49"/>
        <v>0</v>
      </c>
      <c r="AC127" s="251">
        <f t="shared" si="49"/>
        <v>0</v>
      </c>
      <c r="AD127" s="251">
        <f t="shared" si="49"/>
        <v>0</v>
      </c>
      <c r="AE127" s="251">
        <f t="shared" si="49"/>
        <v>0</v>
      </c>
      <c r="AF127" s="251">
        <f t="shared" si="49"/>
        <v>0</v>
      </c>
      <c r="AG127" s="251">
        <f t="shared" si="49"/>
        <v>0</v>
      </c>
      <c r="AH127" s="251">
        <f t="shared" si="49"/>
        <v>0</v>
      </c>
      <c r="AI127" s="251">
        <f t="shared" si="49"/>
        <v>0</v>
      </c>
      <c r="AJ127" s="251">
        <f t="shared" si="49"/>
        <v>0</v>
      </c>
      <c r="AK127" s="251">
        <f t="shared" si="49"/>
        <v>0</v>
      </c>
      <c r="AL127" s="251">
        <f t="shared" si="49"/>
        <v>0</v>
      </c>
      <c r="AM127" s="251">
        <f t="shared" si="49"/>
        <v>0</v>
      </c>
      <c r="AN127" s="251">
        <f t="shared" si="49"/>
        <v>0</v>
      </c>
      <c r="AO127" s="251">
        <f t="shared" si="49"/>
        <v>0</v>
      </c>
      <c r="AP127" s="251">
        <f t="shared" si="49"/>
        <v>0</v>
      </c>
      <c r="AQ127" s="251">
        <f t="shared" si="49"/>
        <v>0</v>
      </c>
      <c r="AR127" s="251">
        <f t="shared" si="49"/>
        <v>0</v>
      </c>
      <c r="AS127" s="251">
        <f t="shared" si="49"/>
        <v>0</v>
      </c>
      <c r="AT127" s="251">
        <f t="shared" si="49"/>
        <v>0</v>
      </c>
      <c r="AU127" s="251">
        <f t="shared" si="49"/>
        <v>0</v>
      </c>
      <c r="AV127" s="251">
        <f t="shared" si="49"/>
        <v>0</v>
      </c>
      <c r="AW127" s="251">
        <f t="shared" si="49"/>
        <v>0</v>
      </c>
      <c r="AX127" s="251">
        <f t="shared" si="49"/>
        <v>0</v>
      </c>
      <c r="AY127" s="251">
        <f t="shared" si="49"/>
        <v>0</v>
      </c>
      <c r="AZ127" s="89" t="s">
        <v>186</v>
      </c>
    </row>
    <row r="128" spans="1:52" s="127" customFormat="1" ht="13.15" x14ac:dyDescent="0.4">
      <c r="A128"/>
      <c r="B128"/>
      <c r="C128"/>
      <c r="D128"/>
      <c r="E128"/>
      <c r="F128"/>
      <c r="G128"/>
      <c r="H128"/>
      <c r="I128"/>
      <c r="J128"/>
      <c r="K128"/>
      <c r="L128"/>
      <c r="M128"/>
      <c r="N128"/>
      <c r="O128"/>
      <c r="P128"/>
      <c r="Q128"/>
      <c r="R128"/>
      <c r="S128"/>
      <c r="AA128" s="282"/>
      <c r="AZ128" s="89" t="s">
        <v>186</v>
      </c>
    </row>
    <row r="129" spans="1:52" s="127" customFormat="1" ht="15.75" x14ac:dyDescent="0.5">
      <c r="A129" s="120" t="s">
        <v>0</v>
      </c>
      <c r="B129" s="121">
        <f>'Phương án 2'!H7</f>
        <v>0.06</v>
      </c>
      <c r="C129"/>
      <c r="D129"/>
      <c r="E129"/>
      <c r="F129"/>
      <c r="G129"/>
      <c r="H129"/>
      <c r="I129"/>
      <c r="J129"/>
      <c r="K129"/>
      <c r="L129"/>
      <c r="M129"/>
      <c r="N129"/>
      <c r="O129"/>
      <c r="P129"/>
      <c r="Q129"/>
      <c r="R129"/>
      <c r="S129"/>
      <c r="AA129" s="282"/>
      <c r="AZ129" s="89" t="s">
        <v>186</v>
      </c>
    </row>
    <row r="130" spans="1:52" s="127" customFormat="1" ht="15.75" x14ac:dyDescent="0.4">
      <c r="A130" s="266" t="s">
        <v>312</v>
      </c>
      <c r="B130" s="267">
        <f>NPV($B$129,$C$127:$AA$127)+$B$127</f>
        <v>23.299863050389526</v>
      </c>
      <c r="C130"/>
      <c r="D130"/>
      <c r="E130"/>
      <c r="F130"/>
      <c r="G130"/>
      <c r="H130"/>
      <c r="I130"/>
      <c r="J130"/>
      <c r="K130"/>
      <c r="L130"/>
      <c r="M130"/>
      <c r="N130"/>
      <c r="O130"/>
      <c r="P130"/>
      <c r="Q130"/>
      <c r="R130"/>
      <c r="S130"/>
      <c r="AA130" s="282"/>
      <c r="AB130" s="308"/>
      <c r="AZ130" s="89" t="s">
        <v>186</v>
      </c>
    </row>
    <row r="131" spans="1:52" s="127" customFormat="1" ht="15.75" x14ac:dyDescent="0.4">
      <c r="A131" s="122" t="s">
        <v>239</v>
      </c>
      <c r="B131" s="123">
        <f>B130/SUM(B24:AA24)*'Phương án 2'!H8</f>
        <v>10.786973634439596</v>
      </c>
      <c r="C131"/>
      <c r="D131" s="252"/>
      <c r="E131"/>
      <c r="F131"/>
      <c r="G131"/>
      <c r="H131"/>
      <c r="I131"/>
      <c r="J131"/>
      <c r="K131"/>
      <c r="L131"/>
      <c r="M131"/>
      <c r="N131"/>
      <c r="O131"/>
      <c r="P131"/>
      <c r="Q131"/>
      <c r="R131"/>
      <c r="S131"/>
      <c r="AA131" s="282"/>
      <c r="AZ131" s="89" t="s">
        <v>186</v>
      </c>
    </row>
    <row r="132" spans="1:52" s="127" customFormat="1" ht="13.15" x14ac:dyDescent="0.4">
      <c r="A132"/>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c r="AA132" s="240"/>
      <c r="AB132" s="208"/>
      <c r="AC132" s="208"/>
      <c r="AD132" s="208"/>
      <c r="AE132" s="208"/>
      <c r="AF132" s="208"/>
      <c r="AG132" s="208"/>
      <c r="AH132" s="208"/>
      <c r="AI132" s="208"/>
      <c r="AJ132" s="208"/>
      <c r="AK132" s="208"/>
      <c r="AL132" s="208"/>
      <c r="AM132" s="208"/>
      <c r="AN132" s="208"/>
      <c r="AO132" s="208"/>
      <c r="AP132" s="208"/>
      <c r="AQ132" s="208"/>
      <c r="AR132" s="208"/>
      <c r="AS132" s="208"/>
      <c r="AT132" s="208"/>
      <c r="AU132" s="208"/>
      <c r="AV132" s="208"/>
      <c r="AW132" s="208"/>
      <c r="AX132" s="208"/>
      <c r="AY132" s="208"/>
      <c r="AZ132" s="89" t="s">
        <v>186</v>
      </c>
    </row>
    <row r="133" spans="1:52" s="127" customFormat="1" ht="13.15" x14ac:dyDescent="0.4">
      <c r="A133"/>
      <c r="B133"/>
      <c r="C133"/>
      <c r="D133"/>
      <c r="E133"/>
      <c r="F133"/>
      <c r="G133"/>
      <c r="H133"/>
      <c r="I133"/>
      <c r="J133"/>
      <c r="K133"/>
      <c r="L133"/>
      <c r="M133"/>
      <c r="N133"/>
      <c r="O133"/>
      <c r="P133"/>
      <c r="Q133"/>
      <c r="R133"/>
      <c r="S133"/>
      <c r="AA133" s="282"/>
      <c r="AZ133" s="89" t="s">
        <v>186</v>
      </c>
    </row>
    <row r="134" spans="1:52" ht="15.75" x14ac:dyDescent="0.4">
      <c r="A134" s="321" t="s">
        <v>281</v>
      </c>
      <c r="B134" s="321"/>
      <c r="C134" s="321"/>
      <c r="D134"/>
      <c r="E134"/>
      <c r="F134"/>
      <c r="G134"/>
      <c r="H134"/>
      <c r="I134"/>
      <c r="J134"/>
      <c r="K134"/>
      <c r="L134"/>
      <c r="M134"/>
      <c r="N134"/>
      <c r="O134"/>
      <c r="P134"/>
      <c r="Q134"/>
      <c r="R134"/>
      <c r="AZ134" s="89" t="s">
        <v>186</v>
      </c>
    </row>
    <row r="135" spans="1:52" ht="13.15" x14ac:dyDescent="0.4">
      <c r="A135"/>
      <c r="B135"/>
      <c r="C135"/>
      <c r="D135"/>
      <c r="E135"/>
      <c r="F135"/>
      <c r="G135"/>
      <c r="H135"/>
      <c r="I135"/>
      <c r="J135"/>
      <c r="K135"/>
      <c r="L135"/>
      <c r="M135"/>
      <c r="N135"/>
      <c r="O135"/>
      <c r="P135"/>
      <c r="Q135"/>
      <c r="R135"/>
      <c r="AZ135" s="89" t="s">
        <v>186</v>
      </c>
    </row>
    <row r="136" spans="1:52" ht="15.75" x14ac:dyDescent="0.4">
      <c r="A136" s="93" t="s">
        <v>2</v>
      </c>
      <c r="B136" s="112">
        <f t="shared" ref="B136:AG136" si="50">B17</f>
        <v>0</v>
      </c>
      <c r="C136" s="112">
        <f t="shared" si="50"/>
        <v>1</v>
      </c>
      <c r="D136" s="112">
        <f t="shared" si="50"/>
        <v>2</v>
      </c>
      <c r="E136" s="112">
        <f t="shared" si="50"/>
        <v>3</v>
      </c>
      <c r="F136" s="112">
        <f t="shared" si="50"/>
        <v>4</v>
      </c>
      <c r="G136" s="112">
        <f t="shared" si="50"/>
        <v>5</v>
      </c>
      <c r="H136" s="112">
        <f t="shared" si="50"/>
        <v>6</v>
      </c>
      <c r="I136" s="112">
        <f t="shared" si="50"/>
        <v>7</v>
      </c>
      <c r="J136" s="112">
        <f t="shared" si="50"/>
        <v>8</v>
      </c>
      <c r="K136" s="112">
        <f t="shared" si="50"/>
        <v>9</v>
      </c>
      <c r="L136" s="112">
        <f t="shared" si="50"/>
        <v>10</v>
      </c>
      <c r="M136" s="112">
        <f t="shared" si="50"/>
        <v>11</v>
      </c>
      <c r="N136" s="112">
        <f t="shared" si="50"/>
        <v>12</v>
      </c>
      <c r="O136" s="112">
        <f t="shared" si="50"/>
        <v>13</v>
      </c>
      <c r="P136" s="112">
        <f t="shared" si="50"/>
        <v>14</v>
      </c>
      <c r="Q136" s="112">
        <f t="shared" si="50"/>
        <v>15</v>
      </c>
      <c r="R136" s="112">
        <f t="shared" si="50"/>
        <v>16</v>
      </c>
      <c r="S136" s="112">
        <f t="shared" si="50"/>
        <v>17</v>
      </c>
      <c r="T136" s="112">
        <f t="shared" si="50"/>
        <v>18</v>
      </c>
      <c r="U136" s="112">
        <f t="shared" si="50"/>
        <v>19</v>
      </c>
      <c r="V136" s="112">
        <f t="shared" si="50"/>
        <v>20</v>
      </c>
      <c r="W136" s="112">
        <f t="shared" si="50"/>
        <v>21</v>
      </c>
      <c r="X136" s="112">
        <f t="shared" si="50"/>
        <v>22</v>
      </c>
      <c r="Y136" s="112">
        <f t="shared" si="50"/>
        <v>23</v>
      </c>
      <c r="Z136" s="112">
        <f t="shared" si="50"/>
        <v>24</v>
      </c>
      <c r="AA136" s="296">
        <f t="shared" si="50"/>
        <v>25</v>
      </c>
      <c r="AB136" s="112">
        <f t="shared" si="50"/>
        <v>26</v>
      </c>
      <c r="AC136" s="112">
        <f t="shared" si="50"/>
        <v>27</v>
      </c>
      <c r="AD136" s="112">
        <f t="shared" si="50"/>
        <v>28</v>
      </c>
      <c r="AE136" s="112">
        <f t="shared" si="50"/>
        <v>29</v>
      </c>
      <c r="AF136" s="112">
        <f t="shared" si="50"/>
        <v>30</v>
      </c>
      <c r="AG136" s="112">
        <f t="shared" si="50"/>
        <v>31</v>
      </c>
      <c r="AH136" s="112">
        <f t="shared" ref="AH136:AY136" si="51">AH17</f>
        <v>32</v>
      </c>
      <c r="AI136" s="112">
        <f t="shared" si="51"/>
        <v>33</v>
      </c>
      <c r="AJ136" s="112">
        <f t="shared" si="51"/>
        <v>34</v>
      </c>
      <c r="AK136" s="112">
        <f t="shared" si="51"/>
        <v>35</v>
      </c>
      <c r="AL136" s="112">
        <f t="shared" si="51"/>
        <v>36</v>
      </c>
      <c r="AM136" s="112">
        <f t="shared" si="51"/>
        <v>37</v>
      </c>
      <c r="AN136" s="112">
        <f t="shared" si="51"/>
        <v>38</v>
      </c>
      <c r="AO136" s="112">
        <f t="shared" si="51"/>
        <v>39</v>
      </c>
      <c r="AP136" s="112">
        <f t="shared" si="51"/>
        <v>40</v>
      </c>
      <c r="AQ136" s="112">
        <f t="shared" si="51"/>
        <v>41</v>
      </c>
      <c r="AR136" s="112">
        <f t="shared" si="51"/>
        <v>42</v>
      </c>
      <c r="AS136" s="112">
        <f t="shared" si="51"/>
        <v>43</v>
      </c>
      <c r="AT136" s="112">
        <f t="shared" si="51"/>
        <v>44</v>
      </c>
      <c r="AU136" s="112">
        <f t="shared" si="51"/>
        <v>45</v>
      </c>
      <c r="AV136" s="112">
        <f t="shared" si="51"/>
        <v>46</v>
      </c>
      <c r="AW136" s="112">
        <f t="shared" si="51"/>
        <v>47</v>
      </c>
      <c r="AX136" s="112">
        <f t="shared" si="51"/>
        <v>48</v>
      </c>
      <c r="AY136" s="112">
        <f t="shared" si="51"/>
        <v>49</v>
      </c>
      <c r="AZ136" s="89" t="s">
        <v>186</v>
      </c>
    </row>
    <row r="137" spans="1:52" ht="15.75" x14ac:dyDescent="0.4">
      <c r="A137" s="116" t="s">
        <v>23</v>
      </c>
      <c r="B137" s="84"/>
      <c r="C137" s="84"/>
      <c r="D137" s="84"/>
      <c r="E137" s="84"/>
      <c r="F137" s="84"/>
      <c r="G137" s="84"/>
      <c r="H137" s="84"/>
      <c r="I137" s="84"/>
      <c r="J137" s="84"/>
      <c r="K137" s="84"/>
      <c r="L137" s="84"/>
      <c r="AZ137" s="89" t="s">
        <v>186</v>
      </c>
    </row>
    <row r="138" spans="1:52" ht="15.75" x14ac:dyDescent="0.5">
      <c r="A138" s="128" t="s">
        <v>187</v>
      </c>
      <c r="B138" s="337"/>
      <c r="C138" s="337"/>
      <c r="D138" s="84"/>
      <c r="E138" s="84"/>
      <c r="F138" s="84"/>
      <c r="G138" s="84"/>
      <c r="H138" s="226">
        <f>'Phương án 2'!D$35*H18</f>
        <v>172.54901960784312</v>
      </c>
      <c r="I138" s="226">
        <f>'Phương án 2'!E$35*I18</f>
        <v>172.54901960784312</v>
      </c>
      <c r="J138" s="84"/>
      <c r="K138" s="84"/>
      <c r="L138" s="84"/>
      <c r="N138" s="222">
        <f>'Phương án 2'!F$35*N18</f>
        <v>500</v>
      </c>
      <c r="O138" s="222">
        <f>'Phương án 2'!G$35*O18</f>
        <v>495.0980392156863</v>
      </c>
      <c r="T138" s="220">
        <f>'Phương án 2'!H$35*T18</f>
        <v>172.54901960784312</v>
      </c>
      <c r="U138" s="220">
        <f>'Phương án 2'!I$35*U18</f>
        <v>172.54901960784312</v>
      </c>
      <c r="AZ138" s="89" t="s">
        <v>186</v>
      </c>
    </row>
    <row r="139" spans="1:52" ht="15.75" x14ac:dyDescent="0.5">
      <c r="A139" s="128" t="s">
        <v>90</v>
      </c>
      <c r="B139" s="95"/>
      <c r="C139" s="95"/>
      <c r="D139" s="336"/>
      <c r="E139" s="336"/>
      <c r="F139" s="336"/>
      <c r="G139" s="336"/>
      <c r="H139" s="336"/>
      <c r="I139" s="336"/>
      <c r="J139" s="336"/>
      <c r="K139" s="336"/>
      <c r="L139" s="336"/>
      <c r="M139" s="336"/>
      <c r="N139" s="336"/>
      <c r="O139" s="336"/>
      <c r="P139" s="336"/>
      <c r="Q139" s="336"/>
      <c r="R139" s="336"/>
      <c r="S139" s="336"/>
      <c r="T139" s="336"/>
      <c r="U139" s="336"/>
      <c r="V139" s="336"/>
      <c r="W139" s="336"/>
      <c r="X139" s="336"/>
      <c r="Y139" s="336"/>
      <c r="Z139" s="336"/>
      <c r="AA139" s="338"/>
      <c r="AB139" s="336"/>
      <c r="AC139" s="336"/>
      <c r="AD139" s="336"/>
      <c r="AE139" s="336"/>
      <c r="AF139" s="336"/>
      <c r="AG139" s="336"/>
      <c r="AH139" s="336"/>
      <c r="AI139" s="336"/>
      <c r="AJ139" s="336"/>
      <c r="AK139" s="336"/>
      <c r="AL139" s="336"/>
      <c r="AM139" s="336"/>
      <c r="AN139" s="336"/>
      <c r="AO139" s="336"/>
      <c r="AP139" s="336"/>
      <c r="AQ139" s="336"/>
      <c r="AR139" s="336"/>
      <c r="AS139" s="336"/>
      <c r="AT139" s="336"/>
      <c r="AU139" s="336"/>
      <c r="AV139" s="336"/>
      <c r="AW139" s="336"/>
      <c r="AX139" s="336"/>
      <c r="AY139" s="336"/>
      <c r="AZ139" s="89" t="s">
        <v>186</v>
      </c>
    </row>
    <row r="140" spans="1:52" ht="15.75" x14ac:dyDescent="0.4">
      <c r="A140" s="107" t="s">
        <v>174</v>
      </c>
      <c r="B140" s="105"/>
      <c r="C140" s="106"/>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c r="Z140" s="337"/>
      <c r="AA140" s="339"/>
      <c r="AB140" s="337"/>
      <c r="AC140" s="337"/>
      <c r="AD140" s="337"/>
      <c r="AE140" s="337"/>
      <c r="AF140" s="337"/>
      <c r="AG140" s="337"/>
      <c r="AH140" s="337"/>
      <c r="AI140" s="337"/>
      <c r="AJ140" s="337"/>
      <c r="AK140" s="337"/>
      <c r="AL140" s="337"/>
      <c r="AM140" s="337"/>
      <c r="AN140" s="337"/>
      <c r="AO140" s="337"/>
      <c r="AP140" s="337"/>
      <c r="AQ140" s="337"/>
      <c r="AR140" s="337"/>
      <c r="AS140" s="337"/>
      <c r="AT140" s="337"/>
      <c r="AU140" s="337"/>
      <c r="AV140" s="337"/>
      <c r="AW140" s="337"/>
      <c r="AX140" s="337"/>
      <c r="AY140" s="337"/>
      <c r="AZ140" s="89" t="s">
        <v>186</v>
      </c>
    </row>
    <row r="141" spans="1:52" ht="15.75" x14ac:dyDescent="0.4">
      <c r="A141" s="107" t="s">
        <v>175</v>
      </c>
      <c r="B141" s="105"/>
      <c r="C141" s="95"/>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c r="Z141" s="337"/>
      <c r="AA141" s="339"/>
      <c r="AB141" s="337"/>
      <c r="AC141" s="337"/>
      <c r="AD141" s="337"/>
      <c r="AE141" s="337"/>
      <c r="AF141" s="337"/>
      <c r="AG141" s="337"/>
      <c r="AH141" s="337"/>
      <c r="AI141" s="337"/>
      <c r="AJ141" s="337"/>
      <c r="AK141" s="337"/>
      <c r="AL141" s="337"/>
      <c r="AM141" s="337"/>
      <c r="AN141" s="337"/>
      <c r="AO141" s="337"/>
      <c r="AP141" s="337"/>
      <c r="AQ141" s="337"/>
      <c r="AR141" s="337"/>
      <c r="AS141" s="337"/>
      <c r="AT141" s="337"/>
      <c r="AU141" s="337"/>
      <c r="AV141" s="337"/>
      <c r="AW141" s="337"/>
      <c r="AX141" s="337"/>
      <c r="AY141" s="337"/>
      <c r="AZ141" s="89" t="s">
        <v>186</v>
      </c>
    </row>
    <row r="142" spans="1:52" ht="15.75" x14ac:dyDescent="0.4">
      <c r="A142" s="107" t="s">
        <v>176</v>
      </c>
      <c r="B142" s="105"/>
      <c r="C142" s="95"/>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c r="Z142" s="337"/>
      <c r="AA142" s="339"/>
      <c r="AB142" s="337"/>
      <c r="AC142" s="337"/>
      <c r="AD142" s="337"/>
      <c r="AE142" s="337"/>
      <c r="AF142" s="337"/>
      <c r="AG142" s="337"/>
      <c r="AH142" s="337"/>
      <c r="AI142" s="337"/>
      <c r="AJ142" s="337"/>
      <c r="AK142" s="337"/>
      <c r="AL142" s="337"/>
      <c r="AM142" s="337"/>
      <c r="AN142" s="337"/>
      <c r="AO142" s="337"/>
      <c r="AP142" s="337"/>
      <c r="AQ142" s="337"/>
      <c r="AR142" s="337"/>
      <c r="AS142" s="337"/>
      <c r="AT142" s="337"/>
      <c r="AU142" s="337"/>
      <c r="AV142" s="337"/>
      <c r="AW142" s="337"/>
      <c r="AX142" s="337"/>
      <c r="AY142" s="337"/>
      <c r="AZ142" s="89" t="s">
        <v>186</v>
      </c>
    </row>
    <row r="143" spans="1:52" ht="15.75" x14ac:dyDescent="0.4">
      <c r="A143" s="83" t="s">
        <v>183</v>
      </c>
      <c r="B143" s="105"/>
      <c r="C143" s="95"/>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c r="Z143" s="337"/>
      <c r="AA143" s="339"/>
      <c r="AB143" s="337"/>
      <c r="AC143" s="337"/>
      <c r="AD143" s="337"/>
      <c r="AE143" s="337"/>
      <c r="AF143" s="337"/>
      <c r="AG143" s="337"/>
      <c r="AH143" s="337"/>
      <c r="AI143" s="337"/>
      <c r="AJ143" s="337"/>
      <c r="AK143" s="337"/>
      <c r="AL143" s="337"/>
      <c r="AM143" s="337"/>
      <c r="AN143" s="337"/>
      <c r="AO143" s="337"/>
      <c r="AP143" s="337"/>
      <c r="AQ143" s="337"/>
      <c r="AR143" s="337"/>
      <c r="AS143" s="337"/>
      <c r="AT143" s="337"/>
      <c r="AU143" s="337"/>
      <c r="AV143" s="337"/>
      <c r="AW143" s="337"/>
      <c r="AX143" s="337"/>
      <c r="AY143" s="337"/>
      <c r="AZ143" s="89" t="s">
        <v>186</v>
      </c>
    </row>
    <row r="144" spans="1:52" ht="15.75" x14ac:dyDescent="0.4">
      <c r="A144" s="107" t="s">
        <v>174</v>
      </c>
      <c r="B144" s="105"/>
      <c r="C144" s="95"/>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c r="Z144" s="337"/>
      <c r="AA144" s="339"/>
      <c r="AB144" s="337"/>
      <c r="AC144" s="337"/>
      <c r="AD144" s="337"/>
      <c r="AE144" s="337"/>
      <c r="AF144" s="337"/>
      <c r="AG144" s="337"/>
      <c r="AH144" s="337"/>
      <c r="AI144" s="337"/>
      <c r="AJ144" s="337"/>
      <c r="AK144" s="337"/>
      <c r="AL144" s="337"/>
      <c r="AM144" s="337"/>
      <c r="AN144" s="337"/>
      <c r="AO144" s="337"/>
      <c r="AP144" s="337"/>
      <c r="AQ144" s="337"/>
      <c r="AR144" s="337"/>
      <c r="AS144" s="337"/>
      <c r="AT144" s="337"/>
      <c r="AU144" s="337"/>
      <c r="AV144" s="337"/>
      <c r="AW144" s="337"/>
      <c r="AX144" s="337"/>
      <c r="AY144" s="337"/>
      <c r="AZ144" s="89" t="s">
        <v>186</v>
      </c>
    </row>
    <row r="145" spans="1:52" ht="15.75" x14ac:dyDescent="0.4">
      <c r="A145" s="107" t="s">
        <v>175</v>
      </c>
      <c r="B145" s="105"/>
      <c r="C145" s="95"/>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c r="Z145" s="337"/>
      <c r="AA145" s="339"/>
      <c r="AB145" s="337"/>
      <c r="AC145" s="337"/>
      <c r="AD145" s="337"/>
      <c r="AE145" s="337"/>
      <c r="AF145" s="337"/>
      <c r="AG145" s="337"/>
      <c r="AH145" s="337"/>
      <c r="AI145" s="337"/>
      <c r="AJ145" s="337"/>
      <c r="AK145" s="337"/>
      <c r="AL145" s="337"/>
      <c r="AM145" s="337"/>
      <c r="AN145" s="337"/>
      <c r="AO145" s="337"/>
      <c r="AP145" s="337"/>
      <c r="AQ145" s="337"/>
      <c r="AR145" s="337"/>
      <c r="AS145" s="337"/>
      <c r="AT145" s="337"/>
      <c r="AU145" s="337"/>
      <c r="AV145" s="337"/>
      <c r="AW145" s="337"/>
      <c r="AX145" s="337"/>
      <c r="AY145" s="337"/>
      <c r="AZ145" s="89" t="s">
        <v>186</v>
      </c>
    </row>
    <row r="146" spans="1:52" ht="15.75" x14ac:dyDescent="0.4">
      <c r="A146" s="107" t="s">
        <v>176</v>
      </c>
      <c r="B146" s="105"/>
      <c r="C146" s="95"/>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c r="Z146" s="337"/>
      <c r="AA146" s="339"/>
      <c r="AB146" s="337"/>
      <c r="AC146" s="337"/>
      <c r="AD146" s="337"/>
      <c r="AE146" s="337"/>
      <c r="AF146" s="337"/>
      <c r="AG146" s="337"/>
      <c r="AH146" s="337"/>
      <c r="AI146" s="337"/>
      <c r="AJ146" s="337"/>
      <c r="AK146" s="337"/>
      <c r="AL146" s="337"/>
      <c r="AM146" s="337"/>
      <c r="AN146" s="337"/>
      <c r="AO146" s="337"/>
      <c r="AP146" s="337"/>
      <c r="AQ146" s="337"/>
      <c r="AR146" s="337"/>
      <c r="AS146" s="337"/>
      <c r="AT146" s="337"/>
      <c r="AU146" s="337"/>
      <c r="AV146" s="337"/>
      <c r="AW146" s="337"/>
      <c r="AX146" s="337"/>
      <c r="AY146" s="337"/>
      <c r="AZ146" s="89" t="s">
        <v>186</v>
      </c>
    </row>
    <row r="147" spans="1:52" ht="15.75" x14ac:dyDescent="0.5">
      <c r="A147" s="107" t="s">
        <v>190</v>
      </c>
      <c r="B147" s="84"/>
      <c r="C147" s="85"/>
      <c r="D147" s="85"/>
      <c r="E147" s="85"/>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97"/>
      <c r="AB147" s="222">
        <f>'Phương án 2'!$K$14*AB18</f>
        <v>19.607843137254903</v>
      </c>
      <c r="AC147" s="222">
        <f>'Phương án 2'!$K$14*AC18</f>
        <v>19.607843137254903</v>
      </c>
      <c r="AD147" s="222">
        <f>'Phương án 2'!$K$14*AD18</f>
        <v>19.607843137254903</v>
      </c>
      <c r="AE147" s="222">
        <f>'Phương án 2'!$K$14*AE18</f>
        <v>19.607843137254903</v>
      </c>
      <c r="AF147" s="222">
        <f>'Phương án 2'!$K$14*AF18</f>
        <v>19.607843137254903</v>
      </c>
      <c r="AG147" s="222">
        <f>'Phương án 2'!$K$14*AG18</f>
        <v>19.607843137254903</v>
      </c>
      <c r="AH147" s="222">
        <f>'Phương án 2'!$K$14*AH18</f>
        <v>19.607843137254903</v>
      </c>
      <c r="AI147" s="222">
        <f>'Phương án 2'!$K$14*AI18</f>
        <v>19.607843137254903</v>
      </c>
      <c r="AJ147" s="222">
        <f>'Phương án 2'!$K$14*AJ18</f>
        <v>19.607843137254903</v>
      </c>
      <c r="AK147" s="222">
        <f>'Phương án 2'!$K$14*AK18</f>
        <v>19.607843137254903</v>
      </c>
      <c r="AL147" s="222">
        <f>'Phương án 2'!$K$14*AL18</f>
        <v>19.607843137254903</v>
      </c>
      <c r="AM147" s="222">
        <f>'Phương án 2'!$K$14*AM18</f>
        <v>19.607843137254903</v>
      </c>
      <c r="AN147" s="222">
        <f>'Phương án 2'!$K$14*AN18</f>
        <v>19.607843137254903</v>
      </c>
      <c r="AO147" s="222">
        <f>'Phương án 2'!$K$14*AO18</f>
        <v>19.607843137254903</v>
      </c>
      <c r="AP147" s="222">
        <f>'Phương án 2'!$K$14*AP18</f>
        <v>19.607843137254903</v>
      </c>
      <c r="AQ147" s="222">
        <f>'Phương án 2'!$K$14*AQ18</f>
        <v>19.607843137254903</v>
      </c>
      <c r="AR147" s="222">
        <f>'Phương án 2'!$K$14*AR18</f>
        <v>19.607843137254903</v>
      </c>
      <c r="AS147" s="222">
        <f>'Phương án 2'!$K$14*AS18</f>
        <v>19.607843137254903</v>
      </c>
      <c r="AT147" s="222">
        <f>'Phương án 2'!$K$14*AT18</f>
        <v>19.607843137254903</v>
      </c>
      <c r="AU147" s="222">
        <f>'Phương án 2'!$K$14*AU18</f>
        <v>19.607843137254903</v>
      </c>
      <c r="AV147" s="222">
        <f>'Phương án 2'!$K$14*AV18</f>
        <v>19.607843137254903</v>
      </c>
      <c r="AW147" s="222">
        <f>'Phương án 2'!$K$14*AW18</f>
        <v>19.607843137254903</v>
      </c>
      <c r="AX147" s="222">
        <f>'Phương án 2'!$K$14*AX18</f>
        <v>19.607843137254903</v>
      </c>
      <c r="AY147" s="222">
        <f>'Phương án 2'!$K$14*AY18</f>
        <v>19.607843137254903</v>
      </c>
    </row>
    <row r="148" spans="1:52" ht="15.75" x14ac:dyDescent="0.4">
      <c r="A148" s="83" t="s">
        <v>276</v>
      </c>
      <c r="B148" s="105"/>
      <c r="C148" s="95"/>
      <c r="D148" s="176">
        <f>'Phương án 2'!$H$11/'Phương án 2'!$H$8*D24*D18</f>
        <v>14.4</v>
      </c>
      <c r="E148" s="176">
        <f>'Phương án 2'!$H$11/'Phương án 2'!$H$8*E24*E18</f>
        <v>14.4</v>
      </c>
      <c r="F148" s="176">
        <f>'Phương án 2'!$H$11/'Phương án 2'!$H$8*F24*F18</f>
        <v>14.4</v>
      </c>
      <c r="G148" s="176">
        <f>'Phương án 2'!$H$11/'Phương án 2'!$H$8*G24*G18</f>
        <v>14.4</v>
      </c>
      <c r="H148" s="176">
        <f>'Phương án 2'!$H$11/'Phương án 2'!$H$8*H24*H18</f>
        <v>14.4</v>
      </c>
      <c r="I148" s="176">
        <f>'Phương án 2'!$H$11/'Phương án 2'!$H$8*I24*I18</f>
        <v>14.4</v>
      </c>
      <c r="J148" s="176">
        <f>'Phương án 2'!$H$11/'Phương án 2'!$H$8*J24*J18</f>
        <v>28.8</v>
      </c>
      <c r="K148" s="176">
        <f>'Phương án 2'!$H$11/'Phương án 2'!$H$8*K24*K18</f>
        <v>28.8</v>
      </c>
      <c r="L148" s="176">
        <f>'Phương án 2'!$H$11/'Phương án 2'!$H$8*L24*L18</f>
        <v>28.8</v>
      </c>
      <c r="M148" s="176">
        <f>'Phương án 2'!$H$11/'Phương án 2'!$H$8*M24*M18</f>
        <v>28.8</v>
      </c>
      <c r="N148" s="176">
        <f>'Phương án 2'!$H$11/'Phương án 2'!$H$8*N24*N18</f>
        <v>28.8</v>
      </c>
      <c r="O148" s="176">
        <f>'Phương án 2'!$H$11/'Phương án 2'!$H$8*O24*O18</f>
        <v>28.8</v>
      </c>
      <c r="P148" s="176">
        <f>'Phương án 2'!$H$11/'Phương án 2'!$H$8*P24*P18</f>
        <v>43.2</v>
      </c>
      <c r="Q148" s="176">
        <f>'Phương án 2'!$H$11/'Phương án 2'!$H$8*Q24*Q18</f>
        <v>43.2</v>
      </c>
      <c r="R148" s="176">
        <f>'Phương án 2'!$H$11/'Phương án 2'!$H$8*R24*R18</f>
        <v>43.2</v>
      </c>
      <c r="S148" s="176">
        <f>'Phương án 2'!$H$11/'Phương án 2'!$H$8*S24*S18</f>
        <v>43.2</v>
      </c>
      <c r="T148" s="176">
        <f>'Phương án 2'!$H$11/'Phương án 2'!$H$8*T24*T18</f>
        <v>43.2</v>
      </c>
      <c r="U148" s="176">
        <f>'Phương án 2'!$H$11/'Phương án 2'!$H$8*U24*U18</f>
        <v>43.2</v>
      </c>
      <c r="V148" s="176">
        <f>'Phương án 2'!$H$11/'Phương án 2'!$H$8*V24*V18</f>
        <v>57.6</v>
      </c>
      <c r="W148" s="176">
        <f>'Phương án 2'!$H$11/'Phương án 2'!$H$8*W24*W18</f>
        <v>57.6</v>
      </c>
      <c r="X148" s="176">
        <f>'Phương án 2'!$H$11/'Phương án 2'!$H$8*X24*X18</f>
        <v>57.6</v>
      </c>
      <c r="Y148" s="176">
        <f>'Phương án 2'!$H$11/'Phương án 2'!$H$8*Y24*Y18</f>
        <v>57.6</v>
      </c>
      <c r="Z148" s="176">
        <f>'Phương án 2'!$H$11/'Phương án 2'!$H$8*Z24*Z18</f>
        <v>57.6</v>
      </c>
      <c r="AA148" s="289">
        <f>'Phương án 2'!$H$11/'Phương án 2'!$H$8*AA24*AA18</f>
        <v>57.6</v>
      </c>
      <c r="AB148" s="176">
        <f>'Phương án 2'!$H$11/'Phương án 2'!$H$8*AB24*AB18</f>
        <v>57.6</v>
      </c>
      <c r="AC148" s="176">
        <f>'Phương án 2'!$H$11/'Phương án 2'!$H$8*AC24*AC18</f>
        <v>57.6</v>
      </c>
      <c r="AD148" s="176">
        <f>'Phương án 2'!$H$11/'Phương án 2'!$H$8*AD24*AD18</f>
        <v>57.6</v>
      </c>
      <c r="AE148" s="176">
        <f>'Phương án 2'!$H$11/'Phương án 2'!$H$8*AE24*AE18</f>
        <v>57.6</v>
      </c>
      <c r="AF148" s="176">
        <f>'Phương án 2'!$H$11/'Phương án 2'!$H$8*AF24*AF18</f>
        <v>57.6</v>
      </c>
      <c r="AG148" s="176">
        <f>'Phương án 2'!$H$11/'Phương án 2'!$H$8*AG24*AG18</f>
        <v>57.6</v>
      </c>
      <c r="AH148" s="176">
        <f>'Phương án 2'!$H$11/'Phương án 2'!$H$8*AH24*AH18</f>
        <v>57.6</v>
      </c>
      <c r="AI148" s="176">
        <f>'Phương án 2'!$H$11/'Phương án 2'!$H$8*AI24*AI18</f>
        <v>57.6</v>
      </c>
      <c r="AJ148" s="176">
        <f>'Phương án 2'!$H$11/'Phương án 2'!$H$8*AJ24*AJ18</f>
        <v>57.6</v>
      </c>
      <c r="AK148" s="176">
        <f>'Phương án 2'!$H$11/'Phương án 2'!$H$8*AK24*AK18</f>
        <v>57.6</v>
      </c>
      <c r="AL148" s="176">
        <f>'Phương án 2'!$H$11/'Phương án 2'!$H$8*AL24*AL18</f>
        <v>57.6</v>
      </c>
      <c r="AM148" s="176">
        <f>'Phương án 2'!$H$11/'Phương án 2'!$H$8*AM24*AM18</f>
        <v>57.6</v>
      </c>
      <c r="AN148" s="176">
        <f>'Phương án 2'!$H$11/'Phương án 2'!$H$8*AN24*AN18</f>
        <v>57.6</v>
      </c>
      <c r="AO148" s="176">
        <f>'Phương án 2'!$H$11/'Phương án 2'!$H$8*AO24*AO18</f>
        <v>57.6</v>
      </c>
      <c r="AP148" s="176">
        <f>'Phương án 2'!$H$11/'Phương án 2'!$H$8*AP24*AP18</f>
        <v>57.6</v>
      </c>
      <c r="AQ148" s="176">
        <f>'Phương án 2'!$H$11/'Phương án 2'!$H$8*AQ24*AQ18</f>
        <v>57.6</v>
      </c>
      <c r="AR148" s="176">
        <f>'Phương án 2'!$H$11/'Phương án 2'!$H$8*AR24*AR18</f>
        <v>57.6</v>
      </c>
      <c r="AS148" s="176">
        <f>'Phương án 2'!$H$11/'Phương án 2'!$H$8*AS24*AS18</f>
        <v>57.6</v>
      </c>
      <c r="AT148" s="176">
        <f>'Phương án 2'!$H$11/'Phương án 2'!$H$8*AT24*AT18</f>
        <v>57.6</v>
      </c>
      <c r="AU148" s="176">
        <f>'Phương án 2'!$H$11/'Phương án 2'!$H$8*AU24*AU18</f>
        <v>57.6</v>
      </c>
      <c r="AV148" s="176">
        <f>'Phương án 2'!$H$11/'Phương án 2'!$H$8*AV24*AV18</f>
        <v>57.6</v>
      </c>
      <c r="AW148" s="176">
        <f>'Phương án 2'!$H$11/'Phương án 2'!$H$8*AW24*AW18</f>
        <v>57.6</v>
      </c>
      <c r="AX148" s="176">
        <f>'Phương án 2'!$H$11/'Phương án 2'!$H$8*AX24*AX18</f>
        <v>57.6</v>
      </c>
      <c r="AY148" s="176">
        <f>'Phương án 2'!$H$11/'Phương án 2'!$H$8*AY24*AY18</f>
        <v>57.6</v>
      </c>
      <c r="AZ148" s="89" t="s">
        <v>186</v>
      </c>
    </row>
    <row r="149" spans="1:52" ht="15.75" x14ac:dyDescent="0.4">
      <c r="A149" s="97" t="s">
        <v>279</v>
      </c>
      <c r="B149" s="247">
        <f>SUM(B138,B139,B143,B147,B148)</f>
        <v>0</v>
      </c>
      <c r="C149" s="247">
        <f t="shared" ref="C149:AY149" si="52">SUM(C138,C139,C143,C147,C148)</f>
        <v>0</v>
      </c>
      <c r="D149" s="247">
        <f t="shared" si="52"/>
        <v>14.4</v>
      </c>
      <c r="E149" s="247">
        <f t="shared" si="52"/>
        <v>14.4</v>
      </c>
      <c r="F149" s="247">
        <f t="shared" si="52"/>
        <v>14.4</v>
      </c>
      <c r="G149" s="247">
        <f t="shared" si="52"/>
        <v>14.4</v>
      </c>
      <c r="H149" s="247">
        <f t="shared" si="52"/>
        <v>186.94901960784313</v>
      </c>
      <c r="I149" s="247">
        <f t="shared" si="52"/>
        <v>186.94901960784313</v>
      </c>
      <c r="J149" s="247">
        <f t="shared" si="52"/>
        <v>28.8</v>
      </c>
      <c r="K149" s="247">
        <f t="shared" si="52"/>
        <v>28.8</v>
      </c>
      <c r="L149" s="247">
        <f t="shared" si="52"/>
        <v>28.8</v>
      </c>
      <c r="M149" s="247">
        <f t="shared" si="52"/>
        <v>28.8</v>
      </c>
      <c r="N149" s="247">
        <f t="shared" si="52"/>
        <v>528.79999999999995</v>
      </c>
      <c r="O149" s="247">
        <f t="shared" si="52"/>
        <v>523.89803921568625</v>
      </c>
      <c r="P149" s="247">
        <f t="shared" si="52"/>
        <v>43.2</v>
      </c>
      <c r="Q149" s="247">
        <f t="shared" si="52"/>
        <v>43.2</v>
      </c>
      <c r="R149" s="247">
        <f t="shared" si="52"/>
        <v>43.2</v>
      </c>
      <c r="S149" s="247">
        <f t="shared" si="52"/>
        <v>43.2</v>
      </c>
      <c r="T149" s="247">
        <f t="shared" si="52"/>
        <v>215.74901960784314</v>
      </c>
      <c r="U149" s="247">
        <f t="shared" si="52"/>
        <v>215.74901960784314</v>
      </c>
      <c r="V149" s="247">
        <f t="shared" si="52"/>
        <v>57.6</v>
      </c>
      <c r="W149" s="247">
        <f t="shared" si="52"/>
        <v>57.6</v>
      </c>
      <c r="X149" s="247">
        <f t="shared" si="52"/>
        <v>57.6</v>
      </c>
      <c r="Y149" s="247">
        <f t="shared" si="52"/>
        <v>57.6</v>
      </c>
      <c r="Z149" s="247">
        <f t="shared" si="52"/>
        <v>57.6</v>
      </c>
      <c r="AA149" s="291">
        <f t="shared" si="52"/>
        <v>57.6</v>
      </c>
      <c r="AB149" s="247">
        <f t="shared" si="52"/>
        <v>77.207843137254912</v>
      </c>
      <c r="AC149" s="247">
        <f t="shared" si="52"/>
        <v>77.207843137254912</v>
      </c>
      <c r="AD149" s="247">
        <f t="shared" si="52"/>
        <v>77.207843137254912</v>
      </c>
      <c r="AE149" s="247">
        <f t="shared" si="52"/>
        <v>77.207843137254912</v>
      </c>
      <c r="AF149" s="247">
        <f t="shared" si="52"/>
        <v>77.207843137254912</v>
      </c>
      <c r="AG149" s="247">
        <f t="shared" si="52"/>
        <v>77.207843137254912</v>
      </c>
      <c r="AH149" s="247">
        <f t="shared" si="52"/>
        <v>77.207843137254912</v>
      </c>
      <c r="AI149" s="247">
        <f t="shared" si="52"/>
        <v>77.207843137254912</v>
      </c>
      <c r="AJ149" s="247">
        <f t="shared" si="52"/>
        <v>77.207843137254912</v>
      </c>
      <c r="AK149" s="247">
        <f t="shared" si="52"/>
        <v>77.207843137254912</v>
      </c>
      <c r="AL149" s="247">
        <f t="shared" si="52"/>
        <v>77.207843137254912</v>
      </c>
      <c r="AM149" s="247">
        <f t="shared" si="52"/>
        <v>77.207843137254912</v>
      </c>
      <c r="AN149" s="247">
        <f t="shared" si="52"/>
        <v>77.207843137254912</v>
      </c>
      <c r="AO149" s="247">
        <f t="shared" si="52"/>
        <v>77.207843137254912</v>
      </c>
      <c r="AP149" s="247">
        <f t="shared" si="52"/>
        <v>77.207843137254912</v>
      </c>
      <c r="AQ149" s="247">
        <f t="shared" si="52"/>
        <v>77.207843137254912</v>
      </c>
      <c r="AR149" s="247">
        <f t="shared" si="52"/>
        <v>77.207843137254912</v>
      </c>
      <c r="AS149" s="247">
        <f t="shared" si="52"/>
        <v>77.207843137254912</v>
      </c>
      <c r="AT149" s="247">
        <f t="shared" si="52"/>
        <v>77.207843137254912</v>
      </c>
      <c r="AU149" s="247">
        <f t="shared" si="52"/>
        <v>77.207843137254912</v>
      </c>
      <c r="AV149" s="247">
        <f t="shared" si="52"/>
        <v>77.207843137254912</v>
      </c>
      <c r="AW149" s="247">
        <f t="shared" si="52"/>
        <v>77.207843137254912</v>
      </c>
      <c r="AX149" s="247">
        <f t="shared" si="52"/>
        <v>77.207843137254912</v>
      </c>
      <c r="AY149" s="247">
        <f t="shared" si="52"/>
        <v>77.207843137254912</v>
      </c>
      <c r="AZ149" s="246" t="s">
        <v>186</v>
      </c>
    </row>
    <row r="150" spans="1:52" ht="15.75" x14ac:dyDescent="0.4">
      <c r="A150"/>
      <c r="B150" s="85"/>
      <c r="C150" s="95"/>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289"/>
      <c r="AB150" s="176"/>
      <c r="AC150" s="176"/>
      <c r="AD150" s="176"/>
      <c r="AE150" s="176"/>
      <c r="AF150" s="176"/>
      <c r="AG150" s="176"/>
      <c r="AH150" s="176"/>
      <c r="AI150" s="176"/>
      <c r="AJ150" s="176"/>
      <c r="AK150" s="176"/>
      <c r="AL150" s="176"/>
      <c r="AM150" s="176"/>
      <c r="AN150" s="176"/>
      <c r="AO150" s="176"/>
      <c r="AP150" s="176"/>
      <c r="AQ150" s="176"/>
      <c r="AR150" s="176"/>
      <c r="AS150" s="176"/>
      <c r="AT150" s="176"/>
      <c r="AU150" s="176"/>
      <c r="AV150" s="176"/>
      <c r="AW150" s="176"/>
      <c r="AX150" s="176"/>
      <c r="AY150" s="176"/>
      <c r="AZ150" s="89" t="s">
        <v>186</v>
      </c>
    </row>
    <row r="151" spans="1:52" ht="15.75" x14ac:dyDescent="0.5">
      <c r="A151" s="120" t="s">
        <v>277</v>
      </c>
      <c r="B151" s="121">
        <f>'Phương án 2'!H7</f>
        <v>0.06</v>
      </c>
      <c r="C151" s="179"/>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289"/>
      <c r="AB151" s="176"/>
      <c r="AC151" s="176"/>
      <c r="AD151" s="176"/>
      <c r="AE151" s="176"/>
      <c r="AF151" s="176"/>
      <c r="AG151" s="176"/>
      <c r="AH151" s="176"/>
      <c r="AI151" s="176"/>
      <c r="AJ151" s="176"/>
      <c r="AK151" s="176"/>
      <c r="AL151" s="176"/>
      <c r="AM151" s="176"/>
      <c r="AN151" s="176"/>
      <c r="AO151" s="176"/>
      <c r="AP151" s="176"/>
      <c r="AQ151" s="176"/>
      <c r="AR151" s="176"/>
      <c r="AS151" s="176"/>
      <c r="AT151" s="176"/>
      <c r="AU151" s="176"/>
      <c r="AV151" s="176"/>
      <c r="AW151" s="176"/>
      <c r="AX151" s="176"/>
      <c r="AY151" s="176"/>
      <c r="AZ151" s="89" t="s">
        <v>186</v>
      </c>
    </row>
    <row r="152" spans="1:52" ht="15.75" x14ac:dyDescent="0.4">
      <c r="A152" s="266" t="s">
        <v>314</v>
      </c>
      <c r="B152" s="267">
        <f>NPV(B151,C149:AA149)+B149</f>
        <v>1188.6769432599492</v>
      </c>
      <c r="C152" s="115"/>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289"/>
      <c r="AB152" s="176"/>
      <c r="AC152" s="176"/>
      <c r="AD152" s="176"/>
      <c r="AE152" s="176"/>
      <c r="AF152" s="176"/>
      <c r="AG152" s="176"/>
      <c r="AH152" s="176"/>
      <c r="AI152" s="176"/>
      <c r="AJ152" s="176"/>
      <c r="AK152" s="176"/>
      <c r="AL152" s="176"/>
      <c r="AM152" s="176"/>
      <c r="AN152" s="176"/>
      <c r="AO152" s="176"/>
      <c r="AP152" s="176"/>
      <c r="AQ152" s="176"/>
      <c r="AR152" s="176"/>
      <c r="AS152" s="176"/>
      <c r="AT152" s="176"/>
      <c r="AU152" s="176"/>
      <c r="AV152" s="176"/>
      <c r="AW152" s="176"/>
      <c r="AX152" s="176"/>
      <c r="AY152" s="176"/>
      <c r="AZ152" s="89" t="s">
        <v>186</v>
      </c>
    </row>
    <row r="153" spans="1:52" ht="15.75" x14ac:dyDescent="0.4">
      <c r="A153" s="266" t="s">
        <v>239</v>
      </c>
      <c r="B153" s="267">
        <f>B152/SUM(B24:AA24)*'Phương án 2'!H8</f>
        <v>550.31339965738391</v>
      </c>
      <c r="C153" s="115"/>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289"/>
      <c r="AB153" s="176"/>
      <c r="AC153" s="176"/>
      <c r="AD153" s="176"/>
      <c r="AE153" s="176"/>
      <c r="AF153" s="176"/>
      <c r="AG153" s="176"/>
      <c r="AH153" s="176"/>
      <c r="AI153" s="176"/>
      <c r="AJ153" s="176"/>
      <c r="AK153" s="176"/>
      <c r="AL153" s="176"/>
      <c r="AM153" s="176"/>
      <c r="AN153" s="176"/>
      <c r="AO153" s="176"/>
      <c r="AP153" s="176"/>
      <c r="AQ153" s="176"/>
      <c r="AR153" s="176"/>
      <c r="AS153" s="176"/>
      <c r="AT153" s="176"/>
      <c r="AU153" s="176"/>
      <c r="AV153" s="176"/>
      <c r="AW153" s="176"/>
      <c r="AX153" s="176"/>
      <c r="AY153" s="176"/>
    </row>
    <row r="154" spans="1:52" s="127" customFormat="1" ht="15.75" x14ac:dyDescent="0.4">
      <c r="A154" s="122" t="s">
        <v>315</v>
      </c>
      <c r="B154" s="123">
        <f>NPV(B151,AC149:AY149)+AB149</f>
        <v>1027.1251974393144</v>
      </c>
      <c r="C154"/>
      <c r="D154"/>
      <c r="E154"/>
      <c r="H154"/>
      <c r="I154"/>
      <c r="J154"/>
      <c r="K154"/>
      <c r="L154"/>
      <c r="M154"/>
      <c r="N154"/>
      <c r="O154"/>
      <c r="P154"/>
      <c r="Q154"/>
      <c r="R154"/>
      <c r="S154"/>
      <c r="AA154" s="282"/>
      <c r="AB154" s="307"/>
      <c r="AZ154" s="89" t="s">
        <v>186</v>
      </c>
    </row>
    <row r="155" spans="1:52" ht="15.75" x14ac:dyDescent="0.5">
      <c r="A155"/>
      <c r="B155" s="84"/>
      <c r="C155" s="85"/>
      <c r="D155" s="85"/>
      <c r="E155" s="85"/>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97"/>
      <c r="AB155" s="222"/>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c r="AW155" s="222"/>
      <c r="AX155" s="222"/>
      <c r="AY155" s="222"/>
      <c r="AZ155" s="89" t="s">
        <v>186</v>
      </c>
    </row>
    <row r="156" spans="1:52" ht="15.75" x14ac:dyDescent="0.5">
      <c r="A156"/>
      <c r="B156" s="84"/>
      <c r="C156" s="85"/>
      <c r="D156" s="85"/>
      <c r="E156" s="85"/>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97"/>
      <c r="AB156" s="222"/>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c r="AW156" s="222"/>
      <c r="AX156" s="222"/>
      <c r="AY156" s="222"/>
    </row>
    <row r="157" spans="1:52" ht="15.75" x14ac:dyDescent="0.4">
      <c r="A157" s="321" t="s">
        <v>282</v>
      </c>
      <c r="B157" s="321"/>
      <c r="C157" s="321"/>
      <c r="D157" s="111"/>
      <c r="E157" s="111"/>
      <c r="F157" s="84"/>
      <c r="G157" s="84"/>
      <c r="H157" s="84"/>
      <c r="I157" s="84"/>
      <c r="J157" s="84"/>
      <c r="K157" s="84"/>
      <c r="L157" s="84"/>
      <c r="AZ157" s="89" t="s">
        <v>186</v>
      </c>
    </row>
    <row r="158" spans="1:52" ht="15.75" x14ac:dyDescent="0.4">
      <c r="A158" s="92"/>
      <c r="B158" s="92"/>
      <c r="C158" s="92"/>
      <c r="D158" s="92"/>
      <c r="E158" s="92"/>
      <c r="F158" s="84"/>
      <c r="G158" s="84"/>
      <c r="H158" s="84"/>
      <c r="I158" s="84"/>
      <c r="J158" s="84"/>
      <c r="K158" s="84"/>
      <c r="L158" s="84"/>
      <c r="AY158" s="131" t="s">
        <v>28</v>
      </c>
      <c r="AZ158" s="89" t="s">
        <v>186</v>
      </c>
    </row>
    <row r="159" spans="1:52" ht="15.75" x14ac:dyDescent="0.4">
      <c r="A159" s="93" t="s">
        <v>2</v>
      </c>
      <c r="B159" s="112">
        <f t="shared" ref="B159:AG159" si="53">B91</f>
        <v>0</v>
      </c>
      <c r="C159" s="112">
        <f t="shared" si="53"/>
        <v>1</v>
      </c>
      <c r="D159" s="112">
        <f t="shared" si="53"/>
        <v>2</v>
      </c>
      <c r="E159" s="112">
        <f t="shared" si="53"/>
        <v>3</v>
      </c>
      <c r="F159" s="112">
        <f t="shared" si="53"/>
        <v>4</v>
      </c>
      <c r="G159" s="112">
        <f t="shared" si="53"/>
        <v>5</v>
      </c>
      <c r="H159" s="112">
        <f t="shared" si="53"/>
        <v>6</v>
      </c>
      <c r="I159" s="112">
        <f t="shared" si="53"/>
        <v>7</v>
      </c>
      <c r="J159" s="112">
        <f t="shared" si="53"/>
        <v>8</v>
      </c>
      <c r="K159" s="112">
        <f t="shared" si="53"/>
        <v>9</v>
      </c>
      <c r="L159" s="112">
        <f t="shared" si="53"/>
        <v>10</v>
      </c>
      <c r="M159" s="112">
        <f t="shared" si="53"/>
        <v>11</v>
      </c>
      <c r="N159" s="112">
        <f t="shared" si="53"/>
        <v>12</v>
      </c>
      <c r="O159" s="112">
        <f t="shared" si="53"/>
        <v>13</v>
      </c>
      <c r="P159" s="112">
        <f t="shared" si="53"/>
        <v>14</v>
      </c>
      <c r="Q159" s="112">
        <f t="shared" si="53"/>
        <v>15</v>
      </c>
      <c r="R159" s="112">
        <f t="shared" si="53"/>
        <v>16</v>
      </c>
      <c r="S159" s="112">
        <f t="shared" si="53"/>
        <v>17</v>
      </c>
      <c r="T159" s="112">
        <f t="shared" si="53"/>
        <v>18</v>
      </c>
      <c r="U159" s="112">
        <f t="shared" si="53"/>
        <v>19</v>
      </c>
      <c r="V159" s="112">
        <f t="shared" si="53"/>
        <v>20</v>
      </c>
      <c r="W159" s="112">
        <f t="shared" si="53"/>
        <v>21</v>
      </c>
      <c r="X159" s="112">
        <f t="shared" si="53"/>
        <v>22</v>
      </c>
      <c r="Y159" s="112">
        <f t="shared" si="53"/>
        <v>23</v>
      </c>
      <c r="Z159" s="112">
        <f t="shared" si="53"/>
        <v>24</v>
      </c>
      <c r="AA159" s="296">
        <f t="shared" si="53"/>
        <v>25</v>
      </c>
      <c r="AB159" s="112">
        <f t="shared" si="53"/>
        <v>26</v>
      </c>
      <c r="AC159" s="112">
        <f t="shared" si="53"/>
        <v>27</v>
      </c>
      <c r="AD159" s="112">
        <f t="shared" si="53"/>
        <v>28</v>
      </c>
      <c r="AE159" s="112">
        <f t="shared" si="53"/>
        <v>29</v>
      </c>
      <c r="AF159" s="112">
        <f t="shared" si="53"/>
        <v>30</v>
      </c>
      <c r="AG159" s="112">
        <f t="shared" si="53"/>
        <v>31</v>
      </c>
      <c r="AH159" s="112">
        <f t="shared" ref="AH159:AY159" si="54">AH91</f>
        <v>32</v>
      </c>
      <c r="AI159" s="112">
        <f t="shared" si="54"/>
        <v>33</v>
      </c>
      <c r="AJ159" s="112">
        <f t="shared" si="54"/>
        <v>34</v>
      </c>
      <c r="AK159" s="112">
        <f t="shared" si="54"/>
        <v>35</v>
      </c>
      <c r="AL159" s="112">
        <f t="shared" si="54"/>
        <v>36</v>
      </c>
      <c r="AM159" s="112">
        <f t="shared" si="54"/>
        <v>37</v>
      </c>
      <c r="AN159" s="112">
        <f t="shared" si="54"/>
        <v>38</v>
      </c>
      <c r="AO159" s="112">
        <f t="shared" si="54"/>
        <v>39</v>
      </c>
      <c r="AP159" s="112">
        <f t="shared" si="54"/>
        <v>40</v>
      </c>
      <c r="AQ159" s="112">
        <f t="shared" si="54"/>
        <v>41</v>
      </c>
      <c r="AR159" s="112">
        <f t="shared" si="54"/>
        <v>42</v>
      </c>
      <c r="AS159" s="112">
        <f t="shared" si="54"/>
        <v>43</v>
      </c>
      <c r="AT159" s="112">
        <f t="shared" si="54"/>
        <v>44</v>
      </c>
      <c r="AU159" s="112">
        <f t="shared" si="54"/>
        <v>45</v>
      </c>
      <c r="AV159" s="112">
        <f t="shared" si="54"/>
        <v>46</v>
      </c>
      <c r="AW159" s="112">
        <f t="shared" si="54"/>
        <v>47</v>
      </c>
      <c r="AX159" s="112">
        <f t="shared" si="54"/>
        <v>48</v>
      </c>
      <c r="AY159" s="112">
        <f t="shared" si="54"/>
        <v>49</v>
      </c>
      <c r="AZ159" s="89" t="s">
        <v>186</v>
      </c>
    </row>
    <row r="160" spans="1:52" ht="15.75" x14ac:dyDescent="0.4">
      <c r="A160" s="116" t="s">
        <v>283</v>
      </c>
      <c r="B160" s="84"/>
      <c r="C160" s="84"/>
      <c r="D160" s="84"/>
      <c r="E160" s="84"/>
      <c r="F160" s="84"/>
      <c r="G160" s="84"/>
      <c r="H160" s="84"/>
      <c r="I160" s="84"/>
      <c r="J160" s="84"/>
      <c r="K160" s="84"/>
      <c r="L160" s="84"/>
      <c r="AZ160" s="89" t="s">
        <v>186</v>
      </c>
    </row>
    <row r="161" spans="1:52" ht="15.75" x14ac:dyDescent="0.4">
      <c r="A161" s="83"/>
      <c r="B161" s="176"/>
      <c r="C161" s="176"/>
      <c r="D161" s="176"/>
      <c r="E161" s="176"/>
      <c r="F161" s="176"/>
      <c r="G161" s="176"/>
      <c r="H161" s="176"/>
      <c r="I161" s="176"/>
      <c r="J161" s="176"/>
      <c r="K161" s="176"/>
      <c r="L161" s="176"/>
      <c r="M161" s="246"/>
      <c r="N161" s="246"/>
      <c r="O161" s="246"/>
      <c r="P161" s="246"/>
      <c r="Q161" s="246"/>
      <c r="R161" s="246"/>
      <c r="S161" s="246"/>
      <c r="T161" s="246"/>
      <c r="U161" s="246"/>
      <c r="V161" s="246"/>
      <c r="W161" s="246"/>
      <c r="X161" s="246"/>
      <c r="Y161" s="246"/>
      <c r="Z161" s="246"/>
      <c r="AA161" s="290"/>
      <c r="AB161" s="246"/>
      <c r="AC161" s="246"/>
      <c r="AD161" s="246"/>
      <c r="AE161" s="246"/>
      <c r="AF161" s="246"/>
      <c r="AG161" s="246"/>
      <c r="AH161" s="246"/>
      <c r="AI161" s="246"/>
      <c r="AJ161" s="246"/>
      <c r="AK161" s="246"/>
      <c r="AL161" s="246"/>
      <c r="AM161" s="246"/>
      <c r="AN161" s="246"/>
      <c r="AO161" s="246"/>
      <c r="AP161" s="246"/>
      <c r="AQ161" s="246"/>
      <c r="AR161" s="246"/>
      <c r="AS161" s="246"/>
      <c r="AT161" s="246"/>
      <c r="AU161" s="246"/>
      <c r="AV161" s="246"/>
      <c r="AW161" s="246"/>
      <c r="AX161" s="246"/>
      <c r="AY161" s="246"/>
      <c r="AZ161" s="246" t="s">
        <v>186</v>
      </c>
    </row>
    <row r="162" spans="1:52" ht="15.75" x14ac:dyDescent="0.4">
      <c r="A162" s="107" t="s">
        <v>284</v>
      </c>
      <c r="B162" s="176">
        <f t="shared" ref="B162:AG162" si="55">B149</f>
        <v>0</v>
      </c>
      <c r="C162" s="176">
        <f t="shared" si="55"/>
        <v>0</v>
      </c>
      <c r="D162" s="176">
        <f t="shared" si="55"/>
        <v>14.4</v>
      </c>
      <c r="E162" s="176">
        <f t="shared" si="55"/>
        <v>14.4</v>
      </c>
      <c r="F162" s="176">
        <f t="shared" si="55"/>
        <v>14.4</v>
      </c>
      <c r="G162" s="176">
        <f t="shared" si="55"/>
        <v>14.4</v>
      </c>
      <c r="H162" s="176">
        <f t="shared" si="55"/>
        <v>186.94901960784313</v>
      </c>
      <c r="I162" s="176">
        <f t="shared" si="55"/>
        <v>186.94901960784313</v>
      </c>
      <c r="J162" s="176">
        <f t="shared" si="55"/>
        <v>28.8</v>
      </c>
      <c r="K162" s="176">
        <f t="shared" si="55"/>
        <v>28.8</v>
      </c>
      <c r="L162" s="176">
        <f t="shared" si="55"/>
        <v>28.8</v>
      </c>
      <c r="M162" s="176">
        <f t="shared" si="55"/>
        <v>28.8</v>
      </c>
      <c r="N162" s="176">
        <f t="shared" si="55"/>
        <v>528.79999999999995</v>
      </c>
      <c r="O162" s="176">
        <f t="shared" si="55"/>
        <v>523.89803921568625</v>
      </c>
      <c r="P162" s="176">
        <f t="shared" si="55"/>
        <v>43.2</v>
      </c>
      <c r="Q162" s="176">
        <f t="shared" si="55"/>
        <v>43.2</v>
      </c>
      <c r="R162" s="176">
        <f t="shared" si="55"/>
        <v>43.2</v>
      </c>
      <c r="S162" s="176">
        <f t="shared" si="55"/>
        <v>43.2</v>
      </c>
      <c r="T162" s="176">
        <f t="shared" si="55"/>
        <v>215.74901960784314</v>
      </c>
      <c r="U162" s="176">
        <f t="shared" si="55"/>
        <v>215.74901960784314</v>
      </c>
      <c r="V162" s="176">
        <f t="shared" si="55"/>
        <v>57.6</v>
      </c>
      <c r="W162" s="176">
        <f t="shared" si="55"/>
        <v>57.6</v>
      </c>
      <c r="X162" s="176">
        <f t="shared" si="55"/>
        <v>57.6</v>
      </c>
      <c r="Y162" s="176">
        <f t="shared" si="55"/>
        <v>57.6</v>
      </c>
      <c r="Z162" s="176">
        <f t="shared" si="55"/>
        <v>57.6</v>
      </c>
      <c r="AA162" s="289">
        <f t="shared" si="55"/>
        <v>57.6</v>
      </c>
      <c r="AB162" s="176">
        <f t="shared" si="55"/>
        <v>77.207843137254912</v>
      </c>
      <c r="AC162" s="176">
        <f t="shared" si="55"/>
        <v>77.207843137254912</v>
      </c>
      <c r="AD162" s="176">
        <f t="shared" si="55"/>
        <v>77.207843137254912</v>
      </c>
      <c r="AE162" s="176">
        <f t="shared" si="55"/>
        <v>77.207843137254912</v>
      </c>
      <c r="AF162" s="176">
        <f t="shared" si="55"/>
        <v>77.207843137254912</v>
      </c>
      <c r="AG162" s="176">
        <f t="shared" si="55"/>
        <v>77.207843137254912</v>
      </c>
      <c r="AH162" s="176">
        <f t="shared" ref="AH162:AY162" si="56">AH149</f>
        <v>77.207843137254912</v>
      </c>
      <c r="AI162" s="176">
        <f t="shared" si="56"/>
        <v>77.207843137254912</v>
      </c>
      <c r="AJ162" s="176">
        <f t="shared" si="56"/>
        <v>77.207843137254912</v>
      </c>
      <c r="AK162" s="176">
        <f t="shared" si="56"/>
        <v>77.207843137254912</v>
      </c>
      <c r="AL162" s="176">
        <f t="shared" si="56"/>
        <v>77.207843137254912</v>
      </c>
      <c r="AM162" s="176">
        <f t="shared" si="56"/>
        <v>77.207843137254912</v>
      </c>
      <c r="AN162" s="176">
        <f t="shared" si="56"/>
        <v>77.207843137254912</v>
      </c>
      <c r="AO162" s="176">
        <f t="shared" si="56"/>
        <v>77.207843137254912</v>
      </c>
      <c r="AP162" s="176">
        <f t="shared" si="56"/>
        <v>77.207843137254912</v>
      </c>
      <c r="AQ162" s="176">
        <f t="shared" si="56"/>
        <v>77.207843137254912</v>
      </c>
      <c r="AR162" s="176">
        <f t="shared" si="56"/>
        <v>77.207843137254912</v>
      </c>
      <c r="AS162" s="176">
        <f t="shared" si="56"/>
        <v>77.207843137254912</v>
      </c>
      <c r="AT162" s="176">
        <f t="shared" si="56"/>
        <v>77.207843137254912</v>
      </c>
      <c r="AU162" s="176">
        <f t="shared" si="56"/>
        <v>77.207843137254912</v>
      </c>
      <c r="AV162" s="176">
        <f t="shared" si="56"/>
        <v>77.207843137254912</v>
      </c>
      <c r="AW162" s="176">
        <f t="shared" si="56"/>
        <v>77.207843137254912</v>
      </c>
      <c r="AX162" s="176">
        <f t="shared" si="56"/>
        <v>77.207843137254912</v>
      </c>
      <c r="AY162" s="176">
        <f t="shared" si="56"/>
        <v>77.207843137254912</v>
      </c>
      <c r="AZ162" s="246" t="s">
        <v>186</v>
      </c>
    </row>
    <row r="163" spans="1:52" ht="15.75" customHeight="1" x14ac:dyDescent="0.4">
      <c r="A163" s="84" t="s">
        <v>285</v>
      </c>
      <c r="B163" s="225"/>
      <c r="C163" s="225"/>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289"/>
      <c r="AB163" s="176"/>
      <c r="AC163" s="176"/>
      <c r="AD163" s="176"/>
      <c r="AE163" s="176"/>
      <c r="AF163" s="176"/>
      <c r="AG163" s="176"/>
      <c r="AH163" s="176"/>
      <c r="AI163" s="176"/>
      <c r="AJ163" s="176"/>
      <c r="AK163" s="176"/>
      <c r="AL163" s="176"/>
      <c r="AM163" s="176"/>
      <c r="AN163" s="176"/>
      <c r="AO163" s="176"/>
      <c r="AP163" s="176"/>
      <c r="AQ163" s="176"/>
      <c r="AR163" s="176"/>
      <c r="AS163" s="176"/>
      <c r="AT163" s="176"/>
      <c r="AU163" s="176"/>
      <c r="AV163" s="176"/>
      <c r="AW163" s="176"/>
      <c r="AX163" s="176"/>
      <c r="AY163" s="176"/>
      <c r="AZ163" s="246" t="s">
        <v>186</v>
      </c>
    </row>
    <row r="164" spans="1:52" ht="15.75" x14ac:dyDescent="0.4">
      <c r="A164" s="272" t="s">
        <v>286</v>
      </c>
      <c r="B164" s="300">
        <f>B162+B163</f>
        <v>0</v>
      </c>
      <c r="C164" s="300">
        <f t="shared" ref="C164:AY164" si="57">C162+C163</f>
        <v>0</v>
      </c>
      <c r="D164" s="300">
        <f t="shared" si="57"/>
        <v>14.4</v>
      </c>
      <c r="E164" s="300">
        <f t="shared" si="57"/>
        <v>14.4</v>
      </c>
      <c r="F164" s="300">
        <f t="shared" si="57"/>
        <v>14.4</v>
      </c>
      <c r="G164" s="300">
        <f t="shared" si="57"/>
        <v>14.4</v>
      </c>
      <c r="H164" s="300">
        <f t="shared" si="57"/>
        <v>186.94901960784313</v>
      </c>
      <c r="I164" s="300">
        <f t="shared" si="57"/>
        <v>186.94901960784313</v>
      </c>
      <c r="J164" s="300">
        <f t="shared" si="57"/>
        <v>28.8</v>
      </c>
      <c r="K164" s="300">
        <f t="shared" si="57"/>
        <v>28.8</v>
      </c>
      <c r="L164" s="300">
        <f t="shared" si="57"/>
        <v>28.8</v>
      </c>
      <c r="M164" s="300">
        <f t="shared" si="57"/>
        <v>28.8</v>
      </c>
      <c r="N164" s="300">
        <f t="shared" si="57"/>
        <v>528.79999999999995</v>
      </c>
      <c r="O164" s="300">
        <f t="shared" si="57"/>
        <v>523.89803921568625</v>
      </c>
      <c r="P164" s="300">
        <f t="shared" si="57"/>
        <v>43.2</v>
      </c>
      <c r="Q164" s="300">
        <f t="shared" si="57"/>
        <v>43.2</v>
      </c>
      <c r="R164" s="300">
        <f t="shared" si="57"/>
        <v>43.2</v>
      </c>
      <c r="S164" s="300">
        <f t="shared" si="57"/>
        <v>43.2</v>
      </c>
      <c r="T164" s="300">
        <f t="shared" si="57"/>
        <v>215.74901960784314</v>
      </c>
      <c r="U164" s="300">
        <f t="shared" si="57"/>
        <v>215.74901960784314</v>
      </c>
      <c r="V164" s="300">
        <f t="shared" si="57"/>
        <v>57.6</v>
      </c>
      <c r="W164" s="300">
        <f t="shared" si="57"/>
        <v>57.6</v>
      </c>
      <c r="X164" s="300">
        <f t="shared" si="57"/>
        <v>57.6</v>
      </c>
      <c r="Y164" s="300">
        <f t="shared" si="57"/>
        <v>57.6</v>
      </c>
      <c r="Z164" s="300">
        <f t="shared" si="57"/>
        <v>57.6</v>
      </c>
      <c r="AA164" s="301">
        <f t="shared" si="57"/>
        <v>57.6</v>
      </c>
      <c r="AB164" s="300">
        <f t="shared" si="57"/>
        <v>77.207843137254912</v>
      </c>
      <c r="AC164" s="300">
        <f t="shared" si="57"/>
        <v>77.207843137254912</v>
      </c>
      <c r="AD164" s="300">
        <f t="shared" si="57"/>
        <v>77.207843137254912</v>
      </c>
      <c r="AE164" s="300">
        <f t="shared" si="57"/>
        <v>77.207843137254912</v>
      </c>
      <c r="AF164" s="300">
        <f t="shared" si="57"/>
        <v>77.207843137254912</v>
      </c>
      <c r="AG164" s="300">
        <f t="shared" si="57"/>
        <v>77.207843137254912</v>
      </c>
      <c r="AH164" s="300">
        <f t="shared" si="57"/>
        <v>77.207843137254912</v>
      </c>
      <c r="AI164" s="300">
        <f t="shared" si="57"/>
        <v>77.207843137254912</v>
      </c>
      <c r="AJ164" s="300">
        <f t="shared" si="57"/>
        <v>77.207843137254912</v>
      </c>
      <c r="AK164" s="300">
        <f t="shared" si="57"/>
        <v>77.207843137254912</v>
      </c>
      <c r="AL164" s="300">
        <f t="shared" si="57"/>
        <v>77.207843137254912</v>
      </c>
      <c r="AM164" s="300">
        <f t="shared" si="57"/>
        <v>77.207843137254912</v>
      </c>
      <c r="AN164" s="300">
        <f t="shared" si="57"/>
        <v>77.207843137254912</v>
      </c>
      <c r="AO164" s="300">
        <f t="shared" si="57"/>
        <v>77.207843137254912</v>
      </c>
      <c r="AP164" s="300">
        <f t="shared" si="57"/>
        <v>77.207843137254912</v>
      </c>
      <c r="AQ164" s="300">
        <f t="shared" si="57"/>
        <v>77.207843137254912</v>
      </c>
      <c r="AR164" s="300">
        <f t="shared" si="57"/>
        <v>77.207843137254912</v>
      </c>
      <c r="AS164" s="300">
        <f t="shared" si="57"/>
        <v>77.207843137254912</v>
      </c>
      <c r="AT164" s="300">
        <f t="shared" si="57"/>
        <v>77.207843137254912</v>
      </c>
      <c r="AU164" s="300">
        <f t="shared" si="57"/>
        <v>77.207843137254912</v>
      </c>
      <c r="AV164" s="300">
        <f t="shared" si="57"/>
        <v>77.207843137254912</v>
      </c>
      <c r="AW164" s="300">
        <f t="shared" si="57"/>
        <v>77.207843137254912</v>
      </c>
      <c r="AX164" s="300">
        <f t="shared" si="57"/>
        <v>77.207843137254912</v>
      </c>
      <c r="AY164" s="300">
        <f t="shared" si="57"/>
        <v>77.207843137254912</v>
      </c>
      <c r="AZ164" s="302" t="s">
        <v>186</v>
      </c>
    </row>
    <row r="165" spans="1:52" ht="15.75" customHeight="1" x14ac:dyDescent="0.4">
      <c r="A165" s="107"/>
      <c r="B165" s="225"/>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289"/>
      <c r="AB165" s="176"/>
      <c r="AC165" s="176"/>
      <c r="AD165" s="176"/>
      <c r="AE165" s="176"/>
      <c r="AF165" s="176"/>
      <c r="AG165" s="176"/>
      <c r="AH165" s="176"/>
      <c r="AI165" s="176"/>
      <c r="AJ165" s="176"/>
      <c r="AK165" s="176"/>
      <c r="AL165" s="176"/>
      <c r="AM165" s="176"/>
      <c r="AN165" s="176"/>
      <c r="AO165" s="176"/>
      <c r="AP165" s="176"/>
      <c r="AQ165" s="176"/>
      <c r="AR165" s="176"/>
      <c r="AS165" s="176"/>
      <c r="AT165" s="176"/>
      <c r="AU165" s="176"/>
      <c r="AV165" s="176"/>
      <c r="AW165" s="176"/>
      <c r="AX165" s="176"/>
      <c r="AY165" s="176"/>
      <c r="AZ165" s="246" t="s">
        <v>186</v>
      </c>
    </row>
    <row r="166" spans="1:52" ht="15.75" customHeight="1" x14ac:dyDescent="0.4">
      <c r="A166" s="116" t="s">
        <v>307</v>
      </c>
      <c r="B166" s="225"/>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289"/>
      <c r="AB166" s="176"/>
      <c r="AC166" s="176"/>
      <c r="AD166" s="176"/>
      <c r="AE166" s="176"/>
      <c r="AF166" s="176"/>
      <c r="AG166" s="176"/>
      <c r="AH166" s="176"/>
      <c r="AI166" s="176"/>
      <c r="AJ166" s="176"/>
      <c r="AK166" s="176"/>
      <c r="AL166" s="176"/>
      <c r="AM166" s="176"/>
      <c r="AN166" s="176"/>
      <c r="AO166" s="176"/>
      <c r="AP166" s="176"/>
      <c r="AQ166" s="176"/>
      <c r="AR166" s="176"/>
      <c r="AS166" s="176"/>
      <c r="AT166" s="176"/>
      <c r="AU166" s="176"/>
      <c r="AV166" s="176"/>
      <c r="AW166" s="176"/>
      <c r="AX166" s="176"/>
      <c r="AY166" s="176"/>
      <c r="AZ166" s="246" t="s">
        <v>186</v>
      </c>
    </row>
    <row r="167" spans="1:52" ht="15.75" x14ac:dyDescent="0.4">
      <c r="A167" s="107"/>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289"/>
      <c r="AB167" s="176"/>
      <c r="AC167" s="176"/>
      <c r="AD167" s="176"/>
      <c r="AE167" s="176"/>
      <c r="AF167" s="176"/>
      <c r="AG167" s="176"/>
      <c r="AH167" s="176"/>
      <c r="AI167" s="176"/>
      <c r="AJ167" s="176"/>
      <c r="AK167" s="176"/>
      <c r="AL167" s="176"/>
      <c r="AM167" s="176"/>
      <c r="AN167" s="176"/>
      <c r="AO167" s="176"/>
      <c r="AP167" s="176"/>
      <c r="AQ167" s="176"/>
      <c r="AR167" s="176"/>
      <c r="AS167" s="176"/>
      <c r="AT167" s="176"/>
      <c r="AU167" s="176"/>
      <c r="AV167" s="176"/>
      <c r="AW167" s="176"/>
      <c r="AX167" s="176"/>
      <c r="AY167" s="176"/>
      <c r="AZ167" s="246" t="s">
        <v>186</v>
      </c>
    </row>
    <row r="168" spans="1:52" ht="15.75" customHeight="1" x14ac:dyDescent="0.4">
      <c r="A168" s="107" t="s">
        <v>287</v>
      </c>
      <c r="B168" s="176">
        <f t="shared" ref="B168:AG168" si="58">B127</f>
        <v>0</v>
      </c>
      <c r="C168" s="176">
        <f t="shared" si="58"/>
        <v>0</v>
      </c>
      <c r="D168" s="176">
        <f t="shared" si="58"/>
        <v>0</v>
      </c>
      <c r="E168" s="176">
        <f t="shared" si="58"/>
        <v>0</v>
      </c>
      <c r="F168" s="176">
        <f t="shared" si="58"/>
        <v>0</v>
      </c>
      <c r="G168" s="176">
        <f t="shared" si="58"/>
        <v>0</v>
      </c>
      <c r="H168" s="176">
        <f t="shared" si="58"/>
        <v>0</v>
      </c>
      <c r="I168" s="176">
        <f t="shared" si="58"/>
        <v>0</v>
      </c>
      <c r="J168" s="176">
        <f t="shared" si="58"/>
        <v>0</v>
      </c>
      <c r="K168" s="176">
        <f t="shared" si="58"/>
        <v>0</v>
      </c>
      <c r="L168" s="176">
        <f t="shared" si="58"/>
        <v>0</v>
      </c>
      <c r="M168" s="176">
        <f t="shared" si="58"/>
        <v>0</v>
      </c>
      <c r="N168" s="176">
        <f t="shared" si="58"/>
        <v>0</v>
      </c>
      <c r="O168" s="176">
        <f t="shared" si="58"/>
        <v>0</v>
      </c>
      <c r="P168" s="176">
        <f t="shared" si="58"/>
        <v>0</v>
      </c>
      <c r="Q168" s="176">
        <f t="shared" si="58"/>
        <v>0</v>
      </c>
      <c r="R168" s="176">
        <f t="shared" si="58"/>
        <v>0</v>
      </c>
      <c r="S168" s="176">
        <f t="shared" si="58"/>
        <v>0</v>
      </c>
      <c r="T168" s="176">
        <f t="shared" si="58"/>
        <v>0</v>
      </c>
      <c r="U168" s="176">
        <f t="shared" si="58"/>
        <v>0</v>
      </c>
      <c r="V168" s="176">
        <f t="shared" si="58"/>
        <v>0</v>
      </c>
      <c r="W168" s="176">
        <f t="shared" si="58"/>
        <v>0</v>
      </c>
      <c r="X168" s="176">
        <f t="shared" si="58"/>
        <v>0</v>
      </c>
      <c r="Y168" s="176">
        <f t="shared" si="58"/>
        <v>0</v>
      </c>
      <c r="Z168" s="176">
        <f t="shared" si="58"/>
        <v>0</v>
      </c>
      <c r="AA168" s="289">
        <f t="shared" si="58"/>
        <v>100</v>
      </c>
      <c r="AB168" s="176">
        <f t="shared" si="58"/>
        <v>0</v>
      </c>
      <c r="AC168" s="176">
        <f t="shared" si="58"/>
        <v>0</v>
      </c>
      <c r="AD168" s="176">
        <f t="shared" si="58"/>
        <v>0</v>
      </c>
      <c r="AE168" s="176">
        <f t="shared" si="58"/>
        <v>0</v>
      </c>
      <c r="AF168" s="176">
        <f t="shared" si="58"/>
        <v>0</v>
      </c>
      <c r="AG168" s="176">
        <f t="shared" si="58"/>
        <v>0</v>
      </c>
      <c r="AH168" s="176">
        <f t="shared" ref="AH168:AY168" si="59">AH127</f>
        <v>0</v>
      </c>
      <c r="AI168" s="176">
        <f t="shared" si="59"/>
        <v>0</v>
      </c>
      <c r="AJ168" s="176">
        <f t="shared" si="59"/>
        <v>0</v>
      </c>
      <c r="AK168" s="176">
        <f t="shared" si="59"/>
        <v>0</v>
      </c>
      <c r="AL168" s="176">
        <f t="shared" si="59"/>
        <v>0</v>
      </c>
      <c r="AM168" s="176">
        <f t="shared" si="59"/>
        <v>0</v>
      </c>
      <c r="AN168" s="176">
        <f t="shared" si="59"/>
        <v>0</v>
      </c>
      <c r="AO168" s="176">
        <f t="shared" si="59"/>
        <v>0</v>
      </c>
      <c r="AP168" s="176">
        <f t="shared" si="59"/>
        <v>0</v>
      </c>
      <c r="AQ168" s="176">
        <f t="shared" si="59"/>
        <v>0</v>
      </c>
      <c r="AR168" s="176">
        <f t="shared" si="59"/>
        <v>0</v>
      </c>
      <c r="AS168" s="176">
        <f t="shared" si="59"/>
        <v>0</v>
      </c>
      <c r="AT168" s="176">
        <f t="shared" si="59"/>
        <v>0</v>
      </c>
      <c r="AU168" s="176">
        <f t="shared" si="59"/>
        <v>0</v>
      </c>
      <c r="AV168" s="176">
        <f t="shared" si="59"/>
        <v>0</v>
      </c>
      <c r="AW168" s="176">
        <f t="shared" si="59"/>
        <v>0</v>
      </c>
      <c r="AX168" s="176">
        <f t="shared" si="59"/>
        <v>0</v>
      </c>
      <c r="AY168" s="176">
        <f t="shared" si="59"/>
        <v>0</v>
      </c>
      <c r="AZ168" s="246" t="s">
        <v>186</v>
      </c>
    </row>
    <row r="169" spans="1:52" ht="15.75" customHeight="1" x14ac:dyDescent="0.4">
      <c r="A169" s="107"/>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AA169" s="289"/>
      <c r="AB169" s="176"/>
      <c r="AC169" s="176"/>
      <c r="AD169" s="176"/>
      <c r="AE169" s="176"/>
      <c r="AF169" s="176"/>
      <c r="AG169" s="176"/>
      <c r="AH169" s="176"/>
      <c r="AI169" s="176"/>
      <c r="AJ169" s="176"/>
      <c r="AK169" s="176"/>
      <c r="AL169" s="176"/>
      <c r="AM169" s="176"/>
      <c r="AN169" s="176"/>
      <c r="AO169" s="176"/>
      <c r="AP169" s="176"/>
      <c r="AQ169" s="176"/>
      <c r="AR169" s="176"/>
      <c r="AS169" s="176"/>
      <c r="AT169" s="176"/>
      <c r="AU169" s="176"/>
      <c r="AV169" s="176"/>
      <c r="AW169" s="176"/>
      <c r="AX169" s="176"/>
      <c r="AY169" s="176"/>
      <c r="AZ169" s="246" t="s">
        <v>186</v>
      </c>
    </row>
    <row r="170" spans="1:52" ht="15.75" customHeight="1" x14ac:dyDescent="0.4">
      <c r="A170" s="107" t="s">
        <v>300</v>
      </c>
      <c r="B170" s="176">
        <f t="shared" ref="B170:AA170" si="60">-B94</f>
        <v>0</v>
      </c>
      <c r="C170" s="176">
        <f t="shared" si="60"/>
        <v>553.51281168369633</v>
      </c>
      <c r="D170" s="176">
        <f t="shared" si="60"/>
        <v>-71.317091174575893</v>
      </c>
      <c r="E170" s="176">
        <f t="shared" si="60"/>
        <v>-80.323921805181925</v>
      </c>
      <c r="F170" s="176">
        <f t="shared" si="60"/>
        <v>-79.802310939712328</v>
      </c>
      <c r="G170" s="176">
        <f t="shared" si="60"/>
        <v>-79.239399261368817</v>
      </c>
      <c r="H170" s="176">
        <f t="shared" si="60"/>
        <v>93.917132622158007</v>
      </c>
      <c r="I170" s="176">
        <f t="shared" si="60"/>
        <v>94.572809219599876</v>
      </c>
      <c r="J170" s="176">
        <f t="shared" si="60"/>
        <v>-195.39203364301753</v>
      </c>
      <c r="K170" s="176">
        <f t="shared" si="60"/>
        <v>-194.61132498613631</v>
      </c>
      <c r="L170" s="176">
        <f t="shared" si="60"/>
        <v>-193.76978897363395</v>
      </c>
      <c r="M170" s="176">
        <f t="shared" si="60"/>
        <v>-192.86257571043001</v>
      </c>
      <c r="N170" s="176">
        <f t="shared" si="60"/>
        <v>308.1155525272286</v>
      </c>
      <c r="O170" s="176">
        <f t="shared" si="60"/>
        <v>304.26829153211861</v>
      </c>
      <c r="P170" s="176">
        <f t="shared" si="60"/>
        <v>-317.27959487504882</v>
      </c>
      <c r="Q170" s="176">
        <f t="shared" si="60"/>
        <v>-316.04611421115101</v>
      </c>
      <c r="R170" s="176">
        <f t="shared" si="60"/>
        <v>-373.13093470506925</v>
      </c>
      <c r="S170" s="176">
        <f t="shared" si="60"/>
        <v>-373.09877032662973</v>
      </c>
      <c r="T170" s="176">
        <f t="shared" si="60"/>
        <v>-200.51726469656273</v>
      </c>
      <c r="U170" s="176">
        <f t="shared" si="60"/>
        <v>-200.48445381411656</v>
      </c>
      <c r="V170" s="176">
        <f t="shared" si="60"/>
        <v>-490.910157102347</v>
      </c>
      <c r="W170" s="176">
        <f t="shared" si="60"/>
        <v>-490.85770059850404</v>
      </c>
      <c r="X170" s="176">
        <f t="shared" si="60"/>
        <v>-490.80471952962284</v>
      </c>
      <c r="Y170" s="176">
        <f t="shared" si="60"/>
        <v>-490.75120865005277</v>
      </c>
      <c r="Z170" s="176">
        <f t="shared" si="60"/>
        <v>-490.697162661687</v>
      </c>
      <c r="AA170" s="289">
        <f t="shared" si="60"/>
        <v>-560.64257621343745</v>
      </c>
      <c r="AB170" s="176"/>
      <c r="AC170" s="176"/>
      <c r="AD170" s="176"/>
      <c r="AE170" s="176"/>
      <c r="AF170" s="176"/>
      <c r="AG170" s="176"/>
      <c r="AH170" s="176"/>
      <c r="AI170" s="176"/>
      <c r="AJ170" s="176"/>
      <c r="AK170" s="176"/>
      <c r="AL170" s="176"/>
      <c r="AM170" s="176"/>
      <c r="AN170" s="176"/>
      <c r="AO170" s="176"/>
      <c r="AP170" s="176"/>
      <c r="AQ170" s="176"/>
      <c r="AR170" s="176"/>
      <c r="AS170" s="176"/>
      <c r="AT170" s="176"/>
      <c r="AU170" s="176"/>
      <c r="AV170" s="176"/>
      <c r="AW170" s="176"/>
      <c r="AX170" s="176"/>
      <c r="AY170" s="176"/>
      <c r="AZ170" s="246" t="s">
        <v>186</v>
      </c>
    </row>
    <row r="171" spans="1:52" ht="15.75" customHeight="1" x14ac:dyDescent="0.4">
      <c r="A171" s="107"/>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AA171" s="289"/>
      <c r="AB171" s="176"/>
      <c r="AC171" s="176"/>
      <c r="AD171" s="176"/>
      <c r="AE171" s="176"/>
      <c r="AF171" s="176"/>
      <c r="AG171" s="176"/>
      <c r="AH171" s="176"/>
      <c r="AI171" s="176"/>
      <c r="AJ171" s="176"/>
      <c r="AK171" s="176"/>
      <c r="AL171" s="176"/>
      <c r="AM171" s="176"/>
      <c r="AN171" s="176"/>
      <c r="AO171" s="176"/>
      <c r="AP171" s="176"/>
      <c r="AQ171" s="176"/>
      <c r="AR171" s="176"/>
      <c r="AS171" s="176"/>
      <c r="AT171" s="176"/>
      <c r="AU171" s="176"/>
      <c r="AV171" s="176"/>
      <c r="AW171" s="176"/>
      <c r="AX171" s="176"/>
      <c r="AY171" s="176"/>
      <c r="AZ171" s="246" t="s">
        <v>186</v>
      </c>
    </row>
    <row r="172" spans="1:52" ht="15.75" x14ac:dyDescent="0.4">
      <c r="A172" s="107" t="s">
        <v>288</v>
      </c>
      <c r="B172" s="176">
        <f>SUM(B173:B174)</f>
        <v>-10</v>
      </c>
      <c r="C172" s="176">
        <f>SUM(C173:C174)</f>
        <v>-9.901960784313701</v>
      </c>
      <c r="D172" s="176">
        <f t="shared" ref="D172:AY172" si="61">SUM(D173:D174)</f>
        <v>16.49454545454546</v>
      </c>
      <c r="E172" s="176">
        <f t="shared" si="61"/>
        <v>16.491109090909095</v>
      </c>
      <c r="F172" s="176">
        <f t="shared" si="61"/>
        <v>16.487638363636368</v>
      </c>
      <c r="G172" s="176">
        <f t="shared" si="61"/>
        <v>16.484132929090915</v>
      </c>
      <c r="H172" s="176">
        <f t="shared" si="61"/>
        <v>13.029612048043127</v>
      </c>
      <c r="I172" s="176">
        <f t="shared" si="61"/>
        <v>13.026036154263309</v>
      </c>
      <c r="J172" s="176">
        <f t="shared" si="61"/>
        <v>32.946809787405144</v>
      </c>
      <c r="K172" s="176">
        <f t="shared" si="61"/>
        <v>32.939514248915557</v>
      </c>
      <c r="L172" s="176">
        <f t="shared" si="61"/>
        <v>32.932145755041077</v>
      </c>
      <c r="M172" s="176">
        <f t="shared" si="61"/>
        <v>32.924703576227849</v>
      </c>
      <c r="N172" s="176">
        <f t="shared" si="61"/>
        <v>22.917186975626493</v>
      </c>
      <c r="O172" s="176">
        <f t="shared" si="61"/>
        <v>23.007634424705419</v>
      </c>
      <c r="P172" s="176">
        <f t="shared" si="61"/>
        <v>49.35289128711851</v>
      </c>
      <c r="Q172" s="176">
        <f t="shared" si="61"/>
        <v>49.341274745444245</v>
      </c>
      <c r="R172" s="176">
        <f t="shared" si="61"/>
        <v>49.329542038353232</v>
      </c>
      <c r="S172" s="176">
        <f t="shared" si="61"/>
        <v>49.317692004191308</v>
      </c>
      <c r="T172" s="176">
        <f t="shared" si="61"/>
        <v>45.854743077530884</v>
      </c>
      <c r="U172" s="176">
        <f t="shared" si="61"/>
        <v>45.842654857682312</v>
      </c>
      <c r="V172" s="176">
        <f t="shared" si="61"/>
        <v>65.708568197056167</v>
      </c>
      <c r="W172" s="176">
        <f t="shared" si="61"/>
        <v>65.692126606299453</v>
      </c>
      <c r="X172" s="176">
        <f t="shared" si="61"/>
        <v>65.675520599635178</v>
      </c>
      <c r="Y172" s="176">
        <f t="shared" si="61"/>
        <v>65.658748532904255</v>
      </c>
      <c r="Z172" s="176">
        <f t="shared" si="61"/>
        <v>65.641808745506026</v>
      </c>
      <c r="AA172" s="289">
        <f t="shared" si="61"/>
        <v>65.624699560233807</v>
      </c>
      <c r="AB172" s="176">
        <f t="shared" si="61"/>
        <v>0</v>
      </c>
      <c r="AC172" s="176">
        <f t="shared" si="61"/>
        <v>0</v>
      </c>
      <c r="AD172" s="176">
        <f t="shared" si="61"/>
        <v>0</v>
      </c>
      <c r="AE172" s="176">
        <f t="shared" si="61"/>
        <v>0</v>
      </c>
      <c r="AF172" s="176">
        <f t="shared" si="61"/>
        <v>0</v>
      </c>
      <c r="AG172" s="176">
        <f t="shared" si="61"/>
        <v>0</v>
      </c>
      <c r="AH172" s="176">
        <f t="shared" si="61"/>
        <v>0</v>
      </c>
      <c r="AI172" s="176">
        <f t="shared" si="61"/>
        <v>0</v>
      </c>
      <c r="AJ172" s="176">
        <f t="shared" si="61"/>
        <v>0</v>
      </c>
      <c r="AK172" s="176">
        <f t="shared" si="61"/>
        <v>0</v>
      </c>
      <c r="AL172" s="176">
        <f t="shared" si="61"/>
        <v>0</v>
      </c>
      <c r="AM172" s="176">
        <f t="shared" si="61"/>
        <v>0</v>
      </c>
      <c r="AN172" s="176">
        <f t="shared" si="61"/>
        <v>0</v>
      </c>
      <c r="AO172" s="176">
        <f t="shared" si="61"/>
        <v>0</v>
      </c>
      <c r="AP172" s="176">
        <f t="shared" si="61"/>
        <v>0</v>
      </c>
      <c r="AQ172" s="176">
        <f t="shared" si="61"/>
        <v>0</v>
      </c>
      <c r="AR172" s="176">
        <f t="shared" si="61"/>
        <v>0</v>
      </c>
      <c r="AS172" s="176">
        <f t="shared" si="61"/>
        <v>0</v>
      </c>
      <c r="AT172" s="176">
        <f t="shared" si="61"/>
        <v>0</v>
      </c>
      <c r="AU172" s="176">
        <f t="shared" si="61"/>
        <v>0</v>
      </c>
      <c r="AV172" s="176">
        <f t="shared" si="61"/>
        <v>0</v>
      </c>
      <c r="AW172" s="176">
        <f t="shared" si="61"/>
        <v>0</v>
      </c>
      <c r="AX172" s="176">
        <f t="shared" si="61"/>
        <v>0</v>
      </c>
      <c r="AY172" s="176">
        <f t="shared" si="61"/>
        <v>0</v>
      </c>
      <c r="AZ172" s="246" t="s">
        <v>186</v>
      </c>
    </row>
    <row r="173" spans="1:52" ht="15.75" x14ac:dyDescent="0.4">
      <c r="A173" s="107" t="s">
        <v>301</v>
      </c>
      <c r="B173" s="176">
        <f t="shared" ref="B173:AA173" si="62">-SUM(B61,B65,B67,B71,B73,B75)</f>
        <v>-10</v>
      </c>
      <c r="C173" s="176">
        <f t="shared" si="62"/>
        <v>-9.901960784313701</v>
      </c>
      <c r="D173" s="176">
        <f t="shared" si="62"/>
        <v>-0.68727272727272737</v>
      </c>
      <c r="E173" s="176">
        <f t="shared" si="62"/>
        <v>-0.69070909090909094</v>
      </c>
      <c r="F173" s="176">
        <f t="shared" si="62"/>
        <v>-0.69417981818181829</v>
      </c>
      <c r="G173" s="176">
        <f t="shared" si="62"/>
        <v>-0.69768525272727278</v>
      </c>
      <c r="H173" s="176">
        <f t="shared" si="62"/>
        <v>-4.1522061337750609</v>
      </c>
      <c r="I173" s="176">
        <f t="shared" si="62"/>
        <v>-4.1557820275548787</v>
      </c>
      <c r="J173" s="176">
        <f t="shared" si="62"/>
        <v>-1.4168265762312329</v>
      </c>
      <c r="K173" s="176">
        <f t="shared" si="62"/>
        <v>-1.4241221147208178</v>
      </c>
      <c r="L173" s="176">
        <f t="shared" si="62"/>
        <v>-1.431490608595299</v>
      </c>
      <c r="M173" s="176">
        <f t="shared" si="62"/>
        <v>-1.4389327874085247</v>
      </c>
      <c r="N173" s="176">
        <f t="shared" si="62"/>
        <v>-11.446449388009883</v>
      </c>
      <c r="O173" s="176">
        <f t="shared" si="62"/>
        <v>-11.356001938930955</v>
      </c>
      <c r="P173" s="176">
        <f t="shared" si="62"/>
        <v>-2.1925632583360493</v>
      </c>
      <c r="Q173" s="176">
        <f t="shared" si="62"/>
        <v>-2.2041798000103183</v>
      </c>
      <c r="R173" s="176">
        <f t="shared" si="62"/>
        <v>-2.215912507101331</v>
      </c>
      <c r="S173" s="176">
        <f t="shared" si="62"/>
        <v>-2.2277625412632531</v>
      </c>
      <c r="T173" s="176">
        <f t="shared" si="62"/>
        <v>-5.6907114679236743</v>
      </c>
      <c r="U173" s="176">
        <f t="shared" si="62"/>
        <v>-5.7027996877722513</v>
      </c>
      <c r="V173" s="176">
        <f t="shared" si="62"/>
        <v>-3.0187045302165805</v>
      </c>
      <c r="W173" s="176">
        <f t="shared" si="62"/>
        <v>-3.0351461209732911</v>
      </c>
      <c r="X173" s="176">
        <f t="shared" si="62"/>
        <v>-3.0517521276375694</v>
      </c>
      <c r="Y173" s="176">
        <f t="shared" si="62"/>
        <v>-3.0685241943684907</v>
      </c>
      <c r="Z173" s="176">
        <f t="shared" si="62"/>
        <v>-3.0854639817667211</v>
      </c>
      <c r="AA173" s="289">
        <f t="shared" si="62"/>
        <v>-3.1025731670389338</v>
      </c>
      <c r="AB173" s="176">
        <f t="shared" ref="AB173:AY173" si="63">-SUM(AB111,AB113,AB117,AB119,AB121)</f>
        <v>0</v>
      </c>
      <c r="AC173" s="176">
        <f t="shared" si="63"/>
        <v>0</v>
      </c>
      <c r="AD173" s="176">
        <f t="shared" si="63"/>
        <v>0</v>
      </c>
      <c r="AE173" s="176">
        <f t="shared" si="63"/>
        <v>0</v>
      </c>
      <c r="AF173" s="176">
        <f t="shared" si="63"/>
        <v>0</v>
      </c>
      <c r="AG173" s="176">
        <f t="shared" si="63"/>
        <v>0</v>
      </c>
      <c r="AH173" s="176">
        <f t="shared" si="63"/>
        <v>0</v>
      </c>
      <c r="AI173" s="176">
        <f t="shared" si="63"/>
        <v>0</v>
      </c>
      <c r="AJ173" s="176">
        <f t="shared" si="63"/>
        <v>0</v>
      </c>
      <c r="AK173" s="176">
        <f t="shared" si="63"/>
        <v>0</v>
      </c>
      <c r="AL173" s="176">
        <f t="shared" si="63"/>
        <v>0</v>
      </c>
      <c r="AM173" s="176">
        <f t="shared" si="63"/>
        <v>0</v>
      </c>
      <c r="AN173" s="176">
        <f t="shared" si="63"/>
        <v>0</v>
      </c>
      <c r="AO173" s="176">
        <f t="shared" si="63"/>
        <v>0</v>
      </c>
      <c r="AP173" s="176">
        <f t="shared" si="63"/>
        <v>0</v>
      </c>
      <c r="AQ173" s="176">
        <f t="shared" si="63"/>
        <v>0</v>
      </c>
      <c r="AR173" s="176">
        <f t="shared" si="63"/>
        <v>0</v>
      </c>
      <c r="AS173" s="176">
        <f t="shared" si="63"/>
        <v>0</v>
      </c>
      <c r="AT173" s="176">
        <f t="shared" si="63"/>
        <v>0</v>
      </c>
      <c r="AU173" s="176">
        <f t="shared" si="63"/>
        <v>0</v>
      </c>
      <c r="AV173" s="176">
        <f t="shared" si="63"/>
        <v>0</v>
      </c>
      <c r="AW173" s="176">
        <f t="shared" si="63"/>
        <v>0</v>
      </c>
      <c r="AX173" s="176">
        <f t="shared" si="63"/>
        <v>0</v>
      </c>
      <c r="AY173" s="176">
        <f t="shared" si="63"/>
        <v>0</v>
      </c>
      <c r="AZ173" s="246" t="s">
        <v>186</v>
      </c>
    </row>
    <row r="174" spans="1:52" ht="15.75" x14ac:dyDescent="0.4">
      <c r="A174" s="107" t="s">
        <v>302</v>
      </c>
      <c r="B174" s="225">
        <f>-B55</f>
        <v>0</v>
      </c>
      <c r="C174" s="225">
        <f>-C55</f>
        <v>0</v>
      </c>
      <c r="D174" s="225">
        <f t="shared" ref="D174:AA174" si="64">D55</f>
        <v>17.181818181818187</v>
      </c>
      <c r="E174" s="225">
        <f t="shared" si="64"/>
        <v>17.181818181818187</v>
      </c>
      <c r="F174" s="225">
        <f t="shared" si="64"/>
        <v>17.181818181818187</v>
      </c>
      <c r="G174" s="225">
        <f t="shared" si="64"/>
        <v>17.181818181818187</v>
      </c>
      <c r="H174" s="225">
        <f t="shared" si="64"/>
        <v>17.181818181818187</v>
      </c>
      <c r="I174" s="225">
        <f t="shared" si="64"/>
        <v>17.181818181818187</v>
      </c>
      <c r="J174" s="225">
        <f t="shared" si="64"/>
        <v>34.363636363636374</v>
      </c>
      <c r="K174" s="225">
        <f t="shared" si="64"/>
        <v>34.363636363636374</v>
      </c>
      <c r="L174" s="225">
        <f t="shared" si="64"/>
        <v>34.363636363636374</v>
      </c>
      <c r="M174" s="225">
        <f t="shared" si="64"/>
        <v>34.363636363636374</v>
      </c>
      <c r="N174" s="225">
        <f t="shared" si="64"/>
        <v>34.363636363636374</v>
      </c>
      <c r="O174" s="225">
        <f t="shared" si="64"/>
        <v>34.363636363636374</v>
      </c>
      <c r="P174" s="225">
        <f t="shared" si="64"/>
        <v>51.545454545454561</v>
      </c>
      <c r="Q174" s="225">
        <f t="shared" si="64"/>
        <v>51.545454545454561</v>
      </c>
      <c r="R174" s="225">
        <f t="shared" si="64"/>
        <v>51.545454545454561</v>
      </c>
      <c r="S174" s="225">
        <f t="shared" si="64"/>
        <v>51.545454545454561</v>
      </c>
      <c r="T174" s="225">
        <f t="shared" si="64"/>
        <v>51.545454545454561</v>
      </c>
      <c r="U174" s="225">
        <f t="shared" si="64"/>
        <v>51.545454545454561</v>
      </c>
      <c r="V174" s="225">
        <f t="shared" si="64"/>
        <v>68.727272727272748</v>
      </c>
      <c r="W174" s="225">
        <f t="shared" si="64"/>
        <v>68.727272727272748</v>
      </c>
      <c r="X174" s="225">
        <f t="shared" si="64"/>
        <v>68.727272727272748</v>
      </c>
      <c r="Y174" s="225">
        <f t="shared" si="64"/>
        <v>68.727272727272748</v>
      </c>
      <c r="Z174" s="225">
        <f t="shared" si="64"/>
        <v>68.727272727272748</v>
      </c>
      <c r="AA174" s="288">
        <f t="shared" si="64"/>
        <v>68.727272727272748</v>
      </c>
      <c r="AB174" s="225"/>
      <c r="AC174" s="225"/>
      <c r="AD174" s="225"/>
      <c r="AE174" s="225"/>
      <c r="AF174" s="225"/>
      <c r="AG174" s="225"/>
      <c r="AH174" s="225"/>
      <c r="AI174" s="225"/>
      <c r="AJ174" s="225"/>
      <c r="AK174" s="225"/>
      <c r="AL174" s="225"/>
      <c r="AM174" s="225"/>
      <c r="AN174" s="225"/>
      <c r="AO174" s="225"/>
      <c r="AP174" s="225"/>
      <c r="AQ174" s="225"/>
      <c r="AR174" s="225"/>
      <c r="AS174" s="225"/>
      <c r="AT174" s="225"/>
      <c r="AU174" s="225"/>
      <c r="AV174" s="225"/>
      <c r="AW174" s="225"/>
      <c r="AX174" s="225"/>
      <c r="AY174" s="225"/>
      <c r="AZ174" s="246" t="s">
        <v>186</v>
      </c>
    </row>
    <row r="175" spans="1:52" ht="15.75" x14ac:dyDescent="0.4">
      <c r="A175" s="107"/>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88"/>
      <c r="AB175" s="225"/>
      <c r="AC175" s="225"/>
      <c r="AD175" s="225"/>
      <c r="AE175" s="225"/>
      <c r="AF175" s="225"/>
      <c r="AG175" s="225"/>
      <c r="AH175" s="225"/>
      <c r="AI175" s="225"/>
      <c r="AJ175" s="225"/>
      <c r="AK175" s="225"/>
      <c r="AL175" s="225"/>
      <c r="AM175" s="225"/>
      <c r="AN175" s="225"/>
      <c r="AO175" s="225"/>
      <c r="AP175" s="225"/>
      <c r="AQ175" s="225"/>
      <c r="AR175" s="225"/>
      <c r="AS175" s="225"/>
      <c r="AT175" s="225"/>
      <c r="AU175" s="225"/>
      <c r="AV175" s="225"/>
      <c r="AW175" s="225"/>
      <c r="AX175" s="225"/>
      <c r="AY175" s="225"/>
      <c r="AZ175" s="246" t="s">
        <v>186</v>
      </c>
    </row>
    <row r="176" spans="1:52" ht="15.75" x14ac:dyDescent="0.4">
      <c r="A176" s="107" t="s">
        <v>303</v>
      </c>
      <c r="B176" s="176">
        <f t="shared" ref="B176:Q176" si="65">-B12</f>
        <v>500</v>
      </c>
      <c r="C176" s="176">
        <f t="shared" si="65"/>
        <v>-58.414772468010057</v>
      </c>
      <c r="D176" s="176">
        <f t="shared" si="65"/>
        <v>-58.414772468010057</v>
      </c>
      <c r="E176" s="176">
        <f t="shared" si="65"/>
        <v>-58.414772468010057</v>
      </c>
      <c r="F176" s="176">
        <f t="shared" si="65"/>
        <v>-58.414772468010057</v>
      </c>
      <c r="G176" s="176">
        <f t="shared" si="65"/>
        <v>-58.414772468010057</v>
      </c>
      <c r="H176" s="176">
        <f t="shared" si="65"/>
        <v>-58.414772468010057</v>
      </c>
      <c r="I176" s="176">
        <f t="shared" si="65"/>
        <v>-58.414772468010057</v>
      </c>
      <c r="J176" s="176">
        <f t="shared" si="65"/>
        <v>-58.414772468010057</v>
      </c>
      <c r="K176" s="176">
        <f t="shared" si="65"/>
        <v>-58.414772468010057</v>
      </c>
      <c r="L176" s="176">
        <f t="shared" si="65"/>
        <v>-58.414772468010057</v>
      </c>
      <c r="M176" s="176">
        <f t="shared" si="65"/>
        <v>-58.414772468010057</v>
      </c>
      <c r="N176" s="176">
        <f t="shared" si="65"/>
        <v>-58.414772468010057</v>
      </c>
      <c r="O176" s="176">
        <f t="shared" si="65"/>
        <v>-58.414772468010057</v>
      </c>
      <c r="P176" s="176">
        <f t="shared" si="65"/>
        <v>-58.414772468010057</v>
      </c>
      <c r="Q176" s="176">
        <f t="shared" si="65"/>
        <v>-58.414772468010057</v>
      </c>
      <c r="R176" s="176"/>
      <c r="S176" s="176"/>
      <c r="T176" s="176"/>
      <c r="U176" s="176"/>
      <c r="V176" s="176"/>
      <c r="W176" s="176"/>
      <c r="X176" s="176"/>
      <c r="Y176" s="176"/>
      <c r="Z176" s="176"/>
      <c r="AA176" s="289"/>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176"/>
      <c r="AX176" s="176"/>
      <c r="AY176" s="176"/>
      <c r="AZ176" s="246" t="s">
        <v>186</v>
      </c>
    </row>
    <row r="177" spans="1:52" ht="15.75" x14ac:dyDescent="0.4">
      <c r="A177" s="107"/>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88"/>
      <c r="AB177" s="225"/>
      <c r="AC177" s="225"/>
      <c r="AD177" s="225"/>
      <c r="AE177" s="225"/>
      <c r="AF177" s="225"/>
      <c r="AG177" s="225"/>
      <c r="AH177" s="225"/>
      <c r="AI177" s="225"/>
      <c r="AJ177" s="225"/>
      <c r="AK177" s="225"/>
      <c r="AL177" s="225"/>
      <c r="AM177" s="225"/>
      <c r="AN177" s="225"/>
      <c r="AO177" s="225"/>
      <c r="AP177" s="225"/>
      <c r="AQ177" s="225"/>
      <c r="AR177" s="225"/>
      <c r="AS177" s="225"/>
      <c r="AT177" s="225"/>
      <c r="AU177" s="225"/>
      <c r="AV177" s="225"/>
      <c r="AW177" s="225"/>
      <c r="AX177" s="225"/>
      <c r="AY177" s="225"/>
      <c r="AZ177" s="246" t="s">
        <v>186</v>
      </c>
    </row>
    <row r="178" spans="1:52" ht="15.75" x14ac:dyDescent="0.4">
      <c r="A178" s="107" t="s">
        <v>289</v>
      </c>
      <c r="B178" s="176">
        <f t="shared" ref="B178:AG178" si="66">SUM(B179:B180)</f>
        <v>10</v>
      </c>
      <c r="C178" s="176">
        <f t="shared" si="66"/>
        <v>9.901960784313701</v>
      </c>
      <c r="D178" s="176">
        <f t="shared" si="66"/>
        <v>-46.668136357414042</v>
      </c>
      <c r="E178" s="176">
        <f t="shared" si="66"/>
        <v>-37.623505726808034</v>
      </c>
      <c r="F178" s="176">
        <f t="shared" si="66"/>
        <v>-38.106938592277615</v>
      </c>
      <c r="G178" s="176">
        <f t="shared" si="66"/>
        <v>-38.631290490621126</v>
      </c>
      <c r="H178" s="176">
        <f t="shared" si="66"/>
        <v>-35.74887699634796</v>
      </c>
      <c r="I178" s="176">
        <f t="shared" si="66"/>
        <v>-36.365218762211825</v>
      </c>
      <c r="J178" s="176">
        <f t="shared" si="66"/>
        <v>-98.528101550428872</v>
      </c>
      <c r="K178" s="176">
        <f t="shared" si="66"/>
        <v>-99.228559283924625</v>
      </c>
      <c r="L178" s="176">
        <f t="shared" si="66"/>
        <v>-99.989041863807714</v>
      </c>
      <c r="M178" s="176">
        <f t="shared" si="66"/>
        <v>-100.81439116006615</v>
      </c>
      <c r="N178" s="176">
        <f t="shared" si="66"/>
        <v>-91.709836791109836</v>
      </c>
      <c r="O178" s="176">
        <f t="shared" si="66"/>
        <v>-92.779066363318691</v>
      </c>
      <c r="P178" s="176">
        <f t="shared" si="66"/>
        <v>-152.06743681524455</v>
      </c>
      <c r="Q178" s="176">
        <f t="shared" si="66"/>
        <v>-153.17313552072554</v>
      </c>
      <c r="R178" s="176">
        <f t="shared" si="66"/>
        <v>-154.3740277168161</v>
      </c>
      <c r="S178" s="176">
        <f t="shared" si="66"/>
        <v>-154.27584171947447</v>
      </c>
      <c r="T178" s="176">
        <f t="shared" si="66"/>
        <v>-150.72569347000251</v>
      </c>
      <c r="U178" s="176">
        <f t="shared" si="66"/>
        <v>-150.62553393411432</v>
      </c>
      <c r="V178" s="176">
        <f t="shared" si="66"/>
        <v>-211.72409306527067</v>
      </c>
      <c r="W178" s="176">
        <f t="shared" si="66"/>
        <v>-211.59569207078971</v>
      </c>
      <c r="X178" s="176">
        <f t="shared" si="66"/>
        <v>-211.46600706636391</v>
      </c>
      <c r="Y178" s="176">
        <f t="shared" si="66"/>
        <v>-211.33502521189388</v>
      </c>
      <c r="Z178" s="176">
        <f t="shared" si="66"/>
        <v>-211.2027335388791</v>
      </c>
      <c r="AA178" s="289">
        <f t="shared" si="66"/>
        <v>-241.06911894913421</v>
      </c>
      <c r="AB178" s="176">
        <f t="shared" si="66"/>
        <v>0</v>
      </c>
      <c r="AC178" s="176">
        <f t="shared" si="66"/>
        <v>0</v>
      </c>
      <c r="AD178" s="176">
        <f t="shared" si="66"/>
        <v>0</v>
      </c>
      <c r="AE178" s="176">
        <f t="shared" si="66"/>
        <v>0</v>
      </c>
      <c r="AF178" s="176">
        <f t="shared" si="66"/>
        <v>0</v>
      </c>
      <c r="AG178" s="176">
        <f t="shared" si="66"/>
        <v>0</v>
      </c>
      <c r="AH178" s="176">
        <f t="shared" ref="AH178:AY178" si="67">SUM(AH179:AH180)</f>
        <v>0</v>
      </c>
      <c r="AI178" s="176">
        <f t="shared" si="67"/>
        <v>0</v>
      </c>
      <c r="AJ178" s="176">
        <f t="shared" si="67"/>
        <v>0</v>
      </c>
      <c r="AK178" s="176">
        <f t="shared" si="67"/>
        <v>0</v>
      </c>
      <c r="AL178" s="176">
        <f t="shared" si="67"/>
        <v>0</v>
      </c>
      <c r="AM178" s="176">
        <f t="shared" si="67"/>
        <v>0</v>
      </c>
      <c r="AN178" s="176">
        <f t="shared" si="67"/>
        <v>0</v>
      </c>
      <c r="AO178" s="176">
        <f t="shared" si="67"/>
        <v>0</v>
      </c>
      <c r="AP178" s="176">
        <f t="shared" si="67"/>
        <v>0</v>
      </c>
      <c r="AQ178" s="176">
        <f t="shared" si="67"/>
        <v>0</v>
      </c>
      <c r="AR178" s="176">
        <f t="shared" si="67"/>
        <v>0</v>
      </c>
      <c r="AS178" s="176">
        <f t="shared" si="67"/>
        <v>0</v>
      </c>
      <c r="AT178" s="176">
        <f t="shared" si="67"/>
        <v>0</v>
      </c>
      <c r="AU178" s="176">
        <f t="shared" si="67"/>
        <v>0</v>
      </c>
      <c r="AV178" s="176">
        <f t="shared" si="67"/>
        <v>0</v>
      </c>
      <c r="AW178" s="176">
        <f t="shared" si="67"/>
        <v>0</v>
      </c>
      <c r="AX178" s="176">
        <f t="shared" si="67"/>
        <v>0</v>
      </c>
      <c r="AY178" s="176">
        <f t="shared" si="67"/>
        <v>0</v>
      </c>
      <c r="AZ178" s="246" t="s">
        <v>186</v>
      </c>
    </row>
    <row r="179" spans="1:52" ht="15.75" x14ac:dyDescent="0.4">
      <c r="A179" s="107" t="s">
        <v>17</v>
      </c>
      <c r="B179" s="176">
        <f t="shared" ref="B179:AA179" si="68">-B79</f>
        <v>0</v>
      </c>
      <c r="C179" s="176">
        <f t="shared" si="68"/>
        <v>0</v>
      </c>
      <c r="D179" s="176">
        <f t="shared" si="68"/>
        <v>-30.173590902868586</v>
      </c>
      <c r="E179" s="176">
        <f t="shared" si="68"/>
        <v>-21.132396635898942</v>
      </c>
      <c r="F179" s="176">
        <f t="shared" si="68"/>
        <v>-21.619300228641247</v>
      </c>
      <c r="G179" s="176">
        <f t="shared" si="68"/>
        <v>-22.147157561530214</v>
      </c>
      <c r="H179" s="176">
        <f t="shared" si="68"/>
        <v>-22.719264948304836</v>
      </c>
      <c r="I179" s="176">
        <f t="shared" si="68"/>
        <v>-23.339182607948519</v>
      </c>
      <c r="J179" s="176">
        <f t="shared" si="68"/>
        <v>-65.581291763023728</v>
      </c>
      <c r="K179" s="176">
        <f t="shared" si="68"/>
        <v>-66.289045035009067</v>
      </c>
      <c r="L179" s="176">
        <f t="shared" si="68"/>
        <v>-67.056896108766637</v>
      </c>
      <c r="M179" s="176">
        <f t="shared" si="68"/>
        <v>-67.889687583838295</v>
      </c>
      <c r="N179" s="176">
        <f t="shared" si="68"/>
        <v>-68.792649815483344</v>
      </c>
      <c r="O179" s="176">
        <f t="shared" si="68"/>
        <v>-69.771431938613276</v>
      </c>
      <c r="P179" s="176">
        <f t="shared" si="68"/>
        <v>-102.71454552812604</v>
      </c>
      <c r="Q179" s="176">
        <f t="shared" si="68"/>
        <v>-103.8318607752813</v>
      </c>
      <c r="R179" s="176">
        <f t="shared" si="68"/>
        <v>-105.04448567846288</v>
      </c>
      <c r="S179" s="176">
        <f t="shared" si="68"/>
        <v>-104.95814971528316</v>
      </c>
      <c r="T179" s="176">
        <f t="shared" si="68"/>
        <v>-104.87095039247164</v>
      </c>
      <c r="U179" s="176">
        <f t="shared" si="68"/>
        <v>-104.78287907643201</v>
      </c>
      <c r="V179" s="176">
        <f t="shared" si="68"/>
        <v>-146.0155248682145</v>
      </c>
      <c r="W179" s="176">
        <f t="shared" si="68"/>
        <v>-145.90356546449024</v>
      </c>
      <c r="X179" s="176">
        <f t="shared" si="68"/>
        <v>-145.79048646672874</v>
      </c>
      <c r="Y179" s="176">
        <f t="shared" si="68"/>
        <v>-145.67627667898961</v>
      </c>
      <c r="Z179" s="176">
        <f t="shared" si="68"/>
        <v>-145.56092479337309</v>
      </c>
      <c r="AA179" s="289">
        <f t="shared" si="68"/>
        <v>-175.4444193889004</v>
      </c>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6"/>
      <c r="AX179" s="176"/>
      <c r="AY179" s="176"/>
      <c r="AZ179" s="246" t="s">
        <v>186</v>
      </c>
    </row>
    <row r="180" spans="1:52" ht="15.75" x14ac:dyDescent="0.4">
      <c r="A180" s="107" t="s">
        <v>7</v>
      </c>
      <c r="B180" s="176">
        <f t="shared" ref="B180:AA180" si="69">-B80</f>
        <v>10</v>
      </c>
      <c r="C180" s="176">
        <f t="shared" si="69"/>
        <v>9.901960784313701</v>
      </c>
      <c r="D180" s="176">
        <f t="shared" si="69"/>
        <v>-16.49454545454546</v>
      </c>
      <c r="E180" s="176">
        <f t="shared" si="69"/>
        <v>-16.491109090909095</v>
      </c>
      <c r="F180" s="176">
        <f t="shared" si="69"/>
        <v>-16.487638363636368</v>
      </c>
      <c r="G180" s="176">
        <f t="shared" si="69"/>
        <v>-16.484132929090915</v>
      </c>
      <c r="H180" s="176">
        <f t="shared" si="69"/>
        <v>-13.029612048043127</v>
      </c>
      <c r="I180" s="176">
        <f t="shared" si="69"/>
        <v>-13.026036154263309</v>
      </c>
      <c r="J180" s="176">
        <f t="shared" si="69"/>
        <v>-32.946809787405144</v>
      </c>
      <c r="K180" s="176">
        <f t="shared" si="69"/>
        <v>-32.939514248915557</v>
      </c>
      <c r="L180" s="176">
        <f t="shared" si="69"/>
        <v>-32.932145755041077</v>
      </c>
      <c r="M180" s="176">
        <f t="shared" si="69"/>
        <v>-32.924703576227849</v>
      </c>
      <c r="N180" s="176">
        <f t="shared" si="69"/>
        <v>-22.917186975626493</v>
      </c>
      <c r="O180" s="176">
        <f t="shared" si="69"/>
        <v>-23.007634424705419</v>
      </c>
      <c r="P180" s="176">
        <f t="shared" si="69"/>
        <v>-49.35289128711851</v>
      </c>
      <c r="Q180" s="176">
        <f t="shared" si="69"/>
        <v>-49.341274745444245</v>
      </c>
      <c r="R180" s="176">
        <f t="shared" si="69"/>
        <v>-49.329542038353232</v>
      </c>
      <c r="S180" s="176">
        <f t="shared" si="69"/>
        <v>-49.317692004191308</v>
      </c>
      <c r="T180" s="176">
        <f t="shared" si="69"/>
        <v>-45.854743077530884</v>
      </c>
      <c r="U180" s="176">
        <f t="shared" si="69"/>
        <v>-45.842654857682312</v>
      </c>
      <c r="V180" s="176">
        <f t="shared" si="69"/>
        <v>-65.708568197056167</v>
      </c>
      <c r="W180" s="176">
        <f t="shared" si="69"/>
        <v>-65.692126606299453</v>
      </c>
      <c r="X180" s="176">
        <f t="shared" si="69"/>
        <v>-65.675520599635178</v>
      </c>
      <c r="Y180" s="176">
        <f t="shared" si="69"/>
        <v>-65.658748532904255</v>
      </c>
      <c r="Z180" s="176">
        <f t="shared" si="69"/>
        <v>-65.641808745506026</v>
      </c>
      <c r="AA180" s="289">
        <f t="shared" si="69"/>
        <v>-65.624699560233807</v>
      </c>
      <c r="AB180" s="176">
        <f t="shared" ref="AB180:AY180" si="70">-AB125</f>
        <v>0</v>
      </c>
      <c r="AC180" s="176">
        <f t="shared" si="70"/>
        <v>0</v>
      </c>
      <c r="AD180" s="176">
        <f t="shared" si="70"/>
        <v>0</v>
      </c>
      <c r="AE180" s="176">
        <f t="shared" si="70"/>
        <v>0</v>
      </c>
      <c r="AF180" s="176">
        <f t="shared" si="70"/>
        <v>0</v>
      </c>
      <c r="AG180" s="176">
        <f t="shared" si="70"/>
        <v>0</v>
      </c>
      <c r="AH180" s="176">
        <f t="shared" si="70"/>
        <v>0</v>
      </c>
      <c r="AI180" s="176">
        <f t="shared" si="70"/>
        <v>0</v>
      </c>
      <c r="AJ180" s="176">
        <f t="shared" si="70"/>
        <v>0</v>
      </c>
      <c r="AK180" s="176">
        <f t="shared" si="70"/>
        <v>0</v>
      </c>
      <c r="AL180" s="176">
        <f t="shared" si="70"/>
        <v>0</v>
      </c>
      <c r="AM180" s="176">
        <f t="shared" si="70"/>
        <v>0</v>
      </c>
      <c r="AN180" s="176">
        <f t="shared" si="70"/>
        <v>0</v>
      </c>
      <c r="AO180" s="176">
        <f t="shared" si="70"/>
        <v>0</v>
      </c>
      <c r="AP180" s="176">
        <f t="shared" si="70"/>
        <v>0</v>
      </c>
      <c r="AQ180" s="176">
        <f t="shared" si="70"/>
        <v>0</v>
      </c>
      <c r="AR180" s="176">
        <f t="shared" si="70"/>
        <v>0</v>
      </c>
      <c r="AS180" s="176">
        <f t="shared" si="70"/>
        <v>0</v>
      </c>
      <c r="AT180" s="176">
        <f t="shared" si="70"/>
        <v>0</v>
      </c>
      <c r="AU180" s="176">
        <f t="shared" si="70"/>
        <v>0</v>
      </c>
      <c r="AV180" s="176">
        <f t="shared" si="70"/>
        <v>0</v>
      </c>
      <c r="AW180" s="176">
        <f t="shared" si="70"/>
        <v>0</v>
      </c>
      <c r="AX180" s="176">
        <f t="shared" si="70"/>
        <v>0</v>
      </c>
      <c r="AY180" s="176">
        <f t="shared" si="70"/>
        <v>0</v>
      </c>
      <c r="AZ180" s="246" t="s">
        <v>186</v>
      </c>
    </row>
    <row r="181" spans="1:52" ht="15.75" x14ac:dyDescent="0.4">
      <c r="A181" s="107"/>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289"/>
      <c r="AB181" s="176"/>
      <c r="AC181" s="176"/>
      <c r="AD181" s="176"/>
      <c r="AE181" s="176"/>
      <c r="AF181" s="176"/>
      <c r="AG181" s="176"/>
      <c r="AH181" s="176"/>
      <c r="AI181" s="176"/>
      <c r="AJ181" s="176"/>
      <c r="AK181" s="176"/>
      <c r="AL181" s="176"/>
      <c r="AM181" s="176"/>
      <c r="AN181" s="176"/>
      <c r="AO181" s="176"/>
      <c r="AP181" s="176"/>
      <c r="AQ181" s="176"/>
      <c r="AR181" s="176"/>
      <c r="AS181" s="176"/>
      <c r="AT181" s="176"/>
      <c r="AU181" s="176"/>
      <c r="AV181" s="176"/>
      <c r="AW181" s="176"/>
      <c r="AX181" s="176"/>
      <c r="AY181" s="176"/>
      <c r="AZ181" s="246" t="s">
        <v>186</v>
      </c>
    </row>
    <row r="182" spans="1:52" ht="15.75" x14ac:dyDescent="0.4">
      <c r="A182" s="107" t="s">
        <v>290</v>
      </c>
      <c r="B182" s="176">
        <f>B183</f>
        <v>0</v>
      </c>
      <c r="C182" s="176">
        <f t="shared" ref="C182:AY182" si="71">C183</f>
        <v>0</v>
      </c>
      <c r="D182" s="176">
        <f t="shared" si="71"/>
        <v>14.4</v>
      </c>
      <c r="E182" s="176">
        <f t="shared" si="71"/>
        <v>14.4</v>
      </c>
      <c r="F182" s="176">
        <f t="shared" si="71"/>
        <v>14.4</v>
      </c>
      <c r="G182" s="176">
        <f t="shared" si="71"/>
        <v>14.4</v>
      </c>
      <c r="H182" s="176">
        <f t="shared" si="71"/>
        <v>14.4</v>
      </c>
      <c r="I182" s="176">
        <f t="shared" si="71"/>
        <v>14.4</v>
      </c>
      <c r="J182" s="176">
        <f t="shared" si="71"/>
        <v>28.8</v>
      </c>
      <c r="K182" s="176">
        <f t="shared" si="71"/>
        <v>28.8</v>
      </c>
      <c r="L182" s="176">
        <f t="shared" si="71"/>
        <v>28.8</v>
      </c>
      <c r="M182" s="176">
        <f t="shared" si="71"/>
        <v>28.8</v>
      </c>
      <c r="N182" s="176">
        <f t="shared" si="71"/>
        <v>28.8</v>
      </c>
      <c r="O182" s="176">
        <f t="shared" si="71"/>
        <v>28.8</v>
      </c>
      <c r="P182" s="176">
        <f t="shared" si="71"/>
        <v>43.2</v>
      </c>
      <c r="Q182" s="176">
        <f t="shared" si="71"/>
        <v>43.2</v>
      </c>
      <c r="R182" s="176">
        <f t="shared" si="71"/>
        <v>43.2</v>
      </c>
      <c r="S182" s="176">
        <f t="shared" si="71"/>
        <v>43.2</v>
      </c>
      <c r="T182" s="176">
        <f t="shared" si="71"/>
        <v>43.2</v>
      </c>
      <c r="U182" s="176">
        <f t="shared" si="71"/>
        <v>43.2</v>
      </c>
      <c r="V182" s="176">
        <f t="shared" si="71"/>
        <v>57.6</v>
      </c>
      <c r="W182" s="176">
        <f t="shared" si="71"/>
        <v>57.6</v>
      </c>
      <c r="X182" s="176">
        <f t="shared" si="71"/>
        <v>57.6</v>
      </c>
      <c r="Y182" s="176">
        <f t="shared" si="71"/>
        <v>57.6</v>
      </c>
      <c r="Z182" s="176">
        <f t="shared" si="71"/>
        <v>57.6</v>
      </c>
      <c r="AA182" s="289">
        <f t="shared" si="71"/>
        <v>57.6</v>
      </c>
      <c r="AB182" s="176">
        <f t="shared" si="71"/>
        <v>57.6</v>
      </c>
      <c r="AC182" s="176">
        <f t="shared" si="71"/>
        <v>57.6</v>
      </c>
      <c r="AD182" s="176">
        <f t="shared" si="71"/>
        <v>57.6</v>
      </c>
      <c r="AE182" s="176">
        <f t="shared" si="71"/>
        <v>57.6</v>
      </c>
      <c r="AF182" s="176">
        <f t="shared" si="71"/>
        <v>57.6</v>
      </c>
      <c r="AG182" s="176">
        <f t="shared" si="71"/>
        <v>57.6</v>
      </c>
      <c r="AH182" s="176">
        <f t="shared" si="71"/>
        <v>57.6</v>
      </c>
      <c r="AI182" s="176">
        <f t="shared" si="71"/>
        <v>57.6</v>
      </c>
      <c r="AJ182" s="176">
        <f t="shared" si="71"/>
        <v>57.6</v>
      </c>
      <c r="AK182" s="176">
        <f t="shared" si="71"/>
        <v>57.6</v>
      </c>
      <c r="AL182" s="176">
        <f t="shared" si="71"/>
        <v>57.6</v>
      </c>
      <c r="AM182" s="176">
        <f t="shared" si="71"/>
        <v>57.6</v>
      </c>
      <c r="AN182" s="176">
        <f t="shared" si="71"/>
        <v>57.6</v>
      </c>
      <c r="AO182" s="176">
        <f t="shared" si="71"/>
        <v>57.6</v>
      </c>
      <c r="AP182" s="176">
        <f t="shared" si="71"/>
        <v>57.6</v>
      </c>
      <c r="AQ182" s="176">
        <f t="shared" si="71"/>
        <v>57.6</v>
      </c>
      <c r="AR182" s="176">
        <f t="shared" si="71"/>
        <v>57.6</v>
      </c>
      <c r="AS182" s="176">
        <f t="shared" si="71"/>
        <v>57.6</v>
      </c>
      <c r="AT182" s="176">
        <f t="shared" si="71"/>
        <v>57.6</v>
      </c>
      <c r="AU182" s="176">
        <f t="shared" si="71"/>
        <v>57.6</v>
      </c>
      <c r="AV182" s="176">
        <f t="shared" si="71"/>
        <v>57.6</v>
      </c>
      <c r="AW182" s="176">
        <f t="shared" si="71"/>
        <v>57.6</v>
      </c>
      <c r="AX182" s="176">
        <f t="shared" si="71"/>
        <v>57.6</v>
      </c>
      <c r="AY182" s="176">
        <f t="shared" si="71"/>
        <v>57.6</v>
      </c>
      <c r="AZ182" s="246" t="s">
        <v>186</v>
      </c>
    </row>
    <row r="183" spans="1:52" ht="15.75" x14ac:dyDescent="0.4">
      <c r="A183" s="107" t="s">
        <v>276</v>
      </c>
      <c r="B183" s="176">
        <f t="shared" ref="B183:AG183" si="72">B148</f>
        <v>0</v>
      </c>
      <c r="C183" s="176">
        <f t="shared" si="72"/>
        <v>0</v>
      </c>
      <c r="D183" s="176">
        <f t="shared" si="72"/>
        <v>14.4</v>
      </c>
      <c r="E183" s="176">
        <f t="shared" si="72"/>
        <v>14.4</v>
      </c>
      <c r="F183" s="176">
        <f t="shared" si="72"/>
        <v>14.4</v>
      </c>
      <c r="G183" s="176">
        <f t="shared" si="72"/>
        <v>14.4</v>
      </c>
      <c r="H183" s="176">
        <f t="shared" si="72"/>
        <v>14.4</v>
      </c>
      <c r="I183" s="176">
        <f t="shared" si="72"/>
        <v>14.4</v>
      </c>
      <c r="J183" s="176">
        <f t="shared" si="72"/>
        <v>28.8</v>
      </c>
      <c r="K183" s="176">
        <f t="shared" si="72"/>
        <v>28.8</v>
      </c>
      <c r="L183" s="176">
        <f t="shared" si="72"/>
        <v>28.8</v>
      </c>
      <c r="M183" s="176">
        <f t="shared" si="72"/>
        <v>28.8</v>
      </c>
      <c r="N183" s="176">
        <f t="shared" si="72"/>
        <v>28.8</v>
      </c>
      <c r="O183" s="176">
        <f t="shared" si="72"/>
        <v>28.8</v>
      </c>
      <c r="P183" s="176">
        <f t="shared" si="72"/>
        <v>43.2</v>
      </c>
      <c r="Q183" s="176">
        <f t="shared" si="72"/>
        <v>43.2</v>
      </c>
      <c r="R183" s="176">
        <f t="shared" si="72"/>
        <v>43.2</v>
      </c>
      <c r="S183" s="176">
        <f t="shared" si="72"/>
        <v>43.2</v>
      </c>
      <c r="T183" s="176">
        <f t="shared" si="72"/>
        <v>43.2</v>
      </c>
      <c r="U183" s="176">
        <f t="shared" si="72"/>
        <v>43.2</v>
      </c>
      <c r="V183" s="176">
        <f t="shared" si="72"/>
        <v>57.6</v>
      </c>
      <c r="W183" s="176">
        <f t="shared" si="72"/>
        <v>57.6</v>
      </c>
      <c r="X183" s="176">
        <f t="shared" si="72"/>
        <v>57.6</v>
      </c>
      <c r="Y183" s="176">
        <f t="shared" si="72"/>
        <v>57.6</v>
      </c>
      <c r="Z183" s="176">
        <f t="shared" si="72"/>
        <v>57.6</v>
      </c>
      <c r="AA183" s="289">
        <f t="shared" si="72"/>
        <v>57.6</v>
      </c>
      <c r="AB183" s="176">
        <f t="shared" si="72"/>
        <v>57.6</v>
      </c>
      <c r="AC183" s="176">
        <f t="shared" si="72"/>
        <v>57.6</v>
      </c>
      <c r="AD183" s="176">
        <f t="shared" si="72"/>
        <v>57.6</v>
      </c>
      <c r="AE183" s="176">
        <f t="shared" si="72"/>
        <v>57.6</v>
      </c>
      <c r="AF183" s="176">
        <f t="shared" si="72"/>
        <v>57.6</v>
      </c>
      <c r="AG183" s="176">
        <f t="shared" si="72"/>
        <v>57.6</v>
      </c>
      <c r="AH183" s="176">
        <f t="shared" ref="AH183:AY183" si="73">AH148</f>
        <v>57.6</v>
      </c>
      <c r="AI183" s="176">
        <f t="shared" si="73"/>
        <v>57.6</v>
      </c>
      <c r="AJ183" s="176">
        <f t="shared" si="73"/>
        <v>57.6</v>
      </c>
      <c r="AK183" s="176">
        <f t="shared" si="73"/>
        <v>57.6</v>
      </c>
      <c r="AL183" s="176">
        <f t="shared" si="73"/>
        <v>57.6</v>
      </c>
      <c r="AM183" s="176">
        <f t="shared" si="73"/>
        <v>57.6</v>
      </c>
      <c r="AN183" s="176">
        <f t="shared" si="73"/>
        <v>57.6</v>
      </c>
      <c r="AO183" s="176">
        <f t="shared" si="73"/>
        <v>57.6</v>
      </c>
      <c r="AP183" s="176">
        <f t="shared" si="73"/>
        <v>57.6</v>
      </c>
      <c r="AQ183" s="176">
        <f t="shared" si="73"/>
        <v>57.6</v>
      </c>
      <c r="AR183" s="176">
        <f t="shared" si="73"/>
        <v>57.6</v>
      </c>
      <c r="AS183" s="176">
        <f t="shared" si="73"/>
        <v>57.6</v>
      </c>
      <c r="AT183" s="176">
        <f t="shared" si="73"/>
        <v>57.6</v>
      </c>
      <c r="AU183" s="176">
        <f t="shared" si="73"/>
        <v>57.6</v>
      </c>
      <c r="AV183" s="176">
        <f t="shared" si="73"/>
        <v>57.6</v>
      </c>
      <c r="AW183" s="176">
        <f t="shared" si="73"/>
        <v>57.6</v>
      </c>
      <c r="AX183" s="176">
        <f t="shared" si="73"/>
        <v>57.6</v>
      </c>
      <c r="AY183" s="176">
        <f t="shared" si="73"/>
        <v>57.6</v>
      </c>
      <c r="AZ183" s="246" t="s">
        <v>186</v>
      </c>
    </row>
    <row r="184" spans="1:52" ht="15.75" x14ac:dyDescent="0.4">
      <c r="A184" s="275" t="s">
        <v>286</v>
      </c>
      <c r="B184" s="303">
        <f t="shared" ref="B184:AG184" si="74">SUM(B168,B170,B172,B176,B178,B182)</f>
        <v>500</v>
      </c>
      <c r="C184" s="303">
        <f t="shared" si="74"/>
        <v>495.0980392156863</v>
      </c>
      <c r="D184" s="303">
        <f t="shared" si="74"/>
        <v>-145.50545454545451</v>
      </c>
      <c r="E184" s="303">
        <f t="shared" si="74"/>
        <v>-145.47109090909092</v>
      </c>
      <c r="F184" s="303">
        <f t="shared" si="74"/>
        <v>-145.43638363636362</v>
      </c>
      <c r="G184" s="303">
        <f t="shared" si="74"/>
        <v>-145.40132929090908</v>
      </c>
      <c r="H184" s="303">
        <f t="shared" si="74"/>
        <v>27.183095205843109</v>
      </c>
      <c r="I184" s="303">
        <f t="shared" si="74"/>
        <v>27.218854143641302</v>
      </c>
      <c r="J184" s="303">
        <f t="shared" si="74"/>
        <v>-290.5880978740513</v>
      </c>
      <c r="K184" s="303">
        <f t="shared" si="74"/>
        <v>-290.51514248915544</v>
      </c>
      <c r="L184" s="303">
        <f t="shared" si="74"/>
        <v>-290.44145755041063</v>
      </c>
      <c r="M184" s="303">
        <f t="shared" si="74"/>
        <v>-290.36703576227836</v>
      </c>
      <c r="N184" s="303">
        <f t="shared" si="74"/>
        <v>209.70813024373521</v>
      </c>
      <c r="O184" s="303">
        <f t="shared" si="74"/>
        <v>204.88208712549533</v>
      </c>
      <c r="P184" s="303">
        <f t="shared" si="74"/>
        <v>-435.20891287118491</v>
      </c>
      <c r="Q184" s="303">
        <f t="shared" si="74"/>
        <v>-435.0927474544423</v>
      </c>
      <c r="R184" s="303">
        <f t="shared" si="74"/>
        <v>-434.97542038353214</v>
      </c>
      <c r="S184" s="303">
        <f t="shared" si="74"/>
        <v>-434.85692004191293</v>
      </c>
      <c r="T184" s="303">
        <f t="shared" si="74"/>
        <v>-262.18821508903437</v>
      </c>
      <c r="U184" s="303">
        <f t="shared" si="74"/>
        <v>-262.06733289054858</v>
      </c>
      <c r="V184" s="303">
        <f t="shared" si="74"/>
        <v>-579.3256819705615</v>
      </c>
      <c r="W184" s="303">
        <f t="shared" si="74"/>
        <v>-579.16126606299429</v>
      </c>
      <c r="X184" s="303">
        <f t="shared" si="74"/>
        <v>-578.9952059963515</v>
      </c>
      <c r="Y184" s="303">
        <f t="shared" si="74"/>
        <v>-578.82748532904236</v>
      </c>
      <c r="Z184" s="303">
        <f t="shared" si="74"/>
        <v>-578.65808745506013</v>
      </c>
      <c r="AA184" s="304">
        <f t="shared" si="74"/>
        <v>-578.48699560233786</v>
      </c>
      <c r="AB184" s="303">
        <f t="shared" si="74"/>
        <v>57.6</v>
      </c>
      <c r="AC184" s="303">
        <f t="shared" si="74"/>
        <v>57.6</v>
      </c>
      <c r="AD184" s="303">
        <f t="shared" si="74"/>
        <v>57.6</v>
      </c>
      <c r="AE184" s="303">
        <f t="shared" si="74"/>
        <v>57.6</v>
      </c>
      <c r="AF184" s="303">
        <f t="shared" si="74"/>
        <v>57.6</v>
      </c>
      <c r="AG184" s="303">
        <f t="shared" si="74"/>
        <v>57.6</v>
      </c>
      <c r="AH184" s="303">
        <f t="shared" ref="AH184:AY184" si="75">SUM(AH168,AH170,AH172,AH176,AH178,AH182)</f>
        <v>57.6</v>
      </c>
      <c r="AI184" s="303">
        <f t="shared" si="75"/>
        <v>57.6</v>
      </c>
      <c r="AJ184" s="303">
        <f t="shared" si="75"/>
        <v>57.6</v>
      </c>
      <c r="AK184" s="303">
        <f t="shared" si="75"/>
        <v>57.6</v>
      </c>
      <c r="AL184" s="303">
        <f t="shared" si="75"/>
        <v>57.6</v>
      </c>
      <c r="AM184" s="303">
        <f t="shared" si="75"/>
        <v>57.6</v>
      </c>
      <c r="AN184" s="303">
        <f t="shared" si="75"/>
        <v>57.6</v>
      </c>
      <c r="AO184" s="303">
        <f t="shared" si="75"/>
        <v>57.6</v>
      </c>
      <c r="AP184" s="303">
        <f t="shared" si="75"/>
        <v>57.6</v>
      </c>
      <c r="AQ184" s="303">
        <f t="shared" si="75"/>
        <v>57.6</v>
      </c>
      <c r="AR184" s="303">
        <f t="shared" si="75"/>
        <v>57.6</v>
      </c>
      <c r="AS184" s="303">
        <f t="shared" si="75"/>
        <v>57.6</v>
      </c>
      <c r="AT184" s="303">
        <f t="shared" si="75"/>
        <v>57.6</v>
      </c>
      <c r="AU184" s="303">
        <f t="shared" si="75"/>
        <v>57.6</v>
      </c>
      <c r="AV184" s="303">
        <f t="shared" si="75"/>
        <v>57.6</v>
      </c>
      <c r="AW184" s="303">
        <f t="shared" si="75"/>
        <v>57.6</v>
      </c>
      <c r="AX184" s="303">
        <f t="shared" si="75"/>
        <v>57.6</v>
      </c>
      <c r="AY184" s="303">
        <f t="shared" si="75"/>
        <v>57.6</v>
      </c>
      <c r="AZ184" s="302" t="s">
        <v>186</v>
      </c>
    </row>
    <row r="185" spans="1:52" ht="15.75" x14ac:dyDescent="0.4">
      <c r="A185" s="107"/>
      <c r="B185" s="84"/>
      <c r="C185" s="85"/>
      <c r="D185" s="85"/>
      <c r="E185" s="85"/>
      <c r="F185" s="226"/>
      <c r="G185" s="85"/>
      <c r="H185" s="85"/>
      <c r="I185" s="85"/>
      <c r="J185" s="85"/>
      <c r="K185" s="226"/>
      <c r="L185" s="85"/>
      <c r="M185" s="85"/>
      <c r="N185" s="85"/>
      <c r="O185" s="85"/>
      <c r="P185" s="226"/>
      <c r="Q185" s="85"/>
      <c r="R185" s="85"/>
      <c r="S185" s="85"/>
      <c r="T185" s="85"/>
      <c r="U185" s="226"/>
      <c r="V185" s="85"/>
      <c r="W185" s="85"/>
      <c r="X185" s="85"/>
      <c r="Y185" s="85"/>
      <c r="Z185" s="226"/>
      <c r="AA185" s="287"/>
      <c r="AB185" s="85"/>
      <c r="AC185" s="85"/>
      <c r="AD185" s="85"/>
      <c r="AE185" s="85"/>
      <c r="AF185" s="85"/>
      <c r="AG185" s="85"/>
      <c r="AH185" s="85"/>
      <c r="AI185" s="85"/>
      <c r="AJ185" s="85"/>
      <c r="AK185" s="85"/>
      <c r="AL185" s="85"/>
      <c r="AM185" s="85"/>
      <c r="AN185" s="85"/>
      <c r="AO185" s="85"/>
      <c r="AP185" s="85"/>
      <c r="AQ185" s="85"/>
      <c r="AR185" s="85"/>
      <c r="AS185" s="85"/>
      <c r="AT185" s="85"/>
      <c r="AU185" s="85"/>
      <c r="AV185" s="85"/>
      <c r="AW185" s="85"/>
      <c r="AX185" s="85"/>
      <c r="AY185" s="85"/>
      <c r="AZ185" s="89" t="s">
        <v>186</v>
      </c>
    </row>
    <row r="186" spans="1:52" s="178" customFormat="1" ht="15.75" x14ac:dyDescent="0.4">
      <c r="A186" s="276" t="s">
        <v>291</v>
      </c>
      <c r="B186" s="277">
        <f t="shared" ref="B186:AG186" si="76">B164-B184</f>
        <v>-500</v>
      </c>
      <c r="C186" s="277">
        <f t="shared" si="76"/>
        <v>-495.0980392156863</v>
      </c>
      <c r="D186" s="277">
        <f t="shared" si="76"/>
        <v>159.90545454545452</v>
      </c>
      <c r="E186" s="277">
        <f t="shared" si="76"/>
        <v>159.87109090909092</v>
      </c>
      <c r="F186" s="277">
        <f t="shared" si="76"/>
        <v>159.83638363636362</v>
      </c>
      <c r="G186" s="277">
        <f t="shared" si="76"/>
        <v>159.80132929090908</v>
      </c>
      <c r="H186" s="277">
        <f t="shared" si="76"/>
        <v>159.76592440200002</v>
      </c>
      <c r="I186" s="277">
        <f t="shared" si="76"/>
        <v>159.73016546420183</v>
      </c>
      <c r="J186" s="277">
        <f t="shared" si="76"/>
        <v>319.38809787405131</v>
      </c>
      <c r="K186" s="277">
        <f t="shared" si="76"/>
        <v>319.31514248915545</v>
      </c>
      <c r="L186" s="277">
        <f t="shared" si="76"/>
        <v>319.24145755041064</v>
      </c>
      <c r="M186" s="277">
        <f t="shared" si="76"/>
        <v>319.16703576227837</v>
      </c>
      <c r="N186" s="277">
        <f t="shared" si="76"/>
        <v>319.09186975626471</v>
      </c>
      <c r="O186" s="277">
        <f t="shared" si="76"/>
        <v>319.01595209019092</v>
      </c>
      <c r="P186" s="277">
        <f t="shared" si="76"/>
        <v>478.4089128711849</v>
      </c>
      <c r="Q186" s="277">
        <f t="shared" si="76"/>
        <v>478.29274745444229</v>
      </c>
      <c r="R186" s="277">
        <f t="shared" si="76"/>
        <v>478.17542038353213</v>
      </c>
      <c r="S186" s="277">
        <f t="shared" si="76"/>
        <v>478.05692004191292</v>
      </c>
      <c r="T186" s="277">
        <f t="shared" si="76"/>
        <v>477.93723469687751</v>
      </c>
      <c r="U186" s="277">
        <f t="shared" si="76"/>
        <v>477.81635249839172</v>
      </c>
      <c r="V186" s="277">
        <f t="shared" si="76"/>
        <v>636.92568197056153</v>
      </c>
      <c r="W186" s="277">
        <f t="shared" si="76"/>
        <v>636.76126606299431</v>
      </c>
      <c r="X186" s="277">
        <f t="shared" si="76"/>
        <v>636.59520599635152</v>
      </c>
      <c r="Y186" s="277">
        <f t="shared" si="76"/>
        <v>636.42748532904238</v>
      </c>
      <c r="Z186" s="277">
        <f t="shared" si="76"/>
        <v>636.25808745506015</v>
      </c>
      <c r="AA186" s="298">
        <f t="shared" si="76"/>
        <v>636.08699560233788</v>
      </c>
      <c r="AB186" s="277">
        <f t="shared" si="76"/>
        <v>19.60784313725491</v>
      </c>
      <c r="AC186" s="277">
        <f t="shared" si="76"/>
        <v>19.60784313725491</v>
      </c>
      <c r="AD186" s="277">
        <f t="shared" si="76"/>
        <v>19.60784313725491</v>
      </c>
      <c r="AE186" s="277">
        <f t="shared" si="76"/>
        <v>19.60784313725491</v>
      </c>
      <c r="AF186" s="277">
        <f t="shared" si="76"/>
        <v>19.60784313725491</v>
      </c>
      <c r="AG186" s="277">
        <f t="shared" si="76"/>
        <v>19.60784313725491</v>
      </c>
      <c r="AH186" s="277">
        <f t="shared" ref="AH186:AY186" si="77">AH164-AH184</f>
        <v>19.60784313725491</v>
      </c>
      <c r="AI186" s="277">
        <f t="shared" si="77"/>
        <v>19.60784313725491</v>
      </c>
      <c r="AJ186" s="277">
        <f t="shared" si="77"/>
        <v>19.60784313725491</v>
      </c>
      <c r="AK186" s="277">
        <f t="shared" si="77"/>
        <v>19.60784313725491</v>
      </c>
      <c r="AL186" s="277">
        <f t="shared" si="77"/>
        <v>19.60784313725491</v>
      </c>
      <c r="AM186" s="277">
        <f t="shared" si="77"/>
        <v>19.60784313725491</v>
      </c>
      <c r="AN186" s="277">
        <f t="shared" si="77"/>
        <v>19.60784313725491</v>
      </c>
      <c r="AO186" s="277">
        <f t="shared" si="77"/>
        <v>19.60784313725491</v>
      </c>
      <c r="AP186" s="277">
        <f t="shared" si="77"/>
        <v>19.60784313725491</v>
      </c>
      <c r="AQ186" s="277">
        <f t="shared" si="77"/>
        <v>19.60784313725491</v>
      </c>
      <c r="AR186" s="277">
        <f t="shared" si="77"/>
        <v>19.60784313725491</v>
      </c>
      <c r="AS186" s="277">
        <f t="shared" si="77"/>
        <v>19.60784313725491</v>
      </c>
      <c r="AT186" s="277">
        <f t="shared" si="77"/>
        <v>19.60784313725491</v>
      </c>
      <c r="AU186" s="277">
        <f t="shared" si="77"/>
        <v>19.60784313725491</v>
      </c>
      <c r="AV186" s="277">
        <f t="shared" si="77"/>
        <v>19.60784313725491</v>
      </c>
      <c r="AW186" s="277">
        <f t="shared" si="77"/>
        <v>19.60784313725491</v>
      </c>
      <c r="AX186" s="277">
        <f t="shared" si="77"/>
        <v>19.60784313725491</v>
      </c>
      <c r="AY186" s="277">
        <f t="shared" si="77"/>
        <v>19.60784313725491</v>
      </c>
      <c r="AZ186" s="89" t="s">
        <v>186</v>
      </c>
    </row>
    <row r="187" spans="1:52" ht="15.75" x14ac:dyDescent="0.4">
      <c r="A187" s="107"/>
      <c r="B187" s="84"/>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287"/>
      <c r="AB187" s="85"/>
      <c r="AC187" s="85"/>
      <c r="AD187" s="85"/>
      <c r="AE187" s="85"/>
      <c r="AF187" s="85"/>
      <c r="AG187" s="85"/>
      <c r="AH187" s="85"/>
      <c r="AI187" s="85"/>
      <c r="AJ187" s="85"/>
      <c r="AK187" s="85"/>
      <c r="AL187" s="85"/>
      <c r="AM187" s="85"/>
      <c r="AN187" s="85"/>
      <c r="AO187" s="85"/>
      <c r="AP187" s="85"/>
      <c r="AQ187" s="85"/>
      <c r="AR187" s="85"/>
      <c r="AS187" s="85"/>
      <c r="AT187" s="85"/>
      <c r="AU187" s="85"/>
      <c r="AV187" s="85"/>
      <c r="AW187" s="85"/>
      <c r="AX187" s="85"/>
      <c r="AY187" s="85"/>
      <c r="AZ187" s="89" t="s">
        <v>186</v>
      </c>
    </row>
    <row r="188" spans="1:52" ht="15.75" x14ac:dyDescent="0.5">
      <c r="A188" s="120" t="s">
        <v>277</v>
      </c>
      <c r="B188" s="121">
        <f>'Phương án 2'!H7</f>
        <v>0.06</v>
      </c>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287"/>
      <c r="AB188" s="85"/>
      <c r="AC188" s="85">
        <f>AC168+AC182</f>
        <v>57.6</v>
      </c>
      <c r="AD188" s="85"/>
      <c r="AE188" s="85"/>
      <c r="AF188" s="85"/>
      <c r="AG188" s="85"/>
      <c r="AH188" s="85"/>
      <c r="AI188" s="85"/>
      <c r="AJ188" s="85"/>
      <c r="AK188" s="85"/>
      <c r="AL188" s="85"/>
      <c r="AM188" s="85"/>
      <c r="AN188" s="85"/>
      <c r="AO188" s="85"/>
      <c r="AP188" s="85"/>
      <c r="AQ188" s="85"/>
      <c r="AR188" s="85"/>
      <c r="AS188" s="85"/>
      <c r="AT188" s="85"/>
      <c r="AU188" s="85"/>
      <c r="AV188" s="85"/>
      <c r="AW188" s="85"/>
      <c r="AX188" s="85"/>
      <c r="AY188" s="85"/>
      <c r="AZ188" s="89" t="s">
        <v>186</v>
      </c>
    </row>
    <row r="189" spans="1:52" ht="15.75" x14ac:dyDescent="0.4">
      <c r="A189" s="122" t="s">
        <v>292</v>
      </c>
      <c r="B189" s="123">
        <f>NPV(B188,C164:AA164)+B164</f>
        <v>1188.6769432599492</v>
      </c>
      <c r="C189" s="85"/>
      <c r="D189" s="305"/>
      <c r="E189" s="85"/>
      <c r="F189" s="85"/>
      <c r="G189" s="85"/>
      <c r="H189" s="85"/>
      <c r="I189" s="85"/>
      <c r="J189" s="85"/>
      <c r="K189" s="85"/>
      <c r="L189" s="85"/>
      <c r="M189" s="85"/>
      <c r="N189" s="85"/>
      <c r="O189" s="85"/>
      <c r="P189" s="85"/>
      <c r="Q189" s="85"/>
      <c r="R189" s="85"/>
      <c r="S189" s="85"/>
      <c r="T189" s="85"/>
      <c r="U189" s="85"/>
      <c r="V189" s="85"/>
      <c r="W189" s="85"/>
      <c r="X189" s="85"/>
      <c r="Y189" s="85"/>
      <c r="Z189" s="85"/>
      <c r="AA189" s="287"/>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c r="AY189" s="85"/>
      <c r="AZ189" s="89" t="s">
        <v>186</v>
      </c>
    </row>
    <row r="190" spans="1:52" ht="15.75" x14ac:dyDescent="0.4">
      <c r="A190" s="266" t="s">
        <v>293</v>
      </c>
      <c r="B190" s="279">
        <f>SUM(B191:B196)</f>
        <v>-1766.4381707129915</v>
      </c>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287"/>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c r="AY190" s="85"/>
      <c r="AZ190" s="89" t="s">
        <v>186</v>
      </c>
    </row>
    <row r="191" spans="1:52" ht="15.75" x14ac:dyDescent="0.4">
      <c r="A191" s="266" t="s">
        <v>297</v>
      </c>
      <c r="B191" s="279">
        <f>NPV($B$188,C168:AA168)+B168</f>
        <v>23.299863050389526</v>
      </c>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287"/>
      <c r="AB191" s="85"/>
      <c r="AC191" s="85"/>
      <c r="AD191" s="85"/>
      <c r="AE191" s="85"/>
      <c r="AF191" s="85"/>
      <c r="AG191" s="85"/>
      <c r="AH191" s="85"/>
      <c r="AI191" s="85"/>
      <c r="AJ191" s="85"/>
      <c r="AK191" s="85"/>
      <c r="AL191" s="85"/>
      <c r="AM191" s="85"/>
      <c r="AN191" s="85"/>
      <c r="AO191" s="85"/>
      <c r="AP191" s="85"/>
      <c r="AQ191" s="85"/>
      <c r="AR191" s="85"/>
      <c r="AS191" s="85"/>
      <c r="AT191" s="85"/>
      <c r="AU191" s="85"/>
      <c r="AV191" s="85"/>
      <c r="AW191" s="85"/>
      <c r="AX191" s="85"/>
      <c r="AY191" s="85"/>
      <c r="AZ191" s="89" t="s">
        <v>186</v>
      </c>
    </row>
    <row r="192" spans="1:52" ht="15.75" x14ac:dyDescent="0.4">
      <c r="A192" s="266" t="s">
        <v>304</v>
      </c>
      <c r="B192" s="279">
        <f>NPV(B188,C170:AA170)+B170</f>
        <v>-1261.966192333974</v>
      </c>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287"/>
      <c r="AB192" s="85"/>
      <c r="AC192" s="85"/>
      <c r="AD192" s="85"/>
      <c r="AE192" s="85"/>
      <c r="AF192" s="85"/>
      <c r="AG192" s="85"/>
      <c r="AH192" s="85"/>
      <c r="AI192" s="85"/>
      <c r="AJ192" s="85"/>
      <c r="AK192" s="85"/>
      <c r="AL192" s="85"/>
      <c r="AM192" s="85"/>
      <c r="AN192" s="85"/>
      <c r="AO192" s="85"/>
      <c r="AP192" s="85"/>
      <c r="AQ192" s="85"/>
      <c r="AR192" s="85"/>
      <c r="AS192" s="85"/>
      <c r="AT192" s="85"/>
      <c r="AU192" s="85"/>
      <c r="AV192" s="85"/>
      <c r="AW192" s="85"/>
      <c r="AX192" s="85"/>
      <c r="AY192" s="85"/>
    </row>
    <row r="193" spans="1:52" s="127" customFormat="1" ht="15.75" x14ac:dyDescent="0.4">
      <c r="A193" s="266" t="s">
        <v>305</v>
      </c>
      <c r="B193" s="279">
        <f>NPV(B188,C172:AA172)+B172</f>
        <v>368.58456551430135</v>
      </c>
      <c r="C193"/>
      <c r="D193"/>
      <c r="E193"/>
      <c r="F193"/>
      <c r="G193"/>
      <c r="H193"/>
      <c r="I193"/>
      <c r="J193"/>
      <c r="K193"/>
      <c r="L193"/>
      <c r="M193"/>
      <c r="N193"/>
      <c r="O193"/>
      <c r="P193"/>
      <c r="Q193"/>
      <c r="R193"/>
      <c r="AA193" s="282"/>
      <c r="AZ193" s="89" t="s">
        <v>186</v>
      </c>
    </row>
    <row r="194" spans="1:52" s="127" customFormat="1" ht="15.75" x14ac:dyDescent="0.4">
      <c r="A194" s="266" t="s">
        <v>306</v>
      </c>
      <c r="B194" s="279">
        <f>NPV(B188,C176:AA176)+B176</f>
        <v>-67.338814771550574</v>
      </c>
      <c r="C194"/>
      <c r="D194"/>
      <c r="E194"/>
      <c r="F194"/>
      <c r="G194"/>
      <c r="H194"/>
      <c r="I194"/>
      <c r="J194"/>
      <c r="K194"/>
      <c r="L194"/>
      <c r="M194"/>
      <c r="N194"/>
      <c r="O194"/>
      <c r="P194"/>
      <c r="Q194"/>
      <c r="R194"/>
      <c r="AA194" s="282"/>
      <c r="AZ194" s="89"/>
    </row>
    <row r="195" spans="1:52" s="127" customFormat="1" ht="15.75" x14ac:dyDescent="0.4">
      <c r="A195" s="266" t="s">
        <v>295</v>
      </c>
      <c r="B195" s="279">
        <f>NPV(B188,C178:AA178)+B178</f>
        <v>-1183.21219635541</v>
      </c>
      <c r="C195"/>
      <c r="D195"/>
      <c r="E195"/>
      <c r="F195"/>
      <c r="G195"/>
      <c r="H195"/>
      <c r="I195"/>
      <c r="J195"/>
      <c r="K195"/>
      <c r="L195"/>
      <c r="M195"/>
      <c r="N195"/>
      <c r="O195"/>
      <c r="P195"/>
      <c r="Q195"/>
      <c r="R195"/>
      <c r="AA195" s="282"/>
      <c r="AZ195" s="89" t="s">
        <v>186</v>
      </c>
    </row>
    <row r="196" spans="1:52" s="127" customFormat="1" ht="15.75" x14ac:dyDescent="0.4">
      <c r="A196" s="122" t="s">
        <v>296</v>
      </c>
      <c r="B196" s="278">
        <f>NPV(B188,C182:AA182)+B182</f>
        <v>354.19460418325218</v>
      </c>
      <c r="C196"/>
      <c r="D196"/>
      <c r="E196"/>
      <c r="F196"/>
      <c r="G196"/>
      <c r="H196"/>
      <c r="I196"/>
      <c r="J196"/>
      <c r="K196"/>
      <c r="L196"/>
      <c r="M196"/>
      <c r="N196"/>
      <c r="O196"/>
      <c r="P196"/>
      <c r="Q196"/>
      <c r="R196"/>
      <c r="AA196" s="282"/>
      <c r="AZ196" s="89" t="s">
        <v>186</v>
      </c>
    </row>
    <row r="197" spans="1:52" ht="13.15" x14ac:dyDescent="0.4">
      <c r="A197"/>
      <c r="B197"/>
      <c r="C197"/>
      <c r="D197" s="200"/>
      <c r="E197"/>
      <c r="F197"/>
      <c r="G197"/>
      <c r="H197"/>
      <c r="I197"/>
      <c r="J197"/>
      <c r="K197"/>
      <c r="L197"/>
      <c r="M197"/>
      <c r="N197"/>
      <c r="O197"/>
      <c r="P197"/>
      <c r="Q197"/>
      <c r="R197"/>
      <c r="S197"/>
    </row>
    <row r="198" spans="1:52" ht="13.15" x14ac:dyDescent="0.4">
      <c r="A198"/>
      <c r="B198"/>
      <c r="C198"/>
      <c r="D198"/>
      <c r="E198"/>
      <c r="F198"/>
      <c r="G198"/>
      <c r="H198"/>
      <c r="I198"/>
      <c r="J198"/>
      <c r="K198"/>
      <c r="L198"/>
      <c r="M198"/>
      <c r="N198"/>
      <c r="O198"/>
      <c r="P198"/>
      <c r="Q198"/>
      <c r="R198"/>
      <c r="S198"/>
    </row>
    <row r="199" spans="1:52" ht="15.75" x14ac:dyDescent="0.4">
      <c r="A199" s="321" t="s">
        <v>308</v>
      </c>
      <c r="B199" s="321"/>
      <c r="C199" s="321"/>
      <c r="D199" s="309"/>
      <c r="E199" s="200"/>
      <c r="F199" s="200"/>
      <c r="G199" s="200"/>
      <c r="H199" s="200"/>
      <c r="I199" s="200"/>
      <c r="J199" s="200"/>
      <c r="K199" s="200"/>
      <c r="L199" s="200"/>
      <c r="M199" s="200"/>
      <c r="N199" s="200"/>
      <c r="O199" s="200"/>
      <c r="P199" s="200"/>
      <c r="Q199" s="200"/>
      <c r="R199" s="200"/>
      <c r="S199"/>
    </row>
    <row r="200" spans="1:52" ht="13.15" x14ac:dyDescent="0.4">
      <c r="A200" s="309"/>
      <c r="B200" s="309"/>
      <c r="C200" s="309"/>
      <c r="D200" s="309"/>
      <c r="E200" s="200"/>
      <c r="F200" s="200"/>
      <c r="G200" s="200"/>
      <c r="H200" s="200"/>
      <c r="I200" s="200"/>
      <c r="J200" s="200"/>
      <c r="K200" s="200"/>
      <c r="L200" s="200"/>
      <c r="M200" s="200"/>
      <c r="N200" s="200"/>
      <c r="O200" s="200"/>
      <c r="P200" s="200"/>
      <c r="Q200" s="200"/>
      <c r="R200" s="200"/>
      <c r="S200"/>
    </row>
    <row r="201" spans="1:52" ht="15.75" x14ac:dyDescent="0.5">
      <c r="A201" s="310" t="s">
        <v>0</v>
      </c>
      <c r="B201" s="311">
        <v>0.04</v>
      </c>
      <c r="C201" s="311">
        <v>0.06</v>
      </c>
      <c r="D201" s="311">
        <v>0.08</v>
      </c>
      <c r="E201" s="200"/>
      <c r="F201" s="200"/>
      <c r="G201" s="200"/>
      <c r="H201" s="200"/>
      <c r="I201" s="200"/>
      <c r="J201" s="200"/>
      <c r="K201" s="200"/>
      <c r="L201" s="200"/>
      <c r="M201" s="200"/>
      <c r="N201" s="200"/>
      <c r="O201" s="200"/>
      <c r="P201" s="200"/>
      <c r="Q201" s="200"/>
      <c r="R201"/>
      <c r="Z201" s="282"/>
    </row>
    <row r="202" spans="1:52" ht="15.75" x14ac:dyDescent="0.5">
      <c r="A202" s="312" t="str">
        <f>A86</f>
        <v>NPV_TIPV (2009-2034)</v>
      </c>
      <c r="B202" s="313">
        <f>NPV(B$201,$C$83:$AA$83)+$B$83</f>
        <v>2093.3561092912705</v>
      </c>
      <c r="C202" s="313">
        <f>NPV(C$201,$C$83:$AA$83)+$B$83</f>
        <v>1329.3050071055245</v>
      </c>
      <c r="D202" s="313">
        <f>NPV(D$201,$C$83:$AA$83)+$B$83</f>
        <v>801.7456855472476</v>
      </c>
      <c r="E202" s="200"/>
      <c r="F202" s="200"/>
      <c r="G202" s="200"/>
      <c r="H202" s="200"/>
      <c r="I202" s="200"/>
      <c r="J202" s="200"/>
      <c r="K202" s="200"/>
      <c r="L202" s="200"/>
      <c r="M202" s="200"/>
      <c r="N202" s="200"/>
      <c r="O202" s="200"/>
      <c r="P202" s="200"/>
      <c r="Q202" s="200"/>
      <c r="R202"/>
      <c r="S202"/>
      <c r="T202"/>
      <c r="U202"/>
      <c r="V202"/>
      <c r="W202"/>
      <c r="X202"/>
      <c r="Y202"/>
      <c r="Z202"/>
      <c r="AA202" s="283"/>
      <c r="AB202"/>
      <c r="AC202"/>
      <c r="AD202"/>
      <c r="AE202"/>
      <c r="AF202"/>
      <c r="AG202"/>
      <c r="AH202"/>
      <c r="AI202"/>
      <c r="AJ202"/>
      <c r="AK202"/>
      <c r="AL202"/>
      <c r="AM202"/>
      <c r="AN202"/>
      <c r="AO202"/>
      <c r="AP202"/>
      <c r="AQ202"/>
      <c r="AR202"/>
      <c r="AS202"/>
      <c r="AT202"/>
      <c r="AU202"/>
      <c r="AV202"/>
      <c r="AW202"/>
      <c r="AX202"/>
    </row>
    <row r="203" spans="1:52" ht="15.75" x14ac:dyDescent="0.5">
      <c r="A203" s="312" t="str">
        <f>A97</f>
        <v>NPV_AV (2009-2034)</v>
      </c>
      <c r="B203" s="313">
        <f>NPV(B$201,$C$94:$AA$94)+$B$94</f>
        <v>1943.8780372299868</v>
      </c>
      <c r="C203" s="313">
        <f>NPV(C$201,$C$94:$AA$94)+$B$94</f>
        <v>1261.966192333974</v>
      </c>
      <c r="D203" s="313">
        <f>NPV(D$201,$C$94:$AA$94)+$B$94</f>
        <v>801.74568554724738</v>
      </c>
      <c r="E203" s="200"/>
      <c r="F203" s="200"/>
      <c r="G203" s="200"/>
      <c r="H203" s="200"/>
      <c r="I203" s="200"/>
      <c r="J203" s="200"/>
      <c r="K203" s="200"/>
      <c r="L203" s="200"/>
      <c r="M203" s="200"/>
      <c r="N203" s="200"/>
      <c r="O203" s="200"/>
      <c r="P203" s="200"/>
      <c r="Q203" s="200"/>
      <c r="R203"/>
      <c r="Z203" s="282"/>
    </row>
    <row r="204" spans="1:52" ht="15.75" x14ac:dyDescent="0.5">
      <c r="A204" s="312" t="str">
        <f>A130</f>
        <v>NPV_Chi phí DWR</v>
      </c>
      <c r="B204" s="313">
        <f>NPV(B$201,$C$127:$AA$127)+$B$127</f>
        <v>37.51168022539639</v>
      </c>
      <c r="C204" s="313">
        <f>NPV(C$201,$C$127:$AA$127)+$B$127</f>
        <v>23.299863050389526</v>
      </c>
      <c r="D204" s="313">
        <f>NPV(D$201,$C$127:$AA$127)+$B$127</f>
        <v>14.601790491291343</v>
      </c>
      <c r="E204" s="200"/>
      <c r="F204" s="200"/>
      <c r="G204" s="200"/>
      <c r="H204" s="200"/>
      <c r="I204" s="200"/>
      <c r="J204" s="200"/>
      <c r="K204" s="200"/>
      <c r="L204" s="200"/>
      <c r="M204" s="200"/>
      <c r="N204" s="200"/>
      <c r="O204" s="200"/>
      <c r="P204" s="200"/>
      <c r="Q204" s="200"/>
      <c r="R204"/>
      <c r="Z204" s="282"/>
    </row>
    <row r="205" spans="1:52" s="128" customFormat="1" ht="15.75" x14ac:dyDescent="0.5">
      <c r="A205" s="312" t="str">
        <f>A152</f>
        <v>NPV_Chi phí Kinh tế (2009-2034)</v>
      </c>
      <c r="B205" s="313">
        <f>NPV(B$201,$C$149:$AA$149)+$B$149</f>
        <v>1510.8407880786881</v>
      </c>
      <c r="C205" s="313">
        <f t="shared" ref="C205:D205" si="78">NPV(C$201,$C$149:$AA$149)+$B$149</f>
        <v>1188.6769432599492</v>
      </c>
      <c r="D205" s="313">
        <f t="shared" si="78"/>
        <v>947.63700615286155</v>
      </c>
      <c r="E205" s="200"/>
      <c r="F205" s="200"/>
      <c r="G205" s="200"/>
      <c r="H205" s="200"/>
      <c r="I205" s="200"/>
      <c r="J205" s="200"/>
      <c r="K205" s="200"/>
      <c r="L205" s="200"/>
      <c r="M205" s="200"/>
      <c r="N205" s="200"/>
      <c r="O205" s="200"/>
      <c r="P205" s="200"/>
      <c r="Q205" s="200"/>
      <c r="R205"/>
      <c r="S205"/>
      <c r="T205"/>
      <c r="U205"/>
      <c r="V205"/>
      <c r="W205"/>
      <c r="X205"/>
      <c r="Y205"/>
      <c r="Z205"/>
      <c r="AA205" s="283"/>
      <c r="AB205"/>
      <c r="AC205"/>
      <c r="AD205"/>
      <c r="AE205"/>
      <c r="AF205"/>
      <c r="AG205"/>
      <c r="AH205"/>
      <c r="AI205"/>
      <c r="AJ205"/>
      <c r="AK205"/>
      <c r="AY205" s="89"/>
    </row>
    <row r="206" spans="1:52" s="128" customFormat="1" ht="15.75" x14ac:dyDescent="0.5">
      <c r="A206" s="314" t="s">
        <v>309</v>
      </c>
      <c r="B206" s="315">
        <f>NPV(B$201,$C$184:$AA$184)+$B$184</f>
        <v>-2679.3592081533488</v>
      </c>
      <c r="C206" s="315">
        <f t="shared" ref="C206:D206" si="79">NPV(C$201,$C$184:$AA$184)+$B$184</f>
        <v>-1766.4381707129919</v>
      </c>
      <c r="D206" s="315">
        <f t="shared" si="79"/>
        <v>-1133.741199601991</v>
      </c>
      <c r="E206" s="200"/>
      <c r="F206" s="200"/>
      <c r="G206" s="200"/>
      <c r="H206" s="200"/>
      <c r="I206" s="200"/>
      <c r="J206" s="200"/>
      <c r="K206" s="200"/>
      <c r="L206" s="200"/>
      <c r="M206" s="200"/>
      <c r="N206" s="200"/>
      <c r="O206" s="200"/>
      <c r="P206" s="200"/>
      <c r="Q206" s="200"/>
      <c r="R206"/>
      <c r="Z206" s="299"/>
      <c r="AA206" s="299"/>
      <c r="AY206" s="89"/>
    </row>
    <row r="207" spans="1:52" s="128" customFormat="1" ht="15.75" x14ac:dyDescent="0.5">
      <c r="A207"/>
      <c r="B207"/>
      <c r="C207" s="200"/>
      <c r="D207" s="200"/>
      <c r="E207" s="200"/>
      <c r="F207" s="200"/>
      <c r="G207" s="200"/>
      <c r="H207" s="200"/>
      <c r="I207" s="200"/>
      <c r="J207" s="200"/>
      <c r="K207" s="200"/>
      <c r="L207" s="200"/>
      <c r="M207" s="200"/>
      <c r="N207" s="200"/>
      <c r="O207" s="200"/>
      <c r="P207" s="200"/>
      <c r="Q207" s="200"/>
      <c r="R207" s="200"/>
      <c r="S207"/>
      <c r="AA207" s="299"/>
      <c r="AZ207" s="89"/>
    </row>
    <row r="208" spans="1:52" s="128" customFormat="1" ht="15.75" x14ac:dyDescent="0.5">
      <c r="A208"/>
      <c r="B208"/>
      <c r="C208"/>
      <c r="D208"/>
      <c r="E208"/>
      <c r="F208"/>
      <c r="G208"/>
      <c r="H208"/>
      <c r="I208"/>
      <c r="J208"/>
      <c r="K208"/>
      <c r="L208"/>
      <c r="M208"/>
      <c r="N208"/>
      <c r="O208"/>
      <c r="P208"/>
      <c r="Q208"/>
      <c r="R208"/>
      <c r="S208"/>
      <c r="AA208" s="299"/>
      <c r="AZ208" s="89"/>
    </row>
    <row r="209" spans="1:52" s="128" customFormat="1" ht="15.75" x14ac:dyDescent="0.5">
      <c r="A209"/>
      <c r="B209"/>
      <c r="C209"/>
      <c r="D209"/>
      <c r="E209"/>
      <c r="F209"/>
      <c r="G209"/>
      <c r="H209"/>
      <c r="I209"/>
      <c r="J209"/>
      <c r="K209"/>
      <c r="L209"/>
      <c r="M209"/>
      <c r="N209"/>
      <c r="O209"/>
      <c r="P209"/>
      <c r="Q209"/>
      <c r="R209"/>
      <c r="S209"/>
      <c r="AA209" s="299"/>
      <c r="AZ209" s="89"/>
    </row>
    <row r="210" spans="1:52" s="128" customFormat="1" ht="15.75" x14ac:dyDescent="0.5">
      <c r="A210"/>
      <c r="B210"/>
      <c r="C210"/>
      <c r="D210"/>
      <c r="E210"/>
      <c r="F210"/>
      <c r="G210"/>
      <c r="H210"/>
      <c r="I210"/>
      <c r="J210"/>
      <c r="K210"/>
      <c r="L210"/>
      <c r="M210"/>
      <c r="N210"/>
      <c r="O210"/>
      <c r="P210"/>
      <c r="Q210"/>
      <c r="R210"/>
      <c r="S210"/>
      <c r="AA210" s="299"/>
      <c r="AZ210" s="89"/>
    </row>
    <row r="211" spans="1:52" s="128" customFormat="1" ht="15.75" x14ac:dyDescent="0.5">
      <c r="A211"/>
      <c r="B211"/>
      <c r="C211"/>
      <c r="D211"/>
      <c r="E211"/>
      <c r="F211"/>
      <c r="G211"/>
      <c r="H211"/>
      <c r="I211"/>
      <c r="J211"/>
      <c r="K211"/>
      <c r="L211"/>
      <c r="M211"/>
      <c r="N211"/>
      <c r="O211"/>
      <c r="P211"/>
      <c r="Q211"/>
      <c r="R211"/>
      <c r="S211"/>
      <c r="AA211" s="299"/>
      <c r="AZ211" s="89"/>
    </row>
    <row r="212" spans="1:52" s="128" customFormat="1" ht="15.75" x14ac:dyDescent="0.5">
      <c r="A212"/>
      <c r="B212"/>
      <c r="C212"/>
      <c r="D212"/>
      <c r="E212"/>
      <c r="F212"/>
      <c r="G212"/>
      <c r="H212"/>
      <c r="I212"/>
      <c r="J212"/>
      <c r="K212"/>
      <c r="L212"/>
      <c r="M212"/>
      <c r="N212"/>
      <c r="O212"/>
      <c r="P212"/>
      <c r="Q212"/>
      <c r="R212"/>
      <c r="S212"/>
      <c r="AA212" s="299"/>
      <c r="AZ212" s="89"/>
    </row>
    <row r="213" spans="1:52" s="128" customFormat="1" ht="15.75" x14ac:dyDescent="0.5">
      <c r="A213"/>
      <c r="B213"/>
      <c r="C213"/>
      <c r="D213"/>
      <c r="E213"/>
      <c r="F213"/>
      <c r="G213"/>
      <c r="H213"/>
      <c r="I213"/>
      <c r="J213"/>
      <c r="K213"/>
      <c r="L213"/>
      <c r="M213"/>
      <c r="N213"/>
      <c r="O213"/>
      <c r="P213"/>
      <c r="Q213"/>
      <c r="R213"/>
      <c r="S213"/>
      <c r="AA213" s="299"/>
      <c r="AZ213" s="89"/>
    </row>
    <row r="214" spans="1:52" s="128" customFormat="1" ht="15.75" x14ac:dyDescent="0.5">
      <c r="A214"/>
      <c r="B214"/>
      <c r="C214"/>
      <c r="D214"/>
      <c r="E214"/>
      <c r="F214"/>
      <c r="G214"/>
      <c r="H214"/>
      <c r="I214"/>
      <c r="J214"/>
      <c r="K214"/>
      <c r="L214"/>
      <c r="M214"/>
      <c r="N214"/>
      <c r="O214"/>
      <c r="P214"/>
      <c r="Q214"/>
      <c r="R214"/>
      <c r="S214"/>
      <c r="AA214" s="299"/>
      <c r="AZ214" s="89"/>
    </row>
    <row r="215" spans="1:52" s="128" customFormat="1" ht="15.75" x14ac:dyDescent="0.5">
      <c r="A215"/>
      <c r="B215"/>
      <c r="C215"/>
      <c r="D215"/>
      <c r="E215"/>
      <c r="F215"/>
      <c r="G215"/>
      <c r="H215"/>
      <c r="I215"/>
      <c r="J215"/>
      <c r="K215"/>
      <c r="L215"/>
      <c r="M215"/>
      <c r="N215"/>
      <c r="O215"/>
      <c r="P215"/>
      <c r="Q215"/>
      <c r="R215"/>
      <c r="S215"/>
      <c r="AA215" s="299"/>
      <c r="AZ215" s="89"/>
    </row>
    <row r="216" spans="1:52" s="128" customFormat="1" ht="15.75" x14ac:dyDescent="0.5">
      <c r="A216"/>
      <c r="B216"/>
      <c r="C216"/>
      <c r="D216"/>
      <c r="E216"/>
      <c r="F216"/>
      <c r="G216"/>
      <c r="H216"/>
      <c r="I216"/>
      <c r="J216"/>
      <c r="K216"/>
      <c r="L216"/>
      <c r="M216"/>
      <c r="N216"/>
      <c r="O216"/>
      <c r="P216"/>
      <c r="Q216"/>
      <c r="R216"/>
      <c r="S216"/>
      <c r="AA216" s="299"/>
      <c r="AZ216" s="89"/>
    </row>
    <row r="217" spans="1:52" s="128" customFormat="1" ht="15.75" x14ac:dyDescent="0.5">
      <c r="A217"/>
      <c r="B217"/>
      <c r="C217"/>
      <c r="D217"/>
      <c r="E217"/>
      <c r="F217"/>
      <c r="G217"/>
      <c r="H217"/>
      <c r="I217"/>
      <c r="J217"/>
      <c r="K217"/>
      <c r="L217"/>
      <c r="M217"/>
      <c r="N217"/>
      <c r="O217"/>
      <c r="P217"/>
      <c r="Q217"/>
      <c r="R217"/>
      <c r="S217"/>
      <c r="AA217" s="299"/>
      <c r="AZ217" s="89"/>
    </row>
    <row r="218" spans="1:52" s="128" customFormat="1" ht="15.75" x14ac:dyDescent="0.5">
      <c r="A218"/>
      <c r="B218"/>
      <c r="C218"/>
      <c r="D218"/>
      <c r="E218"/>
      <c r="F218"/>
      <c r="G218"/>
      <c r="H218"/>
      <c r="I218"/>
      <c r="J218"/>
      <c r="K218"/>
      <c r="L218"/>
      <c r="M218"/>
      <c r="N218"/>
      <c r="O218"/>
      <c r="P218"/>
      <c r="Q218"/>
      <c r="R218"/>
      <c r="S218"/>
      <c r="AA218" s="299"/>
      <c r="AZ218" s="89"/>
    </row>
    <row r="219" spans="1:52" s="128" customFormat="1" ht="15.75" x14ac:dyDescent="0.5">
      <c r="A219"/>
      <c r="B219"/>
      <c r="C219"/>
      <c r="D219"/>
      <c r="E219"/>
      <c r="F219"/>
      <c r="G219"/>
      <c r="H219"/>
      <c r="I219"/>
      <c r="J219"/>
      <c r="K219"/>
      <c r="L219"/>
      <c r="M219"/>
      <c r="N219"/>
      <c r="O219"/>
      <c r="P219"/>
      <c r="Q219"/>
      <c r="R219"/>
      <c r="S219"/>
      <c r="AA219" s="299"/>
      <c r="AZ219" s="89"/>
    </row>
    <row r="220" spans="1:52" s="128" customFormat="1" ht="15.75" x14ac:dyDescent="0.5">
      <c r="A220"/>
      <c r="B220"/>
      <c r="C220"/>
      <c r="D220"/>
      <c r="E220"/>
      <c r="F220"/>
      <c r="G220"/>
      <c r="H220"/>
      <c r="I220"/>
      <c r="J220"/>
      <c r="K220"/>
      <c r="L220"/>
      <c r="M220"/>
      <c r="N220"/>
      <c r="O220"/>
      <c r="P220"/>
      <c r="Q220"/>
      <c r="R220"/>
      <c r="S220"/>
      <c r="AA220" s="299"/>
      <c r="AZ220" s="89"/>
    </row>
    <row r="221" spans="1:52" s="128" customFormat="1" ht="15.75" x14ac:dyDescent="0.5">
      <c r="A221"/>
      <c r="B221"/>
      <c r="C221"/>
      <c r="D221"/>
      <c r="E221"/>
      <c r="F221"/>
      <c r="G221"/>
      <c r="H221"/>
      <c r="I221"/>
      <c r="J221"/>
      <c r="K221"/>
      <c r="L221"/>
      <c r="M221"/>
      <c r="N221"/>
      <c r="O221"/>
      <c r="P221"/>
      <c r="Q221"/>
      <c r="R221"/>
      <c r="S221"/>
      <c r="AA221" s="299"/>
      <c r="AZ221" s="89"/>
    </row>
    <row r="222" spans="1:52" s="128" customFormat="1" ht="15.75" x14ac:dyDescent="0.5">
      <c r="A222"/>
      <c r="B222"/>
      <c r="C222"/>
      <c r="D222"/>
      <c r="E222"/>
      <c r="F222"/>
      <c r="G222"/>
      <c r="H222"/>
      <c r="I222"/>
      <c r="J222"/>
      <c r="K222"/>
      <c r="L222"/>
      <c r="M222"/>
      <c r="N222"/>
      <c r="O222"/>
      <c r="P222"/>
      <c r="Q222"/>
      <c r="R222"/>
      <c r="S222"/>
      <c r="AA222" s="299"/>
      <c r="AZ222" s="89"/>
    </row>
    <row r="223" spans="1:52" s="128" customFormat="1" ht="15.75" x14ac:dyDescent="0.5">
      <c r="A223"/>
      <c r="B223"/>
      <c r="C223"/>
      <c r="D223"/>
      <c r="E223"/>
      <c r="F223"/>
      <c r="G223"/>
      <c r="H223"/>
      <c r="I223"/>
      <c r="J223"/>
      <c r="K223"/>
      <c r="L223"/>
      <c r="M223"/>
      <c r="N223"/>
      <c r="O223"/>
      <c r="P223"/>
      <c r="Q223"/>
      <c r="R223"/>
      <c r="S223"/>
      <c r="AA223" s="299"/>
      <c r="AZ223" s="89"/>
    </row>
    <row r="224" spans="1:52" s="128" customFormat="1" ht="15.75" x14ac:dyDescent="0.5">
      <c r="A224"/>
      <c r="B224"/>
      <c r="C224"/>
      <c r="D224"/>
      <c r="E224"/>
      <c r="F224"/>
      <c r="G224"/>
      <c r="H224"/>
      <c r="I224"/>
      <c r="J224"/>
      <c r="K224"/>
      <c r="L224"/>
      <c r="M224"/>
      <c r="N224"/>
      <c r="O224"/>
      <c r="P224"/>
      <c r="Q224"/>
      <c r="R224"/>
      <c r="S224"/>
      <c r="AA224" s="299"/>
      <c r="AZ224" s="89"/>
    </row>
    <row r="225" spans="1:52" s="128" customFormat="1" ht="15.75" x14ac:dyDescent="0.5">
      <c r="A225"/>
      <c r="B225"/>
      <c r="C225"/>
      <c r="D225"/>
      <c r="E225"/>
      <c r="F225"/>
      <c r="G225"/>
      <c r="H225"/>
      <c r="I225"/>
      <c r="J225"/>
      <c r="K225"/>
      <c r="L225"/>
      <c r="M225"/>
      <c r="N225"/>
      <c r="O225"/>
      <c r="P225"/>
      <c r="Q225"/>
      <c r="R225"/>
      <c r="S225"/>
      <c r="AA225" s="299"/>
      <c r="AZ225" s="89"/>
    </row>
    <row r="226" spans="1:52" s="128" customFormat="1" ht="15.75" x14ac:dyDescent="0.5">
      <c r="A226"/>
      <c r="B226"/>
      <c r="C226"/>
      <c r="D226"/>
      <c r="E226"/>
      <c r="F226"/>
      <c r="G226"/>
      <c r="H226"/>
      <c r="I226"/>
      <c r="J226"/>
      <c r="K226"/>
      <c r="L226"/>
      <c r="M226"/>
      <c r="N226"/>
      <c r="O226"/>
      <c r="P226"/>
      <c r="Q226"/>
      <c r="R226"/>
      <c r="S226"/>
      <c r="AA226" s="299"/>
      <c r="AZ226" s="89"/>
    </row>
    <row r="227" spans="1:52" s="128" customFormat="1" ht="15.75" x14ac:dyDescent="0.5">
      <c r="A227"/>
      <c r="B227"/>
      <c r="C227"/>
      <c r="D227"/>
      <c r="E227"/>
      <c r="F227"/>
      <c r="G227"/>
      <c r="H227"/>
      <c r="I227"/>
      <c r="J227"/>
      <c r="K227"/>
      <c r="L227"/>
      <c r="M227"/>
      <c r="N227"/>
      <c r="O227"/>
      <c r="P227"/>
      <c r="Q227"/>
      <c r="R227"/>
      <c r="S227"/>
      <c r="AA227" s="299"/>
      <c r="AZ227" s="89"/>
    </row>
    <row r="228" spans="1:52" s="128" customFormat="1" ht="15.75" x14ac:dyDescent="0.5">
      <c r="A228"/>
      <c r="B228"/>
      <c r="C228"/>
      <c r="D228"/>
      <c r="E228"/>
      <c r="F228"/>
      <c r="G228"/>
      <c r="H228"/>
      <c r="I228"/>
      <c r="J228"/>
      <c r="K228"/>
      <c r="L228"/>
      <c r="M228"/>
      <c r="N228"/>
      <c r="O228"/>
      <c r="P228"/>
      <c r="Q228"/>
      <c r="R228"/>
      <c r="S228"/>
      <c r="AA228" s="299"/>
      <c r="AZ228" s="89"/>
    </row>
    <row r="229" spans="1:52" s="128" customFormat="1" ht="15.75" x14ac:dyDescent="0.5">
      <c r="A229"/>
      <c r="B229"/>
      <c r="C229"/>
      <c r="D229"/>
      <c r="E229"/>
      <c r="F229"/>
      <c r="G229"/>
      <c r="H229"/>
      <c r="I229"/>
      <c r="J229"/>
      <c r="K229"/>
      <c r="L229"/>
      <c r="M229"/>
      <c r="N229"/>
      <c r="O229"/>
      <c r="P229"/>
      <c r="Q229"/>
      <c r="R229"/>
      <c r="S229"/>
      <c r="AA229" s="299"/>
      <c r="AZ229" s="89"/>
    </row>
    <row r="230" spans="1:52" s="128" customFormat="1" ht="15.75" x14ac:dyDescent="0.5">
      <c r="A230"/>
      <c r="B230"/>
      <c r="C230"/>
      <c r="D230"/>
      <c r="E230"/>
      <c r="F230"/>
      <c r="G230"/>
      <c r="H230"/>
      <c r="I230"/>
      <c r="J230"/>
      <c r="K230"/>
      <c r="L230"/>
      <c r="M230"/>
      <c r="N230"/>
      <c r="O230"/>
      <c r="P230"/>
      <c r="Q230"/>
      <c r="R230"/>
      <c r="S230"/>
      <c r="AA230" s="299"/>
      <c r="AZ230" s="89"/>
    </row>
    <row r="231" spans="1:52" s="128" customFormat="1" ht="15.75" x14ac:dyDescent="0.5">
      <c r="A231"/>
      <c r="B231"/>
      <c r="C231"/>
      <c r="D231"/>
      <c r="E231"/>
      <c r="F231"/>
      <c r="G231"/>
      <c r="H231"/>
      <c r="I231"/>
      <c r="J231"/>
      <c r="K231"/>
      <c r="L231"/>
      <c r="M231"/>
      <c r="N231"/>
      <c r="O231"/>
      <c r="P231"/>
      <c r="Q231"/>
      <c r="R231"/>
      <c r="S231"/>
      <c r="AA231" s="299"/>
      <c r="AZ231" s="89"/>
    </row>
    <row r="232" spans="1:52" s="128" customFormat="1" ht="15.75" x14ac:dyDescent="0.5">
      <c r="A232"/>
      <c r="B232"/>
      <c r="C232"/>
      <c r="D232"/>
      <c r="E232"/>
      <c r="F232"/>
      <c r="G232"/>
      <c r="H232"/>
      <c r="I232"/>
      <c r="J232"/>
      <c r="K232"/>
      <c r="L232"/>
      <c r="M232"/>
      <c r="N232"/>
      <c r="O232"/>
      <c r="P232"/>
      <c r="Q232"/>
      <c r="R232"/>
      <c r="S232"/>
      <c r="AA232" s="299"/>
      <c r="AZ232" s="89"/>
    </row>
    <row r="233" spans="1:52" s="128" customFormat="1" ht="15.75" x14ac:dyDescent="0.5">
      <c r="A233"/>
      <c r="B233"/>
      <c r="C233"/>
      <c r="D233"/>
      <c r="E233"/>
      <c r="F233"/>
      <c r="G233"/>
      <c r="H233"/>
      <c r="I233"/>
      <c r="J233"/>
      <c r="K233"/>
      <c r="L233"/>
      <c r="M233"/>
      <c r="N233"/>
      <c r="O233"/>
      <c r="P233"/>
      <c r="Q233"/>
      <c r="R233"/>
      <c r="S233"/>
      <c r="AA233" s="299"/>
      <c r="AZ233" s="89"/>
    </row>
    <row r="234" spans="1:52" s="128" customFormat="1" ht="15.75" x14ac:dyDescent="0.5">
      <c r="A234"/>
      <c r="B234"/>
      <c r="C234"/>
      <c r="D234"/>
      <c r="E234"/>
      <c r="F234"/>
      <c r="G234"/>
      <c r="H234"/>
      <c r="I234"/>
      <c r="J234"/>
      <c r="K234"/>
      <c r="L234"/>
      <c r="M234"/>
      <c r="N234"/>
      <c r="O234"/>
      <c r="P234"/>
      <c r="Q234"/>
      <c r="R234"/>
      <c r="S234"/>
      <c r="AA234" s="299"/>
      <c r="AZ234" s="89"/>
    </row>
    <row r="235" spans="1:52" s="128" customFormat="1" ht="15.75" x14ac:dyDescent="0.5">
      <c r="A235"/>
      <c r="B235"/>
      <c r="C235"/>
      <c r="D235"/>
      <c r="E235"/>
      <c r="F235"/>
      <c r="G235"/>
      <c r="H235"/>
      <c r="I235"/>
      <c r="J235"/>
      <c r="K235"/>
      <c r="L235"/>
      <c r="M235"/>
      <c r="N235"/>
      <c r="O235"/>
      <c r="P235"/>
      <c r="Q235"/>
      <c r="R235"/>
      <c r="S235"/>
      <c r="AA235" s="299"/>
      <c r="AZ235" s="89"/>
    </row>
    <row r="236" spans="1:52" s="128" customFormat="1" ht="15.75" x14ac:dyDescent="0.5">
      <c r="A236"/>
      <c r="B236"/>
      <c r="C236"/>
      <c r="D236"/>
      <c r="E236"/>
      <c r="F236"/>
      <c r="G236"/>
      <c r="H236"/>
      <c r="I236"/>
      <c r="J236"/>
      <c r="K236"/>
      <c r="L236"/>
      <c r="M236"/>
      <c r="N236"/>
      <c r="O236"/>
      <c r="P236"/>
      <c r="Q236"/>
      <c r="R236"/>
      <c r="S236"/>
      <c r="AA236" s="299"/>
      <c r="AZ236" s="89"/>
    </row>
    <row r="237" spans="1:52" s="128" customFormat="1" ht="15.75" x14ac:dyDescent="0.5">
      <c r="A237"/>
      <c r="B237"/>
      <c r="C237"/>
      <c r="D237"/>
      <c r="E237"/>
      <c r="F237"/>
      <c r="G237"/>
      <c r="H237"/>
      <c r="I237"/>
      <c r="J237"/>
      <c r="K237"/>
      <c r="L237"/>
      <c r="M237"/>
      <c r="N237"/>
      <c r="O237"/>
      <c r="P237"/>
      <c r="Q237"/>
      <c r="R237"/>
      <c r="S237"/>
      <c r="AA237" s="299"/>
      <c r="AZ237" s="89"/>
    </row>
    <row r="238" spans="1:52" s="128" customFormat="1" ht="15.75" x14ac:dyDescent="0.5">
      <c r="A238"/>
      <c r="B238"/>
      <c r="C238"/>
      <c r="D238"/>
      <c r="E238"/>
      <c r="F238"/>
      <c r="G238"/>
      <c r="H238"/>
      <c r="I238"/>
      <c r="J238"/>
      <c r="K238"/>
      <c r="L238"/>
      <c r="M238"/>
      <c r="N238"/>
      <c r="O238"/>
      <c r="P238"/>
      <c r="Q238"/>
      <c r="R238"/>
      <c r="S238"/>
      <c r="AA238" s="299"/>
      <c r="AZ238" s="89"/>
    </row>
    <row r="239" spans="1:52" s="128" customFormat="1" ht="15.75" x14ac:dyDescent="0.5">
      <c r="A239"/>
      <c r="B239"/>
      <c r="C239"/>
      <c r="D239"/>
      <c r="E239"/>
      <c r="F239"/>
      <c r="G239"/>
      <c r="H239"/>
      <c r="I239"/>
      <c r="J239"/>
      <c r="K239"/>
      <c r="L239"/>
      <c r="M239"/>
      <c r="N239"/>
      <c r="O239"/>
      <c r="P239"/>
      <c r="Q239"/>
      <c r="R239"/>
      <c r="S239"/>
      <c r="AA239" s="299"/>
      <c r="AZ239" s="89"/>
    </row>
    <row r="240" spans="1:52" s="128" customFormat="1" ht="15.75" x14ac:dyDescent="0.5">
      <c r="A240"/>
      <c r="B240"/>
      <c r="C240"/>
      <c r="D240"/>
      <c r="E240"/>
      <c r="F240"/>
      <c r="G240"/>
      <c r="H240"/>
      <c r="I240"/>
      <c r="J240"/>
      <c r="K240"/>
      <c r="L240"/>
      <c r="M240"/>
      <c r="N240"/>
      <c r="O240"/>
      <c r="P240"/>
      <c r="Q240"/>
      <c r="R240"/>
      <c r="S240"/>
      <c r="AA240" s="299"/>
      <c r="AZ240" s="89"/>
    </row>
    <row r="241" spans="1:52" s="128" customFormat="1" ht="15.75" x14ac:dyDescent="0.5">
      <c r="A241"/>
      <c r="B241"/>
      <c r="C241"/>
      <c r="D241"/>
      <c r="E241"/>
      <c r="F241"/>
      <c r="G241"/>
      <c r="H241"/>
      <c r="I241"/>
      <c r="J241"/>
      <c r="K241"/>
      <c r="L241"/>
      <c r="M241"/>
      <c r="N241"/>
      <c r="O241"/>
      <c r="P241"/>
      <c r="Q241"/>
      <c r="R241"/>
      <c r="S241"/>
      <c r="AA241" s="299"/>
      <c r="AZ241" s="89"/>
    </row>
    <row r="242" spans="1:52" s="128" customFormat="1" ht="15.75" x14ac:dyDescent="0.5">
      <c r="A242"/>
      <c r="B242"/>
      <c r="C242"/>
      <c r="D242"/>
      <c r="E242"/>
      <c r="F242"/>
      <c r="G242"/>
      <c r="H242"/>
      <c r="I242"/>
      <c r="J242"/>
      <c r="K242"/>
      <c r="L242"/>
      <c r="M242"/>
      <c r="N242"/>
      <c r="O242"/>
      <c r="P242"/>
      <c r="Q242"/>
      <c r="R242"/>
      <c r="S242"/>
      <c r="AA242" s="299"/>
      <c r="AZ242" s="89"/>
    </row>
    <row r="243" spans="1:52" s="128" customFormat="1" ht="15.75" x14ac:dyDescent="0.5">
      <c r="A243"/>
      <c r="B243"/>
      <c r="C243"/>
      <c r="D243"/>
      <c r="E243"/>
      <c r="F243"/>
      <c r="G243"/>
      <c r="H243"/>
      <c r="I243"/>
      <c r="J243"/>
      <c r="K243"/>
      <c r="L243"/>
      <c r="M243"/>
      <c r="N243"/>
      <c r="O243"/>
      <c r="P243"/>
      <c r="Q243"/>
      <c r="R243"/>
      <c r="S243"/>
      <c r="AA243" s="299"/>
      <c r="AZ243" s="89"/>
    </row>
    <row r="244" spans="1:52" s="128" customFormat="1" ht="15.75" x14ac:dyDescent="0.5">
      <c r="A244"/>
      <c r="B244"/>
      <c r="C244"/>
      <c r="D244"/>
      <c r="E244"/>
      <c r="F244"/>
      <c r="G244"/>
      <c r="H244"/>
      <c r="I244"/>
      <c r="J244"/>
      <c r="K244"/>
      <c r="L244"/>
      <c r="M244"/>
      <c r="N244"/>
      <c r="O244"/>
      <c r="P244"/>
      <c r="Q244"/>
      <c r="R244"/>
      <c r="S244"/>
      <c r="AA244" s="299"/>
      <c r="AZ244" s="89"/>
    </row>
    <row r="245" spans="1:52" s="128" customFormat="1" ht="15.75" x14ac:dyDescent="0.5">
      <c r="AA245" s="299"/>
      <c r="AZ245" s="89"/>
    </row>
    <row r="246" spans="1:52" s="128" customFormat="1" ht="15.75" x14ac:dyDescent="0.5">
      <c r="AA246" s="299"/>
      <c r="AZ246" s="89"/>
    </row>
    <row r="247" spans="1:52" s="128" customFormat="1" ht="15.75" x14ac:dyDescent="0.5">
      <c r="AA247" s="299"/>
      <c r="AZ247" s="89"/>
    </row>
    <row r="248" spans="1:52" s="128" customFormat="1" ht="15.75" x14ac:dyDescent="0.5">
      <c r="AA248" s="299"/>
      <c r="AZ248" s="89"/>
    </row>
    <row r="249" spans="1:52" s="128" customFormat="1" ht="15.75" x14ac:dyDescent="0.5">
      <c r="AA249" s="299"/>
      <c r="AZ249" s="89"/>
    </row>
    <row r="250" spans="1:52" s="128" customFormat="1" ht="15.75" x14ac:dyDescent="0.5">
      <c r="AA250" s="299"/>
      <c r="AZ250" s="89"/>
    </row>
    <row r="251" spans="1:52" s="128" customFormat="1" ht="15.75" x14ac:dyDescent="0.5">
      <c r="AA251" s="299"/>
      <c r="AZ251" s="89"/>
    </row>
    <row r="252" spans="1:52" s="128" customFormat="1" ht="15.75" x14ac:dyDescent="0.5">
      <c r="AA252" s="299"/>
      <c r="AZ252" s="89"/>
    </row>
    <row r="253" spans="1:52" s="128" customFormat="1" ht="15.75" x14ac:dyDescent="0.5">
      <c r="AA253" s="299"/>
      <c r="AZ253" s="89"/>
    </row>
    <row r="254" spans="1:52" s="128" customFormat="1" ht="15.75" x14ac:dyDescent="0.5">
      <c r="AA254" s="299"/>
      <c r="AZ254" s="89"/>
    </row>
    <row r="255" spans="1:52" s="128" customFormat="1" ht="15.75" x14ac:dyDescent="0.5">
      <c r="AA255" s="299"/>
      <c r="AZ255" s="89"/>
    </row>
    <row r="256" spans="1:52" s="128" customFormat="1" ht="15.75" x14ac:dyDescent="0.5">
      <c r="AA256" s="299"/>
      <c r="AZ256" s="89"/>
    </row>
    <row r="257" spans="27:52" s="128" customFormat="1" ht="15.75" x14ac:dyDescent="0.5">
      <c r="AA257" s="299"/>
      <c r="AZ257" s="89"/>
    </row>
    <row r="258" spans="27:52" s="128" customFormat="1" ht="15.75" x14ac:dyDescent="0.5">
      <c r="AA258" s="299"/>
      <c r="AZ258" s="89"/>
    </row>
    <row r="259" spans="27:52" s="128" customFormat="1" ht="15.75" x14ac:dyDescent="0.5">
      <c r="AA259" s="299"/>
      <c r="AZ259" s="89"/>
    </row>
    <row r="260" spans="27:52" s="128" customFormat="1" ht="15.75" x14ac:dyDescent="0.5">
      <c r="AA260" s="299"/>
      <c r="AZ260" s="89"/>
    </row>
    <row r="261" spans="27:52" s="128" customFormat="1" ht="15.75" x14ac:dyDescent="0.5">
      <c r="AA261" s="299"/>
      <c r="AZ261" s="89"/>
    </row>
    <row r="262" spans="27:52" s="128" customFormat="1" ht="15.75" x14ac:dyDescent="0.5">
      <c r="AA262" s="299"/>
      <c r="AZ262" s="89"/>
    </row>
    <row r="263" spans="27:52" s="128" customFormat="1" ht="15.75" x14ac:dyDescent="0.5">
      <c r="AA263" s="299"/>
      <c r="AZ263" s="89"/>
    </row>
    <row r="264" spans="27:52" s="128" customFormat="1" ht="15.75" x14ac:dyDescent="0.5">
      <c r="AA264" s="299"/>
      <c r="AZ264" s="89"/>
    </row>
    <row r="265" spans="27:52" s="128" customFormat="1" ht="15.75" x14ac:dyDescent="0.5">
      <c r="AA265" s="299"/>
      <c r="AZ265" s="89"/>
    </row>
    <row r="266" spans="27:52" s="128" customFormat="1" ht="15.75" x14ac:dyDescent="0.5">
      <c r="AA266" s="299"/>
      <c r="AZ266" s="89"/>
    </row>
    <row r="267" spans="27:52" s="128" customFormat="1" ht="15.75" x14ac:dyDescent="0.5">
      <c r="AA267" s="299"/>
      <c r="AZ267" s="89"/>
    </row>
    <row r="268" spans="27:52" s="128" customFormat="1" ht="15.75" x14ac:dyDescent="0.5">
      <c r="AA268" s="299"/>
      <c r="AZ268" s="89"/>
    </row>
    <row r="269" spans="27:52" s="128" customFormat="1" ht="15.75" x14ac:dyDescent="0.5">
      <c r="AA269" s="299"/>
      <c r="AZ269" s="89"/>
    </row>
    <row r="270" spans="27:52" s="128" customFormat="1" ht="15.75" x14ac:dyDescent="0.5">
      <c r="AA270" s="299"/>
      <c r="AZ270" s="89"/>
    </row>
    <row r="271" spans="27:52" s="128" customFormat="1" ht="15.75" x14ac:dyDescent="0.5">
      <c r="AA271" s="299"/>
      <c r="AZ271" s="89"/>
    </row>
    <row r="272" spans="27:52" s="128" customFormat="1" ht="15.75" x14ac:dyDescent="0.5">
      <c r="AA272" s="299"/>
      <c r="AZ272" s="89"/>
    </row>
    <row r="273" spans="27:52" s="128" customFormat="1" ht="15.75" x14ac:dyDescent="0.5">
      <c r="AA273" s="299"/>
      <c r="AZ273" s="89"/>
    </row>
    <row r="274" spans="27:52" s="128" customFormat="1" ht="15.75" x14ac:dyDescent="0.5">
      <c r="AA274" s="299"/>
      <c r="AZ274" s="89"/>
    </row>
    <row r="275" spans="27:52" s="128" customFormat="1" ht="15.75" x14ac:dyDescent="0.5">
      <c r="AA275" s="299"/>
      <c r="AZ275" s="89"/>
    </row>
    <row r="276" spans="27:52" s="128" customFormat="1" ht="15.75" x14ac:dyDescent="0.5">
      <c r="AA276" s="299"/>
      <c r="AZ276" s="89"/>
    </row>
    <row r="277" spans="27:52" s="128" customFormat="1" ht="15.75" x14ac:dyDescent="0.5">
      <c r="AA277" s="299"/>
      <c r="AZ277" s="89"/>
    </row>
    <row r="278" spans="27:52" s="128" customFormat="1" ht="15.75" x14ac:dyDescent="0.5">
      <c r="AA278" s="299"/>
      <c r="AZ278" s="89"/>
    </row>
    <row r="279" spans="27:52" s="128" customFormat="1" ht="15.75" x14ac:dyDescent="0.5">
      <c r="AA279" s="299"/>
      <c r="AZ279" s="89"/>
    </row>
    <row r="280" spans="27:52" s="128" customFormat="1" ht="15.75" x14ac:dyDescent="0.5">
      <c r="AA280" s="299"/>
      <c r="AZ280" s="89"/>
    </row>
    <row r="281" spans="27:52" s="128" customFormat="1" ht="15.75" x14ac:dyDescent="0.5">
      <c r="AA281" s="299"/>
      <c r="AZ281" s="89"/>
    </row>
    <row r="282" spans="27:52" s="128" customFormat="1" ht="15.75" x14ac:dyDescent="0.5">
      <c r="AA282" s="299"/>
      <c r="AZ282" s="89"/>
    </row>
    <row r="283" spans="27:52" s="128" customFormat="1" ht="15.75" x14ac:dyDescent="0.5">
      <c r="AA283" s="299"/>
      <c r="AZ283" s="89"/>
    </row>
    <row r="284" spans="27:52" s="128" customFormat="1" ht="15.75" x14ac:dyDescent="0.5">
      <c r="AA284" s="299"/>
      <c r="AZ284" s="89"/>
    </row>
    <row r="285" spans="27:52" s="128" customFormat="1" ht="15.75" x14ac:dyDescent="0.5">
      <c r="AA285" s="299"/>
      <c r="AZ285" s="89"/>
    </row>
    <row r="286" spans="27:52" s="128" customFormat="1" ht="15.75" x14ac:dyDescent="0.5">
      <c r="AA286" s="299"/>
      <c r="AZ286" s="89"/>
    </row>
    <row r="287" spans="27:52" s="128" customFormat="1" ht="15.75" x14ac:dyDescent="0.5">
      <c r="AA287" s="299"/>
      <c r="AZ287" s="89"/>
    </row>
    <row r="288" spans="27:52" s="128" customFormat="1" ht="15.75" x14ac:dyDescent="0.5">
      <c r="AA288" s="299"/>
      <c r="AZ288" s="89"/>
    </row>
    <row r="289" spans="27:52" s="128" customFormat="1" ht="15.75" x14ac:dyDescent="0.5">
      <c r="AA289" s="299"/>
      <c r="AZ289" s="89"/>
    </row>
    <row r="290" spans="27:52" s="128" customFormat="1" ht="15.75" x14ac:dyDescent="0.5">
      <c r="AA290" s="299"/>
      <c r="AZ290" s="89"/>
    </row>
    <row r="291" spans="27:52" s="128" customFormat="1" ht="15.75" x14ac:dyDescent="0.5">
      <c r="AA291" s="299"/>
      <c r="AZ291" s="89"/>
    </row>
    <row r="292" spans="27:52" s="128" customFormat="1" ht="15.75" x14ac:dyDescent="0.5">
      <c r="AA292" s="299"/>
      <c r="AZ292" s="89"/>
    </row>
    <row r="293" spans="27:52" ht="13.15" x14ac:dyDescent="0.4"/>
    <row r="294" spans="27:52" ht="13.15" x14ac:dyDescent="0.4"/>
    <row r="295" spans="27:52" ht="13.15" x14ac:dyDescent="0.4"/>
    <row r="296" spans="27:52" ht="13.15" x14ac:dyDescent="0.4"/>
    <row r="297" spans="27:52" ht="13.15" x14ac:dyDescent="0.4"/>
    <row r="298" spans="27:52" ht="13.15" x14ac:dyDescent="0.4"/>
    <row r="299" spans="27:52" ht="13.15" x14ac:dyDescent="0.4"/>
    <row r="300" spans="27:52" ht="13.15" x14ac:dyDescent="0.4"/>
    <row r="301" spans="27:52" ht="13.15" x14ac:dyDescent="0.4"/>
    <row r="302" spans="27:52" ht="13.15" x14ac:dyDescent="0.4"/>
    <row r="303" spans="27:52" ht="13.15" x14ac:dyDescent="0.4"/>
    <row r="304" spans="27:52" ht="13.15" x14ac:dyDescent="0.4"/>
    <row r="305" ht="13.15" x14ac:dyDescent="0.4"/>
    <row r="306" ht="13.15" x14ac:dyDescent="0.4"/>
    <row r="307" ht="13.15" x14ac:dyDescent="0.4"/>
    <row r="308" ht="13.15" x14ac:dyDescent="0.4"/>
    <row r="309" ht="13.15" x14ac:dyDescent="0.4"/>
    <row r="310" ht="13.15" x14ac:dyDescent="0.4"/>
    <row r="311" ht="13.15" x14ac:dyDescent="0.4"/>
    <row r="312" ht="13.15" x14ac:dyDescent="0.4"/>
    <row r="313" ht="13.15" x14ac:dyDescent="0.4"/>
    <row r="314" ht="13.15" x14ac:dyDescent="0.4"/>
    <row r="315" ht="13.15" x14ac:dyDescent="0.4"/>
    <row r="316" ht="13.15" x14ac:dyDescent="0.4"/>
    <row r="317" ht="13.15" x14ac:dyDescent="0.4"/>
    <row r="318" ht="13.15" x14ac:dyDescent="0.4"/>
    <row r="319" ht="13.15" x14ac:dyDescent="0.4"/>
    <row r="320" ht="13.15" x14ac:dyDescent="0.4"/>
    <row r="321" ht="13.15" x14ac:dyDescent="0.4"/>
    <row r="322" ht="13.15" x14ac:dyDescent="0.4"/>
    <row r="323" ht="13.15" x14ac:dyDescent="0.4"/>
    <row r="324" ht="13.15" x14ac:dyDescent="0.4"/>
    <row r="325" ht="13.15" x14ac:dyDescent="0.4"/>
    <row r="326" ht="13.15" x14ac:dyDescent="0.4"/>
    <row r="327" ht="13.15" x14ac:dyDescent="0.4"/>
    <row r="328" ht="13.15" x14ac:dyDescent="0.4"/>
    <row r="329" ht="13.15" x14ac:dyDescent="0.4"/>
    <row r="330" ht="13.15" x14ac:dyDescent="0.4"/>
    <row r="331" ht="13.15" x14ac:dyDescent="0.4"/>
    <row r="332" ht="13.15" x14ac:dyDescent="0.4"/>
    <row r="333" ht="13.15" x14ac:dyDescent="0.4"/>
    <row r="334" ht="13.15" x14ac:dyDescent="0.4"/>
    <row r="335" ht="13.15" x14ac:dyDescent="0.4"/>
    <row r="336" ht="13.15" x14ac:dyDescent="0.4"/>
    <row r="337" ht="13.15" x14ac:dyDescent="0.4"/>
    <row r="338" ht="13.15" x14ac:dyDescent="0.4"/>
    <row r="339" ht="13.15" x14ac:dyDescent="0.4"/>
    <row r="340" ht="13.15" x14ac:dyDescent="0.4"/>
    <row r="341" ht="13.15" x14ac:dyDescent="0.4"/>
    <row r="342" ht="13.15" x14ac:dyDescent="0.4"/>
    <row r="343" ht="13.15" x14ac:dyDescent="0.4"/>
    <row r="344" ht="13.15" x14ac:dyDescent="0.4"/>
    <row r="345" ht="13.15" x14ac:dyDescent="0.4"/>
    <row r="346" ht="13.15" x14ac:dyDescent="0.4"/>
    <row r="347" ht="13.15" x14ac:dyDescent="0.4"/>
    <row r="348" ht="13.15" x14ac:dyDescent="0.4"/>
    <row r="349" ht="13.15" x14ac:dyDescent="0.4"/>
    <row r="350" ht="13.15" x14ac:dyDescent="0.4"/>
    <row r="351" ht="13.15" x14ac:dyDescent="0.4"/>
    <row r="352" ht="13.15" x14ac:dyDescent="0.4"/>
    <row r="353" ht="13.15" x14ac:dyDescent="0.4"/>
    <row r="354" ht="13.15" x14ac:dyDescent="0.4"/>
    <row r="355" ht="13.15" x14ac:dyDescent="0.4"/>
    <row r="356" ht="13.15" x14ac:dyDescent="0.4"/>
    <row r="357" ht="13.15" x14ac:dyDescent="0.4"/>
    <row r="358" ht="13.15" x14ac:dyDescent="0.4"/>
    <row r="359" ht="13.15" x14ac:dyDescent="0.4"/>
    <row r="360" ht="13.15" x14ac:dyDescent="0.4"/>
    <row r="361" ht="13.15" x14ac:dyDescent="0.4"/>
    <row r="362" ht="13.15" x14ac:dyDescent="0.4"/>
    <row r="363" ht="13.15" x14ac:dyDescent="0.4"/>
    <row r="364" ht="13.15" x14ac:dyDescent="0.4"/>
    <row r="365" ht="13.15" x14ac:dyDescent="0.4"/>
    <row r="366" ht="13.15" x14ac:dyDescent="0.4"/>
    <row r="367" ht="13.15" x14ac:dyDescent="0.4"/>
    <row r="368" ht="13.15" x14ac:dyDescent="0.4"/>
    <row r="369" ht="13.15" x14ac:dyDescent="0.4"/>
    <row r="370" ht="13.15" x14ac:dyDescent="0.4"/>
    <row r="371" ht="13.15" x14ac:dyDescent="0.4"/>
    <row r="372" ht="13.15" x14ac:dyDescent="0.4"/>
    <row r="373" ht="13.15" x14ac:dyDescent="0.4"/>
    <row r="374" ht="13.15" x14ac:dyDescent="0.4"/>
    <row r="375" ht="13.15" x14ac:dyDescent="0.4"/>
    <row r="376" ht="13.15" x14ac:dyDescent="0.4"/>
    <row r="377" ht="13.15" x14ac:dyDescent="0.4"/>
    <row r="378" ht="13.15" x14ac:dyDescent="0.4"/>
    <row r="379" ht="13.15" x14ac:dyDescent="0.4"/>
    <row r="380" ht="13.15" x14ac:dyDescent="0.4"/>
    <row r="381" ht="13.15" x14ac:dyDescent="0.4"/>
    <row r="382" ht="13.15" x14ac:dyDescent="0.4"/>
    <row r="383" ht="13.15" x14ac:dyDescent="0.4"/>
    <row r="384" ht="13.15" x14ac:dyDescent="0.4"/>
    <row r="385" ht="13.15" x14ac:dyDescent="0.4"/>
    <row r="386" ht="13.15" x14ac:dyDescent="0.4"/>
    <row r="387" ht="13.15" x14ac:dyDescent="0.4"/>
    <row r="388" ht="13.15" x14ac:dyDescent="0.4"/>
    <row r="389" ht="13.15" x14ac:dyDescent="0.4"/>
    <row r="390" ht="13.15" x14ac:dyDescent="0.4"/>
    <row r="391" ht="13.15" x14ac:dyDescent="0.4"/>
    <row r="392" ht="13.15" x14ac:dyDescent="0.4"/>
    <row r="393" ht="13.15" x14ac:dyDescent="0.4"/>
    <row r="394" ht="13.15" x14ac:dyDescent="0.4"/>
    <row r="395" ht="13.15" x14ac:dyDescent="0.4"/>
    <row r="396" ht="13.15" x14ac:dyDescent="0.4"/>
    <row r="397" ht="13.15" x14ac:dyDescent="0.4"/>
    <row r="398" ht="13.15" x14ac:dyDescent="0.4"/>
    <row r="399" ht="13.15" x14ac:dyDescent="0.4"/>
    <row r="400" ht="13.15" x14ac:dyDescent="0.4"/>
    <row r="401" ht="13.15" x14ac:dyDescent="0.4"/>
    <row r="402" ht="13.15" x14ac:dyDescent="0.4"/>
    <row r="403" ht="13.15" x14ac:dyDescent="0.4"/>
    <row r="404" ht="13.15" x14ac:dyDescent="0.4"/>
    <row r="405" ht="13.15" x14ac:dyDescent="0.4"/>
    <row r="406" ht="13.15" x14ac:dyDescent="0.4"/>
    <row r="407" ht="13.15" x14ac:dyDescent="0.4"/>
    <row r="408" ht="13.15" x14ac:dyDescent="0.4"/>
    <row r="409" ht="13.15" x14ac:dyDescent="0.4"/>
    <row r="410" ht="13.15" x14ac:dyDescent="0.4"/>
    <row r="411" ht="13.15" x14ac:dyDescent="0.4"/>
    <row r="412" ht="13.15" x14ac:dyDescent="0.4"/>
    <row r="413" ht="13.15" x14ac:dyDescent="0.4"/>
    <row r="414" ht="13.15" x14ac:dyDescent="0.4"/>
    <row r="415" ht="13.15" x14ac:dyDescent="0.4"/>
    <row r="416" ht="13.15" x14ac:dyDescent="0.4"/>
    <row r="417" ht="13.15" x14ac:dyDescent="0.4"/>
    <row r="418" ht="13.15" x14ac:dyDescent="0.4"/>
    <row r="419" ht="13.15" x14ac:dyDescent="0.4"/>
    <row r="420" ht="13.15" x14ac:dyDescent="0.4"/>
    <row r="421" ht="13.15" x14ac:dyDescent="0.4"/>
    <row r="422" ht="13.15" x14ac:dyDescent="0.4"/>
    <row r="423" ht="13.15" x14ac:dyDescent="0.4"/>
    <row r="424" ht="13.15" x14ac:dyDescent="0.4"/>
    <row r="425" ht="13.15" x14ac:dyDescent="0.4"/>
    <row r="426" ht="13.15" x14ac:dyDescent="0.4"/>
    <row r="427" ht="13.15" x14ac:dyDescent="0.4"/>
    <row r="428" ht="13.15" x14ac:dyDescent="0.4"/>
    <row r="429" ht="13.15" x14ac:dyDescent="0.4"/>
    <row r="430" ht="13.15" x14ac:dyDescent="0.4"/>
    <row r="431" ht="13.15" x14ac:dyDescent="0.4"/>
    <row r="432" ht="13.15" x14ac:dyDescent="0.4"/>
    <row r="433" ht="13.15" x14ac:dyDescent="0.4"/>
    <row r="434" ht="13.15" x14ac:dyDescent="0.4"/>
    <row r="435" ht="13.15" x14ac:dyDescent="0.4"/>
    <row r="436" ht="13.15" x14ac:dyDescent="0.4"/>
    <row r="437" ht="13.15" x14ac:dyDescent="0.4"/>
    <row r="438" ht="13.15" x14ac:dyDescent="0.4"/>
    <row r="439" ht="13.15" x14ac:dyDescent="0.4"/>
    <row r="440" ht="13.15" x14ac:dyDescent="0.4"/>
    <row r="441" ht="13.15" x14ac:dyDescent="0.4"/>
    <row r="442" ht="13.15" x14ac:dyDescent="0.4"/>
    <row r="443" ht="13.15" x14ac:dyDescent="0.4"/>
    <row r="444" ht="13.15" x14ac:dyDescent="0.4"/>
    <row r="445" ht="13.15" x14ac:dyDescent="0.4"/>
    <row r="446" ht="13.15" x14ac:dyDescent="0.4"/>
    <row r="447" ht="13.15" x14ac:dyDescent="0.4"/>
    <row r="448" ht="13.15" x14ac:dyDescent="0.4"/>
    <row r="449" ht="13.15" x14ac:dyDescent="0.4"/>
    <row r="450" ht="13.15" x14ac:dyDescent="0.4"/>
    <row r="451" ht="13.15" x14ac:dyDescent="0.4"/>
    <row r="452" ht="13.15" x14ac:dyDescent="0.4"/>
    <row r="453" ht="13.15" x14ac:dyDescent="0.4"/>
    <row r="454" ht="13.15" x14ac:dyDescent="0.4"/>
    <row r="455" ht="13.15" x14ac:dyDescent="0.4"/>
    <row r="456" ht="13.15" x14ac:dyDescent="0.4"/>
    <row r="457" ht="13.15" x14ac:dyDescent="0.4"/>
    <row r="458" ht="13.15" x14ac:dyDescent="0.4"/>
    <row r="459" ht="13.15" x14ac:dyDescent="0.4"/>
    <row r="460" ht="13.15" x14ac:dyDescent="0.4"/>
    <row r="461" ht="13.15" x14ac:dyDescent="0.4"/>
    <row r="462" ht="13.15" x14ac:dyDescent="0.4"/>
    <row r="463" ht="13.15" x14ac:dyDescent="0.4"/>
    <row r="464" ht="13.15" x14ac:dyDescent="0.4"/>
    <row r="465" ht="13.15" x14ac:dyDescent="0.4"/>
    <row r="466" ht="13.15" x14ac:dyDescent="0.4"/>
    <row r="467" ht="13.15" x14ac:dyDescent="0.4"/>
    <row r="468" ht="13.15" x14ac:dyDescent="0.4"/>
    <row r="469" ht="13.15" x14ac:dyDescent="0.4"/>
    <row r="470" ht="13.15" x14ac:dyDescent="0.4"/>
    <row r="471" ht="13.15" x14ac:dyDescent="0.4"/>
    <row r="472" ht="13.15" x14ac:dyDescent="0.4"/>
    <row r="473" ht="13.15" x14ac:dyDescent="0.4"/>
    <row r="474" ht="13.15" x14ac:dyDescent="0.4"/>
    <row r="475" ht="13.15" x14ac:dyDescent="0.4"/>
    <row r="476" ht="13.15" x14ac:dyDescent="0.4"/>
    <row r="477" ht="13.15" x14ac:dyDescent="0.4"/>
    <row r="478" ht="13.15" x14ac:dyDescent="0.4"/>
    <row r="479" ht="13.15" x14ac:dyDescent="0.4"/>
    <row r="480" ht="13.15" x14ac:dyDescent="0.4"/>
    <row r="481" ht="13.15" x14ac:dyDescent="0.4"/>
    <row r="482" ht="13.15" x14ac:dyDescent="0.4"/>
    <row r="483" ht="13.15" x14ac:dyDescent="0.4"/>
    <row r="484" ht="13.15" x14ac:dyDescent="0.4"/>
    <row r="485" ht="13.15" x14ac:dyDescent="0.4"/>
    <row r="486" ht="13.15" x14ac:dyDescent="0.4"/>
    <row r="487" ht="13.15" x14ac:dyDescent="0.4"/>
    <row r="488" ht="13.15" x14ac:dyDescent="0.4"/>
    <row r="489" ht="13.15" x14ac:dyDescent="0.4"/>
    <row r="490" ht="13.15" x14ac:dyDescent="0.4"/>
    <row r="491" ht="13.15" x14ac:dyDescent="0.4"/>
    <row r="492" ht="13.15" x14ac:dyDescent="0.4"/>
    <row r="493" ht="13.15" x14ac:dyDescent="0.4"/>
    <row r="494" ht="13.15" x14ac:dyDescent="0.4"/>
    <row r="495" ht="13.15" x14ac:dyDescent="0.4"/>
    <row r="496" ht="13.15" x14ac:dyDescent="0.4"/>
    <row r="497" ht="13.15" x14ac:dyDescent="0.4"/>
    <row r="498" ht="13.15" x14ac:dyDescent="0.4"/>
    <row r="499" ht="13.15" x14ac:dyDescent="0.4"/>
    <row r="500" ht="13.15" x14ac:dyDescent="0.4"/>
    <row r="501" ht="13.15" x14ac:dyDescent="0.4"/>
    <row r="502" ht="13.15" x14ac:dyDescent="0.4"/>
    <row r="503" ht="13.15" x14ac:dyDescent="0.4"/>
    <row r="504" ht="13.15" x14ac:dyDescent="0.4"/>
    <row r="505" ht="13.15" x14ac:dyDescent="0.4"/>
    <row r="506" ht="13.15" x14ac:dyDescent="0.4"/>
    <row r="507" ht="13.15" x14ac:dyDescent="0.4"/>
    <row r="508" ht="13.15" x14ac:dyDescent="0.4"/>
    <row r="509" ht="13.15" x14ac:dyDescent="0.4"/>
    <row r="510" ht="13.15" x14ac:dyDescent="0.4"/>
    <row r="511" ht="13.15" x14ac:dyDescent="0.4"/>
    <row r="512" ht="13.15" x14ac:dyDescent="0.4"/>
    <row r="513" ht="13.15" x14ac:dyDescent="0.4"/>
    <row r="514" ht="13.15" x14ac:dyDescent="0.4"/>
    <row r="515" ht="13.15" x14ac:dyDescent="0.4"/>
    <row r="516" ht="13.15" x14ac:dyDescent="0.4"/>
    <row r="517" ht="13.15" x14ac:dyDescent="0.4"/>
    <row r="518" ht="13.15" x14ac:dyDescent="0.4"/>
    <row r="519" ht="13.15" x14ac:dyDescent="0.4"/>
    <row r="520" ht="13.15" x14ac:dyDescent="0.4"/>
    <row r="521" ht="13.15" x14ac:dyDescent="0.4"/>
    <row r="522" ht="13.15" x14ac:dyDescent="0.4"/>
    <row r="523" ht="13.15" x14ac:dyDescent="0.4"/>
    <row r="524" ht="13.15" x14ac:dyDescent="0.4"/>
    <row r="525" ht="13.15" x14ac:dyDescent="0.4"/>
    <row r="526" ht="13.15" x14ac:dyDescent="0.4"/>
    <row r="527" ht="13.15" x14ac:dyDescent="0.4"/>
    <row r="528" ht="13.15" x14ac:dyDescent="0.4"/>
    <row r="529" ht="13.15" x14ac:dyDescent="0.4"/>
    <row r="530" ht="13.15" x14ac:dyDescent="0.4"/>
    <row r="531" ht="13.15" x14ac:dyDescent="0.4"/>
    <row r="532" ht="13.15" x14ac:dyDescent="0.4"/>
    <row r="533" ht="13.15" x14ac:dyDescent="0.4"/>
    <row r="534" ht="13.15" x14ac:dyDescent="0.4"/>
    <row r="535" ht="13.15" x14ac:dyDescent="0.4"/>
    <row r="536" ht="13.15" x14ac:dyDescent="0.4"/>
    <row r="537" ht="13.15" x14ac:dyDescent="0.4"/>
    <row r="538" ht="13.15" x14ac:dyDescent="0.4"/>
    <row r="539" ht="13.15" x14ac:dyDescent="0.4"/>
    <row r="540" ht="13.15" x14ac:dyDescent="0.4"/>
    <row r="541" ht="13.15" x14ac:dyDescent="0.4"/>
    <row r="542" ht="13.15" x14ac:dyDescent="0.4"/>
    <row r="543" ht="13.15" x14ac:dyDescent="0.4"/>
    <row r="544" ht="13.15" x14ac:dyDescent="0.4"/>
    <row r="545" ht="13.15" x14ac:dyDescent="0.4"/>
    <row r="546" ht="13.15" x14ac:dyDescent="0.4"/>
    <row r="547" ht="13.15" x14ac:dyDescent="0.4"/>
    <row r="548" ht="13.15" x14ac:dyDescent="0.4"/>
    <row r="549" ht="13.15" x14ac:dyDescent="0.4"/>
    <row r="550" ht="13.15" x14ac:dyDescent="0.4"/>
    <row r="551" ht="13.15" x14ac:dyDescent="0.4"/>
    <row r="552" ht="13.15" x14ac:dyDescent="0.4"/>
    <row r="553" ht="13.15" x14ac:dyDescent="0.4"/>
    <row r="554" ht="13.15" x14ac:dyDescent="0.4"/>
    <row r="555" ht="13.15" x14ac:dyDescent="0.4"/>
    <row r="556" ht="13.15" x14ac:dyDescent="0.4"/>
    <row r="557" ht="13.15" x14ac:dyDescent="0.4"/>
    <row r="558" ht="13.15" x14ac:dyDescent="0.4"/>
    <row r="559" ht="13.15" x14ac:dyDescent="0.4"/>
    <row r="560" ht="13.15" x14ac:dyDescent="0.4"/>
    <row r="561" ht="13.15" x14ac:dyDescent="0.4"/>
    <row r="562" ht="13.15" x14ac:dyDescent="0.4"/>
    <row r="563" ht="13.15" x14ac:dyDescent="0.4"/>
    <row r="564" ht="13.15" x14ac:dyDescent="0.4"/>
    <row r="565" ht="13.15" x14ac:dyDescent="0.4"/>
    <row r="566" ht="13.15" x14ac:dyDescent="0.4"/>
    <row r="567" ht="13.15" x14ac:dyDescent="0.4"/>
    <row r="568" ht="13.15" x14ac:dyDescent="0.4"/>
    <row r="569" ht="13.15" x14ac:dyDescent="0.4"/>
    <row r="570" ht="13.15" x14ac:dyDescent="0.4"/>
    <row r="571" ht="13.15" x14ac:dyDescent="0.4"/>
    <row r="572" ht="13.15" x14ac:dyDescent="0.4"/>
    <row r="573" ht="13.15" x14ac:dyDescent="0.4"/>
    <row r="574" ht="13.15" x14ac:dyDescent="0.4"/>
    <row r="575" ht="13.15" x14ac:dyDescent="0.4"/>
    <row r="576" ht="13.15" x14ac:dyDescent="0.4"/>
    <row r="577" ht="13.15" x14ac:dyDescent="0.4"/>
    <row r="578" ht="13.15" x14ac:dyDescent="0.4"/>
    <row r="579" ht="13.15" x14ac:dyDescent="0.4"/>
    <row r="580" ht="13.15" x14ac:dyDescent="0.4"/>
    <row r="581" ht="13.15" x14ac:dyDescent="0.4"/>
    <row r="582" ht="13.15" x14ac:dyDescent="0.4"/>
    <row r="583" ht="13.15" x14ac:dyDescent="0.4"/>
    <row r="584" ht="13.15" x14ac:dyDescent="0.4"/>
    <row r="585" ht="13.15" x14ac:dyDescent="0.4"/>
    <row r="586" ht="13.15" x14ac:dyDescent="0.4"/>
    <row r="587" ht="13.15" x14ac:dyDescent="0.4"/>
    <row r="588" ht="13.15" x14ac:dyDescent="0.4"/>
    <row r="589" ht="13.15" x14ac:dyDescent="0.4"/>
    <row r="590" ht="13.15" x14ac:dyDescent="0.4"/>
    <row r="591" ht="13.15" x14ac:dyDescent="0.4"/>
    <row r="592" ht="13.15" x14ac:dyDescent="0.4"/>
    <row r="593" ht="13.15" x14ac:dyDescent="0.4"/>
    <row r="594" ht="13.15" x14ac:dyDescent="0.4"/>
    <row r="595" ht="13.15" x14ac:dyDescent="0.4"/>
    <row r="596" ht="13.15" x14ac:dyDescent="0.4"/>
    <row r="597" ht="13.15" x14ac:dyDescent="0.4"/>
    <row r="598" ht="13.15" x14ac:dyDescent="0.4"/>
    <row r="599" ht="13.15" x14ac:dyDescent="0.4"/>
    <row r="600" ht="13.15" x14ac:dyDescent="0.4"/>
    <row r="601" ht="13.15" x14ac:dyDescent="0.4"/>
    <row r="602" ht="13.15" x14ac:dyDescent="0.4"/>
    <row r="603" ht="13.15" x14ac:dyDescent="0.4"/>
    <row r="604" ht="13.15" x14ac:dyDescent="0.4"/>
    <row r="605" ht="13.15" x14ac:dyDescent="0.4"/>
    <row r="606" ht="13.15" x14ac:dyDescent="0.4"/>
    <row r="607" ht="13.15" x14ac:dyDescent="0.4"/>
    <row r="608" ht="13.15" x14ac:dyDescent="0.4"/>
    <row r="609" ht="13.15" x14ac:dyDescent="0.4"/>
    <row r="610" ht="13.15" x14ac:dyDescent="0.4"/>
    <row r="611" ht="13.15" x14ac:dyDescent="0.4"/>
    <row r="612" ht="13.15" x14ac:dyDescent="0.4"/>
    <row r="613" ht="13.15" x14ac:dyDescent="0.4"/>
    <row r="614" ht="13.15" x14ac:dyDescent="0.4"/>
    <row r="615" ht="13.15" x14ac:dyDescent="0.4"/>
    <row r="616" ht="13.15" x14ac:dyDescent="0.4"/>
    <row r="617" ht="13.15" x14ac:dyDescent="0.4"/>
    <row r="618" ht="13.15" x14ac:dyDescent="0.4"/>
    <row r="619" ht="13.15" x14ac:dyDescent="0.4"/>
    <row r="620" ht="13.15" x14ac:dyDescent="0.4"/>
    <row r="621" ht="13.15" x14ac:dyDescent="0.4"/>
    <row r="622" ht="13.15" x14ac:dyDescent="0.4"/>
    <row r="623" ht="13.15" x14ac:dyDescent="0.4"/>
    <row r="624" ht="13.15" x14ac:dyDescent="0.4"/>
    <row r="625" ht="13.15" x14ac:dyDescent="0.4"/>
    <row r="626" ht="13.15" x14ac:dyDescent="0.4"/>
    <row r="627" ht="13.15" x14ac:dyDescent="0.4"/>
    <row r="628" ht="13.15" x14ac:dyDescent="0.4"/>
    <row r="629" ht="13.15" x14ac:dyDescent="0.4"/>
    <row r="630" ht="13.15" x14ac:dyDescent="0.4"/>
    <row r="631" ht="13.15" x14ac:dyDescent="0.4"/>
    <row r="632" ht="13.15" x14ac:dyDescent="0.4"/>
    <row r="633" ht="13.15" x14ac:dyDescent="0.4"/>
    <row r="634" ht="13.15" x14ac:dyDescent="0.4"/>
    <row r="635" ht="13.15" x14ac:dyDescent="0.4"/>
    <row r="636" ht="13.15" x14ac:dyDescent="0.4"/>
    <row r="637" ht="13.15" x14ac:dyDescent="0.4"/>
    <row r="638" ht="13.15" x14ac:dyDescent="0.4"/>
    <row r="639" ht="13.15" x14ac:dyDescent="0.4"/>
    <row r="640" ht="13.15" x14ac:dyDescent="0.4"/>
    <row r="641" ht="13.15" x14ac:dyDescent="0.4"/>
    <row r="642" ht="13.15" x14ac:dyDescent="0.4"/>
    <row r="643" ht="13.15" x14ac:dyDescent="0.4"/>
    <row r="644" ht="13.15" x14ac:dyDescent="0.4"/>
    <row r="645" ht="13.15" x14ac:dyDescent="0.4"/>
    <row r="646" ht="13.15" x14ac:dyDescent="0.4"/>
    <row r="647" ht="13.15" x14ac:dyDescent="0.4"/>
    <row r="648" ht="13.15" x14ac:dyDescent="0.4"/>
    <row r="649" ht="13.15" x14ac:dyDescent="0.4"/>
    <row r="650" ht="13.15" x14ac:dyDescent="0.4"/>
    <row r="651" ht="13.15" x14ac:dyDescent="0.4"/>
    <row r="652" ht="13.15" x14ac:dyDescent="0.4"/>
    <row r="653" ht="13.15" x14ac:dyDescent="0.4"/>
    <row r="654" ht="13.15" x14ac:dyDescent="0.4"/>
    <row r="655" ht="13.15" x14ac:dyDescent="0.4"/>
    <row r="656" ht="13.15" x14ac:dyDescent="0.4"/>
    <row r="657" ht="13.15" x14ac:dyDescent="0.4"/>
    <row r="658" ht="13.15" x14ac:dyDescent="0.4"/>
    <row r="659" ht="13.15" x14ac:dyDescent="0.4"/>
    <row r="660" ht="13.15" x14ac:dyDescent="0.4"/>
    <row r="661" ht="13.15" x14ac:dyDescent="0.4"/>
    <row r="662" ht="13.15" x14ac:dyDescent="0.4"/>
    <row r="663" ht="13.15" x14ac:dyDescent="0.4"/>
    <row r="664" ht="13.15" x14ac:dyDescent="0.4"/>
    <row r="665" ht="13.15" x14ac:dyDescent="0.4"/>
    <row r="666" ht="13.15" x14ac:dyDescent="0.4"/>
    <row r="667" ht="13.15" x14ac:dyDescent="0.4"/>
    <row r="668" ht="13.15" x14ac:dyDescent="0.4"/>
    <row r="669" ht="13.15" x14ac:dyDescent="0.4"/>
    <row r="670" ht="13.15" x14ac:dyDescent="0.4"/>
    <row r="671" ht="13.15" x14ac:dyDescent="0.4"/>
    <row r="672" ht="13.15" x14ac:dyDescent="0.4"/>
    <row r="673" ht="13.15" x14ac:dyDescent="0.4"/>
    <row r="674" ht="13.15" x14ac:dyDescent="0.4"/>
    <row r="675" ht="13.15" x14ac:dyDescent="0.4"/>
    <row r="676" ht="13.15" x14ac:dyDescent="0.4"/>
    <row r="677" ht="13.15" x14ac:dyDescent="0.4"/>
    <row r="678" ht="13.15" x14ac:dyDescent="0.4"/>
    <row r="679" ht="13.15" x14ac:dyDescent="0.4"/>
    <row r="680" ht="13.15" x14ac:dyDescent="0.4"/>
    <row r="681" ht="13.15" x14ac:dyDescent="0.4"/>
    <row r="682" ht="13.15" x14ac:dyDescent="0.4"/>
    <row r="683" ht="13.15" x14ac:dyDescent="0.4"/>
    <row r="684" ht="13.15" x14ac:dyDescent="0.4"/>
    <row r="685" ht="13.15" x14ac:dyDescent="0.4"/>
    <row r="686" ht="13.15" x14ac:dyDescent="0.4"/>
    <row r="687" ht="13.15" x14ac:dyDescent="0.4"/>
    <row r="688" ht="13.15" x14ac:dyDescent="0.4"/>
    <row r="689" ht="13.15" x14ac:dyDescent="0.4"/>
    <row r="690" ht="13.15" x14ac:dyDescent="0.4"/>
    <row r="691" ht="13.15" x14ac:dyDescent="0.4"/>
    <row r="692" ht="13.15" x14ac:dyDescent="0.4"/>
    <row r="693" ht="13.15" x14ac:dyDescent="0.4"/>
    <row r="694" ht="13.15" x14ac:dyDescent="0.4"/>
    <row r="695" ht="13.15" x14ac:dyDescent="0.4"/>
    <row r="696" ht="13.15" x14ac:dyDescent="0.4"/>
    <row r="697" ht="13.15" x14ac:dyDescent="0.4"/>
    <row r="698" ht="13.15" x14ac:dyDescent="0.4"/>
    <row r="699" ht="13.15" x14ac:dyDescent="0.4"/>
    <row r="700" ht="13.15" x14ac:dyDescent="0.4"/>
    <row r="701" ht="13.15" x14ac:dyDescent="0.4"/>
    <row r="702" ht="13.15" x14ac:dyDescent="0.4"/>
    <row r="703" ht="13.15" x14ac:dyDescent="0.4"/>
    <row r="704" ht="13.15" x14ac:dyDescent="0.4"/>
    <row r="705" ht="13.15" x14ac:dyDescent="0.4"/>
    <row r="706" ht="13.15" x14ac:dyDescent="0.4"/>
    <row r="707" ht="13.15" x14ac:dyDescent="0.4"/>
    <row r="708" ht="13.15" x14ac:dyDescent="0.4"/>
    <row r="709" ht="13.15" x14ac:dyDescent="0.4"/>
    <row r="710" ht="13.15" x14ac:dyDescent="0.4"/>
    <row r="711" ht="13.15" x14ac:dyDescent="0.4"/>
    <row r="712" ht="13.15" x14ac:dyDescent="0.4"/>
    <row r="713" ht="13.15" x14ac:dyDescent="0.4"/>
    <row r="714" ht="13.15" x14ac:dyDescent="0.4"/>
    <row r="715" ht="13.15" x14ac:dyDescent="0.4"/>
    <row r="716" ht="13.15" x14ac:dyDescent="0.4"/>
    <row r="717" ht="13.15" x14ac:dyDescent="0.4"/>
    <row r="718" ht="13.15" x14ac:dyDescent="0.4"/>
    <row r="719" ht="13.15" x14ac:dyDescent="0.4"/>
    <row r="720" ht="13.15" x14ac:dyDescent="0.4"/>
    <row r="721" ht="13.15" x14ac:dyDescent="0.4"/>
    <row r="722" ht="13.15" x14ac:dyDescent="0.4"/>
    <row r="723" ht="13.15" x14ac:dyDescent="0.4"/>
    <row r="724" ht="13.15" x14ac:dyDescent="0.4"/>
    <row r="725" ht="13.15" x14ac:dyDescent="0.4"/>
    <row r="726" ht="13.15" x14ac:dyDescent="0.4"/>
    <row r="727" ht="13.15" x14ac:dyDescent="0.4"/>
    <row r="728" ht="13.15" x14ac:dyDescent="0.4"/>
    <row r="729" ht="13.15" x14ac:dyDescent="0.4"/>
    <row r="730" ht="13.15" x14ac:dyDescent="0.4"/>
    <row r="731" ht="13.15" x14ac:dyDescent="0.4"/>
    <row r="732" ht="13.15" x14ac:dyDescent="0.4"/>
    <row r="733" ht="13.15" x14ac:dyDescent="0.4"/>
    <row r="734" ht="13.15" x14ac:dyDescent="0.4"/>
    <row r="735" ht="13.15" x14ac:dyDescent="0.4"/>
    <row r="736" ht="13.15" x14ac:dyDescent="0.4"/>
    <row r="737" ht="13.15" x14ac:dyDescent="0.4"/>
    <row r="738" ht="13.15" x14ac:dyDescent="0.4"/>
    <row r="739" ht="13.15" x14ac:dyDescent="0.4"/>
    <row r="740" ht="13.15" x14ac:dyDescent="0.4"/>
    <row r="741" ht="13.15" x14ac:dyDescent="0.4"/>
    <row r="742" ht="13.15" x14ac:dyDescent="0.4"/>
    <row r="743" ht="13.15" x14ac:dyDescent="0.4"/>
    <row r="744" ht="13.15" x14ac:dyDescent="0.4"/>
    <row r="745" ht="13.15" x14ac:dyDescent="0.4"/>
    <row r="746" ht="13.15" x14ac:dyDescent="0.4"/>
    <row r="747" ht="13.15" x14ac:dyDescent="0.4"/>
    <row r="748" ht="13.15" x14ac:dyDescent="0.4"/>
    <row r="749" ht="13.15" x14ac:dyDescent="0.4"/>
    <row r="750" ht="13.15" x14ac:dyDescent="0.4"/>
    <row r="751" ht="13.15" x14ac:dyDescent="0.4"/>
    <row r="752" ht="13.15" x14ac:dyDescent="0.4"/>
    <row r="753" ht="13.15" x14ac:dyDescent="0.4"/>
    <row r="754" ht="13.15" x14ac:dyDescent="0.4"/>
    <row r="755" ht="13.15" x14ac:dyDescent="0.4"/>
    <row r="756" ht="13.15" x14ac:dyDescent="0.4"/>
    <row r="757" ht="13.15" x14ac:dyDescent="0.4"/>
    <row r="758" ht="13.15" x14ac:dyDescent="0.4"/>
    <row r="759" ht="13.15" x14ac:dyDescent="0.4"/>
    <row r="760" ht="13.15" x14ac:dyDescent="0.4"/>
    <row r="761" ht="13.15" x14ac:dyDescent="0.4"/>
    <row r="762" ht="13.15" x14ac:dyDescent="0.4"/>
    <row r="763" ht="13.15" x14ac:dyDescent="0.4"/>
    <row r="764" ht="13.15" x14ac:dyDescent="0.4"/>
    <row r="765" ht="13.15" x14ac:dyDescent="0.4"/>
    <row r="766" ht="13.15" x14ac:dyDescent="0.4"/>
    <row r="767" ht="13.15" x14ac:dyDescent="0.4"/>
    <row r="768" ht="13.15" x14ac:dyDescent="0.4"/>
    <row r="769" ht="13.15" x14ac:dyDescent="0.4"/>
    <row r="770" ht="13.15" x14ac:dyDescent="0.4"/>
    <row r="771" ht="13.15" x14ac:dyDescent="0.4"/>
    <row r="772" ht="13.15" x14ac:dyDescent="0.4"/>
    <row r="773" ht="13.15" x14ac:dyDescent="0.4"/>
    <row r="774" ht="13.15" x14ac:dyDescent="0.4"/>
    <row r="775" ht="13.15" x14ac:dyDescent="0.4"/>
    <row r="776" ht="13.15" x14ac:dyDescent="0.4"/>
    <row r="777" ht="13.15" x14ac:dyDescent="0.4"/>
    <row r="778" ht="13.15" x14ac:dyDescent="0.4"/>
    <row r="779" ht="13.15" x14ac:dyDescent="0.4"/>
    <row r="780" ht="13.15" x14ac:dyDescent="0.4"/>
    <row r="781" ht="13.15" x14ac:dyDescent="0.4"/>
    <row r="782" ht="13.15" x14ac:dyDescent="0.4"/>
    <row r="783" ht="13.15" x14ac:dyDescent="0.4"/>
    <row r="784" ht="13.15" x14ac:dyDescent="0.4"/>
    <row r="785" ht="13.15" x14ac:dyDescent="0.4"/>
    <row r="786" ht="13.15" x14ac:dyDescent="0.4"/>
    <row r="787" ht="13.15" x14ac:dyDescent="0.4"/>
    <row r="788" ht="13.15" x14ac:dyDescent="0.4"/>
    <row r="789" ht="13.15" x14ac:dyDescent="0.4"/>
    <row r="790" ht="13.15" x14ac:dyDescent="0.4"/>
    <row r="791" ht="13.15" x14ac:dyDescent="0.4"/>
    <row r="792" ht="13.15" x14ac:dyDescent="0.4"/>
    <row r="793" ht="13.15" x14ac:dyDescent="0.4"/>
    <row r="794" ht="13.15" x14ac:dyDescent="0.4"/>
    <row r="795" ht="13.15" x14ac:dyDescent="0.4"/>
    <row r="796" ht="13.15" x14ac:dyDescent="0.4"/>
    <row r="797" ht="13.15" x14ac:dyDescent="0.4"/>
    <row r="798" ht="13.15" x14ac:dyDescent="0.4"/>
    <row r="799" ht="13.15" x14ac:dyDescent="0.4"/>
    <row r="800" ht="13.15" x14ac:dyDescent="0.4"/>
    <row r="801" ht="13.15" x14ac:dyDescent="0.4"/>
    <row r="802" ht="13.15" x14ac:dyDescent="0.4"/>
    <row r="803" ht="13.15" x14ac:dyDescent="0.4"/>
    <row r="804" ht="13.15" x14ac:dyDescent="0.4"/>
    <row r="805" ht="13.15" x14ac:dyDescent="0.4"/>
    <row r="806" ht="13.15" x14ac:dyDescent="0.4"/>
    <row r="807" ht="13.15" x14ac:dyDescent="0.4"/>
    <row r="808" ht="13.15" x14ac:dyDescent="0.4"/>
    <row r="809" ht="13.15" x14ac:dyDescent="0.4"/>
    <row r="810" ht="13.15" x14ac:dyDescent="0.4"/>
    <row r="811" ht="13.15" x14ac:dyDescent="0.4"/>
    <row r="812" ht="13.15" x14ac:dyDescent="0.4"/>
    <row r="813" ht="13.15" x14ac:dyDescent="0.4"/>
    <row r="814" ht="13.15" x14ac:dyDescent="0.4"/>
    <row r="815" ht="13.15" x14ac:dyDescent="0.4"/>
    <row r="816" ht="13.15" x14ac:dyDescent="0.4"/>
    <row r="817" ht="13.15" x14ac:dyDescent="0.4"/>
    <row r="818" ht="13.15" x14ac:dyDescent="0.4"/>
    <row r="819" ht="13.15" x14ac:dyDescent="0.4"/>
    <row r="820" ht="13.15" x14ac:dyDescent="0.4"/>
    <row r="821" ht="13.15" x14ac:dyDescent="0.4"/>
    <row r="822" ht="13.15" x14ac:dyDescent="0.4"/>
    <row r="823" ht="13.15" x14ac:dyDescent="0.4"/>
    <row r="824" ht="13.15" x14ac:dyDescent="0.4"/>
    <row r="825" ht="13.15" x14ac:dyDescent="0.4"/>
    <row r="826" ht="13.15" x14ac:dyDescent="0.4"/>
    <row r="827" ht="13.15" x14ac:dyDescent="0.4"/>
    <row r="828" ht="13.15" x14ac:dyDescent="0.4"/>
    <row r="829" ht="13.15" x14ac:dyDescent="0.4"/>
    <row r="830" ht="13.15" x14ac:dyDescent="0.4"/>
    <row r="831" ht="13.15" x14ac:dyDescent="0.4"/>
    <row r="832" ht="13.15" x14ac:dyDescent="0.4"/>
    <row r="833" ht="13.15" x14ac:dyDescent="0.4"/>
    <row r="834" ht="13.15" x14ac:dyDescent="0.4"/>
    <row r="835" ht="13.15" x14ac:dyDescent="0.4"/>
    <row r="836" ht="13.15" x14ac:dyDescent="0.4"/>
    <row r="837" ht="13.15" x14ac:dyDescent="0.4"/>
    <row r="838" ht="13.15" x14ac:dyDescent="0.4"/>
    <row r="839" ht="13.15" x14ac:dyDescent="0.4"/>
    <row r="840" ht="13.15" x14ac:dyDescent="0.4"/>
    <row r="841" ht="13.15" x14ac:dyDescent="0.4"/>
    <row r="842" ht="13.15" x14ac:dyDescent="0.4"/>
    <row r="843" ht="13.15" x14ac:dyDescent="0.4"/>
    <row r="844" ht="13.15" x14ac:dyDescent="0.4"/>
    <row r="845" ht="13.15" x14ac:dyDescent="0.4"/>
    <row r="846" ht="13.15" x14ac:dyDescent="0.4"/>
    <row r="847" ht="13.15" x14ac:dyDescent="0.4"/>
    <row r="848" ht="13.15" x14ac:dyDescent="0.4"/>
    <row r="849" ht="13.15" x14ac:dyDescent="0.4"/>
    <row r="850" ht="13.15" x14ac:dyDescent="0.4"/>
    <row r="851" ht="13.15" x14ac:dyDescent="0.4"/>
    <row r="852" ht="13.15" x14ac:dyDescent="0.4"/>
    <row r="853" ht="13.15" x14ac:dyDescent="0.4"/>
    <row r="854" ht="13.15" x14ac:dyDescent="0.4"/>
    <row r="855" ht="13.15" x14ac:dyDescent="0.4"/>
    <row r="856" ht="13.15" x14ac:dyDescent="0.4"/>
    <row r="857" ht="13.15" x14ac:dyDescent="0.4"/>
    <row r="858" ht="13.15" x14ac:dyDescent="0.4"/>
    <row r="859" ht="13.15" x14ac:dyDescent="0.4"/>
    <row r="860" ht="13.15" x14ac:dyDescent="0.4"/>
    <row r="861" ht="13.15" x14ac:dyDescent="0.4"/>
    <row r="862" ht="13.15" x14ac:dyDescent="0.4"/>
    <row r="863" ht="13.15" x14ac:dyDescent="0.4"/>
    <row r="864" ht="13.15" x14ac:dyDescent="0.4"/>
    <row r="865" ht="13.15" x14ac:dyDescent="0.4"/>
    <row r="866" ht="13.15" x14ac:dyDescent="0.4"/>
    <row r="867" ht="13.15" x14ac:dyDescent="0.4"/>
    <row r="868" ht="13.15" x14ac:dyDescent="0.4"/>
    <row r="869" ht="13.15" x14ac:dyDescent="0.4"/>
    <row r="870" ht="13.15" x14ac:dyDescent="0.4"/>
    <row r="871" ht="13.15" x14ac:dyDescent="0.4"/>
    <row r="872" ht="13.15" x14ac:dyDescent="0.4"/>
    <row r="873" ht="13.15" x14ac:dyDescent="0.4"/>
    <row r="874" ht="13.15" x14ac:dyDescent="0.4"/>
    <row r="875" ht="13.15" x14ac:dyDescent="0.4"/>
    <row r="876" ht="13.15" x14ac:dyDescent="0.4"/>
    <row r="877" ht="13.15" x14ac:dyDescent="0.4"/>
    <row r="878" ht="13.15" x14ac:dyDescent="0.4"/>
    <row r="879" ht="13.15" x14ac:dyDescent="0.4"/>
    <row r="880" ht="13.15" x14ac:dyDescent="0.4"/>
    <row r="881" ht="13.15" x14ac:dyDescent="0.4"/>
    <row r="882" ht="13.15" x14ac:dyDescent="0.4"/>
    <row r="883" ht="13.15" x14ac:dyDescent="0.4"/>
    <row r="884" ht="13.15" x14ac:dyDescent="0.4"/>
    <row r="885" ht="13.15" x14ac:dyDescent="0.4"/>
    <row r="886" ht="13.15" x14ac:dyDescent="0.4"/>
    <row r="887" ht="13.15" x14ac:dyDescent="0.4"/>
    <row r="888" ht="13.15" x14ac:dyDescent="0.4"/>
    <row r="889" ht="13.15" x14ac:dyDescent="0.4"/>
    <row r="890" ht="13.15" x14ac:dyDescent="0.4"/>
    <row r="891" ht="13.15" x14ac:dyDescent="0.4"/>
    <row r="892" ht="13.15" x14ac:dyDescent="0.4"/>
    <row r="893" ht="13.15" x14ac:dyDescent="0.4"/>
    <row r="894" ht="13.15" x14ac:dyDescent="0.4"/>
    <row r="895" ht="13.15" x14ac:dyDescent="0.4"/>
    <row r="896" ht="13.15" x14ac:dyDescent="0.4"/>
    <row r="897" ht="13.15" x14ac:dyDescent="0.4"/>
    <row r="898" ht="13.15" x14ac:dyDescent="0.4"/>
    <row r="899" ht="13.15" x14ac:dyDescent="0.4"/>
    <row r="900" ht="13.15" x14ac:dyDescent="0.4"/>
    <row r="901" ht="13.15" x14ac:dyDescent="0.4"/>
    <row r="902" ht="13.15" x14ac:dyDescent="0.4"/>
    <row r="903" ht="13.15" x14ac:dyDescent="0.4"/>
    <row r="904" ht="13.15" x14ac:dyDescent="0.4"/>
    <row r="905" ht="13.15" x14ac:dyDescent="0.4"/>
    <row r="906" ht="13.15" x14ac:dyDescent="0.4"/>
    <row r="907" ht="13.15" x14ac:dyDescent="0.4"/>
    <row r="908" ht="13.15" x14ac:dyDescent="0.4"/>
    <row r="909" ht="13.15" x14ac:dyDescent="0.4"/>
    <row r="910" ht="13.15" x14ac:dyDescent="0.4"/>
    <row r="911" ht="13.15" x14ac:dyDescent="0.4"/>
    <row r="912" ht="13.15" x14ac:dyDescent="0.4"/>
    <row r="913" ht="13.15" x14ac:dyDescent="0.4"/>
    <row r="914" ht="13.15" x14ac:dyDescent="0.4"/>
    <row r="915" ht="13.15" x14ac:dyDescent="0.4"/>
    <row r="916" ht="13.15" x14ac:dyDescent="0.4"/>
    <row r="917" ht="13.15" x14ac:dyDescent="0.4"/>
    <row r="918" ht="13.15" x14ac:dyDescent="0.4"/>
    <row r="919" ht="13.15" x14ac:dyDescent="0.4"/>
    <row r="920" ht="13.15" x14ac:dyDescent="0.4"/>
    <row r="921" ht="13.15" x14ac:dyDescent="0.4"/>
    <row r="922" ht="13.15" x14ac:dyDescent="0.4"/>
    <row r="923" ht="13.15" x14ac:dyDescent="0.4"/>
    <row r="924" ht="13.15" x14ac:dyDescent="0.4"/>
    <row r="925" ht="13.15" x14ac:dyDescent="0.4"/>
    <row r="926" ht="13.15" x14ac:dyDescent="0.4"/>
    <row r="927" ht="13.15" x14ac:dyDescent="0.4"/>
    <row r="928" ht="13.15" x14ac:dyDescent="0.4"/>
    <row r="929" ht="13.15" x14ac:dyDescent="0.4"/>
    <row r="930" ht="13.15" x14ac:dyDescent="0.4"/>
    <row r="931" ht="13.15" x14ac:dyDescent="0.4"/>
    <row r="932" ht="13.15" x14ac:dyDescent="0.4"/>
    <row r="933" ht="13.15" x14ac:dyDescent="0.4"/>
    <row r="934" ht="13.15" x14ac:dyDescent="0.4"/>
    <row r="935" ht="13.15" x14ac:dyDescent="0.4"/>
    <row r="936" ht="13.15" x14ac:dyDescent="0.4"/>
    <row r="937" ht="13.15" x14ac:dyDescent="0.4"/>
    <row r="938" ht="13.15" x14ac:dyDescent="0.4"/>
    <row r="939" ht="13.15" x14ac:dyDescent="0.4"/>
    <row r="940" ht="13.15" x14ac:dyDescent="0.4"/>
    <row r="941" ht="13.15" x14ac:dyDescent="0.4"/>
    <row r="942" ht="13.15" x14ac:dyDescent="0.4"/>
    <row r="943" ht="13.15" x14ac:dyDescent="0.4"/>
    <row r="944" ht="13.15" x14ac:dyDescent="0.4"/>
    <row r="945" ht="13.15" x14ac:dyDescent="0.4"/>
    <row r="946" ht="13.15" x14ac:dyDescent="0.4"/>
    <row r="947" ht="13.15" x14ac:dyDescent="0.4"/>
    <row r="948" ht="13.15" x14ac:dyDescent="0.4"/>
    <row r="949" ht="13.15" x14ac:dyDescent="0.4"/>
    <row r="950" ht="13.15" x14ac:dyDescent="0.4"/>
    <row r="951" ht="13.15" x14ac:dyDescent="0.4"/>
    <row r="952" ht="13.15" x14ac:dyDescent="0.4"/>
    <row r="953" ht="13.15" x14ac:dyDescent="0.4"/>
    <row r="954" ht="13.15" x14ac:dyDescent="0.4"/>
    <row r="955" ht="13.15" x14ac:dyDescent="0.4"/>
    <row r="956" ht="13.15" x14ac:dyDescent="0.4"/>
    <row r="957" ht="13.15" x14ac:dyDescent="0.4"/>
    <row r="958" ht="13.15" x14ac:dyDescent="0.4"/>
    <row r="959" ht="13.15" x14ac:dyDescent="0.4"/>
    <row r="960" ht="13.15" x14ac:dyDescent="0.4"/>
    <row r="961" ht="13.15" x14ac:dyDescent="0.4"/>
    <row r="962" ht="13.15" x14ac:dyDescent="0.4"/>
    <row r="963" ht="13.15" x14ac:dyDescent="0.4"/>
    <row r="964" ht="13.15" x14ac:dyDescent="0.4"/>
    <row r="965" ht="13.15" x14ac:dyDescent="0.4"/>
    <row r="966" ht="13.15" x14ac:dyDescent="0.4"/>
    <row r="967" ht="13.15" x14ac:dyDescent="0.4"/>
    <row r="968" ht="13.15" x14ac:dyDescent="0.4"/>
    <row r="969" ht="13.15" x14ac:dyDescent="0.4"/>
    <row r="970" ht="13.15" x14ac:dyDescent="0.4"/>
    <row r="971" ht="13.15" x14ac:dyDescent="0.4"/>
    <row r="972" ht="13.15" x14ac:dyDescent="0.4"/>
    <row r="973" ht="13.15" x14ac:dyDescent="0.4"/>
    <row r="974" ht="13.15" x14ac:dyDescent="0.4"/>
    <row r="975" ht="13.15" x14ac:dyDescent="0.4"/>
    <row r="976" ht="13.15" x14ac:dyDescent="0.4"/>
    <row r="977" ht="13.15" x14ac:dyDescent="0.4"/>
    <row r="978" ht="13.15" x14ac:dyDescent="0.4"/>
    <row r="979" ht="13.15" x14ac:dyDescent="0.4"/>
    <row r="980" ht="13.15" x14ac:dyDescent="0.4"/>
    <row r="981" ht="13.15" x14ac:dyDescent="0.4"/>
    <row r="982" ht="13.15" x14ac:dyDescent="0.4"/>
    <row r="983" ht="13.15" x14ac:dyDescent="0.4"/>
    <row r="984" ht="13.15" x14ac:dyDescent="0.4"/>
    <row r="985" ht="13.15" x14ac:dyDescent="0.4"/>
    <row r="986" ht="13.15" x14ac:dyDescent="0.4"/>
    <row r="987" ht="13.15" x14ac:dyDescent="0.4"/>
    <row r="988" ht="13.15" x14ac:dyDescent="0.4"/>
    <row r="989" ht="13.15" x14ac:dyDescent="0.4"/>
    <row r="990" ht="13.15" x14ac:dyDescent="0.4"/>
    <row r="991" ht="13.15" x14ac:dyDescent="0.4"/>
    <row r="992" ht="13.15" x14ac:dyDescent="0.4"/>
    <row r="993" ht="13.15" x14ac:dyDescent="0.4"/>
    <row r="994" ht="13.15" x14ac:dyDescent="0.4"/>
    <row r="995" ht="13.15" x14ac:dyDescent="0.4"/>
    <row r="996" ht="13.15" x14ac:dyDescent="0.4"/>
    <row r="997" ht="13.15" x14ac:dyDescent="0.4"/>
    <row r="998" ht="13.15" x14ac:dyDescent="0.4"/>
    <row r="999" ht="13.15" x14ac:dyDescent="0.4"/>
    <row r="1000" ht="13.15" x14ac:dyDescent="0.4"/>
    <row r="1001" ht="13.15" x14ac:dyDescent="0.4"/>
    <row r="1002" ht="13.15" x14ac:dyDescent="0.4"/>
    <row r="1003" ht="13.15" x14ac:dyDescent="0.4"/>
    <row r="1004" ht="13.15" x14ac:dyDescent="0.4"/>
    <row r="1005" ht="13.15" x14ac:dyDescent="0.4"/>
    <row r="1006" ht="13.15" x14ac:dyDescent="0.4"/>
    <row r="1007" ht="13.15" x14ac:dyDescent="0.4"/>
    <row r="1008" ht="13.15" x14ac:dyDescent="0.4"/>
    <row r="1009" ht="13.15" x14ac:dyDescent="0.4"/>
    <row r="1010" ht="13.15" x14ac:dyDescent="0.4"/>
    <row r="1011" ht="13.15" x14ac:dyDescent="0.4"/>
    <row r="1012" ht="13.15" x14ac:dyDescent="0.4"/>
    <row r="1013" ht="13.15" x14ac:dyDescent="0.4"/>
    <row r="1014" ht="13.15" x14ac:dyDescent="0.4"/>
    <row r="1015" ht="13.15" x14ac:dyDescent="0.4"/>
    <row r="1016" ht="13.15" x14ac:dyDescent="0.4"/>
    <row r="1017" ht="13.15" x14ac:dyDescent="0.4"/>
    <row r="1018" ht="13.15" x14ac:dyDescent="0.4"/>
    <row r="1019" ht="13.15" x14ac:dyDescent="0.4"/>
    <row r="1020" ht="13.15" x14ac:dyDescent="0.4"/>
    <row r="1021" ht="13.15" x14ac:dyDescent="0.4"/>
    <row r="1022" ht="13.15" x14ac:dyDescent="0.4"/>
    <row r="1023" ht="13.15" x14ac:dyDescent="0.4"/>
    <row r="1024" ht="13.15" x14ac:dyDescent="0.4"/>
    <row r="1025" ht="13.15" x14ac:dyDescent="0.4"/>
    <row r="1026" ht="13.15" x14ac:dyDescent="0.4"/>
    <row r="1027" ht="13.15" x14ac:dyDescent="0.4"/>
    <row r="1028" ht="13.15" x14ac:dyDescent="0.4"/>
    <row r="1029" ht="13.15" x14ac:dyDescent="0.4"/>
    <row r="1030" ht="13.15" x14ac:dyDescent="0.4"/>
    <row r="1031" ht="13.15" x14ac:dyDescent="0.4"/>
    <row r="1032" ht="13.15" x14ac:dyDescent="0.4"/>
    <row r="1033" ht="13.15" x14ac:dyDescent="0.4"/>
    <row r="1034" ht="13.15" x14ac:dyDescent="0.4"/>
    <row r="1035" ht="13.15" x14ac:dyDescent="0.4"/>
    <row r="1036" ht="13.15" x14ac:dyDescent="0.4"/>
    <row r="1037" ht="13.15" x14ac:dyDescent="0.4"/>
    <row r="1038" ht="13.15" x14ac:dyDescent="0.4"/>
    <row r="1039" ht="13.15" x14ac:dyDescent="0.4"/>
    <row r="1040" ht="13.15" x14ac:dyDescent="0.4"/>
    <row r="1041" ht="13.15" x14ac:dyDescent="0.4"/>
    <row r="1042" ht="13.15" x14ac:dyDescent="0.4"/>
    <row r="1043" ht="13.15" x14ac:dyDescent="0.4"/>
    <row r="1044" ht="13.15" x14ac:dyDescent="0.4"/>
    <row r="1045" ht="13.15" x14ac:dyDescent="0.4"/>
    <row r="1046" ht="13.15" x14ac:dyDescent="0.4"/>
    <row r="1047" ht="13.15" x14ac:dyDescent="0.4"/>
    <row r="1048" ht="13.15" x14ac:dyDescent="0.4"/>
    <row r="1049" ht="13.15" x14ac:dyDescent="0.4"/>
    <row r="1050" ht="13.15" x14ac:dyDescent="0.4"/>
    <row r="1051" ht="13.15" x14ac:dyDescent="0.4"/>
  </sheetData>
  <mergeCells count="10">
    <mergeCell ref="A157:C157"/>
    <mergeCell ref="A199:C199"/>
    <mergeCell ref="A134:C134"/>
    <mergeCell ref="A89:C89"/>
    <mergeCell ref="A101:C101"/>
    <mergeCell ref="A3:C3"/>
    <mergeCell ref="A15:C15"/>
    <mergeCell ref="A21:C21"/>
    <mergeCell ref="A27:C27"/>
    <mergeCell ref="A50:C50"/>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workbookViewId="0"/>
  </sheetViews>
  <sheetFormatPr defaultRowHeight="12.75" x14ac:dyDescent="0.35"/>
  <cols>
    <col min="1" max="4" width="36.6640625" customWidth="1"/>
    <col min="5" max="7" width="36.796875" customWidth="1"/>
  </cols>
  <sheetData>
    <row r="1" spans="1:16" ht="13.15" x14ac:dyDescent="0.4">
      <c r="A1" s="86" t="s">
        <v>59</v>
      </c>
    </row>
    <row r="2" spans="1:16" x14ac:dyDescent="0.35">
      <c r="P2" t="e">
        <f ca="1">_xll.CB.RecalcCounterFN()</f>
        <v>#NAME?</v>
      </c>
    </row>
    <row r="3" spans="1:16" x14ac:dyDescent="0.35">
      <c r="A3" t="s">
        <v>60</v>
      </c>
      <c r="B3" t="s">
        <v>61</v>
      </c>
      <c r="C3">
        <v>0</v>
      </c>
    </row>
    <row r="4" spans="1:16" x14ac:dyDescent="0.35">
      <c r="A4" t="s">
        <v>62</v>
      </c>
    </row>
    <row r="5" spans="1:16" x14ac:dyDescent="0.35">
      <c r="A5" t="s">
        <v>63</v>
      </c>
    </row>
    <row r="7" spans="1:16" ht="13.15" x14ac:dyDescent="0.4">
      <c r="A7" s="86" t="s">
        <v>64</v>
      </c>
      <c r="B7" t="s">
        <v>65</v>
      </c>
    </row>
    <row r="8" spans="1:16" x14ac:dyDescent="0.35">
      <c r="B8">
        <v>7</v>
      </c>
    </row>
    <row r="10" spans="1:16" x14ac:dyDescent="0.35">
      <c r="A10" t="s">
        <v>66</v>
      </c>
    </row>
    <row r="11" spans="1:16" x14ac:dyDescent="0.35">
      <c r="A11" t="e">
        <f>CB_DATA_!#REF!</f>
        <v>#REF!</v>
      </c>
      <c r="D11" t="e">
        <f>'Phân tích phương án 2'!#REF!</f>
        <v>#REF!</v>
      </c>
      <c r="E11" t="e">
        <f>'Phương án 1'!#REF!</f>
        <v>#REF!</v>
      </c>
      <c r="F11" t="e">
        <f>'Phân tích phương án 1'!#REF!</f>
        <v>#REF!</v>
      </c>
      <c r="G11" t="e">
        <f>'Phương án 2'!#REF!</f>
        <v>#REF!</v>
      </c>
    </row>
    <row r="13" spans="1:16" x14ac:dyDescent="0.35">
      <c r="A13" t="s">
        <v>67</v>
      </c>
    </row>
    <row r="14" spans="1:16" x14ac:dyDescent="0.35">
      <c r="A14" t="s">
        <v>68</v>
      </c>
      <c r="D14" t="s">
        <v>69</v>
      </c>
      <c r="E14" t="s">
        <v>263</v>
      </c>
      <c r="F14" t="s">
        <v>265</v>
      </c>
      <c r="G14" t="s">
        <v>266</v>
      </c>
    </row>
    <row r="16" spans="1:16" x14ac:dyDescent="0.35">
      <c r="A16" t="s">
        <v>70</v>
      </c>
    </row>
    <row r="19" spans="1:7" x14ac:dyDescent="0.35">
      <c r="A19" t="s">
        <v>71</v>
      </c>
    </row>
    <row r="20" spans="1:7" x14ac:dyDescent="0.35">
      <c r="A20">
        <v>31</v>
      </c>
      <c r="D20">
        <v>31</v>
      </c>
      <c r="E20">
        <v>31</v>
      </c>
      <c r="F20">
        <v>31</v>
      </c>
      <c r="G20">
        <v>31</v>
      </c>
    </row>
    <row r="25" spans="1:7" ht="13.15" x14ac:dyDescent="0.4">
      <c r="A25" s="86" t="s">
        <v>72</v>
      </c>
    </row>
    <row r="26" spans="1:7" x14ac:dyDescent="0.35">
      <c r="A26" s="87" t="s">
        <v>73</v>
      </c>
      <c r="D26" s="87" t="s">
        <v>74</v>
      </c>
      <c r="E26" s="87" t="s">
        <v>74</v>
      </c>
      <c r="F26" s="87" t="s">
        <v>74</v>
      </c>
      <c r="G26" s="87" t="s">
        <v>74</v>
      </c>
    </row>
    <row r="27" spans="1:7" x14ac:dyDescent="0.35">
      <c r="A27" t="s">
        <v>75</v>
      </c>
      <c r="D27" t="s">
        <v>321</v>
      </c>
      <c r="E27" t="s">
        <v>318</v>
      </c>
      <c r="F27" t="s">
        <v>320</v>
      </c>
      <c r="G27" t="s">
        <v>319</v>
      </c>
    </row>
    <row r="28" spans="1:7" x14ac:dyDescent="0.35">
      <c r="A28" s="87" t="s">
        <v>76</v>
      </c>
      <c r="D28" s="87" t="s">
        <v>76</v>
      </c>
      <c r="E28" s="87" t="s">
        <v>76</v>
      </c>
      <c r="F28" s="87" t="s">
        <v>76</v>
      </c>
      <c r="G28" s="87" t="s">
        <v>76</v>
      </c>
    </row>
    <row r="29" spans="1:7" x14ac:dyDescent="0.35">
      <c r="A29" s="87" t="s">
        <v>74</v>
      </c>
      <c r="D29" s="87" t="s">
        <v>73</v>
      </c>
      <c r="E29" s="87" t="s">
        <v>73</v>
      </c>
      <c r="F29" s="87" t="s">
        <v>73</v>
      </c>
      <c r="G29" s="87" t="s">
        <v>73</v>
      </c>
    </row>
    <row r="30" spans="1:7" x14ac:dyDescent="0.35">
      <c r="A30" t="s">
        <v>317</v>
      </c>
      <c r="D30" t="s">
        <v>77</v>
      </c>
      <c r="E30" t="s">
        <v>264</v>
      </c>
      <c r="F30" t="s">
        <v>268</v>
      </c>
      <c r="G30" t="s">
        <v>267</v>
      </c>
    </row>
    <row r="31" spans="1:7" x14ac:dyDescent="0.35">
      <c r="A31" s="87" t="s">
        <v>76</v>
      </c>
      <c r="D31" s="87" t="s">
        <v>76</v>
      </c>
      <c r="E31" s="87" t="s">
        <v>76</v>
      </c>
      <c r="F31" s="87" t="s">
        <v>76</v>
      </c>
      <c r="G31" s="87" t="s">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D1003"/>
  <sheetViews>
    <sheetView workbookViewId="0"/>
  </sheetViews>
  <sheetFormatPr defaultColWidth="14.46484375" defaultRowHeight="15" customHeight="1" x14ac:dyDescent="0.35"/>
  <cols>
    <col min="1" max="1" width="25.1328125" customWidth="1"/>
    <col min="2" max="2" width="14.33203125" customWidth="1"/>
    <col min="3" max="3" width="9.1328125" customWidth="1"/>
    <col min="4" max="4" width="28.1328125" customWidth="1"/>
    <col min="5" max="5" width="10.46484375" customWidth="1"/>
    <col min="6" max="6" width="10.86328125" customWidth="1"/>
    <col min="7" max="7" width="20.86328125" customWidth="1"/>
    <col min="8" max="8" width="11.86328125" customWidth="1"/>
    <col min="9" max="9" width="10.46484375" customWidth="1"/>
    <col min="10" max="10" width="10.86328125" customWidth="1"/>
    <col min="11" max="12" width="10.46484375" customWidth="1"/>
    <col min="13" max="13" width="9.1328125" customWidth="1"/>
    <col min="14" max="14" width="10.46484375" customWidth="1"/>
    <col min="15" max="15" width="11" customWidth="1"/>
    <col min="16" max="16" width="15.1328125" customWidth="1"/>
    <col min="17" max="17" width="11" customWidth="1"/>
    <col min="18" max="18" width="18.1328125" customWidth="1"/>
    <col min="19" max="19" width="12" customWidth="1"/>
    <col min="20" max="20" width="8.1328125" customWidth="1"/>
    <col min="21" max="30" width="8.6640625" customWidth="1"/>
  </cols>
  <sheetData>
    <row r="1" spans="1:30" ht="12.75" customHeight="1" x14ac:dyDescent="0.35">
      <c r="A1" s="334" t="s">
        <v>78</v>
      </c>
      <c r="B1" s="332"/>
      <c r="C1" s="332"/>
      <c r="D1" s="332"/>
      <c r="E1" s="332"/>
      <c r="F1" s="332"/>
      <c r="G1" s="332"/>
      <c r="H1" s="332"/>
      <c r="I1" s="332"/>
      <c r="J1" s="332"/>
      <c r="K1" s="332"/>
      <c r="L1" s="332"/>
      <c r="M1" s="332"/>
      <c r="N1" s="1"/>
      <c r="O1" s="1"/>
      <c r="P1" s="1"/>
      <c r="Q1" s="1"/>
      <c r="R1" s="1"/>
      <c r="S1" s="1"/>
      <c r="T1" s="1"/>
      <c r="U1" s="1"/>
      <c r="V1" s="1"/>
      <c r="W1" s="1"/>
      <c r="X1" s="1"/>
      <c r="Y1" s="1"/>
      <c r="Z1" s="1"/>
      <c r="AA1" s="1"/>
      <c r="AB1" s="1"/>
      <c r="AC1" s="1"/>
      <c r="AD1" s="1"/>
    </row>
    <row r="2" spans="1:30" ht="12.75" customHeight="1" x14ac:dyDescent="0.35">
      <c r="A2" s="335"/>
      <c r="B2" s="335"/>
      <c r="C2" s="335"/>
      <c r="D2" s="335"/>
      <c r="E2" s="335"/>
      <c r="F2" s="335"/>
      <c r="G2" s="335"/>
      <c r="H2" s="335"/>
      <c r="I2" s="335"/>
      <c r="J2" s="335"/>
      <c r="K2" s="335"/>
      <c r="L2" s="335"/>
      <c r="M2" s="335"/>
      <c r="N2" s="1"/>
      <c r="O2" s="1"/>
      <c r="P2" s="1"/>
      <c r="Q2" s="1"/>
      <c r="R2" s="1"/>
      <c r="S2" s="1"/>
      <c r="T2" s="1"/>
      <c r="U2" s="1"/>
      <c r="V2" s="1"/>
      <c r="W2" s="1"/>
      <c r="X2" s="1"/>
      <c r="Y2" s="1"/>
      <c r="Z2" s="1"/>
      <c r="AA2" s="1"/>
      <c r="AB2" s="1"/>
      <c r="AC2" s="1"/>
      <c r="AD2" s="1"/>
    </row>
    <row r="3" spans="1:30" ht="12.75" customHeight="1"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2.75" customHeight="1" x14ac:dyDescent="0.35">
      <c r="A4" s="2" t="s">
        <v>79</v>
      </c>
      <c r="B4" s="132" t="s">
        <v>2</v>
      </c>
      <c r="C4" s="1"/>
      <c r="D4" s="329" t="s">
        <v>80</v>
      </c>
      <c r="E4" s="330"/>
      <c r="F4" s="330"/>
      <c r="G4" s="330"/>
      <c r="H4" s="330"/>
      <c r="I4" s="330"/>
      <c r="J4" s="330"/>
      <c r="K4" s="1"/>
      <c r="L4" s="1"/>
      <c r="M4" s="1"/>
      <c r="N4" s="1"/>
      <c r="O4" s="1"/>
      <c r="P4" s="1"/>
      <c r="Q4" s="1"/>
      <c r="R4" s="1"/>
      <c r="S4" s="1"/>
      <c r="T4" s="1"/>
      <c r="U4" s="1"/>
      <c r="V4" s="1"/>
      <c r="W4" s="1"/>
      <c r="X4" s="1"/>
      <c r="Y4" s="1"/>
      <c r="Z4" s="1"/>
      <c r="AA4" s="1"/>
      <c r="AB4" s="1"/>
      <c r="AC4" s="1"/>
      <c r="AD4" s="1"/>
    </row>
    <row r="5" spans="1:30" ht="13.5" customHeight="1" x14ac:dyDescent="0.35">
      <c r="A5" s="3" t="s">
        <v>3</v>
      </c>
      <c r="B5" s="1">
        <v>20</v>
      </c>
      <c r="C5" s="1"/>
      <c r="D5" s="4"/>
      <c r="E5" s="5"/>
      <c r="F5" s="5"/>
      <c r="G5" s="331" t="s">
        <v>81</v>
      </c>
      <c r="H5" s="332"/>
      <c r="I5" s="331" t="s">
        <v>82</v>
      </c>
      <c r="J5" s="332"/>
      <c r="K5" s="1"/>
      <c r="L5" s="1"/>
      <c r="M5" s="1"/>
      <c r="N5" s="1"/>
      <c r="O5" s="1"/>
      <c r="P5" s="1"/>
      <c r="Q5" s="1"/>
      <c r="R5" s="1"/>
      <c r="S5" s="1"/>
      <c r="T5" s="1"/>
      <c r="U5" s="1"/>
      <c r="V5" s="1"/>
      <c r="W5" s="1"/>
      <c r="X5" s="1"/>
      <c r="Y5" s="1"/>
      <c r="Z5" s="1"/>
      <c r="AA5" s="1"/>
      <c r="AB5" s="1"/>
      <c r="AC5" s="1"/>
      <c r="AD5" s="1"/>
    </row>
    <row r="6" spans="1:30" ht="12.75" customHeight="1" x14ac:dyDescent="0.35">
      <c r="A6" s="6" t="s">
        <v>83</v>
      </c>
      <c r="B6" s="1">
        <v>13</v>
      </c>
      <c r="C6" s="1"/>
      <c r="D6" s="7"/>
      <c r="E6" s="134"/>
      <c r="F6" s="134" t="s">
        <v>84</v>
      </c>
      <c r="G6" s="134" t="s">
        <v>85</v>
      </c>
      <c r="H6" s="134" t="s">
        <v>23</v>
      </c>
      <c r="I6" s="134" t="s">
        <v>85</v>
      </c>
      <c r="J6" s="134" t="s">
        <v>23</v>
      </c>
      <c r="K6" s="1"/>
      <c r="L6" s="1"/>
      <c r="M6" s="1"/>
      <c r="N6" s="1"/>
      <c r="O6" s="1"/>
      <c r="P6" s="1"/>
      <c r="Q6" s="1"/>
      <c r="R6" s="1"/>
      <c r="S6" s="1"/>
      <c r="T6" s="1"/>
      <c r="U6" s="1"/>
      <c r="V6" s="1"/>
      <c r="W6" s="1"/>
      <c r="X6" s="1"/>
      <c r="Y6" s="1"/>
      <c r="Z6" s="1"/>
      <c r="AA6" s="1"/>
      <c r="AB6" s="1"/>
      <c r="AC6" s="1"/>
      <c r="AD6" s="1"/>
    </row>
    <row r="7" spans="1:30" ht="12.75" customHeight="1" x14ac:dyDescent="0.35">
      <c r="A7" s="6" t="s">
        <v>86</v>
      </c>
      <c r="B7" s="1">
        <v>7</v>
      </c>
      <c r="C7" s="8"/>
      <c r="D7" s="1"/>
      <c r="E7" s="135"/>
      <c r="F7" s="135" t="s">
        <v>87</v>
      </c>
      <c r="G7" s="135" t="s">
        <v>88</v>
      </c>
      <c r="H7" s="136"/>
      <c r="I7" s="136" t="s">
        <v>88</v>
      </c>
      <c r="J7" s="136"/>
      <c r="K7" s="1"/>
      <c r="L7" s="1"/>
      <c r="M7" s="1"/>
      <c r="N7" s="1"/>
      <c r="O7" s="1"/>
      <c r="P7" s="1"/>
      <c r="Q7" s="1"/>
      <c r="R7" s="1"/>
      <c r="S7" s="1"/>
      <c r="T7" s="1"/>
      <c r="U7" s="1"/>
      <c r="V7" s="1"/>
      <c r="W7" s="1"/>
      <c r="X7" s="1"/>
      <c r="Y7" s="1"/>
      <c r="Z7" s="1"/>
      <c r="AA7" s="1"/>
      <c r="AB7" s="1"/>
      <c r="AC7" s="1"/>
      <c r="AD7" s="1"/>
    </row>
    <row r="8" spans="1:30" ht="12.75" customHeight="1" x14ac:dyDescent="0.35">
      <c r="A8" s="6" t="s">
        <v>89</v>
      </c>
      <c r="B8" s="1">
        <v>20</v>
      </c>
      <c r="C8" s="5"/>
      <c r="D8" s="137" t="s">
        <v>90</v>
      </c>
      <c r="E8" s="9" t="s">
        <v>24</v>
      </c>
      <c r="F8" s="5"/>
      <c r="G8" s="5"/>
      <c r="H8" s="1"/>
      <c r="I8" s="5"/>
      <c r="J8" s="1"/>
      <c r="K8" s="1"/>
      <c r="L8" s="1"/>
      <c r="M8" s="1"/>
      <c r="N8" s="1"/>
      <c r="O8" s="1"/>
      <c r="P8" s="1"/>
      <c r="Q8" s="1"/>
      <c r="R8" s="1"/>
      <c r="S8" s="1"/>
      <c r="T8" s="1"/>
      <c r="U8" s="1"/>
      <c r="V8" s="1"/>
      <c r="W8" s="1"/>
      <c r="X8" s="1"/>
      <c r="Y8" s="1"/>
      <c r="Z8" s="1"/>
      <c r="AA8" s="1"/>
      <c r="AB8" s="1"/>
      <c r="AC8" s="1"/>
      <c r="AD8" s="1"/>
    </row>
    <row r="9" spans="1:30" ht="12.75" customHeight="1" x14ac:dyDescent="0.4">
      <c r="A9" s="6"/>
      <c r="B9" s="1"/>
      <c r="C9" s="5"/>
      <c r="D9" s="10" t="s">
        <v>91</v>
      </c>
      <c r="E9" s="11"/>
      <c r="F9" s="12">
        <v>10</v>
      </c>
      <c r="G9" s="12">
        <v>250000</v>
      </c>
      <c r="H9" s="12">
        <f>F9*G9</f>
        <v>2500000</v>
      </c>
      <c r="I9" s="12">
        <f>G9/(1+B18)</f>
        <v>227272.72727272726</v>
      </c>
      <c r="J9" s="12">
        <f>I9*F9</f>
        <v>2272727.2727272725</v>
      </c>
      <c r="K9" s="1">
        <f>IF(H9=J9,0,1)</f>
        <v>1</v>
      </c>
      <c r="L9" s="1"/>
      <c r="M9" s="1"/>
      <c r="N9" s="1"/>
      <c r="O9" s="1"/>
      <c r="P9" s="1"/>
      <c r="Q9" s="1"/>
      <c r="R9" s="1"/>
      <c r="S9" s="1"/>
      <c r="T9" s="1"/>
      <c r="U9" s="1"/>
      <c r="V9" s="1"/>
      <c r="W9" s="1"/>
      <c r="X9" s="1"/>
      <c r="Y9" s="1"/>
      <c r="Z9" s="1"/>
      <c r="AA9" s="1"/>
      <c r="AB9" s="1"/>
      <c r="AC9" s="1"/>
      <c r="AD9" s="1"/>
    </row>
    <row r="10" spans="1:30" ht="12.75" customHeight="1" x14ac:dyDescent="0.4">
      <c r="A10" s="2" t="s">
        <v>92</v>
      </c>
      <c r="B10" s="132" t="s">
        <v>93</v>
      </c>
      <c r="C10" s="5"/>
      <c r="D10" s="10" t="s">
        <v>94</v>
      </c>
      <c r="E10" s="11"/>
      <c r="F10" s="12">
        <v>8</v>
      </c>
      <c r="G10" s="12">
        <v>75000</v>
      </c>
      <c r="H10" s="12">
        <f>F10*G10</f>
        <v>600000</v>
      </c>
      <c r="I10" s="12">
        <f>G10/(1+B20)</f>
        <v>60000</v>
      </c>
      <c r="J10" s="12">
        <f>I10*F10</f>
        <v>480000</v>
      </c>
      <c r="K10" s="1">
        <f>IF(H10=J10,0,1)</f>
        <v>1</v>
      </c>
      <c r="L10" s="1"/>
      <c r="M10" s="1"/>
      <c r="N10" s="1"/>
      <c r="O10" s="1"/>
      <c r="P10" s="1"/>
      <c r="Q10" s="1"/>
      <c r="R10" s="1"/>
      <c r="S10" s="1"/>
      <c r="T10" s="1"/>
      <c r="U10" s="1"/>
      <c r="V10" s="1"/>
      <c r="W10" s="1"/>
      <c r="X10" s="1"/>
      <c r="Y10" s="1"/>
      <c r="Z10" s="1"/>
      <c r="AA10" s="1"/>
      <c r="AB10" s="1"/>
      <c r="AC10" s="1"/>
      <c r="AD10" s="1"/>
    </row>
    <row r="11" spans="1:30" ht="12.75" customHeight="1" x14ac:dyDescent="0.4">
      <c r="A11" s="13">
        <v>2014</v>
      </c>
      <c r="B11" s="14">
        <v>0.25</v>
      </c>
      <c r="C11" s="5"/>
      <c r="D11" s="10" t="s">
        <v>95</v>
      </c>
      <c r="E11" s="11"/>
      <c r="F11" s="12">
        <v>625</v>
      </c>
      <c r="G11" s="12">
        <v>2500</v>
      </c>
      <c r="H11" s="12">
        <f>F11*G11</f>
        <v>1562500</v>
      </c>
      <c r="I11" s="12">
        <f>G11</f>
        <v>2500</v>
      </c>
      <c r="J11" s="12">
        <f>I11*F11</f>
        <v>1562500</v>
      </c>
      <c r="K11" s="1">
        <f>IF(H11=J11,0,1)</f>
        <v>0</v>
      </c>
      <c r="L11" s="1"/>
      <c r="M11" s="1"/>
      <c r="N11" s="1"/>
      <c r="O11" s="1"/>
      <c r="P11" s="1"/>
      <c r="Q11" s="1"/>
      <c r="R11" s="1"/>
      <c r="S11" s="1"/>
      <c r="T11" s="1"/>
      <c r="U11" s="1"/>
      <c r="V11" s="1"/>
      <c r="W11" s="1"/>
      <c r="X11" s="1"/>
      <c r="Y11" s="1"/>
      <c r="Z11" s="1"/>
      <c r="AA11" s="1"/>
      <c r="AB11" s="1"/>
      <c r="AC11" s="1"/>
      <c r="AD11" s="1"/>
    </row>
    <row r="12" spans="1:30" ht="12.75" customHeight="1" x14ac:dyDescent="0.4">
      <c r="A12" s="13">
        <f>A11+1</f>
        <v>2015</v>
      </c>
      <c r="B12" s="14">
        <v>0.5</v>
      </c>
      <c r="C12" s="5"/>
      <c r="D12" s="15" t="s">
        <v>18</v>
      </c>
      <c r="E12" s="11"/>
      <c r="F12" s="12"/>
      <c r="G12" s="12"/>
      <c r="H12" s="16">
        <f>SUM(H9:H11)</f>
        <v>4662500</v>
      </c>
      <c r="I12" s="12"/>
      <c r="J12" s="16">
        <f>SUM(J9:J11)</f>
        <v>4315227.2727272725</v>
      </c>
      <c r="K12" s="1"/>
      <c r="L12" s="1"/>
      <c r="M12" s="1"/>
      <c r="N12" s="1"/>
      <c r="O12" s="1"/>
      <c r="P12" s="1"/>
      <c r="Q12" s="1"/>
      <c r="R12" s="1"/>
      <c r="S12" s="1"/>
      <c r="T12" s="1"/>
      <c r="U12" s="1"/>
      <c r="V12" s="1"/>
      <c r="W12" s="1"/>
      <c r="X12" s="1"/>
      <c r="Y12" s="1"/>
      <c r="Z12" s="1"/>
      <c r="AA12" s="1"/>
      <c r="AB12" s="1"/>
      <c r="AC12" s="1"/>
      <c r="AD12" s="1"/>
    </row>
    <row r="13" spans="1:30" ht="12.75" customHeight="1" x14ac:dyDescent="0.4">
      <c r="A13" s="13">
        <f>A12+1</f>
        <v>2016</v>
      </c>
      <c r="B13" s="14">
        <v>0.75</v>
      </c>
      <c r="C13" s="5"/>
      <c r="D13" s="15"/>
      <c r="E13" s="11"/>
      <c r="F13" s="12"/>
      <c r="G13" s="12"/>
      <c r="H13" s="16"/>
      <c r="I13" s="12"/>
      <c r="J13" s="16"/>
      <c r="K13" s="1"/>
      <c r="L13" s="1"/>
      <c r="M13" s="1"/>
      <c r="N13" s="1"/>
      <c r="O13" s="1"/>
      <c r="P13" s="1"/>
      <c r="Q13" s="1"/>
      <c r="R13" s="1"/>
      <c r="S13" s="1"/>
      <c r="T13" s="1"/>
      <c r="U13" s="1"/>
      <c r="V13" s="1"/>
      <c r="W13" s="1"/>
      <c r="X13" s="1"/>
      <c r="Y13" s="1"/>
      <c r="Z13" s="1"/>
      <c r="AA13" s="1"/>
      <c r="AB13" s="1"/>
      <c r="AC13" s="1"/>
      <c r="AD13" s="1"/>
    </row>
    <row r="14" spans="1:30" ht="12.75" customHeight="1" x14ac:dyDescent="0.35">
      <c r="A14" s="13" t="s">
        <v>96</v>
      </c>
      <c r="B14" s="14">
        <v>1</v>
      </c>
      <c r="C14" s="5"/>
      <c r="D14" s="138" t="s">
        <v>19</v>
      </c>
      <c r="E14" s="9" t="s">
        <v>25</v>
      </c>
      <c r="F14" s="12"/>
      <c r="G14" s="12"/>
      <c r="H14" s="12"/>
      <c r="I14" s="12"/>
      <c r="J14" s="12"/>
      <c r="K14" s="1"/>
      <c r="L14" s="1"/>
      <c r="M14" s="1"/>
      <c r="N14" s="1"/>
      <c r="O14" s="1"/>
      <c r="P14" s="1"/>
      <c r="Q14" s="1"/>
      <c r="R14" s="1"/>
      <c r="S14" s="1"/>
      <c r="T14" s="1"/>
      <c r="U14" s="1"/>
      <c r="V14" s="1"/>
      <c r="W14" s="1"/>
      <c r="X14" s="1"/>
      <c r="Y14" s="1"/>
      <c r="Z14" s="1"/>
      <c r="AA14" s="1"/>
      <c r="AB14" s="1"/>
      <c r="AC14" s="1"/>
      <c r="AD14" s="1"/>
    </row>
    <row r="15" spans="1:30" ht="12.75" customHeight="1" x14ac:dyDescent="0.4">
      <c r="A15" s="3"/>
      <c r="B15" s="1"/>
      <c r="C15" s="1"/>
      <c r="D15" s="10" t="s">
        <v>97</v>
      </c>
      <c r="E15" s="11"/>
      <c r="F15" s="12">
        <v>5</v>
      </c>
      <c r="G15" s="12">
        <v>1250</v>
      </c>
      <c r="H15" s="12">
        <f>F15*G15</f>
        <v>6250</v>
      </c>
      <c r="I15" s="12">
        <f>L30</f>
        <v>1785.7142857142858</v>
      </c>
      <c r="J15" s="12">
        <f>I15*F15</f>
        <v>8928.5714285714294</v>
      </c>
      <c r="K15" s="1">
        <f>IF(H15=J15,0,1)</f>
        <v>1</v>
      </c>
      <c r="L15" s="1"/>
      <c r="M15" s="1"/>
      <c r="N15" s="1"/>
      <c r="O15" s="1"/>
      <c r="P15" s="1"/>
      <c r="Q15" s="1"/>
      <c r="R15" s="1"/>
      <c r="S15" s="1"/>
      <c r="T15" s="1"/>
      <c r="U15" s="1"/>
      <c r="V15" s="1"/>
      <c r="W15" s="1"/>
      <c r="X15" s="1"/>
      <c r="Y15" s="1"/>
      <c r="Z15" s="1"/>
      <c r="AA15" s="1"/>
      <c r="AB15" s="1"/>
      <c r="AC15" s="1"/>
      <c r="AD15" s="1"/>
    </row>
    <row r="16" spans="1:30" ht="12.75" customHeight="1" x14ac:dyDescent="0.4">
      <c r="A16" s="2" t="s">
        <v>98</v>
      </c>
      <c r="B16" s="132" t="s">
        <v>93</v>
      </c>
      <c r="C16" s="1"/>
      <c r="D16" s="10" t="s">
        <v>99</v>
      </c>
      <c r="E16" s="11"/>
      <c r="F16" s="12">
        <v>6250</v>
      </c>
      <c r="G16" s="12">
        <v>75</v>
      </c>
      <c r="H16" s="12">
        <f>F16*G16</f>
        <v>468750</v>
      </c>
      <c r="I16" s="12">
        <f>L31</f>
        <v>85.227272727272734</v>
      </c>
      <c r="J16" s="12">
        <f>I16*F16</f>
        <v>532670.45454545459</v>
      </c>
      <c r="K16" s="1">
        <f>IF(H16=J16,0,1)</f>
        <v>1</v>
      </c>
      <c r="L16" s="1"/>
      <c r="M16" s="1"/>
      <c r="N16" s="1"/>
      <c r="O16" s="1"/>
      <c r="P16" s="1"/>
      <c r="Q16" s="1"/>
      <c r="R16" s="1"/>
      <c r="S16" s="1"/>
      <c r="T16" s="1"/>
      <c r="U16" s="1"/>
      <c r="V16" s="1"/>
      <c r="W16" s="1"/>
      <c r="X16" s="1"/>
      <c r="Y16" s="1"/>
      <c r="Z16" s="1"/>
      <c r="AA16" s="1"/>
      <c r="AB16" s="1"/>
      <c r="AC16" s="1"/>
      <c r="AD16" s="1"/>
    </row>
    <row r="17" spans="1:30" ht="12.75" customHeight="1" x14ac:dyDescent="0.4">
      <c r="A17" s="3" t="s">
        <v>17</v>
      </c>
      <c r="B17" s="17">
        <v>0.3</v>
      </c>
      <c r="C17" s="1"/>
      <c r="D17" s="10" t="s">
        <v>100</v>
      </c>
      <c r="E17" s="11"/>
      <c r="F17" s="12">
        <v>25</v>
      </c>
      <c r="G17" s="12">
        <v>2500</v>
      </c>
      <c r="H17" s="12">
        <f>F17*G17</f>
        <v>62500</v>
      </c>
      <c r="I17" s="12">
        <f>G17/(1+B19)</f>
        <v>2272.7272727272725</v>
      </c>
      <c r="J17" s="12">
        <f>I17*F17</f>
        <v>56818.181818181816</v>
      </c>
      <c r="K17" s="1">
        <f>IF(H17=J17,0,1)</f>
        <v>1</v>
      </c>
      <c r="L17" s="1"/>
      <c r="M17" s="1"/>
      <c r="N17" s="1"/>
      <c r="O17" s="1"/>
      <c r="P17" s="1"/>
      <c r="Q17" s="1"/>
      <c r="R17" s="1"/>
      <c r="S17" s="1"/>
      <c r="T17" s="1"/>
      <c r="U17" s="1"/>
      <c r="V17" s="1"/>
      <c r="W17" s="1"/>
      <c r="X17" s="1"/>
      <c r="Y17" s="1"/>
      <c r="Z17" s="1"/>
      <c r="AA17" s="1"/>
      <c r="AB17" s="1"/>
      <c r="AC17" s="1"/>
      <c r="AD17" s="1"/>
    </row>
    <row r="18" spans="1:30" ht="12.75" customHeight="1" x14ac:dyDescent="0.4">
      <c r="A18" s="1" t="s">
        <v>101</v>
      </c>
      <c r="B18" s="14">
        <v>0.1</v>
      </c>
      <c r="C18" s="1"/>
      <c r="D18" s="10" t="s">
        <v>102</v>
      </c>
      <c r="E18" s="11"/>
      <c r="F18" s="12">
        <v>1250</v>
      </c>
      <c r="G18" s="18">
        <v>1.75</v>
      </c>
      <c r="H18" s="12">
        <f>F18*G18</f>
        <v>2187.5</v>
      </c>
      <c r="I18" s="18">
        <f>L28</f>
        <v>1.5909090909090908</v>
      </c>
      <c r="J18" s="12">
        <f>I18*F18</f>
        <v>1988.6363636363635</v>
      </c>
      <c r="K18" s="1">
        <f>IF(H18=J18,0,1)</f>
        <v>1</v>
      </c>
      <c r="L18" s="1"/>
      <c r="M18" s="1"/>
      <c r="N18" s="1"/>
      <c r="O18" s="1"/>
      <c r="P18" s="1"/>
      <c r="Q18" s="1"/>
      <c r="R18" s="1"/>
      <c r="S18" s="1"/>
      <c r="T18" s="1"/>
      <c r="U18" s="1"/>
      <c r="V18" s="1"/>
      <c r="W18" s="1"/>
      <c r="X18" s="1"/>
      <c r="Y18" s="1"/>
      <c r="Z18" s="1"/>
      <c r="AA18" s="1"/>
      <c r="AB18" s="1"/>
      <c r="AC18" s="1"/>
      <c r="AD18" s="1"/>
    </row>
    <row r="19" spans="1:30" ht="12.75" customHeight="1" x14ac:dyDescent="0.4">
      <c r="A19" s="1" t="s">
        <v>103</v>
      </c>
      <c r="B19" s="14">
        <v>0.1</v>
      </c>
      <c r="C19" s="1"/>
      <c r="D19" s="15" t="s">
        <v>18</v>
      </c>
      <c r="E19" s="19"/>
      <c r="F19" s="12"/>
      <c r="G19" s="12"/>
      <c r="H19" s="16">
        <f>SUM(H15:H18)</f>
        <v>539687.5</v>
      </c>
      <c r="I19" s="12"/>
      <c r="J19" s="16">
        <f>SUM(J15:J18)</f>
        <v>600405.84415584418</v>
      </c>
      <c r="K19" s="1">
        <f>IF(H19=J19,0,1)</f>
        <v>1</v>
      </c>
      <c r="L19" s="1"/>
      <c r="M19" s="1"/>
      <c r="N19" s="1"/>
      <c r="O19" s="1"/>
      <c r="P19" s="1"/>
      <c r="Q19" s="1"/>
      <c r="R19" s="1"/>
      <c r="S19" s="1"/>
      <c r="T19" s="1"/>
      <c r="U19" s="1"/>
      <c r="V19" s="1"/>
      <c r="W19" s="1"/>
      <c r="X19" s="1"/>
      <c r="Y19" s="1"/>
      <c r="Z19" s="1"/>
      <c r="AA19" s="1"/>
      <c r="AB19" s="1"/>
      <c r="AC19" s="1"/>
      <c r="AD19" s="1"/>
    </row>
    <row r="20" spans="1:30" ht="12.75" customHeight="1" x14ac:dyDescent="0.4">
      <c r="A20" s="1" t="s">
        <v>104</v>
      </c>
      <c r="B20" s="14">
        <v>0.25</v>
      </c>
      <c r="C20" s="1"/>
      <c r="D20" s="15"/>
      <c r="E20" s="19"/>
      <c r="F20" s="12"/>
      <c r="G20" s="12"/>
      <c r="H20" s="16"/>
      <c r="I20" s="12"/>
      <c r="J20" s="16"/>
      <c r="K20" s="20"/>
      <c r="L20" s="1"/>
      <c r="M20" s="1"/>
      <c r="N20" s="1"/>
      <c r="O20" s="1"/>
      <c r="P20" s="1"/>
      <c r="Q20" s="1"/>
      <c r="R20" s="1"/>
      <c r="S20" s="1"/>
      <c r="T20" s="1"/>
      <c r="U20" s="1"/>
      <c r="V20" s="1"/>
      <c r="W20" s="1"/>
      <c r="X20" s="1"/>
      <c r="Y20" s="1"/>
      <c r="Z20" s="1"/>
      <c r="AA20" s="1"/>
      <c r="AB20" s="1"/>
      <c r="AC20" s="1"/>
      <c r="AD20" s="1"/>
    </row>
    <row r="21" spans="1:30" ht="12.75" customHeight="1" x14ac:dyDescent="0.4">
      <c r="A21" s="1" t="s">
        <v>105</v>
      </c>
      <c r="B21" s="14">
        <v>0.1</v>
      </c>
      <c r="C21" s="1"/>
      <c r="D21" s="139" t="s">
        <v>106</v>
      </c>
      <c r="E21" s="21"/>
      <c r="F21" s="14">
        <v>0.1</v>
      </c>
      <c r="G21" s="12"/>
      <c r="H21" s="12">
        <f>F21*H12</f>
        <v>466250</v>
      </c>
      <c r="I21" s="12"/>
      <c r="J21" s="12">
        <f>F21*J12</f>
        <v>431522.72727272729</v>
      </c>
      <c r="K21" s="22"/>
      <c r="L21" s="1"/>
      <c r="M21" s="1"/>
      <c r="N21" s="1"/>
      <c r="O21" s="1"/>
      <c r="P21" s="1"/>
      <c r="Q21" s="1"/>
      <c r="R21" s="1"/>
      <c r="S21" s="1"/>
      <c r="T21" s="1"/>
      <c r="U21" s="1"/>
      <c r="V21" s="1"/>
      <c r="W21" s="1"/>
      <c r="X21" s="1"/>
      <c r="Y21" s="1"/>
      <c r="Z21" s="1"/>
      <c r="AA21" s="1"/>
      <c r="AB21" s="1"/>
      <c r="AC21" s="1"/>
      <c r="AD21" s="1"/>
    </row>
    <row r="22" spans="1:30" ht="12.75" customHeight="1" x14ac:dyDescent="0.35">
      <c r="A22" s="3"/>
      <c r="B22" s="1"/>
      <c r="C22" s="1"/>
      <c r="D22" s="140" t="s">
        <v>107</v>
      </c>
      <c r="E22" s="23" t="s">
        <v>108</v>
      </c>
      <c r="F22" s="24"/>
      <c r="G22" s="24"/>
      <c r="H22" s="24">
        <v>125000</v>
      </c>
      <c r="I22" s="24"/>
      <c r="J22" s="24">
        <f>-PMT(G55,20,,H22)</f>
        <v>4197.7187910786106</v>
      </c>
      <c r="K22" s="22"/>
      <c r="L22" s="1"/>
      <c r="M22" s="1"/>
      <c r="N22" s="1"/>
      <c r="O22" s="1"/>
      <c r="P22" s="1"/>
      <c r="Q22" s="1"/>
      <c r="R22" s="1"/>
      <c r="S22" s="1"/>
      <c r="T22" s="1"/>
      <c r="U22" s="1"/>
      <c r="V22" s="1"/>
      <c r="W22" s="1"/>
      <c r="X22" s="1"/>
      <c r="Y22" s="1"/>
      <c r="Z22" s="1"/>
      <c r="AA22" s="1"/>
      <c r="AB22" s="1"/>
      <c r="AC22" s="1"/>
      <c r="AD22" s="1"/>
    </row>
    <row r="23" spans="1:30" ht="12.75" customHeight="1" x14ac:dyDescent="0.35">
      <c r="A23" s="3"/>
      <c r="B23" s="14"/>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2.75" customHeight="1" x14ac:dyDescent="0.35">
      <c r="A24" s="3"/>
      <c r="B24" s="1"/>
      <c r="C24" s="1"/>
      <c r="D24" s="329" t="s">
        <v>109</v>
      </c>
      <c r="E24" s="330"/>
      <c r="F24" s="330"/>
      <c r="G24" s="330"/>
      <c r="H24" s="330"/>
      <c r="I24" s="330"/>
      <c r="J24" s="330"/>
      <c r="K24" s="330"/>
      <c r="L24" s="330"/>
      <c r="M24" s="330"/>
      <c r="N24" s="1"/>
      <c r="O24" s="1"/>
      <c r="P24" s="1"/>
      <c r="Q24" s="1"/>
      <c r="R24" s="1"/>
      <c r="S24" s="1"/>
      <c r="T24" s="1"/>
      <c r="U24" s="1"/>
      <c r="V24" s="1"/>
      <c r="W24" s="1"/>
      <c r="X24" s="1"/>
      <c r="Y24" s="1"/>
      <c r="Z24" s="1"/>
      <c r="AA24" s="1"/>
      <c r="AB24" s="1"/>
      <c r="AC24" s="1"/>
      <c r="AD24" s="1"/>
    </row>
    <row r="25" spans="1:30" ht="12.75" customHeight="1" x14ac:dyDescent="0.35">
      <c r="A25" s="2" t="s">
        <v>13</v>
      </c>
      <c r="B25" s="132" t="s">
        <v>110</v>
      </c>
      <c r="C25" s="1"/>
      <c r="D25" s="1"/>
      <c r="E25" s="5"/>
      <c r="F25" s="5"/>
      <c r="G25" s="331" t="s">
        <v>111</v>
      </c>
      <c r="H25" s="332"/>
      <c r="I25" s="141"/>
      <c r="J25" s="5"/>
      <c r="K25" s="5"/>
      <c r="L25" s="331" t="s">
        <v>82</v>
      </c>
      <c r="M25" s="332"/>
      <c r="N25" s="1"/>
      <c r="O25" s="1"/>
      <c r="P25" s="1"/>
      <c r="Q25" s="1"/>
      <c r="R25" s="1"/>
      <c r="S25" s="1"/>
      <c r="T25" s="1"/>
      <c r="U25" s="1"/>
      <c r="V25" s="1"/>
      <c r="W25" s="1"/>
      <c r="X25" s="1"/>
      <c r="Y25" s="1"/>
      <c r="Z25" s="1"/>
      <c r="AA25" s="1"/>
      <c r="AB25" s="1"/>
      <c r="AC25" s="1"/>
      <c r="AD25" s="1"/>
    </row>
    <row r="26" spans="1:30" ht="12.75" customHeight="1" x14ac:dyDescent="0.35">
      <c r="A26" s="3" t="s">
        <v>21</v>
      </c>
      <c r="B26" s="1">
        <v>1000</v>
      </c>
      <c r="C26" s="1"/>
      <c r="D26" s="7"/>
      <c r="E26" s="134" t="s">
        <v>2</v>
      </c>
      <c r="F26" s="134" t="s">
        <v>112</v>
      </c>
      <c r="G26" s="134" t="s">
        <v>113</v>
      </c>
      <c r="H26" s="134" t="s">
        <v>23</v>
      </c>
      <c r="I26" s="25"/>
      <c r="J26" s="5"/>
      <c r="K26" s="142" t="s">
        <v>114</v>
      </c>
      <c r="L26" s="134" t="s">
        <v>113</v>
      </c>
      <c r="M26" s="134" t="s">
        <v>23</v>
      </c>
      <c r="N26" s="1"/>
      <c r="O26" s="1"/>
      <c r="P26" s="1"/>
      <c r="Q26" s="1"/>
      <c r="R26" s="1"/>
      <c r="S26" s="1"/>
      <c r="T26" s="1"/>
      <c r="U26" s="1"/>
      <c r="V26" s="1"/>
      <c r="W26" s="1"/>
      <c r="X26" s="1"/>
      <c r="Y26" s="1"/>
      <c r="Z26" s="1"/>
      <c r="AA26" s="1"/>
      <c r="AB26" s="1"/>
      <c r="AC26" s="1"/>
      <c r="AD26" s="1"/>
    </row>
    <row r="27" spans="1:30" ht="12.75" customHeight="1" x14ac:dyDescent="0.35">
      <c r="A27" s="1" t="s">
        <v>36</v>
      </c>
      <c r="B27" s="26">
        <v>2.5000000000000001E-2</v>
      </c>
      <c r="C27" s="1"/>
      <c r="D27" s="1" t="s">
        <v>115</v>
      </c>
      <c r="E27" s="27"/>
      <c r="F27" s="12">
        <v>250</v>
      </c>
      <c r="G27" s="12">
        <v>75</v>
      </c>
      <c r="H27" s="12">
        <f t="shared" ref="H27:H38" si="0">F27*G27</f>
        <v>18750</v>
      </c>
      <c r="I27" s="28" t="s">
        <v>116</v>
      </c>
      <c r="J27" s="1"/>
      <c r="K27" s="14">
        <v>0.6</v>
      </c>
      <c r="L27" s="12">
        <f>G27*K27</f>
        <v>45</v>
      </c>
      <c r="M27" s="12">
        <f t="shared" ref="M27:M34" si="1">L27*F27</f>
        <v>11250</v>
      </c>
      <c r="N27" s="1">
        <f t="shared" ref="N27:N38" si="2">IF(H27=M27,0,1)</f>
        <v>1</v>
      </c>
      <c r="O27" s="1"/>
      <c r="P27" s="1"/>
      <c r="Q27" s="1"/>
      <c r="R27" s="1"/>
      <c r="S27" s="1"/>
      <c r="T27" s="1"/>
      <c r="U27" s="1"/>
      <c r="V27" s="1"/>
      <c r="W27" s="1"/>
      <c r="X27" s="1"/>
      <c r="Y27" s="1"/>
      <c r="Z27" s="1"/>
      <c r="AA27" s="1"/>
      <c r="AB27" s="1"/>
      <c r="AC27" s="1"/>
      <c r="AD27" s="1"/>
    </row>
    <row r="28" spans="1:30" ht="12.75" customHeight="1" x14ac:dyDescent="0.35">
      <c r="A28" s="1" t="s">
        <v>117</v>
      </c>
      <c r="B28" s="14">
        <v>0.1</v>
      </c>
      <c r="C28" s="1"/>
      <c r="D28" s="1" t="s">
        <v>118</v>
      </c>
      <c r="E28" s="27"/>
      <c r="F28" s="12">
        <v>6250</v>
      </c>
      <c r="G28" s="18">
        <v>1.75</v>
      </c>
      <c r="H28" s="12">
        <f t="shared" si="0"/>
        <v>10937.5</v>
      </c>
      <c r="I28" s="28" t="s">
        <v>119</v>
      </c>
      <c r="J28" s="1"/>
      <c r="K28" s="14">
        <v>0.1</v>
      </c>
      <c r="L28" s="18">
        <f>G28/(1+K28)</f>
        <v>1.5909090909090908</v>
      </c>
      <c r="M28" s="12">
        <f t="shared" si="1"/>
        <v>9943.181818181818</v>
      </c>
      <c r="N28" s="1">
        <f t="shared" si="2"/>
        <v>1</v>
      </c>
      <c r="O28" s="1"/>
      <c r="P28" s="1"/>
      <c r="Q28" s="1"/>
      <c r="R28" s="1"/>
      <c r="S28" s="1"/>
      <c r="T28" s="1"/>
      <c r="U28" s="1"/>
      <c r="V28" s="1"/>
      <c r="W28" s="1"/>
      <c r="X28" s="1"/>
      <c r="Y28" s="1"/>
      <c r="Z28" s="1"/>
      <c r="AA28" s="1"/>
      <c r="AB28" s="1"/>
      <c r="AC28" s="1"/>
      <c r="AD28" s="1"/>
    </row>
    <row r="29" spans="1:30" ht="12.75" customHeight="1" x14ac:dyDescent="0.35">
      <c r="A29" s="1" t="s">
        <v>120</v>
      </c>
      <c r="B29" s="14">
        <v>0.05</v>
      </c>
      <c r="C29" s="1"/>
      <c r="D29" s="1" t="s">
        <v>121</v>
      </c>
      <c r="E29" s="27"/>
      <c r="F29" s="12">
        <v>625</v>
      </c>
      <c r="G29" s="12">
        <v>50</v>
      </c>
      <c r="H29" s="12">
        <f t="shared" si="0"/>
        <v>31250</v>
      </c>
      <c r="I29" s="28" t="s">
        <v>122</v>
      </c>
      <c r="J29" s="1"/>
      <c r="K29" s="14">
        <v>0.25</v>
      </c>
      <c r="L29" s="12">
        <f>G29/(1-K29)</f>
        <v>66.666666666666671</v>
      </c>
      <c r="M29" s="12">
        <f t="shared" si="1"/>
        <v>41666.666666666672</v>
      </c>
      <c r="N29" s="1">
        <f t="shared" si="2"/>
        <v>1</v>
      </c>
      <c r="O29" s="1"/>
      <c r="P29" s="1"/>
      <c r="Q29" s="1"/>
      <c r="R29" s="1"/>
      <c r="S29" s="1"/>
      <c r="T29" s="1"/>
      <c r="U29" s="1"/>
      <c r="V29" s="1"/>
      <c r="W29" s="1"/>
      <c r="X29" s="1"/>
      <c r="Y29" s="1"/>
      <c r="Z29" s="1"/>
      <c r="AA29" s="1"/>
      <c r="AB29" s="1"/>
      <c r="AC29" s="1"/>
      <c r="AD29" s="1"/>
    </row>
    <row r="30" spans="1:30" ht="12.75" customHeight="1" x14ac:dyDescent="0.35">
      <c r="A30" s="1"/>
      <c r="B30" s="1"/>
      <c r="C30" s="1"/>
      <c r="D30" s="1" t="s">
        <v>123</v>
      </c>
      <c r="E30" s="29"/>
      <c r="F30" s="30">
        <v>7.5</v>
      </c>
      <c r="G30" s="12">
        <v>1250</v>
      </c>
      <c r="H30" s="12">
        <f t="shared" si="0"/>
        <v>9375</v>
      </c>
      <c r="I30" s="28" t="s">
        <v>124</v>
      </c>
      <c r="J30" s="1"/>
      <c r="K30" s="14">
        <v>0.3</v>
      </c>
      <c r="L30" s="12">
        <f>G30/(1-K30)</f>
        <v>1785.7142857142858</v>
      </c>
      <c r="M30" s="12">
        <f t="shared" si="1"/>
        <v>13392.857142857143</v>
      </c>
      <c r="N30" s="1">
        <f t="shared" si="2"/>
        <v>1</v>
      </c>
      <c r="O30" s="1"/>
      <c r="P30" s="1"/>
      <c r="Q30" s="1"/>
      <c r="R30" s="1"/>
      <c r="S30" s="1"/>
      <c r="T30" s="1"/>
      <c r="U30" s="1"/>
      <c r="V30" s="1"/>
      <c r="W30" s="1"/>
      <c r="X30" s="1"/>
      <c r="Y30" s="1"/>
      <c r="Z30" s="1"/>
      <c r="AA30" s="1"/>
      <c r="AB30" s="1"/>
      <c r="AC30" s="1"/>
      <c r="AD30" s="1"/>
    </row>
    <row r="31" spans="1:30" ht="12.75" customHeight="1" x14ac:dyDescent="0.35">
      <c r="A31" s="1"/>
      <c r="B31" s="1"/>
      <c r="C31" s="1"/>
      <c r="D31" s="1" t="s">
        <v>125</v>
      </c>
      <c r="E31" s="27"/>
      <c r="F31" s="12">
        <v>7500</v>
      </c>
      <c r="G31" s="12">
        <v>75</v>
      </c>
      <c r="H31" s="12">
        <f t="shared" si="0"/>
        <v>562500</v>
      </c>
      <c r="I31" s="28" t="s">
        <v>126</v>
      </c>
      <c r="J31" s="1"/>
      <c r="K31" s="14">
        <v>0.12</v>
      </c>
      <c r="L31" s="12">
        <f>G31/(1-K31)</f>
        <v>85.227272727272734</v>
      </c>
      <c r="M31" s="12">
        <f t="shared" si="1"/>
        <v>639204.54545454553</v>
      </c>
      <c r="N31" s="1">
        <f t="shared" si="2"/>
        <v>1</v>
      </c>
      <c r="O31" s="1"/>
      <c r="P31" s="1"/>
      <c r="Q31" s="1"/>
      <c r="R31" s="1"/>
      <c r="S31" s="1"/>
      <c r="T31" s="1"/>
      <c r="U31" s="1"/>
      <c r="V31" s="1"/>
      <c r="W31" s="1"/>
      <c r="X31" s="1"/>
      <c r="Y31" s="1"/>
      <c r="Z31" s="1"/>
      <c r="AA31" s="1"/>
      <c r="AB31" s="1"/>
      <c r="AC31" s="1"/>
      <c r="AD31" s="1"/>
    </row>
    <row r="32" spans="1:30" ht="12.75" customHeight="1" x14ac:dyDescent="0.35">
      <c r="A32" s="143" t="s">
        <v>127</v>
      </c>
      <c r="B32" s="144"/>
      <c r="C32" s="1"/>
      <c r="D32" s="1" t="s">
        <v>128</v>
      </c>
      <c r="E32" s="27"/>
      <c r="F32" s="12">
        <v>2250</v>
      </c>
      <c r="G32" s="12">
        <v>50</v>
      </c>
      <c r="H32" s="12">
        <f t="shared" si="0"/>
        <v>112500</v>
      </c>
      <c r="I32" s="28" t="s">
        <v>129</v>
      </c>
      <c r="J32" s="1"/>
      <c r="K32" s="14">
        <v>0.15</v>
      </c>
      <c r="L32" s="12">
        <f>G32/(1-K32)</f>
        <v>58.82352941176471</v>
      </c>
      <c r="M32" s="12">
        <f t="shared" si="1"/>
        <v>132352.9411764706</v>
      </c>
      <c r="N32" s="1">
        <f t="shared" si="2"/>
        <v>1</v>
      </c>
      <c r="O32" s="1"/>
      <c r="P32" s="1"/>
      <c r="Q32" s="1"/>
      <c r="R32" s="1"/>
      <c r="S32" s="1"/>
      <c r="T32" s="1"/>
      <c r="U32" s="1"/>
      <c r="V32" s="1"/>
      <c r="W32" s="1"/>
      <c r="X32" s="1"/>
      <c r="Y32" s="1"/>
      <c r="Z32" s="1"/>
      <c r="AA32" s="1"/>
      <c r="AB32" s="1"/>
      <c r="AC32" s="1"/>
      <c r="AD32" s="1"/>
    </row>
    <row r="33" spans="1:30" ht="12.75" customHeight="1" x14ac:dyDescent="0.35">
      <c r="A33" s="3" t="s">
        <v>130</v>
      </c>
      <c r="B33" s="31">
        <v>0</v>
      </c>
      <c r="C33" s="1"/>
      <c r="D33" s="1" t="s">
        <v>131</v>
      </c>
      <c r="E33" s="27"/>
      <c r="F33" s="12">
        <v>30</v>
      </c>
      <c r="G33" s="12">
        <v>2500</v>
      </c>
      <c r="H33" s="12">
        <f t="shared" si="0"/>
        <v>75000</v>
      </c>
      <c r="I33" s="28" t="s">
        <v>132</v>
      </c>
      <c r="J33" s="1"/>
      <c r="K33" s="14">
        <f>B19</f>
        <v>0.1</v>
      </c>
      <c r="L33" s="12">
        <f>G33/(1+K33)</f>
        <v>2272.7272727272725</v>
      </c>
      <c r="M33" s="12">
        <f t="shared" si="1"/>
        <v>68181.818181818177</v>
      </c>
      <c r="N33" s="1">
        <f t="shared" si="2"/>
        <v>1</v>
      </c>
      <c r="O33" s="1"/>
      <c r="P33" s="1"/>
      <c r="Q33" s="1"/>
      <c r="R33" s="1"/>
      <c r="S33" s="1"/>
      <c r="T33" s="1"/>
      <c r="U33" s="1"/>
      <c r="V33" s="1"/>
      <c r="W33" s="1"/>
      <c r="X33" s="1"/>
      <c r="Y33" s="1"/>
      <c r="Z33" s="1"/>
      <c r="AA33" s="1"/>
      <c r="AB33" s="1"/>
      <c r="AC33" s="1"/>
      <c r="AD33" s="1"/>
    </row>
    <row r="34" spans="1:30" ht="12.75" customHeight="1" x14ac:dyDescent="0.35">
      <c r="A34" s="3" t="s">
        <v>133</v>
      </c>
      <c r="B34" s="32">
        <f>250000-5000000*B33</f>
        <v>250000</v>
      </c>
      <c r="C34" s="1"/>
      <c r="D34" s="1" t="s">
        <v>134</v>
      </c>
      <c r="E34" s="5"/>
      <c r="F34" s="12">
        <v>250</v>
      </c>
      <c r="G34" s="12">
        <v>150</v>
      </c>
      <c r="H34" s="12">
        <f t="shared" si="0"/>
        <v>37500</v>
      </c>
      <c r="I34" s="28" t="s">
        <v>135</v>
      </c>
      <c r="J34" s="1"/>
      <c r="K34" s="14">
        <v>0.6</v>
      </c>
      <c r="L34" s="12">
        <f>G34*K34</f>
        <v>90</v>
      </c>
      <c r="M34" s="12">
        <f t="shared" si="1"/>
        <v>22500</v>
      </c>
      <c r="N34" s="1">
        <f t="shared" si="2"/>
        <v>1</v>
      </c>
      <c r="O34" s="1"/>
      <c r="P34" s="1"/>
      <c r="Q34" s="1"/>
      <c r="R34" s="1"/>
      <c r="S34" s="1"/>
      <c r="T34" s="1"/>
      <c r="U34" s="1"/>
      <c r="V34" s="1"/>
      <c r="W34" s="1"/>
      <c r="X34" s="1"/>
      <c r="Y34" s="1"/>
      <c r="Z34" s="1"/>
      <c r="AA34" s="1"/>
      <c r="AB34" s="1"/>
      <c r="AC34" s="1"/>
      <c r="AD34" s="1"/>
    </row>
    <row r="35" spans="1:30" ht="12.75" customHeight="1" x14ac:dyDescent="0.35">
      <c r="A35" s="3" t="s">
        <v>136</v>
      </c>
      <c r="B35" s="32">
        <f>12500-250000*B33</f>
        <v>12500</v>
      </c>
      <c r="C35" s="1"/>
      <c r="D35" s="1" t="s">
        <v>137</v>
      </c>
      <c r="E35" s="5"/>
      <c r="F35" s="12">
        <v>30</v>
      </c>
      <c r="G35" s="12">
        <v>2500</v>
      </c>
      <c r="H35" s="12">
        <f t="shared" si="0"/>
        <v>75000</v>
      </c>
      <c r="I35" s="33" t="s">
        <v>138</v>
      </c>
      <c r="J35" s="1"/>
      <c r="K35" s="1"/>
      <c r="L35" s="12">
        <f>G35</f>
        <v>2500</v>
      </c>
      <c r="M35" s="12">
        <f>H35</f>
        <v>75000</v>
      </c>
      <c r="N35" s="1">
        <f t="shared" si="2"/>
        <v>0</v>
      </c>
      <c r="O35" s="1"/>
      <c r="P35" s="1"/>
      <c r="Q35" s="1"/>
      <c r="R35" s="1"/>
      <c r="S35" s="1"/>
      <c r="T35" s="1"/>
      <c r="U35" s="1"/>
      <c r="V35" s="1"/>
      <c r="W35" s="1"/>
      <c r="X35" s="1"/>
      <c r="Y35" s="1"/>
      <c r="Z35" s="1"/>
      <c r="AA35" s="1"/>
      <c r="AB35" s="1"/>
      <c r="AC35" s="1"/>
      <c r="AD35" s="1"/>
    </row>
    <row r="36" spans="1:30" ht="12.75" customHeight="1" x14ac:dyDescent="0.35">
      <c r="A36" s="34" t="s">
        <v>139</v>
      </c>
      <c r="B36" s="32">
        <f>B35-B34</f>
        <v>-237500</v>
      </c>
      <c r="C36" s="1"/>
      <c r="D36" s="1" t="s">
        <v>140</v>
      </c>
      <c r="E36" s="5"/>
      <c r="F36" s="30">
        <v>2.5</v>
      </c>
      <c r="G36" s="12">
        <v>20663</v>
      </c>
      <c r="H36" s="12">
        <f t="shared" si="0"/>
        <v>51657.5</v>
      </c>
      <c r="I36" s="28" t="s">
        <v>141</v>
      </c>
      <c r="J36" s="1"/>
      <c r="K36" s="14"/>
      <c r="L36" s="12">
        <f>G36</f>
        <v>20663</v>
      </c>
      <c r="M36" s="12">
        <f>H36</f>
        <v>51657.5</v>
      </c>
      <c r="N36" s="1">
        <f t="shared" si="2"/>
        <v>0</v>
      </c>
      <c r="O36" s="1"/>
      <c r="P36" s="1"/>
      <c r="Q36" s="1"/>
      <c r="R36" s="1"/>
      <c r="S36" s="1"/>
      <c r="T36" s="1"/>
      <c r="U36" s="1"/>
      <c r="V36" s="1"/>
      <c r="W36" s="1"/>
      <c r="X36" s="1"/>
      <c r="Y36" s="1"/>
      <c r="Z36" s="1"/>
      <c r="AA36" s="1"/>
      <c r="AB36" s="1"/>
      <c r="AC36" s="1"/>
      <c r="AD36" s="1"/>
    </row>
    <row r="37" spans="1:30" ht="12.75" customHeight="1" x14ac:dyDescent="0.35">
      <c r="A37" s="1"/>
      <c r="B37" s="1"/>
      <c r="C37" s="1"/>
      <c r="D37" s="1" t="s">
        <v>142</v>
      </c>
      <c r="E37" s="5"/>
      <c r="F37" s="12">
        <v>30</v>
      </c>
      <c r="G37" s="12">
        <v>7500</v>
      </c>
      <c r="H37" s="12">
        <f t="shared" si="0"/>
        <v>225000</v>
      </c>
      <c r="I37" s="28" t="s">
        <v>142</v>
      </c>
      <c r="J37" s="1"/>
      <c r="K37" s="1"/>
      <c r="L37" s="35">
        <f>G37</f>
        <v>7500</v>
      </c>
      <c r="M37" s="12">
        <f>L37*F37</f>
        <v>225000</v>
      </c>
      <c r="N37" s="1">
        <f t="shared" si="2"/>
        <v>0</v>
      </c>
      <c r="O37" s="1"/>
      <c r="P37" s="1"/>
      <c r="Q37" s="1"/>
      <c r="R37" s="1"/>
      <c r="S37" s="1"/>
      <c r="T37" s="1"/>
      <c r="U37" s="1"/>
      <c r="V37" s="1"/>
      <c r="W37" s="1"/>
      <c r="X37" s="1"/>
      <c r="Y37" s="1"/>
      <c r="Z37" s="1"/>
      <c r="AA37" s="1"/>
      <c r="AB37" s="1"/>
      <c r="AC37" s="1"/>
      <c r="AD37" s="1"/>
    </row>
    <row r="38" spans="1:30" ht="12.75" customHeight="1" x14ac:dyDescent="0.35">
      <c r="A38" s="1"/>
      <c r="B38" s="1"/>
      <c r="C38" s="1"/>
      <c r="D38" s="1" t="s">
        <v>50</v>
      </c>
      <c r="E38" s="5"/>
      <c r="F38" s="30">
        <v>2.5</v>
      </c>
      <c r="G38" s="12">
        <v>19250</v>
      </c>
      <c r="H38" s="12">
        <f t="shared" si="0"/>
        <v>48125</v>
      </c>
      <c r="I38" s="28" t="s">
        <v>50</v>
      </c>
      <c r="J38" s="1"/>
      <c r="K38" s="1"/>
      <c r="L38" s="35">
        <f>G38</f>
        <v>19250</v>
      </c>
      <c r="M38" s="12">
        <f>L38*F38</f>
        <v>48125</v>
      </c>
      <c r="N38" s="1">
        <f t="shared" si="2"/>
        <v>0</v>
      </c>
      <c r="O38" s="1"/>
      <c r="P38" s="1"/>
      <c r="Q38" s="1"/>
      <c r="R38" s="1"/>
      <c r="S38" s="1"/>
      <c r="T38" s="1"/>
      <c r="U38" s="1"/>
      <c r="V38" s="1"/>
      <c r="W38" s="1"/>
      <c r="X38" s="1"/>
      <c r="Y38" s="1"/>
      <c r="Z38" s="1"/>
      <c r="AA38" s="1"/>
      <c r="AB38" s="1"/>
      <c r="AC38" s="1"/>
      <c r="AD38" s="1"/>
    </row>
    <row r="39" spans="1:30" ht="12.75" customHeight="1" x14ac:dyDescent="0.35">
      <c r="A39" s="1"/>
      <c r="B39" s="1"/>
      <c r="C39" s="1"/>
      <c r="D39" s="36" t="s">
        <v>143</v>
      </c>
      <c r="E39" s="37">
        <v>2013</v>
      </c>
      <c r="F39" s="24"/>
      <c r="G39" s="24"/>
      <c r="H39" s="38">
        <f>SUM(H27:H38)</f>
        <v>1257595</v>
      </c>
      <c r="I39" s="39" t="s">
        <v>144</v>
      </c>
      <c r="J39" s="40"/>
      <c r="K39" s="40"/>
      <c r="L39" s="24"/>
      <c r="M39" s="38">
        <f>SUM(M27:M38)</f>
        <v>1338274.51044054</v>
      </c>
      <c r="N39" s="1"/>
      <c r="O39" s="1"/>
      <c r="P39" s="1"/>
      <c r="Q39" s="1"/>
      <c r="R39" s="1"/>
      <c r="S39" s="1"/>
      <c r="T39" s="1"/>
      <c r="U39" s="1"/>
      <c r="V39" s="1"/>
      <c r="W39" s="1"/>
      <c r="X39" s="1"/>
      <c r="Y39" s="1"/>
      <c r="Z39" s="1"/>
      <c r="AA39" s="1"/>
      <c r="AB39" s="1"/>
      <c r="AC39" s="1"/>
      <c r="AD39" s="1"/>
    </row>
    <row r="40" spans="1:30" ht="12.75" customHeight="1" x14ac:dyDescent="0.35">
      <c r="A40" s="1"/>
      <c r="B40" s="1"/>
      <c r="C40" s="1"/>
      <c r="D40" s="15"/>
      <c r="E40" s="1"/>
      <c r="F40" s="1"/>
      <c r="G40" s="20"/>
      <c r="H40" s="1"/>
      <c r="I40" s="1"/>
      <c r="J40" s="1"/>
      <c r="K40" s="1"/>
      <c r="L40" s="1"/>
      <c r="M40" s="1"/>
      <c r="N40" s="1"/>
      <c r="O40" s="1"/>
      <c r="P40" s="1"/>
      <c r="Q40" s="1"/>
      <c r="R40" s="1"/>
      <c r="S40" s="1"/>
      <c r="T40" s="1"/>
      <c r="U40" s="1"/>
      <c r="V40" s="1"/>
      <c r="W40" s="1"/>
      <c r="X40" s="1"/>
      <c r="Y40" s="1"/>
      <c r="Z40" s="1"/>
      <c r="AA40" s="1"/>
      <c r="AB40" s="1"/>
      <c r="AC40" s="1"/>
      <c r="AD40" s="1"/>
    </row>
    <row r="41" spans="1:30" ht="12.75" customHeight="1" x14ac:dyDescent="0.35">
      <c r="A41" s="1"/>
      <c r="B41" s="1"/>
      <c r="C41" s="1"/>
      <c r="D41" s="329" t="s">
        <v>145</v>
      </c>
      <c r="E41" s="330"/>
      <c r="F41" s="330"/>
      <c r="G41" s="330"/>
      <c r="H41" s="330"/>
      <c r="I41" s="330"/>
      <c r="J41" s="330"/>
      <c r="K41" s="1"/>
      <c r="L41" s="1"/>
      <c r="M41" s="1"/>
      <c r="N41" s="1"/>
      <c r="O41" s="1"/>
      <c r="P41" s="1"/>
      <c r="Q41" s="1"/>
      <c r="R41" s="1"/>
      <c r="S41" s="1"/>
      <c r="T41" s="1"/>
      <c r="U41" s="1"/>
      <c r="V41" s="1"/>
      <c r="W41" s="1"/>
      <c r="X41" s="1"/>
      <c r="Y41" s="1"/>
      <c r="Z41" s="1"/>
      <c r="AA41" s="1"/>
      <c r="AB41" s="1"/>
      <c r="AC41" s="1"/>
      <c r="AD41" s="1"/>
    </row>
    <row r="42" spans="1:30" ht="12.75" customHeight="1" x14ac:dyDescent="0.35">
      <c r="A42" s="1"/>
      <c r="B42" s="1"/>
      <c r="C42" s="1"/>
      <c r="D42" s="7"/>
      <c r="E42" s="145"/>
      <c r="F42" s="145"/>
      <c r="G42" s="331" t="s">
        <v>111</v>
      </c>
      <c r="H42" s="332"/>
      <c r="I42" s="331" t="s">
        <v>82</v>
      </c>
      <c r="J42" s="332"/>
      <c r="K42" s="1"/>
      <c r="L42" s="1"/>
      <c r="M42" s="1"/>
      <c r="N42" s="1"/>
      <c r="O42" s="1"/>
      <c r="P42" s="1"/>
      <c r="Q42" s="1"/>
      <c r="R42" s="1"/>
      <c r="S42" s="1"/>
      <c r="T42" s="1"/>
      <c r="U42" s="1"/>
      <c r="V42" s="1"/>
      <c r="W42" s="1"/>
      <c r="X42" s="1"/>
      <c r="Y42" s="1"/>
      <c r="Z42" s="1"/>
      <c r="AA42" s="1"/>
      <c r="AB42" s="1"/>
      <c r="AC42" s="1"/>
      <c r="AD42" s="1"/>
    </row>
    <row r="43" spans="1:30" ht="26.25" x14ac:dyDescent="0.35">
      <c r="A43" s="1"/>
      <c r="B43" s="1"/>
      <c r="C43" s="1"/>
      <c r="D43" s="7"/>
      <c r="E43" s="146" t="s">
        <v>2</v>
      </c>
      <c r="F43" s="147" t="s">
        <v>146</v>
      </c>
      <c r="G43" s="146" t="s">
        <v>85</v>
      </c>
      <c r="H43" s="134" t="s">
        <v>46</v>
      </c>
      <c r="I43" s="146" t="s">
        <v>85</v>
      </c>
      <c r="J43" s="134" t="s">
        <v>46</v>
      </c>
      <c r="K43" s="1"/>
      <c r="L43" s="1"/>
      <c r="M43" s="1"/>
      <c r="N43" s="1"/>
      <c r="O43" s="1"/>
      <c r="P43" s="1"/>
      <c r="Q43" s="1"/>
      <c r="R43" s="1"/>
      <c r="S43" s="1"/>
      <c r="T43" s="1"/>
      <c r="U43" s="1"/>
      <c r="V43" s="1"/>
      <c r="W43" s="1"/>
      <c r="X43" s="1"/>
      <c r="Y43" s="1"/>
      <c r="Z43" s="1"/>
      <c r="AA43" s="1"/>
      <c r="AB43" s="1"/>
      <c r="AC43" s="1"/>
      <c r="AD43" s="1"/>
    </row>
    <row r="44" spans="1:30" ht="12.75" customHeight="1" x14ac:dyDescent="0.35">
      <c r="A44" s="1"/>
      <c r="B44" s="1"/>
      <c r="C44" s="1"/>
      <c r="D44" s="1" t="s">
        <v>147</v>
      </c>
      <c r="E44" s="5"/>
      <c r="F44" s="12">
        <f>250*(1-B33)</f>
        <v>250</v>
      </c>
      <c r="G44" s="12">
        <v>8750</v>
      </c>
      <c r="H44" s="12">
        <f>F44*G44</f>
        <v>2187500</v>
      </c>
      <c r="I44" s="12">
        <f>G44/(1+B21)</f>
        <v>7954.545454545454</v>
      </c>
      <c r="J44" s="12">
        <f>F44*I44</f>
        <v>1988636.3636363635</v>
      </c>
      <c r="K44" s="1">
        <f>IF(H44=J44,0,1)</f>
        <v>1</v>
      </c>
      <c r="L44" s="1"/>
      <c r="M44" s="1"/>
      <c r="N44" s="1"/>
      <c r="O44" s="1"/>
      <c r="P44" s="1"/>
      <c r="Q44" s="1"/>
      <c r="R44" s="1"/>
      <c r="S44" s="1"/>
      <c r="T44" s="1"/>
      <c r="U44" s="1"/>
      <c r="V44" s="1"/>
      <c r="W44" s="1"/>
      <c r="X44" s="1"/>
      <c r="Y44" s="1"/>
      <c r="Z44" s="1"/>
      <c r="AA44" s="1"/>
      <c r="AB44" s="1"/>
      <c r="AC44" s="1"/>
      <c r="AD44" s="1"/>
    </row>
    <row r="45" spans="1:30" ht="12.75" customHeight="1" x14ac:dyDescent="0.35">
      <c r="A45" s="1"/>
      <c r="B45" s="1"/>
      <c r="C45" s="1"/>
      <c r="D45" s="40" t="s">
        <v>148</v>
      </c>
      <c r="E45" s="37">
        <v>2033</v>
      </c>
      <c r="F45" s="24">
        <f>250*(1-B33)</f>
        <v>250</v>
      </c>
      <c r="G45" s="24">
        <v>2500</v>
      </c>
      <c r="H45" s="24">
        <f>F45*G45</f>
        <v>625000</v>
      </c>
      <c r="I45" s="24">
        <f>G45</f>
        <v>2500</v>
      </c>
      <c r="J45" s="24">
        <f>F45*I45</f>
        <v>625000</v>
      </c>
      <c r="K45" s="1">
        <f>IF(H45=J45,0,1)</f>
        <v>0</v>
      </c>
      <c r="L45" s="1"/>
      <c r="M45" s="1"/>
      <c r="N45" s="1"/>
      <c r="O45" s="1"/>
      <c r="P45" s="1"/>
      <c r="Q45" s="1"/>
      <c r="R45" s="1"/>
      <c r="S45" s="1"/>
      <c r="T45" s="1"/>
      <c r="U45" s="1"/>
      <c r="V45" s="1"/>
      <c r="W45" s="1"/>
      <c r="X45" s="1"/>
      <c r="Y45" s="1"/>
      <c r="Z45" s="1"/>
      <c r="AA45" s="1"/>
      <c r="AB45" s="1"/>
      <c r="AC45" s="1"/>
      <c r="AD45" s="1"/>
    </row>
    <row r="46" spans="1:30" ht="12.75" customHeight="1" x14ac:dyDescent="0.35">
      <c r="A46" s="14"/>
      <c r="B46" s="14"/>
      <c r="C46" s="1"/>
      <c r="D46" s="15"/>
      <c r="E46" s="1"/>
      <c r="F46" s="1"/>
      <c r="G46" s="1"/>
      <c r="H46" s="41"/>
      <c r="I46" s="1"/>
      <c r="J46" s="1"/>
      <c r="K46" s="1"/>
      <c r="L46" s="1"/>
      <c r="M46" s="1"/>
      <c r="N46" s="1"/>
      <c r="O46" s="1"/>
      <c r="P46" s="1"/>
      <c r="Q46" s="1"/>
      <c r="R46" s="1"/>
      <c r="S46" s="1"/>
      <c r="T46" s="1"/>
      <c r="U46" s="1"/>
      <c r="V46" s="1"/>
      <c r="W46" s="1"/>
      <c r="X46" s="1"/>
      <c r="Y46" s="1"/>
      <c r="Z46" s="1"/>
      <c r="AA46" s="1"/>
      <c r="AB46" s="1"/>
      <c r="AC46" s="1"/>
      <c r="AD46" s="1"/>
    </row>
    <row r="47" spans="1:30" ht="12.75" customHeight="1" x14ac:dyDescent="0.35">
      <c r="A47" s="14"/>
      <c r="B47" s="14"/>
      <c r="C47" s="42"/>
      <c r="D47" s="148" t="s">
        <v>149</v>
      </c>
      <c r="E47" s="149" t="s">
        <v>150</v>
      </c>
      <c r="F47" s="149" t="s">
        <v>151</v>
      </c>
      <c r="G47" s="149" t="s">
        <v>152</v>
      </c>
      <c r="H47" s="149" t="s">
        <v>153</v>
      </c>
      <c r="I47" s="133" t="s">
        <v>154</v>
      </c>
      <c r="J47" s="150" t="s">
        <v>155</v>
      </c>
      <c r="K47" s="5"/>
      <c r="L47" s="1"/>
      <c r="M47" s="1"/>
      <c r="N47" s="1"/>
      <c r="O47" s="1"/>
      <c r="P47" s="1"/>
      <c r="Q47" s="1"/>
      <c r="R47" s="1"/>
      <c r="S47" s="1"/>
      <c r="T47" s="1"/>
      <c r="U47" s="1"/>
      <c r="V47" s="1"/>
      <c r="W47" s="1"/>
      <c r="X47" s="1"/>
      <c r="Y47" s="1"/>
      <c r="Z47" s="1"/>
      <c r="AA47" s="1"/>
      <c r="AB47" s="1"/>
      <c r="AC47" s="1"/>
      <c r="AD47" s="1"/>
    </row>
    <row r="48" spans="1:30" ht="12.75" customHeight="1" x14ac:dyDescent="0.35">
      <c r="A48" s="1"/>
      <c r="B48" s="1"/>
      <c r="C48" s="43"/>
      <c r="D48" s="10" t="s">
        <v>10</v>
      </c>
      <c r="E48" s="12">
        <f>H9</f>
        <v>2500000</v>
      </c>
      <c r="F48" s="44">
        <f>B6</f>
        <v>13</v>
      </c>
      <c r="G48" s="44">
        <f>E48/F48</f>
        <v>192307.69230769231</v>
      </c>
      <c r="H48" s="12">
        <f>G48</f>
        <v>192307.69230769231</v>
      </c>
      <c r="I48" s="12">
        <f>H48</f>
        <v>192307.69230769231</v>
      </c>
      <c r="J48" s="12"/>
      <c r="K48" s="1"/>
      <c r="L48" s="1"/>
      <c r="M48" s="1"/>
      <c r="N48" s="1"/>
      <c r="O48" s="1"/>
      <c r="P48" s="1"/>
      <c r="Q48" s="1"/>
      <c r="R48" s="1"/>
      <c r="S48" s="1"/>
      <c r="T48" s="1"/>
      <c r="U48" s="1"/>
      <c r="V48" s="1"/>
      <c r="W48" s="1"/>
      <c r="X48" s="1"/>
      <c r="Y48" s="1"/>
      <c r="Z48" s="1"/>
      <c r="AA48" s="1"/>
      <c r="AB48" s="1"/>
      <c r="AC48" s="1"/>
      <c r="AD48" s="1"/>
    </row>
    <row r="49" spans="1:30" ht="12.75" customHeight="1" x14ac:dyDescent="0.35">
      <c r="A49" s="1"/>
      <c r="B49" s="1"/>
      <c r="C49" s="1"/>
      <c r="D49" s="10" t="s">
        <v>156</v>
      </c>
      <c r="E49" s="12">
        <f>H10</f>
        <v>600000</v>
      </c>
      <c r="F49" s="44">
        <f>B7</f>
        <v>7</v>
      </c>
      <c r="G49" s="44">
        <f>E49/F49</f>
        <v>85714.28571428571</v>
      </c>
      <c r="H49" s="12">
        <f>G49</f>
        <v>85714.28571428571</v>
      </c>
      <c r="I49" s="12"/>
      <c r="J49" s="12"/>
      <c r="K49" s="1"/>
      <c r="L49" s="1"/>
      <c r="M49" s="1"/>
      <c r="N49" s="1"/>
      <c r="O49" s="1"/>
      <c r="P49" s="1"/>
      <c r="Q49" s="1"/>
      <c r="R49" s="1"/>
      <c r="S49" s="1"/>
      <c r="T49" s="1"/>
      <c r="U49" s="1"/>
      <c r="V49" s="1"/>
      <c r="W49" s="1"/>
      <c r="X49" s="1"/>
      <c r="Y49" s="1"/>
      <c r="Z49" s="1"/>
      <c r="AA49" s="1"/>
      <c r="AB49" s="1"/>
      <c r="AC49" s="1"/>
      <c r="AD49" s="1"/>
    </row>
    <row r="50" spans="1:30" ht="12.75" customHeight="1" x14ac:dyDescent="0.35">
      <c r="A50" s="1"/>
      <c r="B50" s="1"/>
      <c r="C50" s="1"/>
      <c r="D50" s="10" t="s">
        <v>89</v>
      </c>
      <c r="E50" s="12">
        <f>H11</f>
        <v>1562500</v>
      </c>
      <c r="F50" s="44">
        <f>B8</f>
        <v>20</v>
      </c>
      <c r="G50" s="44">
        <f>E50/F50</f>
        <v>78125</v>
      </c>
      <c r="H50" s="12">
        <f>G50</f>
        <v>78125</v>
      </c>
      <c r="I50" s="12">
        <f>G50</f>
        <v>78125</v>
      </c>
      <c r="J50" s="12">
        <f>G50</f>
        <v>78125</v>
      </c>
      <c r="K50" s="1"/>
      <c r="L50" s="1"/>
      <c r="M50" s="1"/>
      <c r="N50" s="1"/>
      <c r="O50" s="1"/>
      <c r="P50" s="1"/>
      <c r="Q50" s="1"/>
      <c r="R50" s="1"/>
      <c r="S50" s="1"/>
      <c r="T50" s="1"/>
      <c r="U50" s="1"/>
      <c r="V50" s="1"/>
      <c r="W50" s="1"/>
      <c r="X50" s="1"/>
      <c r="Y50" s="1"/>
      <c r="Z50" s="1"/>
      <c r="AA50" s="1"/>
      <c r="AB50" s="1"/>
      <c r="AC50" s="1"/>
      <c r="AD50" s="1"/>
    </row>
    <row r="51" spans="1:30" ht="12.75" customHeight="1" x14ac:dyDescent="0.35">
      <c r="A51" s="1"/>
      <c r="B51" s="1"/>
      <c r="C51" s="1"/>
      <c r="D51" s="36" t="s">
        <v>157</v>
      </c>
      <c r="E51" s="24"/>
      <c r="F51" s="24"/>
      <c r="G51" s="45">
        <f>SUM(G48:G50)</f>
        <v>356146.97802197805</v>
      </c>
      <c r="H51" s="45">
        <f>SUM(H48:H50)</f>
        <v>356146.97802197805</v>
      </c>
      <c r="I51" s="45">
        <f>SUM(I48:I50)</f>
        <v>270432.69230769231</v>
      </c>
      <c r="J51" s="45">
        <f>SUM(J48:J50)</f>
        <v>78125</v>
      </c>
      <c r="K51" s="1"/>
      <c r="L51" s="1"/>
      <c r="M51" s="1"/>
      <c r="N51" s="1"/>
      <c r="O51" s="1"/>
      <c r="P51" s="1"/>
      <c r="Q51" s="1"/>
      <c r="R51" s="1"/>
      <c r="S51" s="1"/>
      <c r="T51" s="1"/>
      <c r="U51" s="1"/>
      <c r="V51" s="1"/>
      <c r="W51" s="1"/>
      <c r="X51" s="1"/>
      <c r="Y51" s="1"/>
      <c r="Z51" s="1"/>
      <c r="AA51" s="1"/>
      <c r="AB51" s="1"/>
      <c r="AC51" s="1"/>
      <c r="AD51" s="1"/>
    </row>
    <row r="52" spans="1:30" ht="12.75" customHeight="1" x14ac:dyDescent="0.35">
      <c r="A52" s="1"/>
      <c r="B52" s="1"/>
      <c r="C52" s="1"/>
      <c r="D52" s="10"/>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2.75" customHeight="1" x14ac:dyDescent="0.4">
      <c r="A53" s="1"/>
      <c r="B53" s="1"/>
      <c r="C53" s="1"/>
      <c r="D53" s="333" t="s">
        <v>158</v>
      </c>
      <c r="E53" s="330"/>
      <c r="F53" s="330"/>
      <c r="G53" s="330"/>
      <c r="H53" s="330"/>
      <c r="I53" s="1"/>
      <c r="J53" s="1"/>
      <c r="K53" s="1"/>
      <c r="L53" s="1"/>
      <c r="M53" s="1"/>
      <c r="N53" s="1"/>
      <c r="O53" s="1"/>
      <c r="P53" s="1"/>
      <c r="Q53" s="1"/>
      <c r="R53" s="1"/>
      <c r="S53" s="1"/>
      <c r="T53" s="1"/>
      <c r="U53" s="1"/>
      <c r="V53" s="1"/>
      <c r="W53" s="1"/>
      <c r="X53" s="1"/>
      <c r="Y53" s="1"/>
      <c r="Z53" s="1"/>
      <c r="AA53" s="1"/>
      <c r="AB53" s="1"/>
      <c r="AC53" s="1"/>
      <c r="AD53" s="1"/>
    </row>
    <row r="54" spans="1:30" ht="12.75" customHeight="1" x14ac:dyDescent="0.35">
      <c r="A54" s="1"/>
      <c r="B54" s="1"/>
      <c r="C54" s="1"/>
      <c r="D54" s="4"/>
      <c r="E54" s="147" t="s">
        <v>2</v>
      </c>
      <c r="F54" s="147" t="s">
        <v>159</v>
      </c>
      <c r="G54" s="147" t="s">
        <v>160</v>
      </c>
      <c r="H54" s="147" t="s">
        <v>161</v>
      </c>
      <c r="I54" s="1"/>
      <c r="J54" s="1"/>
      <c r="K54" s="1"/>
      <c r="L54" s="1"/>
      <c r="M54" s="1"/>
      <c r="N54" s="1"/>
      <c r="O54" s="1"/>
      <c r="P54" s="1"/>
      <c r="Q54" s="1"/>
      <c r="R54" s="1"/>
      <c r="S54" s="1"/>
      <c r="T54" s="1"/>
      <c r="U54" s="1"/>
      <c r="V54" s="1"/>
      <c r="W54" s="1"/>
      <c r="X54" s="1"/>
      <c r="Y54" s="1"/>
      <c r="Z54" s="1"/>
      <c r="AA54" s="1"/>
      <c r="AB54" s="1"/>
      <c r="AC54" s="1"/>
      <c r="AD54" s="1"/>
    </row>
    <row r="55" spans="1:30" ht="12.75" customHeight="1" x14ac:dyDescent="0.35">
      <c r="A55" s="1"/>
      <c r="B55" s="1"/>
      <c r="C55" s="1"/>
      <c r="D55" s="1" t="s">
        <v>162</v>
      </c>
      <c r="E55" s="9" t="s">
        <v>24</v>
      </c>
      <c r="F55" s="12">
        <v>1500000</v>
      </c>
      <c r="G55" s="26">
        <v>0.04</v>
      </c>
      <c r="H55" s="1">
        <v>15</v>
      </c>
      <c r="I55" s="1"/>
      <c r="J55" s="1"/>
      <c r="K55" s="1"/>
      <c r="L55" s="1"/>
      <c r="M55" s="1"/>
      <c r="N55" s="1"/>
      <c r="O55" s="1"/>
      <c r="P55" s="1"/>
      <c r="Q55" s="1"/>
      <c r="R55" s="1"/>
      <c r="S55" s="1"/>
      <c r="T55" s="1"/>
      <c r="U55" s="1"/>
      <c r="V55" s="1"/>
      <c r="W55" s="1"/>
      <c r="X55" s="1"/>
      <c r="Y55" s="1"/>
      <c r="Z55" s="1"/>
      <c r="AA55" s="1"/>
      <c r="AB55" s="1"/>
      <c r="AC55" s="1"/>
      <c r="AD55" s="1"/>
    </row>
    <row r="56" spans="1:30" ht="12.75" customHeight="1" x14ac:dyDescent="0.35">
      <c r="A56" s="1"/>
      <c r="B56" s="1"/>
      <c r="C56" s="1"/>
      <c r="D56" s="40" t="s">
        <v>163</v>
      </c>
      <c r="E56" s="23" t="s">
        <v>25</v>
      </c>
      <c r="F56" s="24">
        <v>102500</v>
      </c>
      <c r="G56" s="46">
        <v>0.08</v>
      </c>
      <c r="H56" s="40">
        <v>6</v>
      </c>
      <c r="I56" s="1"/>
      <c r="J56" s="1"/>
      <c r="K56" s="1"/>
      <c r="L56" s="1"/>
      <c r="M56" s="1"/>
      <c r="N56" s="1"/>
      <c r="O56" s="1"/>
      <c r="P56" s="1"/>
      <c r="Q56" s="1"/>
      <c r="R56" s="1"/>
      <c r="S56" s="1"/>
      <c r="T56" s="1"/>
      <c r="U56" s="1"/>
      <c r="V56" s="1"/>
      <c r="W56" s="1"/>
      <c r="X56" s="1"/>
      <c r="Y56" s="1"/>
      <c r="Z56" s="1"/>
      <c r="AA56" s="1"/>
      <c r="AB56" s="1"/>
      <c r="AC56" s="1"/>
      <c r="AD56" s="1"/>
    </row>
    <row r="57" spans="1:30" ht="12.75" customHeight="1" x14ac:dyDescent="0.35">
      <c r="A57" s="1"/>
      <c r="B57" s="1"/>
      <c r="C57" s="1"/>
      <c r="D57" s="47"/>
      <c r="E57" s="26"/>
      <c r="F57" s="26"/>
      <c r="G57" s="26"/>
      <c r="H57" s="1"/>
      <c r="I57" s="1"/>
      <c r="J57" s="1"/>
      <c r="K57" s="1"/>
      <c r="L57" s="1"/>
      <c r="M57" s="1"/>
      <c r="N57" s="1"/>
      <c r="O57" s="1"/>
      <c r="P57" s="1"/>
      <c r="Q57" s="1"/>
      <c r="R57" s="1"/>
      <c r="S57" s="1"/>
      <c r="T57" s="1"/>
      <c r="U57" s="1"/>
      <c r="V57" s="1"/>
      <c r="W57" s="1"/>
      <c r="X57" s="1"/>
      <c r="Y57" s="1"/>
      <c r="Z57" s="1"/>
      <c r="AA57" s="1"/>
      <c r="AB57" s="1"/>
      <c r="AC57" s="1"/>
      <c r="AD57" s="1"/>
    </row>
    <row r="58" spans="1:30" ht="12.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2.75" customHeight="1" x14ac:dyDescent="0.35">
      <c r="A59" s="1"/>
      <c r="B59" s="1"/>
      <c r="C59" s="1"/>
      <c r="D59" s="48"/>
      <c r="E59" s="48"/>
      <c r="F59" s="48"/>
      <c r="G59" s="48"/>
      <c r="H59" s="1"/>
      <c r="I59" s="1"/>
      <c r="J59" s="1"/>
      <c r="K59" s="1"/>
      <c r="L59" s="1"/>
      <c r="M59" s="1"/>
      <c r="N59" s="1"/>
      <c r="O59" s="1"/>
      <c r="P59" s="1"/>
      <c r="Q59" s="1"/>
      <c r="R59" s="1"/>
      <c r="S59" s="1"/>
      <c r="T59" s="1"/>
      <c r="U59" s="1"/>
      <c r="V59" s="1"/>
      <c r="W59" s="1"/>
      <c r="X59" s="1"/>
      <c r="Y59" s="1"/>
      <c r="Z59" s="1"/>
      <c r="AA59" s="1"/>
      <c r="AB59" s="1"/>
      <c r="AC59" s="1"/>
      <c r="AD59" s="1"/>
    </row>
    <row r="60" spans="1:30" ht="12.75" customHeight="1" x14ac:dyDescent="0.35">
      <c r="A60" s="1"/>
      <c r="B60" s="1"/>
      <c r="C60" s="1"/>
      <c r="D60" s="48"/>
      <c r="E60" s="48"/>
      <c r="F60" s="48"/>
      <c r="G60" s="48"/>
      <c r="H60" s="1"/>
      <c r="I60" s="1"/>
      <c r="J60" s="1"/>
      <c r="K60" s="1"/>
      <c r="L60" s="1"/>
      <c r="M60" s="1"/>
      <c r="N60" s="1"/>
      <c r="O60" s="1"/>
      <c r="P60" s="1"/>
      <c r="Q60" s="1"/>
      <c r="R60" s="1"/>
      <c r="S60" s="1"/>
      <c r="T60" s="1"/>
      <c r="U60" s="1"/>
      <c r="V60" s="1"/>
      <c r="W60" s="1"/>
      <c r="X60" s="1"/>
      <c r="Y60" s="1"/>
      <c r="Z60" s="1"/>
      <c r="AA60" s="1"/>
      <c r="AB60" s="1"/>
      <c r="AC60" s="1"/>
      <c r="AD60" s="1"/>
    </row>
    <row r="61" spans="1:30" ht="12.75" customHeight="1" x14ac:dyDescent="0.35">
      <c r="A61" s="1"/>
      <c r="B61" s="1"/>
      <c r="C61" s="1"/>
      <c r="D61" s="48"/>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2.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2.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2.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2.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2.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2.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2.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2.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2.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2.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2.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2.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2.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2.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2.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2.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2.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2.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2.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2.75" customHeight="1" x14ac:dyDescent="0.35">
      <c r="A81" s="1"/>
      <c r="B81" s="1"/>
      <c r="C81" s="1"/>
      <c r="D81" s="15"/>
      <c r="E81" s="48"/>
      <c r="F81" s="48"/>
      <c r="G81" s="48"/>
      <c r="H81" s="1"/>
      <c r="I81" s="1"/>
      <c r="J81" s="1"/>
      <c r="K81" s="1"/>
      <c r="L81" s="1"/>
      <c r="M81" s="1"/>
      <c r="N81" s="1"/>
      <c r="O81" s="1"/>
      <c r="P81" s="1"/>
      <c r="Q81" s="1"/>
      <c r="R81" s="1"/>
      <c r="S81" s="1"/>
      <c r="T81" s="1"/>
      <c r="U81" s="1"/>
      <c r="V81" s="1"/>
      <c r="W81" s="1"/>
      <c r="X81" s="1"/>
      <c r="Y81" s="1"/>
      <c r="Z81" s="1"/>
      <c r="AA81" s="1"/>
      <c r="AB81" s="1"/>
      <c r="AC81" s="1"/>
      <c r="AD81" s="1"/>
    </row>
    <row r="82" spans="1:30" ht="12.75" customHeight="1" x14ac:dyDescent="0.35">
      <c r="A82" s="1"/>
      <c r="B82" s="1"/>
      <c r="C82" s="1"/>
      <c r="D82" s="15"/>
      <c r="E82" s="48"/>
      <c r="F82" s="48"/>
      <c r="G82" s="48"/>
      <c r="H82" s="1"/>
      <c r="I82" s="1"/>
      <c r="J82" s="1"/>
      <c r="K82" s="1"/>
      <c r="L82" s="1"/>
      <c r="M82" s="1"/>
      <c r="N82" s="1"/>
      <c r="O82" s="1"/>
      <c r="P82" s="1"/>
      <c r="Q82" s="1"/>
      <c r="R82" s="1"/>
      <c r="S82" s="1"/>
      <c r="T82" s="1"/>
      <c r="U82" s="1"/>
      <c r="V82" s="1"/>
      <c r="W82" s="1"/>
      <c r="X82" s="1"/>
      <c r="Y82" s="1"/>
      <c r="Z82" s="1"/>
      <c r="AA82" s="1"/>
      <c r="AB82" s="1"/>
      <c r="AC82" s="1"/>
      <c r="AD82" s="1"/>
    </row>
    <row r="83" spans="1:30" ht="12.75" customHeight="1" x14ac:dyDescent="0.35">
      <c r="A83" s="1"/>
      <c r="B83" s="1"/>
      <c r="C83" s="1"/>
      <c r="D83" s="15"/>
      <c r="E83" s="48"/>
      <c r="F83" s="48"/>
      <c r="G83" s="48"/>
      <c r="H83" s="1"/>
      <c r="I83" s="1"/>
      <c r="J83" s="1"/>
      <c r="K83" s="1"/>
      <c r="L83" s="1"/>
      <c r="M83" s="1"/>
      <c r="N83" s="1"/>
      <c r="O83" s="1"/>
      <c r="P83" s="1"/>
      <c r="Q83" s="1"/>
      <c r="R83" s="1"/>
      <c r="S83" s="1"/>
      <c r="T83" s="1"/>
      <c r="U83" s="1"/>
      <c r="V83" s="1"/>
      <c r="W83" s="1"/>
      <c r="X83" s="1"/>
      <c r="Y83" s="1"/>
      <c r="Z83" s="1"/>
      <c r="AA83" s="1"/>
      <c r="AB83" s="1"/>
      <c r="AC83" s="1"/>
      <c r="AD83" s="1"/>
    </row>
    <row r="84" spans="1:30" ht="12.75" customHeight="1" x14ac:dyDescent="0.35">
      <c r="A84" s="1"/>
      <c r="B84" s="1"/>
      <c r="C84" s="1"/>
      <c r="D84" s="15"/>
      <c r="E84" s="48"/>
      <c r="F84" s="48"/>
      <c r="G84" s="48"/>
      <c r="H84" s="1"/>
      <c r="I84" s="1"/>
      <c r="J84" s="1"/>
      <c r="K84" s="1"/>
      <c r="L84" s="1"/>
      <c r="M84" s="1"/>
      <c r="N84" s="1"/>
      <c r="O84" s="1"/>
      <c r="P84" s="1"/>
      <c r="Q84" s="1"/>
      <c r="R84" s="1"/>
      <c r="S84" s="1"/>
      <c r="T84" s="1"/>
      <c r="U84" s="1"/>
      <c r="V84" s="1"/>
      <c r="W84" s="1"/>
      <c r="X84" s="1"/>
      <c r="Y84" s="1"/>
      <c r="Z84" s="1"/>
      <c r="AA84" s="1"/>
      <c r="AB84" s="1"/>
      <c r="AC84" s="1"/>
      <c r="AD84" s="1"/>
    </row>
    <row r="85" spans="1:30" ht="12.75" customHeight="1" x14ac:dyDescent="0.35">
      <c r="A85" s="1"/>
      <c r="B85" s="1"/>
      <c r="C85" s="1"/>
      <c r="D85" s="1"/>
      <c r="E85" s="48"/>
      <c r="F85" s="48"/>
      <c r="G85" s="48"/>
      <c r="H85" s="1"/>
      <c r="I85" s="1"/>
      <c r="J85" s="1"/>
      <c r="K85" s="1"/>
      <c r="L85" s="1"/>
      <c r="M85" s="1"/>
      <c r="N85" s="1"/>
      <c r="O85" s="1"/>
      <c r="P85" s="1"/>
      <c r="Q85" s="1"/>
      <c r="R85" s="1"/>
      <c r="S85" s="1"/>
      <c r="T85" s="1"/>
      <c r="U85" s="1"/>
      <c r="V85" s="1"/>
      <c r="W85" s="1"/>
      <c r="X85" s="1"/>
      <c r="Y85" s="1"/>
      <c r="Z85" s="1"/>
      <c r="AA85" s="1"/>
      <c r="AB85" s="1"/>
      <c r="AC85" s="1"/>
      <c r="AD85" s="1"/>
    </row>
    <row r="86" spans="1:30" ht="12.75" customHeight="1" x14ac:dyDescent="0.35">
      <c r="A86" s="1"/>
      <c r="B86" s="1"/>
      <c r="C86" s="1"/>
      <c r="D86" s="1"/>
      <c r="E86" s="49"/>
      <c r="F86" s="49"/>
      <c r="G86" s="49"/>
      <c r="H86" s="1"/>
      <c r="I86" s="1"/>
      <c r="J86" s="1"/>
      <c r="K86" s="1"/>
      <c r="L86" s="1"/>
      <c r="M86" s="1"/>
      <c r="N86" s="1"/>
      <c r="O86" s="1"/>
      <c r="P86" s="1"/>
      <c r="Q86" s="1"/>
      <c r="R86" s="1"/>
      <c r="S86" s="1"/>
      <c r="T86" s="1"/>
      <c r="U86" s="1"/>
      <c r="V86" s="1"/>
      <c r="W86" s="1"/>
      <c r="X86" s="1"/>
      <c r="Y86" s="1"/>
      <c r="Z86" s="1"/>
      <c r="AA86" s="1"/>
      <c r="AB86" s="1"/>
      <c r="AC86" s="1"/>
      <c r="AD86" s="1"/>
    </row>
    <row r="87" spans="1:30" ht="12.75" customHeight="1" x14ac:dyDescent="0.35">
      <c r="A87" s="1"/>
      <c r="B87" s="1"/>
      <c r="C87" s="1"/>
      <c r="D87" s="50"/>
      <c r="E87" s="51"/>
      <c r="F87" s="1"/>
      <c r="G87" s="51"/>
      <c r="H87" s="1"/>
      <c r="I87" s="1"/>
      <c r="J87" s="1"/>
      <c r="K87" s="1"/>
      <c r="L87" s="1"/>
      <c r="M87" s="1"/>
      <c r="N87" s="1"/>
      <c r="O87" s="1"/>
      <c r="P87" s="1"/>
      <c r="Q87" s="1"/>
      <c r="R87" s="1"/>
      <c r="S87" s="1"/>
      <c r="T87" s="1"/>
      <c r="U87" s="1"/>
      <c r="V87" s="1"/>
      <c r="W87" s="1"/>
      <c r="X87" s="1"/>
      <c r="Y87" s="1"/>
      <c r="Z87" s="1"/>
      <c r="AA87" s="1"/>
      <c r="AB87" s="1"/>
      <c r="AC87" s="1"/>
      <c r="AD87" s="1"/>
    </row>
    <row r="88" spans="1:30" ht="12.75" customHeight="1" x14ac:dyDescent="0.35">
      <c r="A88" s="1"/>
      <c r="B88" s="1"/>
      <c r="C88" s="1"/>
      <c r="D88" s="50"/>
      <c r="E88" s="52"/>
      <c r="F88" s="52"/>
      <c r="G88" s="48"/>
      <c r="H88" s="1"/>
      <c r="I88" s="1"/>
      <c r="J88" s="1"/>
      <c r="K88" s="1"/>
      <c r="L88" s="1"/>
      <c r="M88" s="1"/>
      <c r="N88" s="1"/>
      <c r="O88" s="1"/>
      <c r="P88" s="1"/>
      <c r="Q88" s="1"/>
      <c r="R88" s="1"/>
      <c r="S88" s="1"/>
      <c r="T88" s="1"/>
      <c r="U88" s="1"/>
      <c r="V88" s="1"/>
      <c r="W88" s="1"/>
      <c r="X88" s="1"/>
      <c r="Y88" s="1"/>
      <c r="Z88" s="1"/>
      <c r="AA88" s="1"/>
      <c r="AB88" s="1"/>
      <c r="AC88" s="1"/>
      <c r="AD88" s="1"/>
    </row>
    <row r="89" spans="1:30" ht="12.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2.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2.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2.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2.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2.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2.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2.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2.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2.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2.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2.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2.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2.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2.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2.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2.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2.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2.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2.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2.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2.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2.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2.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2.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2.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2.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2.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2.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2.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2.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2.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2.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2.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2.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2.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2.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2.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2.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2.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2.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2.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2.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2.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2.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2.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2.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2.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2.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2.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2.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2.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2.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2.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2.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2.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2.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2.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2.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2.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2.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2.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2.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2.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2.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2.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2.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2.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2.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2.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2.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2.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2.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2.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2.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2.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2.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2.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2.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2.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2.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2.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2.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2.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2.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2.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2.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2.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2.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2.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2.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2.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2.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2.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2.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2.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2.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2.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2.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2.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2.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2.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2.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2.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2.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2.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2.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2.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2.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2.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2.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2.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2.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2.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2.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2.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2.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2.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2.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2.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2.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2.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2.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2.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2.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2.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2.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2.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2.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2.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2.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2.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2.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2.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2.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2.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2.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2.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2.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2.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2.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2.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2.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2.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2.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2.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2.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2.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2.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2.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2.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2.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2.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2.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2.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2.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2.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2.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2.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2.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2.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2.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2.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2.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2.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2.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2.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2.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2.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2.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2.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2.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2.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2.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2.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2.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2.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2.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2.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2.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2.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2.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2.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2.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2.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2.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2.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2.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2.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2.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2.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2.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2.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2.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2.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2.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2.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2.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2.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2.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2.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2.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2.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2.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2.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2.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2.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2.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2.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2.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2.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2.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2.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2.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2.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2.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2.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2.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2.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2.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2.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2.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2.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2.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2.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2.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2.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2.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2.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2.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2.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2.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2.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2.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2.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2.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2.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2.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2.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2.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2.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2.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2.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2.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2.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2.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2.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2.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2.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2.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2.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2.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2.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2.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2.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2.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2.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2.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2.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2.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2.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2.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2.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2.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2.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2.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2.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2.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2.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2.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2.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2.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2.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2.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2.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2.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2.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2.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2.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2.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2.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2.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2.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2.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2.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2.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2.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2.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2.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2.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2.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2.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2.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2.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2.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2.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2.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2.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2.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2.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2.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2.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2.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2.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2.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2.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2.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2.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2.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2.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2.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2.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2.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2.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2.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2.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2.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2.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2.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2.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2.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2.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2.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2.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2.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2.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2.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2.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2.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2.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2.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2.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2.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2.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2.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2.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2.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2.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2.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2.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2.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2.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2.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2.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2.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2.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2.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2.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2.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2.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2.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2.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2.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2.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2.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2.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2.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2.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2.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2.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2.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2.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2.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2.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2.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2.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2.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2.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2.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2.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2.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2.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2.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2.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2.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2.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2.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2.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2.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2.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2.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2.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2.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2.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2.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2.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2.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2.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2.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2.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2.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2.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2.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2.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2.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2.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2.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2.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2.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2.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2.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2.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2.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2.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2.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2.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2.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2.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2.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2.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2.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2.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2.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2.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2.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2.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2.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2.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2.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2.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2.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2.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2.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2.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2.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2.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2.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2.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2.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2.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2.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2.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2.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2.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2.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2.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2.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2.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2.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2.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2.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2.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2.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2.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2.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2.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2.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2.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2.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2.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2.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2.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2.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2.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2.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2.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2.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2.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2.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2.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2.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2.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2.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2.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2.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2.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2.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2.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2.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2.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2.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2.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2.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2.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2.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2.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2.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2.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2.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2.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2.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2.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2.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2.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2.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2.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2.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2.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2.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2.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2.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2.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2.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2.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2.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2.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2.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2.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2.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2.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2.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2.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2.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2.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2.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2.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2.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2.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2.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2.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2.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2.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2.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2.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2.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2.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2.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2.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2.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2.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2.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2.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2.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2.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2.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2.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2.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2.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2.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2.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2.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2.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2.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2.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2.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2.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2.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2.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2.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2.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2.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2.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2.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2.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2.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2.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2.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2.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2.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2.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2.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2.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2.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2.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2.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2.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2.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2.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2.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2.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2.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2.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2.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2.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2.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2.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2.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2.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2.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2.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2.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2.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2.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2.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2.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2.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2.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2.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2.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2.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2.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2.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2.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2.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2.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2.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2.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2.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2.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2.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2.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2.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2.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2.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2.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2.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2.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2.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2.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2.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2.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2.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2.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2.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2.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2.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2.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2.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2.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2.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2.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2.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2.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2.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2.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2.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2.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2.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2.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2.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2.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2.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2.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2.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2.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2.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2.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2.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2.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2.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2.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2.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2.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2.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2.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2.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2.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2.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2.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2.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2.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2.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2.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2.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2.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2.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2.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2.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2.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2.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2.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2.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2.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2.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2.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2.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2.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2.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2.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2.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2.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2.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2.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2.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2.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2.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2.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2.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2.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2.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2.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2.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2.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2.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2.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2.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2.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2.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2.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2.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2.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2.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2.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2.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2.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2.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2.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2.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2.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2.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2.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2.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2.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2.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2.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2.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2.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2.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2.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2.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2.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2.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2.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2.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2.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2.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2.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2.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2.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2.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2.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2.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2.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2.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2.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2.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2.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2.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2.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2.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2.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2.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2.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2.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2.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2.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2.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2.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2.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2.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2.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2.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2.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2.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2.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2.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2.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2.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2.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2.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2.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2.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2.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2.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2.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2.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2.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2.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2.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2.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2.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2.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2.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2.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2.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2.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2.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2.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2.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2.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2.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2.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2.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2.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2.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2.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2.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2.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2.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2.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2.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2.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2.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2.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2.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2.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2.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2.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2.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2.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2.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2.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2.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2.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2.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2.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2.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2.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2.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2.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2.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2.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2.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2.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2.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2.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2.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2.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2.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2.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2.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2.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2.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2.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2.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2.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2.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2.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2.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2.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2.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2.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2.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2.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2.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2.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2.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2.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2.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2.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2.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2.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2.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2.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2.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2.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2.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2.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2.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2.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2.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2.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2.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2.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2.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2.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2.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2.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2.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2.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2.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2.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2.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2.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2.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2.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2.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2.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2.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2.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2.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2.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2.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2.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2.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2.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2.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2.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2.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2.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2.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2.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2.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2.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2.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2.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2.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2.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2.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2.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2.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2.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2.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2.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2.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2.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2.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2.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2.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2.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2.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2.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2.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2.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2.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2.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2.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2.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2.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2.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2.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2.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2.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2.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2.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2.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2.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2.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2.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2.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2.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2.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2.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2.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2.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2.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2.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2.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2.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2.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2.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2.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2.75" customHeight="1" x14ac:dyDescent="0.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spans="1:30" ht="12.75" customHeight="1" x14ac:dyDescent="0.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row r="1003" spans="1:30" ht="12.75" customHeight="1" x14ac:dyDescent="0.35">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row>
  </sheetData>
  <mergeCells count="11">
    <mergeCell ref="D41:J41"/>
    <mergeCell ref="G42:H42"/>
    <mergeCell ref="I42:J42"/>
    <mergeCell ref="D53:H53"/>
    <mergeCell ref="A1:M2"/>
    <mergeCell ref="D4:J4"/>
    <mergeCell ref="G5:H5"/>
    <mergeCell ref="I5:J5"/>
    <mergeCell ref="D24:M24"/>
    <mergeCell ref="G25:H25"/>
    <mergeCell ref="L25:M25"/>
  </mergeCells>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3E0BA6B27630468405F97DB0B85EE0" ma:contentTypeVersion="3" ma:contentTypeDescription="Create a new document." ma:contentTypeScope="" ma:versionID="160cf1e4b71517957306dc7248c26fe8">
  <xsd:schema xmlns:xsd="http://www.w3.org/2001/XMLSchema" xmlns:xs="http://www.w3.org/2001/XMLSchema" xmlns:p="http://schemas.microsoft.com/office/2006/metadata/properties" xmlns:ns2="c099861c-c5ac-4abb-a6f4-ccf140a6b79d" targetNamespace="http://schemas.microsoft.com/office/2006/metadata/properties" ma:root="true" ma:fieldsID="af8253e8eb50209a816af212c40b073b" ns2:_="">
    <xsd:import namespace="c099861c-c5ac-4abb-a6f4-ccf140a6b79d"/>
    <xsd:element name="properties">
      <xsd:complexType>
        <xsd:sequence>
          <xsd:element name="documentManagement">
            <xsd:complexType>
              <xsd:all>
                <xsd:element ref="ns2:ReferenceId"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99861c-c5ac-4abb-a6f4-ccf140a6b79d"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ferenceId xmlns="c099861c-c5ac-4abb-a6f4-ccf140a6b79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B9FD9A-41A1-49CB-AB18-7B073F4DBF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99861c-c5ac-4abb-a6f4-ccf140a6b7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F7CD32-46E9-42A2-9FD9-6AF9D63CCDC3}">
  <ds:schemaRefs>
    <ds:schemaRef ds:uri="66342dc4-0525-496b-acf8-b4b6ce41ef08"/>
    <ds:schemaRef ds:uri="http://purl.org/dc/elements/1.1/"/>
    <ds:schemaRef ds:uri="http://schemas.microsoft.com/office/infopath/2007/PartnerControls"/>
    <ds:schemaRef ds:uri="http://purl.org/dc/term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a63d4d12-1435-4892-b6b6-16b4a4121b13"/>
    <ds:schemaRef ds:uri="http://www.w3.org/XML/1998/namespace"/>
    <ds:schemaRef ds:uri="c099861c-c5ac-4abb-a6f4-ccf140a6b79d"/>
  </ds:schemaRefs>
</ds:datastoreItem>
</file>

<file path=customXml/itemProps3.xml><?xml version="1.0" encoding="utf-8"?>
<ds:datastoreItem xmlns:ds="http://schemas.openxmlformats.org/officeDocument/2006/customXml" ds:itemID="{E5AEE139-66A7-4FD8-BA74-4008559FDE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Phương án 1</vt:lpstr>
      <vt:lpstr>Phân tích phương án 1</vt:lpstr>
      <vt:lpstr>Phương án 2</vt:lpstr>
      <vt:lpstr>Phân tích phương án 2</vt:lpstr>
      <vt:lpstr>A12 TIẾNG VIỆT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Phùng Thanh Bình</cp:lastModifiedBy>
  <cp:revision/>
  <dcterms:created xsi:type="dcterms:W3CDTF">2021-09-12T07:33:47Z</dcterms:created>
  <dcterms:modified xsi:type="dcterms:W3CDTF">2023-12-06T01:14:34Z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0x010100523E0BA6B27630468405F97DB0B85EE0</vt:lpwstr>
  </property>
</Properties>
</file>